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DS_Lancamen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ase_Enderecos" sheetId="3" state="visible" r:id="rId3"/>
    <sheet xmlns:r="http://schemas.openxmlformats.org/officeDocument/2006/relationships" name="Parametros_Relatorio" sheetId="4" state="visible" r:id="rId4"/>
    <sheet xmlns:r="http://schemas.openxmlformats.org/officeDocument/2006/relationships" name="Orientacoes_Relatorio" sheetId="5" state="visible" r:id="rId5"/>
  </sheets>
  <definedNames>
    <definedName name="_xlnm._FilterDatabase" localSheetId="0" hidden="1">'PDS_Lancamentos'!$A$4:$U$2165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Calibri"/>
      <b val="1"/>
      <color rgb="FF1F3F77"/>
      <sz val="14"/>
    </font>
    <font>
      <name val="Calibri"/>
      <color rgb="FF5B6778"/>
      <sz val="10"/>
    </font>
    <font>
      <name val="Calibri"/>
      <b val="1"/>
      <color rgb="FFFFFFFF"/>
      <sz val="10"/>
    </font>
    <font>
      <name val="Calibri"/>
      <color rgb="FF273142"/>
      <sz val="10"/>
    </font>
    <font>
      <name val="Calibri"/>
      <sz val="10"/>
    </font>
    <font>
      <name val="Calibri"/>
      <color rgb="FF273142"/>
      <sz val="10"/>
    </font>
    <font>
      <name val="Carlito"/>
      <b val="1"/>
      <color rgb="FF1F2937"/>
      <sz val="11"/>
    </font>
    <font>
      <name val="Calibri"/>
      <family val="2"/>
      <color rgb="FF273142"/>
      <sz val="10"/>
    </font>
    <font>
      <name val="Carlito"/>
      <sz val="8"/>
    </font>
  </fonts>
  <fills count="5">
    <fill>
      <patternFill/>
    </fill>
    <fill>
      <patternFill patternType="gray125"/>
    </fill>
    <fill>
      <patternFill patternType="solid">
        <fgColor rgb="FFEAF2FF"/>
      </patternFill>
    </fill>
    <fill>
      <patternFill patternType="solid">
        <fgColor rgb="FFF8FBFF"/>
      </patternFill>
    </fill>
    <fill>
      <patternFill patternType="solid">
        <fgColor rgb="FF2F6FE4"/>
      </patternFill>
    </fill>
  </fills>
  <borders count="11">
    <border>
      <left/>
      <right/>
      <top/>
      <bottom/>
      <diagonal/>
    </border>
    <border>
      <left/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/>
      <top/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/>
      <top style="thin">
        <color rgb="FFE7EDF5"/>
      </top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/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14" fontId="4" fillId="0" borderId="4" applyAlignment="1" pivotButton="0" quotePrefix="0" xfId="0">
      <alignment vertical="center"/>
    </xf>
    <xf numFmtId="14" fontId="4" fillId="0" borderId="7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5" fillId="0" borderId="1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9" pivotButton="0" quotePrefix="0" xfId="0"/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7" fillId="0" borderId="0" pivotButton="0" quotePrefix="0" xfId="0"/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14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39"/>
  <sheetViews>
    <sheetView tabSelected="1" topLeftCell="A2156" workbookViewId="0">
      <selection activeCell="C2193" sqref="C2193"/>
    </sheetView>
  </sheetViews>
  <sheetFormatPr baseColWidth="8" defaultRowHeight="13.8"/>
  <cols>
    <col width="12" customWidth="1" min="1" max="1"/>
    <col width="14" customWidth="1" min="2" max="2"/>
    <col width="28" customWidth="1" min="3" max="3"/>
    <col width="18" customWidth="1" min="4" max="4"/>
    <col width="27.09765625" customWidth="1" min="5" max="5"/>
    <col width="44" customWidth="1" min="6" max="6"/>
    <col width="10" customWidth="1" min="7" max="8"/>
    <col width="16" customWidth="1" min="9" max="9"/>
    <col width="18" customWidth="1" min="10" max="10"/>
    <col width="14" customWidth="1" min="11" max="11"/>
    <col width="20" customWidth="1" min="12" max="12"/>
    <col width="16" customWidth="1" min="13" max="13"/>
    <col width="28" customWidth="1" min="14" max="14"/>
    <col width="12" customWidth="1" min="15" max="15"/>
    <col width="18" customWidth="1" min="16" max="16"/>
    <col width="22" customWidth="1" min="17" max="17"/>
    <col width="18" customWidth="1" min="18" max="18"/>
    <col width="14" customWidth="1" min="19" max="19"/>
    <col width="42" customWidth="1" min="20" max="20"/>
    <col width="32" customWidth="1" min="21" max="21"/>
  </cols>
  <sheetData>
    <row r="1" ht="13.95" customHeight="1">
      <c r="A1" s="2" t="inlineStr">
        <is>
          <t>PDS Integra 6A - Base consolidada (Word)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1.55" customHeight="1">
      <c r="A2" s="3" t="inlineStr">
        <is>
          <t>Arquivos consolidados: Abril, Dezembro, Fevereiro, Janeiro, Mar?o e Maio | Total de linhas extra?das: 2206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 ht="12.75" customHeight="1">
      <c r="A4" s="5" t="inlineStr">
        <is>
          <t>Data</t>
        </is>
      </c>
      <c r="B4" s="5" t="inlineStr">
        <is>
          <t>Dia_Semana</t>
        </is>
      </c>
      <c r="C4" s="5" t="inlineStr">
        <is>
          <t>Obra</t>
        </is>
      </c>
      <c r="D4" s="5" t="inlineStr">
        <is>
          <t>Responsavel_Obra</t>
        </is>
      </c>
      <c r="E4" s="5" t="inlineStr">
        <is>
          <t>Equipe</t>
        </is>
      </c>
      <c r="F4" s="5" t="inlineStr">
        <is>
          <t>Atividade</t>
        </is>
      </c>
      <c r="G4" s="5" t="inlineStr">
        <is>
          <t>PV_Inicio</t>
        </is>
      </c>
      <c r="H4" s="5" t="inlineStr">
        <is>
          <t>PV_Fim</t>
        </is>
      </c>
      <c r="I4" s="5" t="inlineStr">
        <is>
          <t>PV_Texto</t>
        </is>
      </c>
      <c r="J4" s="5" t="inlineStr">
        <is>
          <t>Tipo_Atividade</t>
        </is>
      </c>
      <c r="K4" s="5" t="inlineStr">
        <is>
          <t>Categoria</t>
        </is>
      </c>
      <c r="L4" s="5" t="inlineStr">
        <is>
          <t>Fonte_Arquivo</t>
        </is>
      </c>
      <c r="M4" s="28" t="inlineStr">
        <is>
          <t>MES_REF</t>
        </is>
      </c>
      <c r="N4" s="28" t="inlineStr">
        <is>
          <t>RUA</t>
        </is>
      </c>
      <c r="O4" s="28" t="inlineStr">
        <is>
          <t>NUMERO</t>
        </is>
      </c>
      <c r="P4" s="28" t="inlineStr">
        <is>
          <t>MUNICIPIO</t>
        </is>
      </c>
      <c r="Q4" s="28" t="inlineStr">
        <is>
          <t>SUBPREFEITURA</t>
        </is>
      </c>
      <c r="R4" s="28" t="inlineStr">
        <is>
          <t>METODO_PADRAO</t>
        </is>
      </c>
      <c r="S4" s="28" t="inlineStr">
        <is>
          <t>EXTENSAO_M</t>
        </is>
      </c>
      <c r="T4" s="28" t="inlineStr">
        <is>
          <t>CHAVE_RELATORIO</t>
        </is>
      </c>
      <c r="U4" s="28" t="inlineStr">
        <is>
          <t>OBS_RELATORIO</t>
        </is>
      </c>
    </row>
    <row r="5" ht="11.55" customHeight="1">
      <c r="A5" s="9" t="n">
        <v>45992</v>
      </c>
      <c r="B5" s="6" t="inlineStr">
        <is>
          <t>Segunda</t>
        </is>
      </c>
      <c r="C5" s="6" t="inlineStr">
        <is>
          <t>Mar de Coral</t>
        </is>
      </c>
      <c r="D5" s="6" t="n"/>
      <c r="E5" s="6" t="inlineStr">
        <is>
          <t>LS</t>
        </is>
      </c>
      <c r="F5" s="12" t="inlineStr">
        <is>
          <t>Escavação mecânica e montagem de armco PV 01</t>
        </is>
      </c>
      <c r="G5" s="6" t="inlineStr">
        <is>
          <t>01</t>
        </is>
      </c>
      <c r="H5" s="6" t="n"/>
      <c r="I5" s="6" t="inlineStr">
        <is>
          <t>01</t>
        </is>
      </c>
      <c r="J5" s="6" t="inlineStr">
        <is>
          <t>Escavação</t>
        </is>
      </c>
      <c r="K5" s="6" t="inlineStr">
        <is>
          <t>Planejamento</t>
        </is>
      </c>
      <c r="L5" s="15" t="inlineStr">
        <is>
          <t>PDS-dezembro(1).docx</t>
        </is>
      </c>
      <c r="M5">
        <f>IF($A5="","",TEXT($A5,"mmmm/yyyy"))</f>
        <v/>
      </c>
      <c r="P5">
        <f>IFERROR(_xludf.XLOOKUP($N5,Base_Enderecos!$A:$A,Base_Enderecos!$B:$B,""),"")</f>
        <v/>
      </c>
      <c r="Q5">
        <f>IFERROR(_xludf.XLOOKUP($N5,Base_Enderecos!$A:$A,Base_Enderecos!$C:$C,""),"")</f>
        <v/>
      </c>
      <c r="R5">
        <f>IF(OR(ISNUMBER(SEARCH("HDD",$F5)),ISNUMBER(SEARCH("MND",$F5)),ISNUMBER(SEARCH("PEAD",$F5)),ISNUMBER(SEARCH("Puxe",$J5)),ISNUMBER(SEARCH("Apoio HDD",$F5))),"MND",IF(OR(ISNUMBER(SEARCH("VCA",$F5)),ISNUMBER(SEARCH("PVC",$F5)),ISNUMBER(SEARCH("vca",$J5)),ISNUMBER(SEARCH("Transformação",$J5))),"VCA",IF(OR(ISNUMBER(SEARCH("crava",$F5)),ISNUMBER(SEARCH("tubo cravado",$F5)),ISNUMBER(SEARCH("shaft",$J5)),ISNUMBER(SEARCH("concreto",$F5))),"TUBO CRAVADO","")))</f>
        <v/>
      </c>
      <c r="T5">
        <f>IF($A5="","",TEXT($A5,"yyyymm")&amp;"|"&amp;$C5&amp;"|"&amp;$F5&amp;"|"&amp;$N5&amp;"|"&amp;$R5)</f>
        <v/>
      </c>
    </row>
    <row r="6" ht="11.55" customHeight="1">
      <c r="A6" s="10" t="n">
        <v>45992</v>
      </c>
      <c r="B6" s="7" t="inlineStr">
        <is>
          <t>Segunda</t>
        </is>
      </c>
      <c r="C6" s="7" t="inlineStr">
        <is>
          <t>Bandeirantes</t>
        </is>
      </c>
      <c r="D6" s="7" t="n"/>
      <c r="E6" s="7" t="inlineStr">
        <is>
          <t>Daniel (pisos)</t>
        </is>
      </c>
      <c r="F6" s="13" t="inlineStr">
        <is>
          <t>Acabamento em piso PV 14</t>
        </is>
      </c>
      <c r="G6" s="7" t="inlineStr">
        <is>
          <t>14</t>
        </is>
      </c>
      <c r="H6" s="7" t="n"/>
      <c r="I6" s="7" t="inlineStr">
        <is>
          <t>14</t>
        </is>
      </c>
      <c r="J6" s="7" t="inlineStr">
        <is>
          <t>Acabamento</t>
        </is>
      </c>
      <c r="K6" s="7" t="inlineStr">
        <is>
          <t>Planejamento</t>
        </is>
      </c>
      <c r="L6" s="16" t="inlineStr">
        <is>
          <t>PDS-dezembro(1).docx</t>
        </is>
      </c>
      <c r="M6">
        <f>IF($A6="","",TEXT($A6,"mmmm/yyyy"))</f>
        <v/>
      </c>
      <c r="P6">
        <f>IFERROR(_xludf.XLOOKUP($N6,Base_Enderecos!$A:$A,Base_Enderecos!$B:$B,""),"")</f>
        <v/>
      </c>
      <c r="Q6">
        <f>IFERROR(_xludf.XLOOKUP($N6,Base_Enderecos!$A:$A,Base_Enderecos!$C:$C,""),"")</f>
        <v/>
      </c>
      <c r="R6">
        <f>IF(OR(ISNUMBER(SEARCH("HDD",$F6)),ISNUMBER(SEARCH("MND",$F6)),ISNUMBER(SEARCH("PEAD",$F6)),ISNUMBER(SEARCH("Puxe",$J6)),ISNUMBER(SEARCH("Apoio HDD",$F6))),"MND",IF(OR(ISNUMBER(SEARCH("VCA",$F6)),ISNUMBER(SEARCH("PVC",$F6)),ISNUMBER(SEARCH("vca",$J6)),ISNUMBER(SEARCH("Transformação",$J6))),"VCA",IF(OR(ISNUMBER(SEARCH("crava",$F6)),ISNUMBER(SEARCH("tubo cravado",$F6)),ISNUMBER(SEARCH("shaft",$J6)),ISNUMBER(SEARCH("concreto",$F6))),"TUBO CRAVADO","")))</f>
        <v/>
      </c>
      <c r="T6">
        <f>IF($A6="","",TEXT($A6,"yyyymm")&amp;"|"&amp;$C6&amp;"|"&amp;$F6&amp;"|"&amp;$N6&amp;"|"&amp;$R6)</f>
        <v/>
      </c>
    </row>
    <row r="7" ht="11.55" customHeight="1">
      <c r="A7" s="10" t="n">
        <v>45992</v>
      </c>
      <c r="B7" s="7" t="inlineStr">
        <is>
          <t>Segunda</t>
        </is>
      </c>
      <c r="C7" s="7" t="inlineStr">
        <is>
          <t>CT Lageado</t>
        </is>
      </c>
      <c r="D7" s="7" t="n"/>
      <c r="E7" s="7" t="inlineStr">
        <is>
          <t>Marcelo</t>
        </is>
      </c>
      <c r="F7" s="13" t="inlineStr">
        <is>
          <t>Transformação PV 1.2</t>
        </is>
      </c>
      <c r="G7" s="7" t="inlineStr">
        <is>
          <t>1.2</t>
        </is>
      </c>
      <c r="H7" s="7" t="n"/>
      <c r="I7" s="7" t="inlineStr">
        <is>
          <t>1.2</t>
        </is>
      </c>
      <c r="J7" s="7" t="inlineStr">
        <is>
          <t>Transformação</t>
        </is>
      </c>
      <c r="K7" s="7" t="inlineStr">
        <is>
          <t>Planejamento</t>
        </is>
      </c>
      <c r="L7" s="16" t="inlineStr">
        <is>
          <t>PDS-dezembro(1).docx</t>
        </is>
      </c>
      <c r="M7">
        <f>IF($A7="","",TEXT($A7,"mmmm/yyyy"))</f>
        <v/>
      </c>
      <c r="P7">
        <f>IFERROR(_xludf.XLOOKUP($N7,Base_Enderecos!$A:$A,Base_Enderecos!$B:$B,""),"")</f>
        <v/>
      </c>
      <c r="Q7">
        <f>IFERROR(_xludf.XLOOKUP($N7,Base_Enderecos!$A:$A,Base_Enderecos!$C:$C,""),"")</f>
        <v/>
      </c>
      <c r="R7">
        <f>IF(OR(ISNUMBER(SEARCH("HDD",$F7)),ISNUMBER(SEARCH("MND",$F7)),ISNUMBER(SEARCH("PEAD",$F7)),ISNUMBER(SEARCH("Puxe",$J7)),ISNUMBER(SEARCH("Apoio HDD",$F7))),"MND",IF(OR(ISNUMBER(SEARCH("VCA",$F7)),ISNUMBER(SEARCH("PVC",$F7)),ISNUMBER(SEARCH("vca",$J7)),ISNUMBER(SEARCH("Transformação",$J7))),"VCA",IF(OR(ISNUMBER(SEARCH("crava",$F7)),ISNUMBER(SEARCH("tubo cravado",$F7)),ISNUMBER(SEARCH("shaft",$J7)),ISNUMBER(SEARCH("concreto",$F7))),"TUBO CRAVADO","")))</f>
        <v/>
      </c>
      <c r="T7">
        <f>IF($A7="","",TEXT($A7,"yyyymm")&amp;"|"&amp;$C7&amp;"|"&amp;$F7&amp;"|"&amp;$N7&amp;"|"&amp;$R7)</f>
        <v/>
      </c>
    </row>
    <row r="8" ht="11.55" customHeight="1">
      <c r="A8" s="10" t="n">
        <v>45992</v>
      </c>
      <c r="B8" s="7" t="inlineStr">
        <is>
          <t>Segunda</t>
        </is>
      </c>
      <c r="C8" s="7" t="inlineStr">
        <is>
          <t>CT Lageado</t>
        </is>
      </c>
      <c r="D8" s="7" t="n"/>
      <c r="E8" s="7" t="inlineStr">
        <is>
          <t>Higor</t>
        </is>
      </c>
      <c r="F8" s="13" t="inlineStr">
        <is>
          <t>Acabamento PV 3.1</t>
        </is>
      </c>
      <c r="G8" s="7" t="inlineStr">
        <is>
          <t>3.1</t>
        </is>
      </c>
      <c r="H8" s="7" t="n"/>
      <c r="I8" s="7" t="inlineStr">
        <is>
          <t>3.1</t>
        </is>
      </c>
      <c r="J8" s="7" t="inlineStr">
        <is>
          <t>Acabamento</t>
        </is>
      </c>
      <c r="K8" s="7" t="inlineStr">
        <is>
          <t>Planejamento</t>
        </is>
      </c>
      <c r="L8" s="16" t="inlineStr">
        <is>
          <t>PDS-dezembro(1).docx</t>
        </is>
      </c>
      <c r="M8">
        <f>IF($A8="","",TEXT($A8,"mmmm/yyyy"))</f>
        <v/>
      </c>
      <c r="P8">
        <f>IFERROR(_xludf.XLOOKUP($N8,Base_Enderecos!$A:$A,Base_Enderecos!$B:$B,""),"")</f>
        <v/>
      </c>
      <c r="Q8">
        <f>IFERROR(_xludf.XLOOKUP($N8,Base_Enderecos!$A:$A,Base_Enderecos!$C:$C,""),"")</f>
        <v/>
      </c>
      <c r="R8">
        <f>IF(OR(ISNUMBER(SEARCH("HDD",$F8)),ISNUMBER(SEARCH("MND",$F8)),ISNUMBER(SEARCH("PEAD",$F8)),ISNUMBER(SEARCH("Puxe",$J8)),ISNUMBER(SEARCH("Apoio HDD",$F8))),"MND",IF(OR(ISNUMBER(SEARCH("VCA",$F8)),ISNUMBER(SEARCH("PVC",$F8)),ISNUMBER(SEARCH("vca",$J8)),ISNUMBER(SEARCH("Transformação",$J8))),"VCA",IF(OR(ISNUMBER(SEARCH("crava",$F8)),ISNUMBER(SEARCH("tubo cravado",$F8)),ISNUMBER(SEARCH("shaft",$J8)),ISNUMBER(SEARCH("concreto",$F8))),"TUBO CRAVADO","")))</f>
        <v/>
      </c>
      <c r="T8">
        <f>IF($A8="","",TEXT($A8,"yyyymm")&amp;"|"&amp;$C8&amp;"|"&amp;$F8&amp;"|"&amp;$N8&amp;"|"&amp;$R8)</f>
        <v/>
      </c>
    </row>
    <row r="9" ht="11.55" customHeight="1">
      <c r="A9" s="10" t="n">
        <v>45992</v>
      </c>
      <c r="B9" s="7" t="inlineStr">
        <is>
          <t>Segunda</t>
        </is>
      </c>
      <c r="C9" s="7" t="inlineStr">
        <is>
          <t>CT Lageado</t>
        </is>
      </c>
      <c r="D9" s="7" t="n"/>
      <c r="E9" s="7" t="inlineStr">
        <is>
          <t>Natalino</t>
        </is>
      </c>
      <c r="F9" s="13" t="inlineStr">
        <is>
          <t>Apoio HDD entre PVs 03 a 05</t>
        </is>
      </c>
      <c r="G9" s="7" t="inlineStr">
        <is>
          <t>03</t>
        </is>
      </c>
      <c r="H9" s="7" t="n"/>
      <c r="I9" s="7" t="inlineStr">
        <is>
          <t>03</t>
        </is>
      </c>
      <c r="J9" s="7" t="inlineStr">
        <is>
          <t>Apoio HDD</t>
        </is>
      </c>
      <c r="K9" s="7" t="inlineStr">
        <is>
          <t>Planejamento</t>
        </is>
      </c>
      <c r="L9" s="16" t="inlineStr">
        <is>
          <t>PDS-dezembro(1).docx</t>
        </is>
      </c>
      <c r="M9">
        <f>IF($A9="","",TEXT($A9,"mmmm/yyyy"))</f>
        <v/>
      </c>
      <c r="P9">
        <f>IFERROR(_xludf.XLOOKUP($N9,Base_Enderecos!$A:$A,Base_Enderecos!$B:$B,""),"")</f>
        <v/>
      </c>
      <c r="Q9">
        <f>IFERROR(_xludf.XLOOKUP($N9,Base_Enderecos!$A:$A,Base_Enderecos!$C:$C,""),"")</f>
        <v/>
      </c>
      <c r="R9">
        <f>IF(OR(ISNUMBER(SEARCH("HDD",$F9)),ISNUMBER(SEARCH("MND",$F9)),ISNUMBER(SEARCH("PEAD",$F9)),ISNUMBER(SEARCH("Puxe",$J9)),ISNUMBER(SEARCH("Apoio HDD",$F9))),"MND",IF(OR(ISNUMBER(SEARCH("VCA",$F9)),ISNUMBER(SEARCH("PVC",$F9)),ISNUMBER(SEARCH("vca",$J9)),ISNUMBER(SEARCH("Transformação",$J9))),"VCA",IF(OR(ISNUMBER(SEARCH("crava",$F9)),ISNUMBER(SEARCH("tubo cravado",$F9)),ISNUMBER(SEARCH("shaft",$J9)),ISNUMBER(SEARCH("concreto",$F9))),"TUBO CRAVADO","")))</f>
        <v/>
      </c>
      <c r="T9">
        <f>IF($A9="","",TEXT($A9,"yyyymm")&amp;"|"&amp;$C9&amp;"|"&amp;$F9&amp;"|"&amp;$N9&amp;"|"&amp;$R9)</f>
        <v/>
      </c>
    </row>
    <row r="10" ht="11.55" customHeight="1">
      <c r="A10" s="10" t="n">
        <v>45992</v>
      </c>
      <c r="B10" s="7" t="inlineStr">
        <is>
          <t>Segunda</t>
        </is>
      </c>
      <c r="C10" s="7" t="inlineStr">
        <is>
          <t>CT Lageado</t>
        </is>
      </c>
      <c r="D10" s="7" t="n"/>
      <c r="E10" s="7" t="inlineStr">
        <is>
          <t>WJ (Edson)</t>
        </is>
      </c>
      <c r="F10" s="13" t="inlineStr">
        <is>
          <t>Execução do furo piloto entre os PVs 03 ao 05</t>
        </is>
      </c>
      <c r="G10" s="7" t="inlineStr">
        <is>
          <t>03</t>
        </is>
      </c>
      <c r="H10" s="7" t="n"/>
      <c r="I10" s="7" t="inlineStr">
        <is>
          <t>03</t>
        </is>
      </c>
      <c r="J10" s="7" t="inlineStr">
        <is>
          <t>Furo piloto</t>
        </is>
      </c>
      <c r="K10" s="7" t="inlineStr">
        <is>
          <t>Planejamento</t>
        </is>
      </c>
      <c r="L10" s="16" t="inlineStr">
        <is>
          <t>PDS-dezembro(1).docx</t>
        </is>
      </c>
      <c r="M10">
        <f>IF($A10="","",TEXT($A10,"mmmm/yyyy"))</f>
        <v/>
      </c>
      <c r="P10">
        <f>IFERROR(_xludf.XLOOKUP($N10,Base_Enderecos!$A:$A,Base_Enderecos!$B:$B,""),"")</f>
        <v/>
      </c>
      <c r="Q10">
        <f>IFERROR(_xludf.XLOOKUP($N10,Base_Enderecos!$A:$A,Base_Enderecos!$C:$C,""),"")</f>
        <v/>
      </c>
      <c r="R10">
        <f>IF(OR(ISNUMBER(SEARCH("HDD",$F10)),ISNUMBER(SEARCH("MND",$F10)),ISNUMBER(SEARCH("PEAD",$F10)),ISNUMBER(SEARCH("Puxe",$J10)),ISNUMBER(SEARCH("Apoio HDD",$F10))),"MND",IF(OR(ISNUMBER(SEARCH("VCA",$F10)),ISNUMBER(SEARCH("PVC",$F10)),ISNUMBER(SEARCH("vca",$J10)),ISNUMBER(SEARCH("Transformação",$J10))),"VCA",IF(OR(ISNUMBER(SEARCH("crava",$F10)),ISNUMBER(SEARCH("tubo cravado",$F10)),ISNUMBER(SEARCH("shaft",$J10)),ISNUMBER(SEARCH("concreto",$F10))),"TUBO CRAVADO","")))</f>
        <v/>
      </c>
      <c r="T10">
        <f>IF($A10="","",TEXT($A10,"yyyymm")&amp;"|"&amp;$C10&amp;"|"&amp;$F10&amp;"|"&amp;$N10&amp;"|"&amp;$R10)</f>
        <v/>
      </c>
    </row>
    <row r="11" ht="11.55" customHeight="1">
      <c r="A11" s="10" t="n">
        <v>45992</v>
      </c>
      <c r="B11" s="7" t="inlineStr">
        <is>
          <t>Segunda</t>
        </is>
      </c>
      <c r="C11" s="7" t="inlineStr">
        <is>
          <t>CT Lageado</t>
        </is>
      </c>
      <c r="D11" s="7" t="n"/>
      <c r="E11" s="7" t="inlineStr">
        <is>
          <t>Fabrício</t>
        </is>
      </c>
      <c r="F11" s="13" t="inlineStr">
        <is>
          <t>Apoio HDD entre PVs 04 a 4.1</t>
        </is>
      </c>
      <c r="G11" s="7" t="inlineStr">
        <is>
          <t>04</t>
        </is>
      </c>
      <c r="H11" s="7" t="n"/>
      <c r="I11" s="7" t="inlineStr">
        <is>
          <t>04</t>
        </is>
      </c>
      <c r="J11" s="7" t="inlineStr">
        <is>
          <t>Apoio HDD</t>
        </is>
      </c>
      <c r="K11" s="7" t="inlineStr">
        <is>
          <t>Planejamento</t>
        </is>
      </c>
      <c r="L11" s="16" t="inlineStr">
        <is>
          <t>PDS-dezembro(1).docx</t>
        </is>
      </c>
      <c r="M11">
        <f>IF($A11="","",TEXT($A11,"mmmm/yyyy"))</f>
        <v/>
      </c>
      <c r="P11">
        <f>IFERROR(_xludf.XLOOKUP($N11,Base_Enderecos!$A:$A,Base_Enderecos!$B:$B,""),"")</f>
        <v/>
      </c>
      <c r="Q11">
        <f>IFERROR(_xludf.XLOOKUP($N11,Base_Enderecos!$A:$A,Base_Enderecos!$C:$C,""),"")</f>
        <v/>
      </c>
      <c r="R11">
        <f>IF(OR(ISNUMBER(SEARCH("HDD",$F11)),ISNUMBER(SEARCH("MND",$F11)),ISNUMBER(SEARCH("PEAD",$F11)),ISNUMBER(SEARCH("Puxe",$J11)),ISNUMBER(SEARCH("Apoio HDD",$F11))),"MND",IF(OR(ISNUMBER(SEARCH("VCA",$F11)),ISNUMBER(SEARCH("PVC",$F11)),ISNUMBER(SEARCH("vca",$J11)),ISNUMBER(SEARCH("Transformação",$J11))),"VCA",IF(OR(ISNUMBER(SEARCH("crava",$F11)),ISNUMBER(SEARCH("tubo cravado",$F11)),ISNUMBER(SEARCH("shaft",$J11)),ISNUMBER(SEARCH("concreto",$F11))),"TUBO CRAVADO","")))</f>
        <v/>
      </c>
      <c r="T11">
        <f>IF($A11="","",TEXT($A11,"yyyymm")&amp;"|"&amp;$C11&amp;"|"&amp;$F11&amp;"|"&amp;$N11&amp;"|"&amp;$R11)</f>
        <v/>
      </c>
    </row>
    <row r="12" ht="11.55" customHeight="1">
      <c r="A12" s="10" t="n">
        <v>45992</v>
      </c>
      <c r="B12" s="7" t="inlineStr">
        <is>
          <t>Segunda</t>
        </is>
      </c>
      <c r="C12" s="7" t="inlineStr">
        <is>
          <t>CT Lageado</t>
        </is>
      </c>
      <c r="D12" s="7" t="n"/>
      <c r="E12" s="7" t="inlineStr">
        <is>
          <t>Work Drill Bruno</t>
        </is>
      </c>
      <c r="F12" s="13" t="inlineStr">
        <is>
          <t>Execução do furo piloto entre os PVs 04 ao 4.1</t>
        </is>
      </c>
      <c r="G12" s="7" t="inlineStr">
        <is>
          <t>04</t>
        </is>
      </c>
      <c r="H12" s="7" t="n"/>
      <c r="I12" s="7" t="inlineStr">
        <is>
          <t>04</t>
        </is>
      </c>
      <c r="J12" s="7" t="inlineStr">
        <is>
          <t>Furo piloto</t>
        </is>
      </c>
      <c r="K12" s="7" t="inlineStr">
        <is>
          <t>Planejamento</t>
        </is>
      </c>
      <c r="L12" s="16" t="inlineStr">
        <is>
          <t>PDS-dezembro(1).docx</t>
        </is>
      </c>
      <c r="M12">
        <f>IF($A12="","",TEXT($A12,"mmmm/yyyy"))</f>
        <v/>
      </c>
      <c r="P12">
        <f>IFERROR(_xludf.XLOOKUP($N12,Base_Enderecos!$A:$A,Base_Enderecos!$B:$B,""),"")</f>
        <v/>
      </c>
      <c r="Q12">
        <f>IFERROR(_xludf.XLOOKUP($N12,Base_Enderecos!$A:$A,Base_Enderecos!$C:$C,""),"")</f>
        <v/>
      </c>
      <c r="R12">
        <f>IF(OR(ISNUMBER(SEARCH("HDD",$F12)),ISNUMBER(SEARCH("MND",$F12)),ISNUMBER(SEARCH("PEAD",$F12)),ISNUMBER(SEARCH("Puxe",$J12)),ISNUMBER(SEARCH("Apoio HDD",$F12))),"MND",IF(OR(ISNUMBER(SEARCH("VCA",$F12)),ISNUMBER(SEARCH("PVC",$F12)),ISNUMBER(SEARCH("vca",$J12)),ISNUMBER(SEARCH("Transformação",$J12))),"VCA",IF(OR(ISNUMBER(SEARCH("crava",$F12)),ISNUMBER(SEARCH("tubo cravado",$F12)),ISNUMBER(SEARCH("shaft",$J12)),ISNUMBER(SEARCH("concreto",$F12))),"TUBO CRAVADO","")))</f>
        <v/>
      </c>
      <c r="T12">
        <f>IF($A12="","",TEXT($A12,"yyyymm")&amp;"|"&amp;$C12&amp;"|"&amp;$F12&amp;"|"&amp;$N12&amp;"|"&amp;$R12)</f>
        <v/>
      </c>
    </row>
    <row r="13" ht="11.55" customHeight="1">
      <c r="A13" s="10" t="n">
        <v>45992</v>
      </c>
      <c r="B13" s="7" t="inlineStr">
        <is>
          <t>Segunda</t>
        </is>
      </c>
      <c r="C13" s="7" t="inlineStr">
        <is>
          <t>CT Lageado</t>
        </is>
      </c>
      <c r="D13" s="7" t="n"/>
      <c r="E13" s="7" t="inlineStr">
        <is>
          <t>Edvando</t>
        </is>
      </c>
      <c r="F13" s="13" t="inlineStr">
        <is>
          <t>VCA PV 01</t>
        </is>
      </c>
      <c r="G13" s="7" t="inlineStr">
        <is>
          <t>01</t>
        </is>
      </c>
      <c r="H13" s="7" t="n"/>
      <c r="I13" s="7" t="inlineStr">
        <is>
          <t>01</t>
        </is>
      </c>
      <c r="J13" s="7" t="inlineStr">
        <is>
          <t>VCA</t>
        </is>
      </c>
      <c r="K13" s="7" t="inlineStr">
        <is>
          <t>Planejamento</t>
        </is>
      </c>
      <c r="L13" s="16" t="inlineStr">
        <is>
          <t>PDS-dezembro(1).docx</t>
        </is>
      </c>
      <c r="M13">
        <f>IF($A13="","",TEXT($A13,"mmmm/yyyy"))</f>
        <v/>
      </c>
      <c r="P13">
        <f>IFERROR(_xludf.XLOOKUP($N13,Base_Enderecos!$A:$A,Base_Enderecos!$B:$B,""),"")</f>
        <v/>
      </c>
      <c r="Q13">
        <f>IFERROR(_xludf.XLOOKUP($N13,Base_Enderecos!$A:$A,Base_Enderecos!$C:$C,""),"")</f>
        <v/>
      </c>
      <c r="R13">
        <f>IF(OR(ISNUMBER(SEARCH("HDD",$F13)),ISNUMBER(SEARCH("MND",$F13)),ISNUMBER(SEARCH("PEAD",$F13)),ISNUMBER(SEARCH("Puxe",$J13)),ISNUMBER(SEARCH("Apoio HDD",$F13))),"MND",IF(OR(ISNUMBER(SEARCH("VCA",$F13)),ISNUMBER(SEARCH("PVC",$F13)),ISNUMBER(SEARCH("vca",$J13)),ISNUMBER(SEARCH("Transformação",$J13))),"VCA",IF(OR(ISNUMBER(SEARCH("crava",$F13)),ISNUMBER(SEARCH("tubo cravado",$F13)),ISNUMBER(SEARCH("shaft",$J13)),ISNUMBER(SEARCH("concreto",$F13))),"TUBO CRAVADO","")))</f>
        <v/>
      </c>
      <c r="T13">
        <f>IF($A13="","",TEXT($A13,"yyyymm")&amp;"|"&amp;$C13&amp;"|"&amp;$F13&amp;"|"&amp;$N13&amp;"|"&amp;$R13)</f>
        <v/>
      </c>
    </row>
    <row r="14" ht="11.55" customHeight="1">
      <c r="A14" s="10" t="n">
        <v>45992</v>
      </c>
      <c r="B14" s="7" t="inlineStr">
        <is>
          <t>Segunda</t>
        </is>
      </c>
      <c r="C14" s="7" t="inlineStr">
        <is>
          <t>CT Lageado</t>
        </is>
      </c>
      <c r="D14" s="7" t="n"/>
      <c r="E14" s="7" t="inlineStr">
        <is>
          <t>Paulo</t>
        </is>
      </c>
      <c r="F14" s="13" t="inlineStr">
        <is>
          <t>VCA entre os PVs 1.1 ao 1.2</t>
        </is>
      </c>
      <c r="G14" s="7" t="inlineStr">
        <is>
          <t>1.1</t>
        </is>
      </c>
      <c r="H14" s="7" t="n"/>
      <c r="I14" s="7" t="inlineStr">
        <is>
          <t>1.1</t>
        </is>
      </c>
      <c r="J14" s="7" t="inlineStr">
        <is>
          <t>VCA</t>
        </is>
      </c>
      <c r="K14" s="7" t="inlineStr">
        <is>
          <t>Planejamento</t>
        </is>
      </c>
      <c r="L14" s="16" t="inlineStr">
        <is>
          <t>PDS-dezembro(1).docx</t>
        </is>
      </c>
      <c r="M14">
        <f>IF($A14="","",TEXT($A14,"mmmm/yyyy"))</f>
        <v/>
      </c>
      <c r="P14">
        <f>IFERROR(_xludf.XLOOKUP($N14,Base_Enderecos!$A:$A,Base_Enderecos!$B:$B,""),"")</f>
        <v/>
      </c>
      <c r="Q14">
        <f>IFERROR(_xludf.XLOOKUP($N14,Base_Enderecos!$A:$A,Base_Enderecos!$C:$C,""),"")</f>
        <v/>
      </c>
      <c r="R14">
        <f>IF(OR(ISNUMBER(SEARCH("HDD",$F14)),ISNUMBER(SEARCH("MND",$F14)),ISNUMBER(SEARCH("PEAD",$F14)),ISNUMBER(SEARCH("Puxe",$J14)),ISNUMBER(SEARCH("Apoio HDD",$F14))),"MND",IF(OR(ISNUMBER(SEARCH("VCA",$F14)),ISNUMBER(SEARCH("PVC",$F14)),ISNUMBER(SEARCH("vca",$J14)),ISNUMBER(SEARCH("Transformação",$J14))),"VCA",IF(OR(ISNUMBER(SEARCH("crava",$F14)),ISNUMBER(SEARCH("tubo cravado",$F14)),ISNUMBER(SEARCH("shaft",$J14)),ISNUMBER(SEARCH("concreto",$F14))),"TUBO CRAVADO","")))</f>
        <v/>
      </c>
      <c r="T14">
        <f>IF($A14="","",TEXT($A14,"yyyymm")&amp;"|"&amp;$C14&amp;"|"&amp;$F14&amp;"|"&amp;$N14&amp;"|"&amp;$R14)</f>
        <v/>
      </c>
    </row>
    <row r="15" ht="11.55" customHeight="1">
      <c r="A15" s="10" t="n">
        <v>45992</v>
      </c>
      <c r="B15" s="7" t="inlineStr">
        <is>
          <t>Segunda</t>
        </is>
      </c>
      <c r="C15" s="7" t="inlineStr">
        <is>
          <t>CT Lageado</t>
        </is>
      </c>
      <c r="D15" s="7" t="n"/>
      <c r="E15" s="7" t="inlineStr">
        <is>
          <t>Valter</t>
        </is>
      </c>
      <c r="F15" s="13" t="inlineStr">
        <is>
          <t>Transformação PV 1.3</t>
        </is>
      </c>
      <c r="G15" s="7" t="inlineStr">
        <is>
          <t>1.3</t>
        </is>
      </c>
      <c r="H15" s="7" t="n"/>
      <c r="I15" s="7" t="inlineStr">
        <is>
          <t>1.3</t>
        </is>
      </c>
      <c r="J15" s="7" t="inlineStr">
        <is>
          <t>Transformação</t>
        </is>
      </c>
      <c r="K15" s="7" t="inlineStr">
        <is>
          <t>Planejamento</t>
        </is>
      </c>
      <c r="L15" s="16" t="inlineStr">
        <is>
          <t>PDS-dezembro(1).docx</t>
        </is>
      </c>
      <c r="M15">
        <f>IF($A15="","",TEXT($A15,"mmmm/yyyy"))</f>
        <v/>
      </c>
      <c r="P15">
        <f>IFERROR(_xludf.XLOOKUP($N15,Base_Enderecos!$A:$A,Base_Enderecos!$B:$B,""),"")</f>
        <v/>
      </c>
      <c r="Q15">
        <f>IFERROR(_xludf.XLOOKUP($N15,Base_Enderecos!$A:$A,Base_Enderecos!$C:$C,""),"")</f>
        <v/>
      </c>
      <c r="R15">
        <f>IF(OR(ISNUMBER(SEARCH("HDD",$F15)),ISNUMBER(SEARCH("MND",$F15)),ISNUMBER(SEARCH("PEAD",$F15)),ISNUMBER(SEARCH("Puxe",$J15)),ISNUMBER(SEARCH("Apoio HDD",$F15))),"MND",IF(OR(ISNUMBER(SEARCH("VCA",$F15)),ISNUMBER(SEARCH("PVC",$F15)),ISNUMBER(SEARCH("vca",$J15)),ISNUMBER(SEARCH("Transformação",$J15))),"VCA",IF(OR(ISNUMBER(SEARCH("crava",$F15)),ISNUMBER(SEARCH("tubo cravado",$F15)),ISNUMBER(SEARCH("shaft",$J15)),ISNUMBER(SEARCH("concreto",$F15))),"TUBO CRAVADO","")))</f>
        <v/>
      </c>
      <c r="T15">
        <f>IF($A15="","",TEXT($A15,"yyyymm")&amp;"|"&amp;$C15&amp;"|"&amp;$F15&amp;"|"&amp;$N15&amp;"|"&amp;$R15)</f>
        <v/>
      </c>
    </row>
    <row r="16" ht="11.55" customHeight="1">
      <c r="A16" s="10" t="n">
        <v>45992</v>
      </c>
      <c r="B16" s="7" t="inlineStr">
        <is>
          <t>Segunda</t>
        </is>
      </c>
      <c r="C16" s="7" t="inlineStr">
        <is>
          <t>CT Benfica</t>
        </is>
      </c>
      <c r="D16" s="7" t="n"/>
      <c r="E16" s="7" t="inlineStr">
        <is>
          <t>Marcio</t>
        </is>
      </c>
      <c r="F16" s="13" t="inlineStr">
        <is>
          <t>Apoio HDD entre PVs 11 a 12</t>
        </is>
      </c>
      <c r="G16" s="7" t="inlineStr">
        <is>
          <t>11</t>
        </is>
      </c>
      <c r="H16" s="7" t="n"/>
      <c r="I16" s="7" t="inlineStr">
        <is>
          <t>11</t>
        </is>
      </c>
      <c r="J16" s="7" t="inlineStr">
        <is>
          <t>Apoio HDD</t>
        </is>
      </c>
      <c r="K16" s="7" t="inlineStr">
        <is>
          <t>Planejamento</t>
        </is>
      </c>
      <c r="L16" s="16" t="inlineStr">
        <is>
          <t>PDS-dezembro(1).docx</t>
        </is>
      </c>
      <c r="M16">
        <f>IF($A16="","",TEXT($A16,"mmmm/yyyy"))</f>
        <v/>
      </c>
      <c r="P16">
        <f>IFERROR(_xludf.XLOOKUP($N16,Base_Enderecos!$A:$A,Base_Enderecos!$B:$B,""),"")</f>
        <v/>
      </c>
      <c r="Q16">
        <f>IFERROR(_xludf.XLOOKUP($N16,Base_Enderecos!$A:$A,Base_Enderecos!$C:$C,""),"")</f>
        <v/>
      </c>
      <c r="R16">
        <f>IF(OR(ISNUMBER(SEARCH("HDD",$F16)),ISNUMBER(SEARCH("MND",$F16)),ISNUMBER(SEARCH("PEAD",$F16)),ISNUMBER(SEARCH("Puxe",$J16)),ISNUMBER(SEARCH("Apoio HDD",$F16))),"MND",IF(OR(ISNUMBER(SEARCH("VCA",$F16)),ISNUMBER(SEARCH("PVC",$F16)),ISNUMBER(SEARCH("vca",$J16)),ISNUMBER(SEARCH("Transformação",$J16))),"VCA",IF(OR(ISNUMBER(SEARCH("crava",$F16)),ISNUMBER(SEARCH("tubo cravado",$F16)),ISNUMBER(SEARCH("shaft",$J16)),ISNUMBER(SEARCH("concreto",$F16))),"TUBO CRAVADO","")))</f>
        <v/>
      </c>
      <c r="T16">
        <f>IF($A16="","",TEXT($A16,"yyyymm")&amp;"|"&amp;$C16&amp;"|"&amp;$F16&amp;"|"&amp;$N16&amp;"|"&amp;$R16)</f>
        <v/>
      </c>
    </row>
    <row r="17" ht="11.55" customHeight="1">
      <c r="A17" s="10" t="n">
        <v>45992</v>
      </c>
      <c r="B17" s="7" t="inlineStr">
        <is>
          <t>Segunda</t>
        </is>
      </c>
      <c r="C17" s="7" t="inlineStr">
        <is>
          <t>CT Benfica</t>
        </is>
      </c>
      <c r="D17" s="7" t="n"/>
      <c r="E17" s="7" t="inlineStr">
        <is>
          <t>WJ (Alex)</t>
        </is>
      </c>
      <c r="F17" s="13" t="inlineStr">
        <is>
          <t>Pré Alargamento entre os PVs 11 ao 12</t>
        </is>
      </c>
      <c r="G17" s="7" t="inlineStr">
        <is>
          <t>11</t>
        </is>
      </c>
      <c r="H17" s="7" t="n"/>
      <c r="I17" s="7" t="inlineStr">
        <is>
          <t>11</t>
        </is>
      </c>
      <c r="J17" s="7" t="inlineStr">
        <is>
          <t>Pré-alargamento</t>
        </is>
      </c>
      <c r="K17" s="7" t="inlineStr">
        <is>
          <t>Planejamento</t>
        </is>
      </c>
      <c r="L17" s="16" t="inlineStr">
        <is>
          <t>PDS-dezembro(1).docx</t>
        </is>
      </c>
      <c r="M17">
        <f>IF($A17="","",TEXT($A17,"mmmm/yyyy"))</f>
        <v/>
      </c>
      <c r="P17">
        <f>IFERROR(_xludf.XLOOKUP($N17,Base_Enderecos!$A:$A,Base_Enderecos!$B:$B,""),"")</f>
        <v/>
      </c>
      <c r="Q17">
        <f>IFERROR(_xludf.XLOOKUP($N17,Base_Enderecos!$A:$A,Base_Enderecos!$C:$C,""),"")</f>
        <v/>
      </c>
      <c r="R17">
        <f>IF(OR(ISNUMBER(SEARCH("HDD",$F17)),ISNUMBER(SEARCH("MND",$F17)),ISNUMBER(SEARCH("PEAD",$F17)),ISNUMBER(SEARCH("Puxe",$J17)),ISNUMBER(SEARCH("Apoio HDD",$F17))),"MND",IF(OR(ISNUMBER(SEARCH("VCA",$F17)),ISNUMBER(SEARCH("PVC",$F17)),ISNUMBER(SEARCH("vca",$J17)),ISNUMBER(SEARCH("Transformação",$J17))),"VCA",IF(OR(ISNUMBER(SEARCH("crava",$F17)),ISNUMBER(SEARCH("tubo cravado",$F17)),ISNUMBER(SEARCH("shaft",$J17)),ISNUMBER(SEARCH("concreto",$F17))),"TUBO CRAVADO","")))</f>
        <v/>
      </c>
      <c r="T17">
        <f>IF($A17="","",TEXT($A17,"yyyymm")&amp;"|"&amp;$C17&amp;"|"&amp;$F17&amp;"|"&amp;$N17&amp;"|"&amp;$R17)</f>
        <v/>
      </c>
    </row>
    <row r="18" ht="11.55" customHeight="1">
      <c r="A18" s="10" t="n">
        <v>45992</v>
      </c>
      <c r="B18" s="7" t="inlineStr">
        <is>
          <t>Segunda</t>
        </is>
      </c>
      <c r="C18" s="7" t="inlineStr">
        <is>
          <t>CT Souto Maior</t>
        </is>
      </c>
      <c r="D18" s="7" t="n"/>
      <c r="E18" s="7" t="inlineStr">
        <is>
          <t>César</t>
        </is>
      </c>
      <c r="F18" s="13" t="inlineStr">
        <is>
          <t>realizando ligações entre os PV 05 ao 7.2</t>
        </is>
      </c>
      <c r="G18" s="7" t="inlineStr">
        <is>
          <t>05</t>
        </is>
      </c>
      <c r="H18" s="7" t="n"/>
      <c r="I18" s="7" t="inlineStr">
        <is>
          <t>05</t>
        </is>
      </c>
      <c r="J18" s="7" t="inlineStr">
        <is>
          <t>Ligações</t>
        </is>
      </c>
      <c r="K18" s="7" t="inlineStr">
        <is>
          <t>Planejamento</t>
        </is>
      </c>
      <c r="L18" s="16" t="inlineStr">
        <is>
          <t>PDS-dezembro(1).docx</t>
        </is>
      </c>
      <c r="M18">
        <f>IF($A18="","",TEXT($A18,"mmmm/yyyy"))</f>
        <v/>
      </c>
      <c r="P18">
        <f>IFERROR(_xludf.XLOOKUP($N18,Base_Enderecos!$A:$A,Base_Enderecos!$B:$B,""),"")</f>
        <v/>
      </c>
      <c r="Q18">
        <f>IFERROR(_xludf.XLOOKUP($N18,Base_Enderecos!$A:$A,Base_Enderecos!$C:$C,""),"")</f>
        <v/>
      </c>
      <c r="R18">
        <f>IF(OR(ISNUMBER(SEARCH("HDD",$F18)),ISNUMBER(SEARCH("MND",$F18)),ISNUMBER(SEARCH("PEAD",$F18)),ISNUMBER(SEARCH("Puxe",$J18)),ISNUMBER(SEARCH("Apoio HDD",$F18))),"MND",IF(OR(ISNUMBER(SEARCH("VCA",$F18)),ISNUMBER(SEARCH("PVC",$F18)),ISNUMBER(SEARCH("vca",$J18)),ISNUMBER(SEARCH("Transformação",$J18))),"VCA",IF(OR(ISNUMBER(SEARCH("crava",$F18)),ISNUMBER(SEARCH("tubo cravado",$F18)),ISNUMBER(SEARCH("shaft",$J18)),ISNUMBER(SEARCH("concreto",$F18))),"TUBO CRAVADO","")))</f>
        <v/>
      </c>
      <c r="T18">
        <f>IF($A18="","",TEXT($A18,"yyyymm")&amp;"|"&amp;$C18&amp;"|"&amp;$F18&amp;"|"&amp;$N18&amp;"|"&amp;$R18)</f>
        <v/>
      </c>
    </row>
    <row r="19" ht="11.55" customHeight="1">
      <c r="A19" s="10" t="n">
        <v>45992</v>
      </c>
      <c r="B19" s="7" t="inlineStr">
        <is>
          <t>Segunda</t>
        </is>
      </c>
      <c r="C19" s="7" t="inlineStr">
        <is>
          <t>Demais trabalhos</t>
        </is>
      </c>
      <c r="D19" s="7" t="n"/>
      <c r="E19" s="7" t="inlineStr">
        <is>
          <t>Guindauto (Rodrigo)</t>
        </is>
      </c>
      <c r="F19" s="13" t="inlineStr">
        <is>
          <t>Apoio as equipes</t>
        </is>
      </c>
      <c r="G19" s="7" t="n"/>
      <c r="H19" s="7" t="n"/>
      <c r="I19" s="7" t="n"/>
      <c r="J19" s="7" t="n"/>
      <c r="K19" s="7" t="inlineStr">
        <is>
          <t>Planejamento</t>
        </is>
      </c>
      <c r="L19" s="16" t="inlineStr">
        <is>
          <t>PDS-dezembro(1).docx</t>
        </is>
      </c>
      <c r="M19">
        <f>IF($A19="","",TEXT($A19,"mmmm/yyyy"))</f>
        <v/>
      </c>
      <c r="P19">
        <f>IFERROR(_xludf.XLOOKUP($N19,Base_Enderecos!$A:$A,Base_Enderecos!$B:$B,""),"")</f>
        <v/>
      </c>
      <c r="Q19">
        <f>IFERROR(_xludf.XLOOKUP($N19,Base_Enderecos!$A:$A,Base_Enderecos!$C:$C,""),"")</f>
        <v/>
      </c>
      <c r="R19">
        <f>IF(OR(ISNUMBER(SEARCH("HDD",$F19)),ISNUMBER(SEARCH("MND",$F19)),ISNUMBER(SEARCH("PEAD",$F19)),ISNUMBER(SEARCH("Puxe",$J19)),ISNUMBER(SEARCH("Apoio HDD",$F19))),"MND",IF(OR(ISNUMBER(SEARCH("VCA",$F19)),ISNUMBER(SEARCH("PVC",$F19)),ISNUMBER(SEARCH("vca",$J19)),ISNUMBER(SEARCH("Transformação",$J19))),"VCA",IF(OR(ISNUMBER(SEARCH("crava",$F19)),ISNUMBER(SEARCH("tubo cravado",$F19)),ISNUMBER(SEARCH("shaft",$J19)),ISNUMBER(SEARCH("concreto",$F19))),"TUBO CRAVADO","")))</f>
        <v/>
      </c>
      <c r="T19">
        <f>IF($A19="","",TEXT($A19,"yyyymm")&amp;"|"&amp;$C19&amp;"|"&amp;$F19&amp;"|"&amp;$N19&amp;"|"&amp;$R19)</f>
        <v/>
      </c>
    </row>
    <row r="20" ht="11.55" customHeight="1">
      <c r="A20" s="10" t="n">
        <v>45992</v>
      </c>
      <c r="B20" s="7" t="inlineStr">
        <is>
          <t>Segunda</t>
        </is>
      </c>
      <c r="C20" s="7" t="inlineStr">
        <is>
          <t>Demais trabalhos</t>
        </is>
      </c>
      <c r="D20" s="7" t="n"/>
      <c r="E20" s="7" t="inlineStr">
        <is>
          <t>Guindauto (Márcio)</t>
        </is>
      </c>
      <c r="F20" s="13" t="inlineStr">
        <is>
          <t>Apoio as Equipe</t>
        </is>
      </c>
      <c r="G20" s="7" t="n"/>
      <c r="H20" s="7" t="n"/>
      <c r="I20" s="7" t="n"/>
      <c r="J20" s="7" t="n"/>
      <c r="K20" s="7" t="inlineStr">
        <is>
          <t>Planejamento</t>
        </is>
      </c>
      <c r="L20" s="16" t="inlineStr">
        <is>
          <t>PDS-dezembro(1).docx</t>
        </is>
      </c>
      <c r="M20">
        <f>IF($A20="","",TEXT($A20,"mmmm/yyyy"))</f>
        <v/>
      </c>
      <c r="P20">
        <f>IFERROR(_xludf.XLOOKUP($N20,Base_Enderecos!$A:$A,Base_Enderecos!$B:$B,""),"")</f>
        <v/>
      </c>
      <c r="Q20">
        <f>IFERROR(_xludf.XLOOKUP($N20,Base_Enderecos!$A:$A,Base_Enderecos!$C:$C,""),"")</f>
        <v/>
      </c>
      <c r="R20">
        <f>IF(OR(ISNUMBER(SEARCH("HDD",$F20)),ISNUMBER(SEARCH("MND",$F20)),ISNUMBER(SEARCH("PEAD",$F20)),ISNUMBER(SEARCH("Puxe",$J20)),ISNUMBER(SEARCH("Apoio HDD",$F20))),"MND",IF(OR(ISNUMBER(SEARCH("VCA",$F20)),ISNUMBER(SEARCH("PVC",$F20)),ISNUMBER(SEARCH("vca",$J20)),ISNUMBER(SEARCH("Transformação",$J20))),"VCA",IF(OR(ISNUMBER(SEARCH("crava",$F20)),ISNUMBER(SEARCH("tubo cravado",$F20)),ISNUMBER(SEARCH("shaft",$J20)),ISNUMBER(SEARCH("concreto",$F20))),"TUBO CRAVADO","")))</f>
        <v/>
      </c>
      <c r="T20">
        <f>IF($A20="","",TEXT($A20,"yyyymm")&amp;"|"&amp;$C20&amp;"|"&amp;$F20&amp;"|"&amp;$N20&amp;"|"&amp;$R20)</f>
        <v/>
      </c>
    </row>
    <row r="21" ht="11.55" customHeight="1">
      <c r="A21" s="10" t="n">
        <v>45992</v>
      </c>
      <c r="B21" s="7" t="inlineStr">
        <is>
          <t>Segunda</t>
        </is>
      </c>
      <c r="C21" s="7" t="inlineStr">
        <is>
          <t>Vacal</t>
        </is>
      </c>
      <c r="D21" s="7" t="n"/>
      <c r="E21" s="7" t="inlineStr">
        <is>
          <t>Apoio Marcio PV 12 Benfica</t>
        </is>
      </c>
      <c r="F21" s="13" t="inlineStr">
        <is>
          <t>Apoio Vacal</t>
        </is>
      </c>
      <c r="G21" s="7" t="n"/>
      <c r="H21" s="7" t="n"/>
      <c r="I21" s="7" t="n"/>
      <c r="J21" s="7" t="inlineStr">
        <is>
          <t>Vacal</t>
        </is>
      </c>
      <c r="K21" s="7" t="inlineStr">
        <is>
          <t>Apoio</t>
        </is>
      </c>
      <c r="L21" s="16" t="inlineStr">
        <is>
          <t>PDS-dezembro(1).docx</t>
        </is>
      </c>
      <c r="M21">
        <f>IF($A21="","",TEXT($A21,"mmmm/yyyy"))</f>
        <v/>
      </c>
      <c r="P21">
        <f>IFERROR(_xludf.XLOOKUP($N21,Base_Enderecos!$A:$A,Base_Enderecos!$B:$B,""),"")</f>
        <v/>
      </c>
      <c r="Q21">
        <f>IFERROR(_xludf.XLOOKUP($N21,Base_Enderecos!$A:$A,Base_Enderecos!$C:$C,""),"")</f>
        <v/>
      </c>
      <c r="R21">
        <f>IF(OR(ISNUMBER(SEARCH("HDD",$F21)),ISNUMBER(SEARCH("MND",$F21)),ISNUMBER(SEARCH("PEAD",$F21)),ISNUMBER(SEARCH("Puxe",$J21)),ISNUMBER(SEARCH("Apoio HDD",$F21))),"MND",IF(OR(ISNUMBER(SEARCH("VCA",$F21)),ISNUMBER(SEARCH("PVC",$F21)),ISNUMBER(SEARCH("vca",$J21)),ISNUMBER(SEARCH("Transformação",$J21))),"VCA",IF(OR(ISNUMBER(SEARCH("crava",$F21)),ISNUMBER(SEARCH("tubo cravado",$F21)),ISNUMBER(SEARCH("shaft",$J21)),ISNUMBER(SEARCH("concreto",$F21))),"TUBO CRAVADO","")))</f>
        <v/>
      </c>
      <c r="T21">
        <f>IF($A21="","",TEXT($A21,"yyyymm")&amp;"|"&amp;$C21&amp;"|"&amp;$F21&amp;"|"&amp;$N21&amp;"|"&amp;$R21)</f>
        <v/>
      </c>
    </row>
    <row r="22" ht="11.55" customHeight="1">
      <c r="A22" s="10" t="n">
        <v>45992</v>
      </c>
      <c r="B22" s="7" t="inlineStr">
        <is>
          <t>Segunda</t>
        </is>
      </c>
      <c r="C22" s="7" t="inlineStr">
        <is>
          <t>Vacal</t>
        </is>
      </c>
      <c r="D22" s="7" t="n"/>
      <c r="E22" s="7" t="inlineStr">
        <is>
          <t>Apoio Marcio PV 12 Benfica</t>
        </is>
      </c>
      <c r="F22" s="13" t="inlineStr">
        <is>
          <t>Apoio Vacal</t>
        </is>
      </c>
      <c r="G22" s="7" t="n"/>
      <c r="H22" s="7" t="n"/>
      <c r="I22" s="7" t="n"/>
      <c r="J22" s="7" t="inlineStr">
        <is>
          <t>Vacal</t>
        </is>
      </c>
      <c r="K22" s="7" t="inlineStr">
        <is>
          <t>Apoio</t>
        </is>
      </c>
      <c r="L22" s="16" t="inlineStr">
        <is>
          <t>PDS-dezembro(1).docx</t>
        </is>
      </c>
      <c r="M22">
        <f>IF($A22="","",TEXT($A22,"mmmm/yyyy"))</f>
        <v/>
      </c>
      <c r="P22">
        <f>IFERROR(_xludf.XLOOKUP($N22,Base_Enderecos!$A:$A,Base_Enderecos!$B:$B,""),"")</f>
        <v/>
      </c>
      <c r="Q22">
        <f>IFERROR(_xludf.XLOOKUP($N22,Base_Enderecos!$A:$A,Base_Enderecos!$C:$C,""),"")</f>
        <v/>
      </c>
      <c r="R22">
        <f>IF(OR(ISNUMBER(SEARCH("HDD",$F22)),ISNUMBER(SEARCH("MND",$F22)),ISNUMBER(SEARCH("PEAD",$F22)),ISNUMBER(SEARCH("Puxe",$J22)),ISNUMBER(SEARCH("Apoio HDD",$F22))),"MND",IF(OR(ISNUMBER(SEARCH("VCA",$F22)),ISNUMBER(SEARCH("PVC",$F22)),ISNUMBER(SEARCH("vca",$J22)),ISNUMBER(SEARCH("Transformação",$J22))),"VCA",IF(OR(ISNUMBER(SEARCH("crava",$F22)),ISNUMBER(SEARCH("tubo cravado",$F22)),ISNUMBER(SEARCH("shaft",$J22)),ISNUMBER(SEARCH("concreto",$F22))),"TUBO CRAVADO","")))</f>
        <v/>
      </c>
      <c r="T22">
        <f>IF($A22="","",TEXT($A22,"yyyymm")&amp;"|"&amp;$C22&amp;"|"&amp;$F22&amp;"|"&amp;$N22&amp;"|"&amp;$R22)</f>
        <v/>
      </c>
    </row>
    <row r="23" ht="11.55" customHeight="1">
      <c r="A23" s="10" t="n">
        <v>45994</v>
      </c>
      <c r="B23" s="7" t="inlineStr">
        <is>
          <t>Quarta</t>
        </is>
      </c>
      <c r="C23" s="7" t="inlineStr">
        <is>
          <t>Mar de Coral</t>
        </is>
      </c>
      <c r="D23" s="7" t="n"/>
      <c r="E23" s="7" t="inlineStr">
        <is>
          <t>LS</t>
        </is>
      </c>
      <c r="F23" s="13" t="inlineStr">
        <is>
          <t>Escavação mecânica e montagem de armco PV 01</t>
        </is>
      </c>
      <c r="G23" s="7" t="inlineStr">
        <is>
          <t>01</t>
        </is>
      </c>
      <c r="H23" s="7" t="n"/>
      <c r="I23" s="7" t="inlineStr">
        <is>
          <t>01</t>
        </is>
      </c>
      <c r="J23" s="7" t="inlineStr">
        <is>
          <t>Escavação</t>
        </is>
      </c>
      <c r="K23" s="7" t="inlineStr">
        <is>
          <t>Planejamento</t>
        </is>
      </c>
      <c r="L23" s="16" t="inlineStr">
        <is>
          <t>PDS-dezembro(1).docx</t>
        </is>
      </c>
      <c r="M23">
        <f>IF($A23="","",TEXT($A23,"mmmm/yyyy"))</f>
        <v/>
      </c>
      <c r="P23">
        <f>IFERROR(_xludf.XLOOKUP($N23,Base_Enderecos!$A:$A,Base_Enderecos!$B:$B,""),"")</f>
        <v/>
      </c>
      <c r="Q23">
        <f>IFERROR(_xludf.XLOOKUP($N23,Base_Enderecos!$A:$A,Base_Enderecos!$C:$C,""),"")</f>
        <v/>
      </c>
      <c r="R23">
        <f>IF(OR(ISNUMBER(SEARCH("HDD",$F23)),ISNUMBER(SEARCH("MND",$F23)),ISNUMBER(SEARCH("PEAD",$F23)),ISNUMBER(SEARCH("Puxe",$J23)),ISNUMBER(SEARCH("Apoio HDD",$F23))),"MND",IF(OR(ISNUMBER(SEARCH("VCA",$F23)),ISNUMBER(SEARCH("PVC",$F23)),ISNUMBER(SEARCH("vca",$J23)),ISNUMBER(SEARCH("Transformação",$J23))),"VCA",IF(OR(ISNUMBER(SEARCH("crava",$F23)),ISNUMBER(SEARCH("tubo cravado",$F23)),ISNUMBER(SEARCH("shaft",$J23)),ISNUMBER(SEARCH("concreto",$F23))),"TUBO CRAVADO","")))</f>
        <v/>
      </c>
      <c r="T23">
        <f>IF($A23="","",TEXT($A23,"yyyymm")&amp;"|"&amp;$C23&amp;"|"&amp;$F23&amp;"|"&amp;$N23&amp;"|"&amp;$R23)</f>
        <v/>
      </c>
    </row>
    <row r="24" ht="11.55" customHeight="1">
      <c r="A24" s="10" t="n">
        <v>45994</v>
      </c>
      <c r="B24" s="7" t="inlineStr">
        <is>
          <t>Quarta</t>
        </is>
      </c>
      <c r="C24" s="7" t="inlineStr">
        <is>
          <t>CT Lageado</t>
        </is>
      </c>
      <c r="D24" s="7" t="n"/>
      <c r="E24" s="7" t="inlineStr">
        <is>
          <t>Higor</t>
        </is>
      </c>
      <c r="F24" s="13" t="inlineStr">
        <is>
          <t>transformar PV 1.3</t>
        </is>
      </c>
      <c r="G24" s="7" t="inlineStr">
        <is>
          <t>1.3</t>
        </is>
      </c>
      <c r="H24" s="7" t="n"/>
      <c r="I24" s="7" t="inlineStr">
        <is>
          <t>1.3</t>
        </is>
      </c>
      <c r="J24" s="7" t="n"/>
      <c r="K24" s="7" t="inlineStr">
        <is>
          <t>Planejamento</t>
        </is>
      </c>
      <c r="L24" s="16" t="inlineStr">
        <is>
          <t>PDS-dezembro(1).docx</t>
        </is>
      </c>
      <c r="M24">
        <f>IF($A24="","",TEXT($A24,"mmmm/yyyy"))</f>
        <v/>
      </c>
      <c r="P24">
        <f>IFERROR(_xludf.XLOOKUP($N24,Base_Enderecos!$A:$A,Base_Enderecos!$B:$B,""),"")</f>
        <v/>
      </c>
      <c r="Q24">
        <f>IFERROR(_xludf.XLOOKUP($N24,Base_Enderecos!$A:$A,Base_Enderecos!$C:$C,""),"")</f>
        <v/>
      </c>
      <c r="R24">
        <f>IF(OR(ISNUMBER(SEARCH("HDD",$F24)),ISNUMBER(SEARCH("MND",$F24)),ISNUMBER(SEARCH("PEAD",$F24)),ISNUMBER(SEARCH("Puxe",$J24)),ISNUMBER(SEARCH("Apoio HDD",$F24))),"MND",IF(OR(ISNUMBER(SEARCH("VCA",$F24)),ISNUMBER(SEARCH("PVC",$F24)),ISNUMBER(SEARCH("vca",$J24)),ISNUMBER(SEARCH("Transformação",$J24))),"VCA",IF(OR(ISNUMBER(SEARCH("crava",$F24)),ISNUMBER(SEARCH("tubo cravado",$F24)),ISNUMBER(SEARCH("shaft",$J24)),ISNUMBER(SEARCH("concreto",$F24))),"TUBO CRAVADO","")))</f>
        <v/>
      </c>
      <c r="T24">
        <f>IF($A24="","",TEXT($A24,"yyyymm")&amp;"|"&amp;$C24&amp;"|"&amp;$F24&amp;"|"&amp;$N24&amp;"|"&amp;$R24)</f>
        <v/>
      </c>
    </row>
    <row r="25" ht="11.55" customHeight="1">
      <c r="A25" s="10" t="n">
        <v>45994</v>
      </c>
      <c r="B25" s="7" t="inlineStr">
        <is>
          <t>Quarta</t>
        </is>
      </c>
      <c r="C25" s="7" t="inlineStr">
        <is>
          <t>CT Lageado</t>
        </is>
      </c>
      <c r="D25" s="7" t="n"/>
      <c r="E25" s="7" t="inlineStr">
        <is>
          <t>Natalino</t>
        </is>
      </c>
      <c r="F25" s="13" t="inlineStr">
        <is>
          <t>Apoio HDD entre PVs 03 a 05</t>
        </is>
      </c>
      <c r="G25" s="7" t="inlineStr">
        <is>
          <t>03</t>
        </is>
      </c>
      <c r="H25" s="7" t="n"/>
      <c r="I25" s="7" t="inlineStr">
        <is>
          <t>03</t>
        </is>
      </c>
      <c r="J25" s="7" t="inlineStr">
        <is>
          <t>Apoio HDD</t>
        </is>
      </c>
      <c r="K25" s="7" t="inlineStr">
        <is>
          <t>Planejamento</t>
        </is>
      </c>
      <c r="L25" s="16" t="inlineStr">
        <is>
          <t>PDS-dezembro(1).docx</t>
        </is>
      </c>
      <c r="M25">
        <f>IF($A25="","",TEXT($A25,"mmmm/yyyy"))</f>
        <v/>
      </c>
      <c r="P25">
        <f>IFERROR(_xludf.XLOOKUP($N25,Base_Enderecos!$A:$A,Base_Enderecos!$B:$B,""),"")</f>
        <v/>
      </c>
      <c r="Q25">
        <f>IFERROR(_xludf.XLOOKUP($N25,Base_Enderecos!$A:$A,Base_Enderecos!$C:$C,""),"")</f>
        <v/>
      </c>
      <c r="R25">
        <f>IF(OR(ISNUMBER(SEARCH("HDD",$F25)),ISNUMBER(SEARCH("MND",$F25)),ISNUMBER(SEARCH("PEAD",$F25)),ISNUMBER(SEARCH("Puxe",$J25)),ISNUMBER(SEARCH("Apoio HDD",$F25))),"MND",IF(OR(ISNUMBER(SEARCH("VCA",$F25)),ISNUMBER(SEARCH("PVC",$F25)),ISNUMBER(SEARCH("vca",$J25)),ISNUMBER(SEARCH("Transformação",$J25))),"VCA",IF(OR(ISNUMBER(SEARCH("crava",$F25)),ISNUMBER(SEARCH("tubo cravado",$F25)),ISNUMBER(SEARCH("shaft",$J25)),ISNUMBER(SEARCH("concreto",$F25))),"TUBO CRAVADO","")))</f>
        <v/>
      </c>
      <c r="T25">
        <f>IF($A25="","",TEXT($A25,"yyyymm")&amp;"|"&amp;$C25&amp;"|"&amp;$F25&amp;"|"&amp;$N25&amp;"|"&amp;$R25)</f>
        <v/>
      </c>
    </row>
    <row r="26" ht="11.55" customHeight="1">
      <c r="A26" s="10" t="n">
        <v>45994</v>
      </c>
      <c r="B26" s="7" t="inlineStr">
        <is>
          <t>Quarta</t>
        </is>
      </c>
      <c r="C26" s="7" t="inlineStr">
        <is>
          <t>CT Lageado</t>
        </is>
      </c>
      <c r="D26" s="7" t="n"/>
      <c r="E26" s="7" t="inlineStr">
        <is>
          <t>WJ (Edson)</t>
        </is>
      </c>
      <c r="F26" s="13" t="inlineStr">
        <is>
          <t>Execução do furo piloto entre os PVs 03 ao 05</t>
        </is>
      </c>
      <c r="G26" s="7" t="inlineStr">
        <is>
          <t>03</t>
        </is>
      </c>
      <c r="H26" s="7" t="n"/>
      <c r="I26" s="7" t="inlineStr">
        <is>
          <t>03</t>
        </is>
      </c>
      <c r="J26" s="7" t="inlineStr">
        <is>
          <t>Furo piloto</t>
        </is>
      </c>
      <c r="K26" s="7" t="inlineStr">
        <is>
          <t>Planejamento</t>
        </is>
      </c>
      <c r="L26" s="16" t="inlineStr">
        <is>
          <t>PDS-dezembro(1).docx</t>
        </is>
      </c>
      <c r="M26">
        <f>IF($A26="","",TEXT($A26,"mmmm/yyyy"))</f>
        <v/>
      </c>
      <c r="P26">
        <f>IFERROR(_xludf.XLOOKUP($N26,Base_Enderecos!$A:$A,Base_Enderecos!$B:$B,""),"")</f>
        <v/>
      </c>
      <c r="Q26">
        <f>IFERROR(_xludf.XLOOKUP($N26,Base_Enderecos!$A:$A,Base_Enderecos!$C:$C,""),"")</f>
        <v/>
      </c>
      <c r="R26">
        <f>IF(OR(ISNUMBER(SEARCH("HDD",$F26)),ISNUMBER(SEARCH("MND",$F26)),ISNUMBER(SEARCH("PEAD",$F26)),ISNUMBER(SEARCH("Puxe",$J26)),ISNUMBER(SEARCH("Apoio HDD",$F26))),"MND",IF(OR(ISNUMBER(SEARCH("VCA",$F26)),ISNUMBER(SEARCH("PVC",$F26)),ISNUMBER(SEARCH("vca",$J26)),ISNUMBER(SEARCH("Transformação",$J26))),"VCA",IF(OR(ISNUMBER(SEARCH("crava",$F26)),ISNUMBER(SEARCH("tubo cravado",$F26)),ISNUMBER(SEARCH("shaft",$J26)),ISNUMBER(SEARCH("concreto",$F26))),"TUBO CRAVADO","")))</f>
        <v/>
      </c>
      <c r="T26">
        <f>IF($A26="","",TEXT($A26,"yyyymm")&amp;"|"&amp;$C26&amp;"|"&amp;$F26&amp;"|"&amp;$N26&amp;"|"&amp;$R26)</f>
        <v/>
      </c>
    </row>
    <row r="27" ht="11.55" customHeight="1">
      <c r="A27" s="10" t="n">
        <v>45994</v>
      </c>
      <c r="B27" s="7" t="inlineStr">
        <is>
          <t>Quarta</t>
        </is>
      </c>
      <c r="C27" s="7" t="inlineStr">
        <is>
          <t>CT Lageado</t>
        </is>
      </c>
      <c r="D27" s="7" t="n"/>
      <c r="E27" s="7" t="inlineStr">
        <is>
          <t>Fabrício</t>
        </is>
      </c>
      <c r="F27" s="13" t="inlineStr">
        <is>
          <t>Apoio HDD entre PVs 5.1 a 05</t>
        </is>
      </c>
      <c r="G27" s="7" t="inlineStr">
        <is>
          <t>5.1</t>
        </is>
      </c>
      <c r="H27" s="7" t="n"/>
      <c r="I27" s="7" t="inlineStr">
        <is>
          <t>5.1</t>
        </is>
      </c>
      <c r="J27" s="7" t="inlineStr">
        <is>
          <t>Apoio HDD</t>
        </is>
      </c>
      <c r="K27" s="7" t="inlineStr">
        <is>
          <t>Planejamento</t>
        </is>
      </c>
      <c r="L27" s="16" t="inlineStr">
        <is>
          <t>PDS-dezembro(1).docx</t>
        </is>
      </c>
      <c r="M27">
        <f>IF($A27="","",TEXT($A27,"mmmm/yyyy"))</f>
        <v/>
      </c>
      <c r="P27">
        <f>IFERROR(_xludf.XLOOKUP($N27,Base_Enderecos!$A:$A,Base_Enderecos!$B:$B,""),"")</f>
        <v/>
      </c>
      <c r="Q27">
        <f>IFERROR(_xludf.XLOOKUP($N27,Base_Enderecos!$A:$A,Base_Enderecos!$C:$C,""),"")</f>
        <v/>
      </c>
      <c r="R27">
        <f>IF(OR(ISNUMBER(SEARCH("HDD",$F27)),ISNUMBER(SEARCH("MND",$F27)),ISNUMBER(SEARCH("PEAD",$F27)),ISNUMBER(SEARCH("Puxe",$J27)),ISNUMBER(SEARCH("Apoio HDD",$F27))),"MND",IF(OR(ISNUMBER(SEARCH("VCA",$F27)),ISNUMBER(SEARCH("PVC",$F27)),ISNUMBER(SEARCH("vca",$J27)),ISNUMBER(SEARCH("Transformação",$J27))),"VCA",IF(OR(ISNUMBER(SEARCH("crava",$F27)),ISNUMBER(SEARCH("tubo cravado",$F27)),ISNUMBER(SEARCH("shaft",$J27)),ISNUMBER(SEARCH("concreto",$F27))),"TUBO CRAVADO","")))</f>
        <v/>
      </c>
      <c r="T27">
        <f>IF($A27="","",TEXT($A27,"yyyymm")&amp;"|"&amp;$C27&amp;"|"&amp;$F27&amp;"|"&amp;$N27&amp;"|"&amp;$R27)</f>
        <v/>
      </c>
    </row>
    <row r="28" ht="11.55" customHeight="1">
      <c r="A28" s="10" t="n">
        <v>45994</v>
      </c>
      <c r="B28" s="7" t="inlineStr">
        <is>
          <t>Quarta</t>
        </is>
      </c>
      <c r="C28" s="7" t="inlineStr">
        <is>
          <t>CT Lageado</t>
        </is>
      </c>
      <c r="D28" s="7" t="n"/>
      <c r="E28" s="7" t="inlineStr">
        <is>
          <t>Work Drill Bruno</t>
        </is>
      </c>
      <c r="F28" s="13" t="inlineStr">
        <is>
          <t>Execução do furo piloto entre os PVs 5.1 ao 05</t>
        </is>
      </c>
      <c r="G28" s="7" t="inlineStr">
        <is>
          <t>5.1</t>
        </is>
      </c>
      <c r="H28" s="7" t="n"/>
      <c r="I28" s="7" t="inlineStr">
        <is>
          <t>5.1</t>
        </is>
      </c>
      <c r="J28" s="7" t="inlineStr">
        <is>
          <t>Furo piloto</t>
        </is>
      </c>
      <c r="K28" s="7" t="inlineStr">
        <is>
          <t>Planejamento</t>
        </is>
      </c>
      <c r="L28" s="16" t="inlineStr">
        <is>
          <t>PDS-dezembro(1).docx</t>
        </is>
      </c>
      <c r="M28">
        <f>IF($A28="","",TEXT($A28,"mmmm/yyyy"))</f>
        <v/>
      </c>
      <c r="P28">
        <f>IFERROR(_xludf.XLOOKUP($N28,Base_Enderecos!$A:$A,Base_Enderecos!$B:$B,""),"")</f>
        <v/>
      </c>
      <c r="Q28">
        <f>IFERROR(_xludf.XLOOKUP($N28,Base_Enderecos!$A:$A,Base_Enderecos!$C:$C,""),"")</f>
        <v/>
      </c>
      <c r="R28">
        <f>IF(OR(ISNUMBER(SEARCH("HDD",$F28)),ISNUMBER(SEARCH("MND",$F28)),ISNUMBER(SEARCH("PEAD",$F28)),ISNUMBER(SEARCH("Puxe",$J28)),ISNUMBER(SEARCH("Apoio HDD",$F28))),"MND",IF(OR(ISNUMBER(SEARCH("VCA",$F28)),ISNUMBER(SEARCH("PVC",$F28)),ISNUMBER(SEARCH("vca",$J28)),ISNUMBER(SEARCH("Transformação",$J28))),"VCA",IF(OR(ISNUMBER(SEARCH("crava",$F28)),ISNUMBER(SEARCH("tubo cravado",$F28)),ISNUMBER(SEARCH("shaft",$J28)),ISNUMBER(SEARCH("concreto",$F28))),"TUBO CRAVADO","")))</f>
        <v/>
      </c>
      <c r="T28">
        <f>IF($A28="","",TEXT($A28,"yyyymm")&amp;"|"&amp;$C28&amp;"|"&amp;$F28&amp;"|"&amp;$N28&amp;"|"&amp;$R28)</f>
        <v/>
      </c>
    </row>
    <row r="29" ht="11.55" customHeight="1">
      <c r="A29" s="10" t="n">
        <v>45994</v>
      </c>
      <c r="B29" s="7" t="inlineStr">
        <is>
          <t>Quarta</t>
        </is>
      </c>
      <c r="C29" s="7" t="inlineStr">
        <is>
          <t>CT Lageado</t>
        </is>
      </c>
      <c r="D29" s="7" t="n"/>
      <c r="E29" s="7" t="inlineStr">
        <is>
          <t>Marcio</t>
        </is>
      </c>
      <c r="F29" s="13" t="inlineStr">
        <is>
          <t>Apoio HDD entre PVs 04 a 4.1</t>
        </is>
      </c>
      <c r="G29" s="7" t="inlineStr">
        <is>
          <t>04</t>
        </is>
      </c>
      <c r="H29" s="7" t="n"/>
      <c r="I29" s="7" t="inlineStr">
        <is>
          <t>04</t>
        </is>
      </c>
      <c r="J29" s="7" t="inlineStr">
        <is>
          <t>Apoio HDD</t>
        </is>
      </c>
      <c r="K29" s="7" t="inlineStr">
        <is>
          <t>Planejamento</t>
        </is>
      </c>
      <c r="L29" s="16" t="inlineStr">
        <is>
          <t>PDS-dezembro(1).docx</t>
        </is>
      </c>
      <c r="M29">
        <f>IF($A29="","",TEXT($A29,"mmmm/yyyy"))</f>
        <v/>
      </c>
      <c r="P29">
        <f>IFERROR(_xludf.XLOOKUP($N29,Base_Enderecos!$A:$A,Base_Enderecos!$B:$B,""),"")</f>
        <v/>
      </c>
      <c r="Q29">
        <f>IFERROR(_xludf.XLOOKUP($N29,Base_Enderecos!$A:$A,Base_Enderecos!$C:$C,""),"")</f>
        <v/>
      </c>
      <c r="R29">
        <f>IF(OR(ISNUMBER(SEARCH("HDD",$F29)),ISNUMBER(SEARCH("MND",$F29)),ISNUMBER(SEARCH("PEAD",$F29)),ISNUMBER(SEARCH("Puxe",$J29)),ISNUMBER(SEARCH("Apoio HDD",$F29))),"MND",IF(OR(ISNUMBER(SEARCH("VCA",$F29)),ISNUMBER(SEARCH("PVC",$F29)),ISNUMBER(SEARCH("vca",$J29)),ISNUMBER(SEARCH("Transformação",$J29))),"VCA",IF(OR(ISNUMBER(SEARCH("crava",$F29)),ISNUMBER(SEARCH("tubo cravado",$F29)),ISNUMBER(SEARCH("shaft",$J29)),ISNUMBER(SEARCH("concreto",$F29))),"TUBO CRAVADO","")))</f>
        <v/>
      </c>
      <c r="T29">
        <f>IF($A29="","",TEXT($A29,"yyyymm")&amp;"|"&amp;$C29&amp;"|"&amp;$F29&amp;"|"&amp;$N29&amp;"|"&amp;$R29)</f>
        <v/>
      </c>
    </row>
    <row r="30" ht="11.55" customHeight="1">
      <c r="A30" s="10" t="n">
        <v>45994</v>
      </c>
      <c r="B30" s="7" t="inlineStr">
        <is>
          <t>Quarta</t>
        </is>
      </c>
      <c r="C30" s="7" t="inlineStr">
        <is>
          <t>CT Lageado</t>
        </is>
      </c>
      <c r="D30" s="7" t="n"/>
      <c r="E30" s="7" t="inlineStr">
        <is>
          <t>WJ (Alex)</t>
        </is>
      </c>
      <c r="F30" s="13" t="inlineStr">
        <is>
          <t>Execução do furo piloto entre os PVs 04 ao 4.1</t>
        </is>
      </c>
      <c r="G30" s="7" t="inlineStr">
        <is>
          <t>04</t>
        </is>
      </c>
      <c r="H30" s="7" t="n"/>
      <c r="I30" s="7" t="inlineStr">
        <is>
          <t>04</t>
        </is>
      </c>
      <c r="J30" s="7" t="inlineStr">
        <is>
          <t>Furo piloto</t>
        </is>
      </c>
      <c r="K30" s="7" t="inlineStr">
        <is>
          <t>Planejamento</t>
        </is>
      </c>
      <c r="L30" s="16" t="inlineStr">
        <is>
          <t>PDS-dezembro(1).docx</t>
        </is>
      </c>
      <c r="M30">
        <f>IF($A30="","",TEXT($A30,"mmmm/yyyy"))</f>
        <v/>
      </c>
      <c r="P30">
        <f>IFERROR(_xludf.XLOOKUP($N30,Base_Enderecos!$A:$A,Base_Enderecos!$B:$B,""),"")</f>
        <v/>
      </c>
      <c r="Q30">
        <f>IFERROR(_xludf.XLOOKUP($N30,Base_Enderecos!$A:$A,Base_Enderecos!$C:$C,""),"")</f>
        <v/>
      </c>
      <c r="R30">
        <f>IF(OR(ISNUMBER(SEARCH("HDD",$F30)),ISNUMBER(SEARCH("MND",$F30)),ISNUMBER(SEARCH("PEAD",$F30)),ISNUMBER(SEARCH("Puxe",$J30)),ISNUMBER(SEARCH("Apoio HDD",$F30))),"MND",IF(OR(ISNUMBER(SEARCH("VCA",$F30)),ISNUMBER(SEARCH("PVC",$F30)),ISNUMBER(SEARCH("vca",$J30)),ISNUMBER(SEARCH("Transformação",$J30))),"VCA",IF(OR(ISNUMBER(SEARCH("crava",$F30)),ISNUMBER(SEARCH("tubo cravado",$F30)),ISNUMBER(SEARCH("shaft",$J30)),ISNUMBER(SEARCH("concreto",$F30))),"TUBO CRAVADO","")))</f>
        <v/>
      </c>
      <c r="T30">
        <f>IF($A30="","",TEXT($A30,"yyyymm")&amp;"|"&amp;$C30&amp;"|"&amp;$F30&amp;"|"&amp;$N30&amp;"|"&amp;$R30)</f>
        <v/>
      </c>
    </row>
    <row r="31" ht="11.55" customHeight="1">
      <c r="A31" s="10" t="n">
        <v>45994</v>
      </c>
      <c r="B31" s="7" t="inlineStr">
        <is>
          <t>Quarta</t>
        </is>
      </c>
      <c r="C31" s="7" t="inlineStr">
        <is>
          <t>CT Benfica</t>
        </is>
      </c>
      <c r="D31" s="7" t="n"/>
      <c r="E31" s="7" t="inlineStr">
        <is>
          <t>Valter</t>
        </is>
      </c>
      <c r="F31" s="13" t="inlineStr">
        <is>
          <t>Transformação PV 11</t>
        </is>
      </c>
      <c r="G31" s="7" t="inlineStr">
        <is>
          <t>11</t>
        </is>
      </c>
      <c r="H31" s="7" t="n"/>
      <c r="I31" s="7" t="inlineStr">
        <is>
          <t>11</t>
        </is>
      </c>
      <c r="J31" s="7" t="inlineStr">
        <is>
          <t>Transformação</t>
        </is>
      </c>
      <c r="K31" s="7" t="inlineStr">
        <is>
          <t>Planejamento</t>
        </is>
      </c>
      <c r="L31" s="16" t="inlineStr">
        <is>
          <t>PDS-dezembro(1).docx</t>
        </is>
      </c>
      <c r="M31">
        <f>IF($A31="","",TEXT($A31,"mmmm/yyyy"))</f>
        <v/>
      </c>
      <c r="P31">
        <f>IFERROR(_xludf.XLOOKUP($N31,Base_Enderecos!$A:$A,Base_Enderecos!$B:$B,""),"")</f>
        <v/>
      </c>
      <c r="Q31">
        <f>IFERROR(_xludf.XLOOKUP($N31,Base_Enderecos!$A:$A,Base_Enderecos!$C:$C,""),"")</f>
        <v/>
      </c>
      <c r="R31">
        <f>IF(OR(ISNUMBER(SEARCH("HDD",$F31)),ISNUMBER(SEARCH("MND",$F31)),ISNUMBER(SEARCH("PEAD",$F31)),ISNUMBER(SEARCH("Puxe",$J31)),ISNUMBER(SEARCH("Apoio HDD",$F31))),"MND",IF(OR(ISNUMBER(SEARCH("VCA",$F31)),ISNUMBER(SEARCH("PVC",$F31)),ISNUMBER(SEARCH("vca",$J31)),ISNUMBER(SEARCH("Transformação",$J31))),"VCA",IF(OR(ISNUMBER(SEARCH("crava",$F31)),ISNUMBER(SEARCH("tubo cravado",$F31)),ISNUMBER(SEARCH("shaft",$J31)),ISNUMBER(SEARCH("concreto",$F31))),"TUBO CRAVADO","")))</f>
        <v/>
      </c>
      <c r="T31">
        <f>IF($A31="","",TEXT($A31,"yyyymm")&amp;"|"&amp;$C31&amp;"|"&amp;$F31&amp;"|"&amp;$N31&amp;"|"&amp;$R31)</f>
        <v/>
      </c>
    </row>
    <row r="32" ht="11.55" customHeight="1">
      <c r="A32" s="10" t="n">
        <v>45994</v>
      </c>
      <c r="B32" s="7" t="inlineStr">
        <is>
          <t>Quarta</t>
        </is>
      </c>
      <c r="C32" s="7" t="inlineStr">
        <is>
          <t>CT Benfica</t>
        </is>
      </c>
      <c r="D32" s="7" t="n"/>
      <c r="E32" s="7" t="inlineStr">
        <is>
          <t>Marcelo</t>
        </is>
      </c>
      <c r="F32" s="13" t="inlineStr">
        <is>
          <t>Transformação e interligação PV 12</t>
        </is>
      </c>
      <c r="G32" s="7" t="inlineStr">
        <is>
          <t>12</t>
        </is>
      </c>
      <c r="H32" s="7" t="n"/>
      <c r="I32" s="7" t="inlineStr">
        <is>
          <t>12</t>
        </is>
      </c>
      <c r="J32" s="7" t="inlineStr">
        <is>
          <t>Transformação</t>
        </is>
      </c>
      <c r="K32" s="7" t="inlineStr">
        <is>
          <t>Planejamento</t>
        </is>
      </c>
      <c r="L32" s="16" t="inlineStr">
        <is>
          <t>PDS-dezembro(1).docx</t>
        </is>
      </c>
      <c r="M32">
        <f>IF($A32="","",TEXT($A32,"mmmm/yyyy"))</f>
        <v/>
      </c>
      <c r="P32">
        <f>IFERROR(_xludf.XLOOKUP($N32,Base_Enderecos!$A:$A,Base_Enderecos!$B:$B,""),"")</f>
        <v/>
      </c>
      <c r="Q32">
        <f>IFERROR(_xludf.XLOOKUP($N32,Base_Enderecos!$A:$A,Base_Enderecos!$C:$C,""),"")</f>
        <v/>
      </c>
      <c r="R32">
        <f>IF(OR(ISNUMBER(SEARCH("HDD",$F32)),ISNUMBER(SEARCH("MND",$F32)),ISNUMBER(SEARCH("PEAD",$F32)),ISNUMBER(SEARCH("Puxe",$J32)),ISNUMBER(SEARCH("Apoio HDD",$F32))),"MND",IF(OR(ISNUMBER(SEARCH("VCA",$F32)),ISNUMBER(SEARCH("PVC",$F32)),ISNUMBER(SEARCH("vca",$J32)),ISNUMBER(SEARCH("Transformação",$J32))),"VCA",IF(OR(ISNUMBER(SEARCH("crava",$F32)),ISNUMBER(SEARCH("tubo cravado",$F32)),ISNUMBER(SEARCH("shaft",$J32)),ISNUMBER(SEARCH("concreto",$F32))),"TUBO CRAVADO","")))</f>
        <v/>
      </c>
      <c r="T32">
        <f>IF($A32="","",TEXT($A32,"yyyymm")&amp;"|"&amp;$C32&amp;"|"&amp;$F32&amp;"|"&amp;$N32&amp;"|"&amp;$R32)</f>
        <v/>
      </c>
    </row>
    <row r="33" ht="11.55" customHeight="1">
      <c r="A33" s="10" t="n">
        <v>45994</v>
      </c>
      <c r="B33" s="7" t="inlineStr">
        <is>
          <t>Quarta</t>
        </is>
      </c>
      <c r="C33" s="7" t="inlineStr">
        <is>
          <t>Demais trabalhos</t>
        </is>
      </c>
      <c r="D33" s="7" t="n"/>
      <c r="E33" s="7" t="inlineStr">
        <is>
          <t>Guindauto (Rodrigo)</t>
        </is>
      </c>
      <c r="F33" s="13" t="inlineStr">
        <is>
          <t>Apoio as equipes</t>
        </is>
      </c>
      <c r="G33" s="7" t="n"/>
      <c r="H33" s="7" t="n"/>
      <c r="I33" s="7" t="n"/>
      <c r="J33" s="7" t="n"/>
      <c r="K33" s="7" t="inlineStr">
        <is>
          <t>Planejamento</t>
        </is>
      </c>
      <c r="L33" s="16" t="inlineStr">
        <is>
          <t>PDS-dezembro(1).docx</t>
        </is>
      </c>
      <c r="M33">
        <f>IF($A33="","",TEXT($A33,"mmmm/yyyy"))</f>
        <v/>
      </c>
      <c r="P33">
        <f>IFERROR(_xludf.XLOOKUP($N33,Base_Enderecos!$A:$A,Base_Enderecos!$B:$B,""),"")</f>
        <v/>
      </c>
      <c r="Q33">
        <f>IFERROR(_xludf.XLOOKUP($N33,Base_Enderecos!$A:$A,Base_Enderecos!$C:$C,""),"")</f>
        <v/>
      </c>
      <c r="R33">
        <f>IF(OR(ISNUMBER(SEARCH("HDD",$F33)),ISNUMBER(SEARCH("MND",$F33)),ISNUMBER(SEARCH("PEAD",$F33)),ISNUMBER(SEARCH("Puxe",$J33)),ISNUMBER(SEARCH("Apoio HDD",$F33))),"MND",IF(OR(ISNUMBER(SEARCH("VCA",$F33)),ISNUMBER(SEARCH("PVC",$F33)),ISNUMBER(SEARCH("vca",$J33)),ISNUMBER(SEARCH("Transformação",$J33))),"VCA",IF(OR(ISNUMBER(SEARCH("crava",$F33)),ISNUMBER(SEARCH("tubo cravado",$F33)),ISNUMBER(SEARCH("shaft",$J33)),ISNUMBER(SEARCH("concreto",$F33))),"TUBO CRAVADO","")))</f>
        <v/>
      </c>
      <c r="T33">
        <f>IF($A33="","",TEXT($A33,"yyyymm")&amp;"|"&amp;$C33&amp;"|"&amp;$F33&amp;"|"&amp;$N33&amp;"|"&amp;$R33)</f>
        <v/>
      </c>
    </row>
    <row r="34" ht="11.55" customHeight="1">
      <c r="A34" s="10" t="n">
        <v>45994</v>
      </c>
      <c r="B34" s="7" t="inlineStr">
        <is>
          <t>Quarta</t>
        </is>
      </c>
      <c r="C34" s="7" t="inlineStr">
        <is>
          <t>Demais trabalhos</t>
        </is>
      </c>
      <c r="D34" s="7" t="n"/>
      <c r="E34" s="7" t="inlineStr">
        <is>
          <t>Guindauto (Márcio)</t>
        </is>
      </c>
      <c r="F34" s="13" t="inlineStr">
        <is>
          <t>Apoio as Equipe</t>
        </is>
      </c>
      <c r="G34" s="7" t="n"/>
      <c r="H34" s="7" t="n"/>
      <c r="I34" s="7" t="n"/>
      <c r="J34" s="7" t="n"/>
      <c r="K34" s="7" t="inlineStr">
        <is>
          <t>Planejamento</t>
        </is>
      </c>
      <c r="L34" s="16" t="inlineStr">
        <is>
          <t>PDS-dezembro(1).docx</t>
        </is>
      </c>
      <c r="M34">
        <f>IF($A34="","",TEXT($A34,"mmmm/yyyy"))</f>
        <v/>
      </c>
      <c r="P34">
        <f>IFERROR(_xludf.XLOOKUP($N34,Base_Enderecos!$A:$A,Base_Enderecos!$B:$B,""),"")</f>
        <v/>
      </c>
      <c r="Q34">
        <f>IFERROR(_xludf.XLOOKUP($N34,Base_Enderecos!$A:$A,Base_Enderecos!$C:$C,""),"")</f>
        <v/>
      </c>
      <c r="R34">
        <f>IF(OR(ISNUMBER(SEARCH("HDD",$F34)),ISNUMBER(SEARCH("MND",$F34)),ISNUMBER(SEARCH("PEAD",$F34)),ISNUMBER(SEARCH("Puxe",$J34)),ISNUMBER(SEARCH("Apoio HDD",$F34))),"MND",IF(OR(ISNUMBER(SEARCH("VCA",$F34)),ISNUMBER(SEARCH("PVC",$F34)),ISNUMBER(SEARCH("vca",$J34)),ISNUMBER(SEARCH("Transformação",$J34))),"VCA",IF(OR(ISNUMBER(SEARCH("crava",$F34)),ISNUMBER(SEARCH("tubo cravado",$F34)),ISNUMBER(SEARCH("shaft",$J34)),ISNUMBER(SEARCH("concreto",$F34))),"TUBO CRAVADO","")))</f>
        <v/>
      </c>
      <c r="T34">
        <f>IF($A34="","",TEXT($A34,"yyyymm")&amp;"|"&amp;$C34&amp;"|"&amp;$F34&amp;"|"&amp;$N34&amp;"|"&amp;$R34)</f>
        <v/>
      </c>
    </row>
    <row r="35" ht="11.55" customHeight="1">
      <c r="A35" s="10" t="n">
        <v>45994</v>
      </c>
      <c r="B35" s="7" t="inlineStr">
        <is>
          <t>Quarta</t>
        </is>
      </c>
      <c r="C35" s="7" t="inlineStr">
        <is>
          <t>Vacal</t>
        </is>
      </c>
      <c r="D35" s="7" t="n"/>
      <c r="E35" s="7" t="inlineStr">
        <is>
          <t>Apoio Marcio PV 04 Lageado</t>
        </is>
      </c>
      <c r="F35" s="13" t="inlineStr">
        <is>
          <t>Apoio Vacal</t>
        </is>
      </c>
      <c r="G35" s="7" t="n"/>
      <c r="H35" s="7" t="n"/>
      <c r="I35" s="7" t="n"/>
      <c r="J35" s="7" t="inlineStr">
        <is>
          <t>Vacal</t>
        </is>
      </c>
      <c r="K35" s="7" t="inlineStr">
        <is>
          <t>Apoio</t>
        </is>
      </c>
      <c r="L35" s="16" t="inlineStr">
        <is>
          <t>PDS-dezembro(1).docx</t>
        </is>
      </c>
      <c r="M35">
        <f>IF($A35="","",TEXT($A35,"mmmm/yyyy"))</f>
        <v/>
      </c>
      <c r="P35">
        <f>IFERROR(_xludf.XLOOKUP($N35,Base_Enderecos!$A:$A,Base_Enderecos!$B:$B,""),"")</f>
        <v/>
      </c>
      <c r="Q35">
        <f>IFERROR(_xludf.XLOOKUP($N35,Base_Enderecos!$A:$A,Base_Enderecos!$C:$C,""),"")</f>
        <v/>
      </c>
      <c r="R35">
        <f>IF(OR(ISNUMBER(SEARCH("HDD",$F35)),ISNUMBER(SEARCH("MND",$F35)),ISNUMBER(SEARCH("PEAD",$F35)),ISNUMBER(SEARCH("Puxe",$J35)),ISNUMBER(SEARCH("Apoio HDD",$F35))),"MND",IF(OR(ISNUMBER(SEARCH("VCA",$F35)),ISNUMBER(SEARCH("PVC",$F35)),ISNUMBER(SEARCH("vca",$J35)),ISNUMBER(SEARCH("Transformação",$J35))),"VCA",IF(OR(ISNUMBER(SEARCH("crava",$F35)),ISNUMBER(SEARCH("tubo cravado",$F35)),ISNUMBER(SEARCH("shaft",$J35)),ISNUMBER(SEARCH("concreto",$F35))),"TUBO CRAVADO","")))</f>
        <v/>
      </c>
      <c r="T35">
        <f>IF($A35="","",TEXT($A35,"yyyymm")&amp;"|"&amp;$C35&amp;"|"&amp;$F35&amp;"|"&amp;$N35&amp;"|"&amp;$R35)</f>
        <v/>
      </c>
    </row>
    <row r="36" ht="11.55" customHeight="1">
      <c r="A36" s="10" t="n">
        <v>45994</v>
      </c>
      <c r="B36" s="7" t="inlineStr">
        <is>
          <t>Quarta</t>
        </is>
      </c>
      <c r="C36" s="7" t="inlineStr">
        <is>
          <t>Vacal</t>
        </is>
      </c>
      <c r="D36" s="7" t="n"/>
      <c r="E36" s="7" t="inlineStr">
        <is>
          <t>Apoio Fabrício PV 05 Lageado</t>
        </is>
      </c>
      <c r="F36" s="13" t="inlineStr">
        <is>
          <t>Apoio Vacal</t>
        </is>
      </c>
      <c r="G36" s="7" t="n"/>
      <c r="H36" s="7" t="n"/>
      <c r="I36" s="7" t="n"/>
      <c r="J36" s="7" t="inlineStr">
        <is>
          <t>Vacal</t>
        </is>
      </c>
      <c r="K36" s="7" t="inlineStr">
        <is>
          <t>Apoio</t>
        </is>
      </c>
      <c r="L36" s="16" t="inlineStr">
        <is>
          <t>PDS-dezembro(1).docx</t>
        </is>
      </c>
      <c r="M36">
        <f>IF($A36="","",TEXT($A36,"mmmm/yyyy"))</f>
        <v/>
      </c>
      <c r="P36">
        <f>IFERROR(_xludf.XLOOKUP($N36,Base_Enderecos!$A:$A,Base_Enderecos!$B:$B,""),"")</f>
        <v/>
      </c>
      <c r="Q36">
        <f>IFERROR(_xludf.XLOOKUP($N36,Base_Enderecos!$A:$A,Base_Enderecos!$C:$C,""),"")</f>
        <v/>
      </c>
      <c r="R36">
        <f>IF(OR(ISNUMBER(SEARCH("HDD",$F36)),ISNUMBER(SEARCH("MND",$F36)),ISNUMBER(SEARCH("PEAD",$F36)),ISNUMBER(SEARCH("Puxe",$J36)),ISNUMBER(SEARCH("Apoio HDD",$F36))),"MND",IF(OR(ISNUMBER(SEARCH("VCA",$F36)),ISNUMBER(SEARCH("PVC",$F36)),ISNUMBER(SEARCH("vca",$J36)),ISNUMBER(SEARCH("Transformação",$J36))),"VCA",IF(OR(ISNUMBER(SEARCH("crava",$F36)),ISNUMBER(SEARCH("tubo cravado",$F36)),ISNUMBER(SEARCH("shaft",$J36)),ISNUMBER(SEARCH("concreto",$F36))),"TUBO CRAVADO","")))</f>
        <v/>
      </c>
      <c r="T36">
        <f>IF($A36="","",TEXT($A36,"yyyymm")&amp;"|"&amp;$C36&amp;"|"&amp;$F36&amp;"|"&amp;$N36&amp;"|"&amp;$R36)</f>
        <v/>
      </c>
    </row>
    <row r="37" ht="11.55" customHeight="1">
      <c r="A37" s="10" t="n">
        <v>45995</v>
      </c>
      <c r="B37" s="7" t="inlineStr">
        <is>
          <t>Quinta</t>
        </is>
      </c>
      <c r="C37" s="7" t="inlineStr">
        <is>
          <t>Miriam</t>
        </is>
      </c>
      <c r="D37" s="7" t="n"/>
      <c r="E37" s="7" t="inlineStr">
        <is>
          <t>Paulo</t>
        </is>
      </c>
      <c r="F37" s="13" t="inlineStr">
        <is>
          <t>Transformação do PV 57 e interligação do PV 59</t>
        </is>
      </c>
      <c r="G37" s="7" t="inlineStr">
        <is>
          <t>57</t>
        </is>
      </c>
      <c r="H37" s="7" t="inlineStr">
        <is>
          <t>59</t>
        </is>
      </c>
      <c r="I37" s="7" t="inlineStr">
        <is>
          <t>57, 59</t>
        </is>
      </c>
      <c r="J37" s="7" t="inlineStr">
        <is>
          <t>Transformação</t>
        </is>
      </c>
      <c r="K37" s="7" t="inlineStr">
        <is>
          <t>Planejamento</t>
        </is>
      </c>
      <c r="L37" s="16" t="inlineStr">
        <is>
          <t>PDS-dezembro(1).docx</t>
        </is>
      </c>
      <c r="M37">
        <f>IF($A37="","",TEXT($A37,"mmmm/yyyy"))</f>
        <v/>
      </c>
      <c r="P37">
        <f>IFERROR(_xludf.XLOOKUP($N37,Base_Enderecos!$A:$A,Base_Enderecos!$B:$B,""),"")</f>
        <v/>
      </c>
      <c r="Q37">
        <f>IFERROR(_xludf.XLOOKUP($N37,Base_Enderecos!$A:$A,Base_Enderecos!$C:$C,""),"")</f>
        <v/>
      </c>
      <c r="R37">
        <f>IF(OR(ISNUMBER(SEARCH("HDD",$F37)),ISNUMBER(SEARCH("MND",$F37)),ISNUMBER(SEARCH("PEAD",$F37)),ISNUMBER(SEARCH("Puxe",$J37)),ISNUMBER(SEARCH("Apoio HDD",$F37))),"MND",IF(OR(ISNUMBER(SEARCH("VCA",$F37)),ISNUMBER(SEARCH("PVC",$F37)),ISNUMBER(SEARCH("vca",$J37)),ISNUMBER(SEARCH("Transformação",$J37))),"VCA",IF(OR(ISNUMBER(SEARCH("crava",$F37)),ISNUMBER(SEARCH("tubo cravado",$F37)),ISNUMBER(SEARCH("shaft",$J37)),ISNUMBER(SEARCH("concreto",$F37))),"TUBO CRAVADO","")))</f>
        <v/>
      </c>
      <c r="T37">
        <f>IF($A37="","",TEXT($A37,"yyyymm")&amp;"|"&amp;$C37&amp;"|"&amp;$F37&amp;"|"&amp;$N37&amp;"|"&amp;$R37)</f>
        <v/>
      </c>
    </row>
    <row r="38" ht="11.55" customHeight="1">
      <c r="A38" s="10" t="n">
        <v>45995</v>
      </c>
      <c r="B38" s="7" t="inlineStr">
        <is>
          <t>Quinta</t>
        </is>
      </c>
      <c r="C38" s="7" t="inlineStr">
        <is>
          <t>Mar de Coral</t>
        </is>
      </c>
      <c r="D38" s="7" t="n"/>
      <c r="E38" s="7" t="inlineStr">
        <is>
          <t>LS</t>
        </is>
      </c>
      <c r="F38" s="13" t="inlineStr">
        <is>
          <t>Escavação mecânica e montagem de armco PV 01</t>
        </is>
      </c>
      <c r="G38" s="7" t="inlineStr">
        <is>
          <t>01</t>
        </is>
      </c>
      <c r="H38" s="7" t="n"/>
      <c r="I38" s="7" t="inlineStr">
        <is>
          <t>01</t>
        </is>
      </c>
      <c r="J38" s="7" t="inlineStr">
        <is>
          <t>Escavação</t>
        </is>
      </c>
      <c r="K38" s="7" t="inlineStr">
        <is>
          <t>Planejamento</t>
        </is>
      </c>
      <c r="L38" s="16" t="inlineStr">
        <is>
          <t>PDS-dezembro(1).docx</t>
        </is>
      </c>
      <c r="M38">
        <f>IF($A38="","",TEXT($A38,"mmmm/yyyy"))</f>
        <v/>
      </c>
      <c r="P38">
        <f>IFERROR(_xludf.XLOOKUP($N38,Base_Enderecos!$A:$A,Base_Enderecos!$B:$B,""),"")</f>
        <v/>
      </c>
      <c r="Q38">
        <f>IFERROR(_xludf.XLOOKUP($N38,Base_Enderecos!$A:$A,Base_Enderecos!$C:$C,""),"")</f>
        <v/>
      </c>
      <c r="R38">
        <f>IF(OR(ISNUMBER(SEARCH("HDD",$F38)),ISNUMBER(SEARCH("MND",$F38)),ISNUMBER(SEARCH("PEAD",$F38)),ISNUMBER(SEARCH("Puxe",$J38)),ISNUMBER(SEARCH("Apoio HDD",$F38))),"MND",IF(OR(ISNUMBER(SEARCH("VCA",$F38)),ISNUMBER(SEARCH("PVC",$F38)),ISNUMBER(SEARCH("vca",$J38)),ISNUMBER(SEARCH("Transformação",$J38))),"VCA",IF(OR(ISNUMBER(SEARCH("crava",$F38)),ISNUMBER(SEARCH("tubo cravado",$F38)),ISNUMBER(SEARCH("shaft",$J38)),ISNUMBER(SEARCH("concreto",$F38))),"TUBO CRAVADO","")))</f>
        <v/>
      </c>
      <c r="T38">
        <f>IF($A38="","",TEXT($A38,"yyyymm")&amp;"|"&amp;$C38&amp;"|"&amp;$F38&amp;"|"&amp;$N38&amp;"|"&amp;$R38)</f>
        <v/>
      </c>
    </row>
    <row r="39" ht="11.55" customHeight="1">
      <c r="A39" s="10" t="n">
        <v>45995</v>
      </c>
      <c r="B39" s="7" t="inlineStr">
        <is>
          <t>Quinta</t>
        </is>
      </c>
      <c r="C39" s="7" t="inlineStr">
        <is>
          <t>CT Lageado</t>
        </is>
      </c>
      <c r="D39" s="7" t="n"/>
      <c r="E39" s="7" t="inlineStr">
        <is>
          <t>Cesar</t>
        </is>
      </c>
      <c r="F39" s="13" t="inlineStr">
        <is>
          <t>transformar PV 5.1</t>
        </is>
      </c>
      <c r="G39" s="7" t="inlineStr">
        <is>
          <t>5.1</t>
        </is>
      </c>
      <c r="H39" s="7" t="n"/>
      <c r="I39" s="7" t="inlineStr">
        <is>
          <t>5.1</t>
        </is>
      </c>
      <c r="J39" s="7" t="n"/>
      <c r="K39" s="7" t="inlineStr">
        <is>
          <t>Planejamento</t>
        </is>
      </c>
      <c r="L39" s="16" t="inlineStr">
        <is>
          <t>PDS-dezembro(1).docx</t>
        </is>
      </c>
      <c r="M39">
        <f>IF($A39="","",TEXT($A39,"mmmm/yyyy"))</f>
        <v/>
      </c>
      <c r="P39">
        <f>IFERROR(_xludf.XLOOKUP($N39,Base_Enderecos!$A:$A,Base_Enderecos!$B:$B,""),"")</f>
        <v/>
      </c>
      <c r="Q39">
        <f>IFERROR(_xludf.XLOOKUP($N39,Base_Enderecos!$A:$A,Base_Enderecos!$C:$C,""),"")</f>
        <v/>
      </c>
      <c r="R39">
        <f>IF(OR(ISNUMBER(SEARCH("HDD",$F39)),ISNUMBER(SEARCH("MND",$F39)),ISNUMBER(SEARCH("PEAD",$F39)),ISNUMBER(SEARCH("Puxe",$J39)),ISNUMBER(SEARCH("Apoio HDD",$F39))),"MND",IF(OR(ISNUMBER(SEARCH("VCA",$F39)),ISNUMBER(SEARCH("PVC",$F39)),ISNUMBER(SEARCH("vca",$J39)),ISNUMBER(SEARCH("Transformação",$J39))),"VCA",IF(OR(ISNUMBER(SEARCH("crava",$F39)),ISNUMBER(SEARCH("tubo cravado",$F39)),ISNUMBER(SEARCH("shaft",$J39)),ISNUMBER(SEARCH("concreto",$F39))),"TUBO CRAVADO","")))</f>
        <v/>
      </c>
      <c r="T39">
        <f>IF($A39="","",TEXT($A39,"yyyymm")&amp;"|"&amp;$C39&amp;"|"&amp;$F39&amp;"|"&amp;$N39&amp;"|"&amp;$R39)</f>
        <v/>
      </c>
    </row>
    <row r="40" ht="11.55" customHeight="1">
      <c r="A40" s="10" t="n">
        <v>45995</v>
      </c>
      <c r="B40" s="7" t="inlineStr">
        <is>
          <t>Quinta</t>
        </is>
      </c>
      <c r="C40" s="7" t="inlineStr">
        <is>
          <t>CT Lageado</t>
        </is>
      </c>
      <c r="D40" s="7" t="n"/>
      <c r="E40" s="7" t="inlineStr">
        <is>
          <t>Higor</t>
        </is>
      </c>
      <c r="F40" s="13" t="inlineStr">
        <is>
          <t>Transformar PV 1.5</t>
        </is>
      </c>
      <c r="G40" s="7" t="inlineStr">
        <is>
          <t>1.5</t>
        </is>
      </c>
      <c r="H40" s="7" t="n"/>
      <c r="I40" s="7" t="inlineStr">
        <is>
          <t>1.5</t>
        </is>
      </c>
      <c r="J40" s="7" t="n"/>
      <c r="K40" s="7" t="inlineStr">
        <is>
          <t>Planejamento</t>
        </is>
      </c>
      <c r="L40" s="16" t="inlineStr">
        <is>
          <t>PDS-dezembro(1).docx</t>
        </is>
      </c>
      <c r="M40">
        <f>IF($A40="","",TEXT($A40,"mmmm/yyyy"))</f>
        <v/>
      </c>
      <c r="P40">
        <f>IFERROR(_xludf.XLOOKUP($N40,Base_Enderecos!$A:$A,Base_Enderecos!$B:$B,""),"")</f>
        <v/>
      </c>
      <c r="Q40">
        <f>IFERROR(_xludf.XLOOKUP($N40,Base_Enderecos!$A:$A,Base_Enderecos!$C:$C,""),"")</f>
        <v/>
      </c>
      <c r="R40">
        <f>IF(OR(ISNUMBER(SEARCH("HDD",$F40)),ISNUMBER(SEARCH("MND",$F40)),ISNUMBER(SEARCH("PEAD",$F40)),ISNUMBER(SEARCH("Puxe",$J40)),ISNUMBER(SEARCH("Apoio HDD",$F40))),"MND",IF(OR(ISNUMBER(SEARCH("VCA",$F40)),ISNUMBER(SEARCH("PVC",$F40)),ISNUMBER(SEARCH("vca",$J40)),ISNUMBER(SEARCH("Transformação",$J40))),"VCA",IF(OR(ISNUMBER(SEARCH("crava",$F40)),ISNUMBER(SEARCH("tubo cravado",$F40)),ISNUMBER(SEARCH("shaft",$J40)),ISNUMBER(SEARCH("concreto",$F40))),"TUBO CRAVADO","")))</f>
        <v/>
      </c>
      <c r="T40">
        <f>IF($A40="","",TEXT($A40,"yyyymm")&amp;"|"&amp;$C40&amp;"|"&amp;$F40&amp;"|"&amp;$N40&amp;"|"&amp;$R40)</f>
        <v/>
      </c>
    </row>
    <row r="41" ht="11.55" customHeight="1">
      <c r="A41" s="10" t="n">
        <v>45995</v>
      </c>
      <c r="B41" s="7" t="inlineStr">
        <is>
          <t>Quinta</t>
        </is>
      </c>
      <c r="C41" s="7" t="inlineStr">
        <is>
          <t>CT Lageado</t>
        </is>
      </c>
      <c r="D41" s="7" t="n"/>
      <c r="E41" s="7" t="inlineStr">
        <is>
          <t>Natalino</t>
        </is>
      </c>
      <c r="F41" s="13" t="inlineStr">
        <is>
          <t>Apoio HDD entre PVs 08 a 8.1</t>
        </is>
      </c>
      <c r="G41" s="7" t="inlineStr">
        <is>
          <t>08</t>
        </is>
      </c>
      <c r="H41" s="7" t="n"/>
      <c r="I41" s="7" t="inlineStr">
        <is>
          <t>08</t>
        </is>
      </c>
      <c r="J41" s="7" t="inlineStr">
        <is>
          <t>Apoio HDD</t>
        </is>
      </c>
      <c r="K41" s="7" t="inlineStr">
        <is>
          <t>Planejamento</t>
        </is>
      </c>
      <c r="L41" s="16" t="inlineStr">
        <is>
          <t>PDS-dezembro(1).docx</t>
        </is>
      </c>
      <c r="M41">
        <f>IF($A41="","",TEXT($A41,"mmmm/yyyy"))</f>
        <v/>
      </c>
      <c r="P41">
        <f>IFERROR(_xludf.XLOOKUP($N41,Base_Enderecos!$A:$A,Base_Enderecos!$B:$B,""),"")</f>
        <v/>
      </c>
      <c r="Q41">
        <f>IFERROR(_xludf.XLOOKUP($N41,Base_Enderecos!$A:$A,Base_Enderecos!$C:$C,""),"")</f>
        <v/>
      </c>
      <c r="R41">
        <f>IF(OR(ISNUMBER(SEARCH("HDD",$F41)),ISNUMBER(SEARCH("MND",$F41)),ISNUMBER(SEARCH("PEAD",$F41)),ISNUMBER(SEARCH("Puxe",$J41)),ISNUMBER(SEARCH("Apoio HDD",$F41))),"MND",IF(OR(ISNUMBER(SEARCH("VCA",$F41)),ISNUMBER(SEARCH("PVC",$F41)),ISNUMBER(SEARCH("vca",$J41)),ISNUMBER(SEARCH("Transformação",$J41))),"VCA",IF(OR(ISNUMBER(SEARCH("crava",$F41)),ISNUMBER(SEARCH("tubo cravado",$F41)),ISNUMBER(SEARCH("shaft",$J41)),ISNUMBER(SEARCH("concreto",$F41))),"TUBO CRAVADO","")))</f>
        <v/>
      </c>
      <c r="T41">
        <f>IF($A41="","",TEXT($A41,"yyyymm")&amp;"|"&amp;$C41&amp;"|"&amp;$F41&amp;"|"&amp;$N41&amp;"|"&amp;$R41)</f>
        <v/>
      </c>
    </row>
    <row r="42" ht="11.55" customHeight="1">
      <c r="A42" s="10" t="n">
        <v>45995</v>
      </c>
      <c r="B42" s="7" t="inlineStr">
        <is>
          <t>Quinta</t>
        </is>
      </c>
      <c r="C42" s="7" t="inlineStr">
        <is>
          <t>CT Lageado</t>
        </is>
      </c>
      <c r="D42" s="7" t="n"/>
      <c r="E42" s="7" t="inlineStr">
        <is>
          <t>Edivando</t>
        </is>
      </c>
      <c r="F42" s="13" t="inlineStr">
        <is>
          <t>Transformação PV 1.1</t>
        </is>
      </c>
      <c r="G42" s="7" t="inlineStr">
        <is>
          <t>1.1</t>
        </is>
      </c>
      <c r="H42" s="7" t="n"/>
      <c r="I42" s="7" t="inlineStr">
        <is>
          <t>1.1</t>
        </is>
      </c>
      <c r="J42" s="7" t="inlineStr">
        <is>
          <t>Transformação</t>
        </is>
      </c>
      <c r="K42" s="7" t="inlineStr">
        <is>
          <t>Planejamento</t>
        </is>
      </c>
      <c r="L42" s="16" t="inlineStr">
        <is>
          <t>PDS-dezembro(1).docx</t>
        </is>
      </c>
      <c r="M42">
        <f>IF($A42="","",TEXT($A42,"mmmm/yyyy"))</f>
        <v/>
      </c>
      <c r="P42">
        <f>IFERROR(_xludf.XLOOKUP($N42,Base_Enderecos!$A:$A,Base_Enderecos!$B:$B,""),"")</f>
        <v/>
      </c>
      <c r="Q42">
        <f>IFERROR(_xludf.XLOOKUP($N42,Base_Enderecos!$A:$A,Base_Enderecos!$C:$C,""),"")</f>
        <v/>
      </c>
      <c r="R42">
        <f>IF(OR(ISNUMBER(SEARCH("HDD",$F42)),ISNUMBER(SEARCH("MND",$F42)),ISNUMBER(SEARCH("PEAD",$F42)),ISNUMBER(SEARCH("Puxe",$J42)),ISNUMBER(SEARCH("Apoio HDD",$F42))),"MND",IF(OR(ISNUMBER(SEARCH("VCA",$F42)),ISNUMBER(SEARCH("PVC",$F42)),ISNUMBER(SEARCH("vca",$J42)),ISNUMBER(SEARCH("Transformação",$J42))),"VCA",IF(OR(ISNUMBER(SEARCH("crava",$F42)),ISNUMBER(SEARCH("tubo cravado",$F42)),ISNUMBER(SEARCH("shaft",$J42)),ISNUMBER(SEARCH("concreto",$F42))),"TUBO CRAVADO","")))</f>
        <v/>
      </c>
      <c r="T42">
        <f>IF($A42="","",TEXT($A42,"yyyymm")&amp;"|"&amp;$C42&amp;"|"&amp;$F42&amp;"|"&amp;$N42&amp;"|"&amp;$R42)</f>
        <v/>
      </c>
    </row>
    <row r="43" ht="11.55" customHeight="1">
      <c r="A43" s="10" t="n">
        <v>45995</v>
      </c>
      <c r="B43" s="7" t="inlineStr">
        <is>
          <t>Quinta</t>
        </is>
      </c>
      <c r="C43" s="7" t="inlineStr">
        <is>
          <t>CT Lageado</t>
        </is>
      </c>
      <c r="D43" s="7" t="n"/>
      <c r="E43" s="7" t="inlineStr">
        <is>
          <t>WJ (Edson)</t>
        </is>
      </c>
      <c r="F43" s="13" t="inlineStr">
        <is>
          <t>Execução do furo piloto entre os PVs 08 ao 8.1</t>
        </is>
      </c>
      <c r="G43" s="7" t="inlineStr">
        <is>
          <t>08</t>
        </is>
      </c>
      <c r="H43" s="7" t="n"/>
      <c r="I43" s="7" t="inlineStr">
        <is>
          <t>08</t>
        </is>
      </c>
      <c r="J43" s="7" t="inlineStr">
        <is>
          <t>Furo piloto</t>
        </is>
      </c>
      <c r="K43" s="7" t="inlineStr">
        <is>
          <t>Planejamento</t>
        </is>
      </c>
      <c r="L43" s="16" t="inlineStr">
        <is>
          <t>PDS-dezembro(1).docx</t>
        </is>
      </c>
      <c r="M43">
        <f>IF($A43="","",TEXT($A43,"mmmm/yyyy"))</f>
        <v/>
      </c>
      <c r="P43">
        <f>IFERROR(_xludf.XLOOKUP($N43,Base_Enderecos!$A:$A,Base_Enderecos!$B:$B,""),"")</f>
        <v/>
      </c>
      <c r="Q43">
        <f>IFERROR(_xludf.XLOOKUP($N43,Base_Enderecos!$A:$A,Base_Enderecos!$C:$C,""),"")</f>
        <v/>
      </c>
      <c r="R43">
        <f>IF(OR(ISNUMBER(SEARCH("HDD",$F43)),ISNUMBER(SEARCH("MND",$F43)),ISNUMBER(SEARCH("PEAD",$F43)),ISNUMBER(SEARCH("Puxe",$J43)),ISNUMBER(SEARCH("Apoio HDD",$F43))),"MND",IF(OR(ISNUMBER(SEARCH("VCA",$F43)),ISNUMBER(SEARCH("PVC",$F43)),ISNUMBER(SEARCH("vca",$J43)),ISNUMBER(SEARCH("Transformação",$J43))),"VCA",IF(OR(ISNUMBER(SEARCH("crava",$F43)),ISNUMBER(SEARCH("tubo cravado",$F43)),ISNUMBER(SEARCH("shaft",$J43)),ISNUMBER(SEARCH("concreto",$F43))),"TUBO CRAVADO","")))</f>
        <v/>
      </c>
      <c r="T43">
        <f>IF($A43="","",TEXT($A43,"yyyymm")&amp;"|"&amp;$C43&amp;"|"&amp;$F43&amp;"|"&amp;$N43&amp;"|"&amp;$R43)</f>
        <v/>
      </c>
    </row>
    <row r="44" ht="11.55" customHeight="1">
      <c r="A44" s="10" t="n">
        <v>45995</v>
      </c>
      <c r="B44" s="7" t="inlineStr">
        <is>
          <t>Quinta</t>
        </is>
      </c>
      <c r="C44" s="7" t="inlineStr">
        <is>
          <t>CT Lageado</t>
        </is>
      </c>
      <c r="D44" s="7" t="n"/>
      <c r="E44" s="7" t="inlineStr">
        <is>
          <t>Fabrício</t>
        </is>
      </c>
      <c r="F44" s="13" t="inlineStr">
        <is>
          <t>Apoio HDD entre PVs 07 a 7.1</t>
        </is>
      </c>
      <c r="G44" s="7" t="inlineStr">
        <is>
          <t>07</t>
        </is>
      </c>
      <c r="H44" s="7" t="n"/>
      <c r="I44" s="7" t="inlineStr">
        <is>
          <t>07</t>
        </is>
      </c>
      <c r="J44" s="7" t="inlineStr">
        <is>
          <t>Apoio HDD</t>
        </is>
      </c>
      <c r="K44" s="7" t="inlineStr">
        <is>
          <t>Planejamento</t>
        </is>
      </c>
      <c r="L44" s="16" t="inlineStr">
        <is>
          <t>PDS-dezembro(1).docx</t>
        </is>
      </c>
      <c r="M44">
        <f>IF($A44="","",TEXT($A44,"mmmm/yyyy"))</f>
        <v/>
      </c>
      <c r="P44">
        <f>IFERROR(_xludf.XLOOKUP($N44,Base_Enderecos!$A:$A,Base_Enderecos!$B:$B,""),"")</f>
        <v/>
      </c>
      <c r="Q44">
        <f>IFERROR(_xludf.XLOOKUP($N44,Base_Enderecos!$A:$A,Base_Enderecos!$C:$C,""),"")</f>
        <v/>
      </c>
      <c r="R44">
        <f>IF(OR(ISNUMBER(SEARCH("HDD",$F44)),ISNUMBER(SEARCH("MND",$F44)),ISNUMBER(SEARCH("PEAD",$F44)),ISNUMBER(SEARCH("Puxe",$J44)),ISNUMBER(SEARCH("Apoio HDD",$F44))),"MND",IF(OR(ISNUMBER(SEARCH("VCA",$F44)),ISNUMBER(SEARCH("PVC",$F44)),ISNUMBER(SEARCH("vca",$J44)),ISNUMBER(SEARCH("Transformação",$J44))),"VCA",IF(OR(ISNUMBER(SEARCH("crava",$F44)),ISNUMBER(SEARCH("tubo cravado",$F44)),ISNUMBER(SEARCH("shaft",$J44)),ISNUMBER(SEARCH("concreto",$F44))),"TUBO CRAVADO","")))</f>
        <v/>
      </c>
      <c r="T44">
        <f>IF($A44="","",TEXT($A44,"yyyymm")&amp;"|"&amp;$C44&amp;"|"&amp;$F44&amp;"|"&amp;$N44&amp;"|"&amp;$R44)</f>
        <v/>
      </c>
    </row>
    <row r="45" ht="11.55" customHeight="1">
      <c r="A45" s="10" t="n">
        <v>45995</v>
      </c>
      <c r="B45" s="7" t="inlineStr">
        <is>
          <t>Quinta</t>
        </is>
      </c>
      <c r="C45" s="7" t="inlineStr">
        <is>
          <t>CT Lageado</t>
        </is>
      </c>
      <c r="D45" s="7" t="n"/>
      <c r="E45" s="7" t="inlineStr">
        <is>
          <t>Work Drill Bruno</t>
        </is>
      </c>
      <c r="F45" s="13" t="inlineStr">
        <is>
          <t>Execução do furo piloto entre os PVs 07 ao 7.1</t>
        </is>
      </c>
      <c r="G45" s="7" t="inlineStr">
        <is>
          <t>07</t>
        </is>
      </c>
      <c r="H45" s="7" t="n"/>
      <c r="I45" s="7" t="inlineStr">
        <is>
          <t>07</t>
        </is>
      </c>
      <c r="J45" s="7" t="inlineStr">
        <is>
          <t>Furo piloto</t>
        </is>
      </c>
      <c r="K45" s="7" t="inlineStr">
        <is>
          <t>Planejamento</t>
        </is>
      </c>
      <c r="L45" s="16" t="inlineStr">
        <is>
          <t>PDS-dezembro(1).docx</t>
        </is>
      </c>
      <c r="M45">
        <f>IF($A45="","",TEXT($A45,"mmmm/yyyy"))</f>
        <v/>
      </c>
      <c r="P45">
        <f>IFERROR(_xludf.XLOOKUP($N45,Base_Enderecos!$A:$A,Base_Enderecos!$B:$B,""),"")</f>
        <v/>
      </c>
      <c r="Q45">
        <f>IFERROR(_xludf.XLOOKUP($N45,Base_Enderecos!$A:$A,Base_Enderecos!$C:$C,""),"")</f>
        <v/>
      </c>
      <c r="R45">
        <f>IF(OR(ISNUMBER(SEARCH("HDD",$F45)),ISNUMBER(SEARCH("MND",$F45)),ISNUMBER(SEARCH("PEAD",$F45)),ISNUMBER(SEARCH("Puxe",$J45)),ISNUMBER(SEARCH("Apoio HDD",$F45))),"MND",IF(OR(ISNUMBER(SEARCH("VCA",$F45)),ISNUMBER(SEARCH("PVC",$F45)),ISNUMBER(SEARCH("vca",$J45)),ISNUMBER(SEARCH("Transformação",$J45))),"VCA",IF(OR(ISNUMBER(SEARCH("crava",$F45)),ISNUMBER(SEARCH("tubo cravado",$F45)),ISNUMBER(SEARCH("shaft",$J45)),ISNUMBER(SEARCH("concreto",$F45))),"TUBO CRAVADO","")))</f>
        <v/>
      </c>
      <c r="T45">
        <f>IF($A45="","",TEXT($A45,"yyyymm")&amp;"|"&amp;$C45&amp;"|"&amp;$F45&amp;"|"&amp;$N45&amp;"|"&amp;$R45)</f>
        <v/>
      </c>
    </row>
    <row r="46" ht="11.55" customHeight="1">
      <c r="A46" s="10" t="n">
        <v>45995</v>
      </c>
      <c r="B46" s="7" t="inlineStr">
        <is>
          <t>Quinta</t>
        </is>
      </c>
      <c r="C46" s="7" t="inlineStr">
        <is>
          <t>CT Lageado</t>
        </is>
      </c>
      <c r="D46" s="7" t="n"/>
      <c r="E46" s="7" t="inlineStr">
        <is>
          <t>Valter</t>
        </is>
      </c>
      <c r="F46" s="13" t="inlineStr">
        <is>
          <t>Transformação PV 4.1</t>
        </is>
      </c>
      <c r="G46" s="7" t="inlineStr">
        <is>
          <t>4.1</t>
        </is>
      </c>
      <c r="H46" s="7" t="n"/>
      <c r="I46" s="7" t="inlineStr">
        <is>
          <t>4.1</t>
        </is>
      </c>
      <c r="J46" s="7" t="inlineStr">
        <is>
          <t>Transformação</t>
        </is>
      </c>
      <c r="K46" s="7" t="inlineStr">
        <is>
          <t>Planejamento</t>
        </is>
      </c>
      <c r="L46" s="16" t="inlineStr">
        <is>
          <t>PDS-dezembro(1).docx</t>
        </is>
      </c>
      <c r="M46">
        <f>IF($A46="","",TEXT($A46,"mmmm/yyyy"))</f>
        <v/>
      </c>
      <c r="P46">
        <f>IFERROR(_xludf.XLOOKUP($N46,Base_Enderecos!$A:$A,Base_Enderecos!$B:$B,""),"")</f>
        <v/>
      </c>
      <c r="Q46">
        <f>IFERROR(_xludf.XLOOKUP($N46,Base_Enderecos!$A:$A,Base_Enderecos!$C:$C,""),"")</f>
        <v/>
      </c>
      <c r="R46">
        <f>IF(OR(ISNUMBER(SEARCH("HDD",$F46)),ISNUMBER(SEARCH("MND",$F46)),ISNUMBER(SEARCH("PEAD",$F46)),ISNUMBER(SEARCH("Puxe",$J46)),ISNUMBER(SEARCH("Apoio HDD",$F46))),"MND",IF(OR(ISNUMBER(SEARCH("VCA",$F46)),ISNUMBER(SEARCH("PVC",$F46)),ISNUMBER(SEARCH("vca",$J46)),ISNUMBER(SEARCH("Transformação",$J46))),"VCA",IF(OR(ISNUMBER(SEARCH("crava",$F46)),ISNUMBER(SEARCH("tubo cravado",$F46)),ISNUMBER(SEARCH("shaft",$J46)),ISNUMBER(SEARCH("concreto",$F46))),"TUBO CRAVADO","")))</f>
        <v/>
      </c>
      <c r="T46">
        <f>IF($A46="","",TEXT($A46,"yyyymm")&amp;"|"&amp;$C46&amp;"|"&amp;$F46&amp;"|"&amp;$N46&amp;"|"&amp;$R46)</f>
        <v/>
      </c>
    </row>
    <row r="47" ht="11.55" customHeight="1">
      <c r="A47" s="10" t="n">
        <v>45995</v>
      </c>
      <c r="B47" s="7" t="inlineStr">
        <is>
          <t>Quinta</t>
        </is>
      </c>
      <c r="C47" s="7" t="inlineStr">
        <is>
          <t>CT Lageado</t>
        </is>
      </c>
      <c r="D47" s="7" t="n"/>
      <c r="E47" s="7" t="inlineStr">
        <is>
          <t>Marcio</t>
        </is>
      </c>
      <c r="F47" s="13" t="inlineStr">
        <is>
          <t>Apoio HDD entre PVs 05 a 08</t>
        </is>
      </c>
      <c r="G47" s="7" t="inlineStr">
        <is>
          <t>05</t>
        </is>
      </c>
      <c r="H47" s="7" t="n"/>
      <c r="I47" s="7" t="inlineStr">
        <is>
          <t>05</t>
        </is>
      </c>
      <c r="J47" s="7" t="inlineStr">
        <is>
          <t>Apoio HDD</t>
        </is>
      </c>
      <c r="K47" s="7" t="inlineStr">
        <is>
          <t>Planejamento</t>
        </is>
      </c>
      <c r="L47" s="16" t="inlineStr">
        <is>
          <t>PDS-dezembro(1).docx</t>
        </is>
      </c>
      <c r="M47">
        <f>IF($A47="","",TEXT($A47,"mmmm/yyyy"))</f>
        <v/>
      </c>
      <c r="P47">
        <f>IFERROR(_xludf.XLOOKUP($N47,Base_Enderecos!$A:$A,Base_Enderecos!$B:$B,""),"")</f>
        <v/>
      </c>
      <c r="Q47">
        <f>IFERROR(_xludf.XLOOKUP($N47,Base_Enderecos!$A:$A,Base_Enderecos!$C:$C,""),"")</f>
        <v/>
      </c>
      <c r="R47">
        <f>IF(OR(ISNUMBER(SEARCH("HDD",$F47)),ISNUMBER(SEARCH("MND",$F47)),ISNUMBER(SEARCH("PEAD",$F47)),ISNUMBER(SEARCH("Puxe",$J47)),ISNUMBER(SEARCH("Apoio HDD",$F47))),"MND",IF(OR(ISNUMBER(SEARCH("VCA",$F47)),ISNUMBER(SEARCH("PVC",$F47)),ISNUMBER(SEARCH("vca",$J47)),ISNUMBER(SEARCH("Transformação",$J47))),"VCA",IF(OR(ISNUMBER(SEARCH("crava",$F47)),ISNUMBER(SEARCH("tubo cravado",$F47)),ISNUMBER(SEARCH("shaft",$J47)),ISNUMBER(SEARCH("concreto",$F47))),"TUBO CRAVADO","")))</f>
        <v/>
      </c>
      <c r="T47">
        <f>IF($A47="","",TEXT($A47,"yyyymm")&amp;"|"&amp;$C47&amp;"|"&amp;$F47&amp;"|"&amp;$N47&amp;"|"&amp;$R47)</f>
        <v/>
      </c>
    </row>
    <row r="48" ht="11.55" customHeight="1">
      <c r="A48" s="10" t="n">
        <v>45995</v>
      </c>
      <c r="B48" s="7" t="inlineStr">
        <is>
          <t>Quinta</t>
        </is>
      </c>
      <c r="C48" s="7" t="inlineStr">
        <is>
          <t>CT Lageado</t>
        </is>
      </c>
      <c r="D48" s="7" t="n"/>
      <c r="E48" s="7" t="inlineStr">
        <is>
          <t>WJ (Alex)</t>
        </is>
      </c>
      <c r="F48" s="13" t="inlineStr">
        <is>
          <t>Execução do furo piloto entre os PVs 05 ao 08</t>
        </is>
      </c>
      <c r="G48" s="7" t="inlineStr">
        <is>
          <t>05</t>
        </is>
      </c>
      <c r="H48" s="7" t="n"/>
      <c r="I48" s="7" t="inlineStr">
        <is>
          <t>05</t>
        </is>
      </c>
      <c r="J48" s="7" t="inlineStr">
        <is>
          <t>Furo piloto</t>
        </is>
      </c>
      <c r="K48" s="7" t="inlineStr">
        <is>
          <t>Planejamento</t>
        </is>
      </c>
      <c r="L48" s="16" t="inlineStr">
        <is>
          <t>PDS-dezembro(1).docx</t>
        </is>
      </c>
      <c r="M48">
        <f>IF($A48="","",TEXT($A48,"mmmm/yyyy"))</f>
        <v/>
      </c>
      <c r="P48">
        <f>IFERROR(_xludf.XLOOKUP($N48,Base_Enderecos!$A:$A,Base_Enderecos!$B:$B,""),"")</f>
        <v/>
      </c>
      <c r="Q48">
        <f>IFERROR(_xludf.XLOOKUP($N48,Base_Enderecos!$A:$A,Base_Enderecos!$C:$C,""),"")</f>
        <v/>
      </c>
      <c r="R48">
        <f>IF(OR(ISNUMBER(SEARCH("HDD",$F48)),ISNUMBER(SEARCH("MND",$F48)),ISNUMBER(SEARCH("PEAD",$F48)),ISNUMBER(SEARCH("Puxe",$J48)),ISNUMBER(SEARCH("Apoio HDD",$F48))),"MND",IF(OR(ISNUMBER(SEARCH("VCA",$F48)),ISNUMBER(SEARCH("PVC",$F48)),ISNUMBER(SEARCH("vca",$J48)),ISNUMBER(SEARCH("Transformação",$J48))),"VCA",IF(OR(ISNUMBER(SEARCH("crava",$F48)),ISNUMBER(SEARCH("tubo cravado",$F48)),ISNUMBER(SEARCH("shaft",$J48)),ISNUMBER(SEARCH("concreto",$F48))),"TUBO CRAVADO","")))</f>
        <v/>
      </c>
      <c r="T48">
        <f>IF($A48="","",TEXT($A48,"yyyymm")&amp;"|"&amp;$C48&amp;"|"&amp;$F48&amp;"|"&amp;$N48&amp;"|"&amp;$R48)</f>
        <v/>
      </c>
    </row>
    <row r="49" ht="11.55" customHeight="1">
      <c r="A49" s="10" t="n">
        <v>45995</v>
      </c>
      <c r="B49" s="7" t="inlineStr">
        <is>
          <t>Quinta</t>
        </is>
      </c>
      <c r="C49" s="7" t="inlineStr">
        <is>
          <t>CT Benfica</t>
        </is>
      </c>
      <c r="D49" s="7" t="n"/>
      <c r="E49" s="7" t="inlineStr">
        <is>
          <t>Marcelo</t>
        </is>
      </c>
      <c r="F49" s="13" t="inlineStr">
        <is>
          <t>Transformação e interligação PV 12</t>
        </is>
      </c>
      <c r="G49" s="7" t="inlineStr">
        <is>
          <t>12</t>
        </is>
      </c>
      <c r="H49" s="7" t="n"/>
      <c r="I49" s="7" t="inlineStr">
        <is>
          <t>12</t>
        </is>
      </c>
      <c r="J49" s="7" t="inlineStr">
        <is>
          <t>Transformação</t>
        </is>
      </c>
      <c r="K49" s="7" t="inlineStr">
        <is>
          <t>Planejamento</t>
        </is>
      </c>
      <c r="L49" s="16" t="inlineStr">
        <is>
          <t>PDS-dezembro(1).docx</t>
        </is>
      </c>
      <c r="M49">
        <f>IF($A49="","",TEXT($A49,"mmmm/yyyy"))</f>
        <v/>
      </c>
      <c r="P49">
        <f>IFERROR(_xludf.XLOOKUP($N49,Base_Enderecos!$A:$A,Base_Enderecos!$B:$B,""),"")</f>
        <v/>
      </c>
      <c r="Q49">
        <f>IFERROR(_xludf.XLOOKUP($N49,Base_Enderecos!$A:$A,Base_Enderecos!$C:$C,""),"")</f>
        <v/>
      </c>
      <c r="R49">
        <f>IF(OR(ISNUMBER(SEARCH("HDD",$F49)),ISNUMBER(SEARCH("MND",$F49)),ISNUMBER(SEARCH("PEAD",$F49)),ISNUMBER(SEARCH("Puxe",$J49)),ISNUMBER(SEARCH("Apoio HDD",$F49))),"MND",IF(OR(ISNUMBER(SEARCH("VCA",$F49)),ISNUMBER(SEARCH("PVC",$F49)),ISNUMBER(SEARCH("vca",$J49)),ISNUMBER(SEARCH("Transformação",$J49))),"VCA",IF(OR(ISNUMBER(SEARCH("crava",$F49)),ISNUMBER(SEARCH("tubo cravado",$F49)),ISNUMBER(SEARCH("shaft",$J49)),ISNUMBER(SEARCH("concreto",$F49))),"TUBO CRAVADO","")))</f>
        <v/>
      </c>
      <c r="T49">
        <f>IF($A49="","",TEXT($A49,"yyyymm")&amp;"|"&amp;$C49&amp;"|"&amp;$F49&amp;"|"&amp;$N49&amp;"|"&amp;$R49)</f>
        <v/>
      </c>
    </row>
    <row r="50" ht="11.55" customHeight="1">
      <c r="A50" s="10" t="n">
        <v>45995</v>
      </c>
      <c r="B50" s="7" t="inlineStr">
        <is>
          <t>Quinta</t>
        </is>
      </c>
      <c r="C50" s="7" t="inlineStr">
        <is>
          <t>Demais trabalhos</t>
        </is>
      </c>
      <c r="D50" s="7" t="n"/>
      <c r="E50" s="7" t="inlineStr">
        <is>
          <t>Guindauto (Rodrigo)</t>
        </is>
      </c>
      <c r="F50" s="13" t="inlineStr">
        <is>
          <t>Apoio as equipes</t>
        </is>
      </c>
      <c r="G50" s="7" t="n"/>
      <c r="H50" s="7" t="n"/>
      <c r="I50" s="7" t="n"/>
      <c r="J50" s="7" t="n"/>
      <c r="K50" s="7" t="inlineStr">
        <is>
          <t>Planejamento</t>
        </is>
      </c>
      <c r="L50" s="16" t="inlineStr">
        <is>
          <t>PDS-dezembro(1).docx</t>
        </is>
      </c>
      <c r="M50">
        <f>IF($A50="","",TEXT($A50,"mmmm/yyyy"))</f>
        <v/>
      </c>
      <c r="P50">
        <f>IFERROR(_xludf.XLOOKUP($N50,Base_Enderecos!$A:$A,Base_Enderecos!$B:$B,""),"")</f>
        <v/>
      </c>
      <c r="Q50">
        <f>IFERROR(_xludf.XLOOKUP($N50,Base_Enderecos!$A:$A,Base_Enderecos!$C:$C,""),"")</f>
        <v/>
      </c>
      <c r="R50">
        <f>IF(OR(ISNUMBER(SEARCH("HDD",$F50)),ISNUMBER(SEARCH("MND",$F50)),ISNUMBER(SEARCH("PEAD",$F50)),ISNUMBER(SEARCH("Puxe",$J50)),ISNUMBER(SEARCH("Apoio HDD",$F50))),"MND",IF(OR(ISNUMBER(SEARCH("VCA",$F50)),ISNUMBER(SEARCH("PVC",$F50)),ISNUMBER(SEARCH("vca",$J50)),ISNUMBER(SEARCH("Transformação",$J50))),"VCA",IF(OR(ISNUMBER(SEARCH("crava",$F50)),ISNUMBER(SEARCH("tubo cravado",$F50)),ISNUMBER(SEARCH("shaft",$J50)),ISNUMBER(SEARCH("concreto",$F50))),"TUBO CRAVADO","")))</f>
        <v/>
      </c>
      <c r="T50">
        <f>IF($A50="","",TEXT($A50,"yyyymm")&amp;"|"&amp;$C50&amp;"|"&amp;$F50&amp;"|"&amp;$N50&amp;"|"&amp;$R50)</f>
        <v/>
      </c>
    </row>
    <row r="51" ht="11.55" customHeight="1">
      <c r="A51" s="10" t="n">
        <v>45995</v>
      </c>
      <c r="B51" s="7" t="inlineStr">
        <is>
          <t>Quinta</t>
        </is>
      </c>
      <c r="C51" s="7" t="inlineStr">
        <is>
          <t>Demais trabalhos</t>
        </is>
      </c>
      <c r="D51" s="7" t="n"/>
      <c r="E51" s="7" t="inlineStr">
        <is>
          <t>Guindauto (Márcio)</t>
        </is>
      </c>
      <c r="F51" s="13" t="inlineStr">
        <is>
          <t>Apoio as Equipe</t>
        </is>
      </c>
      <c r="G51" s="7" t="n"/>
      <c r="H51" s="7" t="n"/>
      <c r="I51" s="7" t="n"/>
      <c r="J51" s="7" t="n"/>
      <c r="K51" s="7" t="inlineStr">
        <is>
          <t>Planejamento</t>
        </is>
      </c>
      <c r="L51" s="16" t="inlineStr">
        <is>
          <t>PDS-dezembro(1).docx</t>
        </is>
      </c>
      <c r="M51">
        <f>IF($A51="","",TEXT($A51,"mmmm/yyyy"))</f>
        <v/>
      </c>
      <c r="P51">
        <f>IFERROR(_xludf.XLOOKUP($N51,Base_Enderecos!$A:$A,Base_Enderecos!$B:$B,""),"")</f>
        <v/>
      </c>
      <c r="Q51">
        <f>IFERROR(_xludf.XLOOKUP($N51,Base_Enderecos!$A:$A,Base_Enderecos!$C:$C,""),"")</f>
        <v/>
      </c>
      <c r="R51">
        <f>IF(OR(ISNUMBER(SEARCH("HDD",$F51)),ISNUMBER(SEARCH("MND",$F51)),ISNUMBER(SEARCH("PEAD",$F51)),ISNUMBER(SEARCH("Puxe",$J51)),ISNUMBER(SEARCH("Apoio HDD",$F51))),"MND",IF(OR(ISNUMBER(SEARCH("VCA",$F51)),ISNUMBER(SEARCH("PVC",$F51)),ISNUMBER(SEARCH("vca",$J51)),ISNUMBER(SEARCH("Transformação",$J51))),"VCA",IF(OR(ISNUMBER(SEARCH("crava",$F51)),ISNUMBER(SEARCH("tubo cravado",$F51)),ISNUMBER(SEARCH("shaft",$J51)),ISNUMBER(SEARCH("concreto",$F51))),"TUBO CRAVADO","")))</f>
        <v/>
      </c>
      <c r="T51">
        <f>IF($A51="","",TEXT($A51,"yyyymm")&amp;"|"&amp;$C51&amp;"|"&amp;$F51&amp;"|"&amp;$N51&amp;"|"&amp;$R51)</f>
        <v/>
      </c>
    </row>
    <row r="52" ht="11.55" customHeight="1">
      <c r="A52" s="10" t="n">
        <v>45995</v>
      </c>
      <c r="B52" s="7" t="inlineStr">
        <is>
          <t>Quinta</t>
        </is>
      </c>
      <c r="C52" s="7" t="inlineStr">
        <is>
          <t>Vacal</t>
        </is>
      </c>
      <c r="D52" s="7" t="n"/>
      <c r="E52" s="7" t="inlineStr">
        <is>
          <t>Apoio Marcio PV 05 Lageado</t>
        </is>
      </c>
      <c r="F52" s="13" t="inlineStr">
        <is>
          <t>Apoio Vacal</t>
        </is>
      </c>
      <c r="G52" s="7" t="n"/>
      <c r="H52" s="7" t="n"/>
      <c r="I52" s="7" t="n"/>
      <c r="J52" s="7" t="inlineStr">
        <is>
          <t>Vacal</t>
        </is>
      </c>
      <c r="K52" s="7" t="inlineStr">
        <is>
          <t>Apoio</t>
        </is>
      </c>
      <c r="L52" s="16" t="inlineStr">
        <is>
          <t>PDS-dezembro(1).docx</t>
        </is>
      </c>
      <c r="M52">
        <f>IF($A52="","",TEXT($A52,"mmmm/yyyy"))</f>
        <v/>
      </c>
      <c r="P52">
        <f>IFERROR(_xludf.XLOOKUP($N52,Base_Enderecos!$A:$A,Base_Enderecos!$B:$B,""),"")</f>
        <v/>
      </c>
      <c r="Q52">
        <f>IFERROR(_xludf.XLOOKUP($N52,Base_Enderecos!$A:$A,Base_Enderecos!$C:$C,""),"")</f>
        <v/>
      </c>
      <c r="R52">
        <f>IF(OR(ISNUMBER(SEARCH("HDD",$F52)),ISNUMBER(SEARCH("MND",$F52)),ISNUMBER(SEARCH("PEAD",$F52)),ISNUMBER(SEARCH("Puxe",$J52)),ISNUMBER(SEARCH("Apoio HDD",$F52))),"MND",IF(OR(ISNUMBER(SEARCH("VCA",$F52)),ISNUMBER(SEARCH("PVC",$F52)),ISNUMBER(SEARCH("vca",$J52)),ISNUMBER(SEARCH("Transformação",$J52))),"VCA",IF(OR(ISNUMBER(SEARCH("crava",$F52)),ISNUMBER(SEARCH("tubo cravado",$F52)),ISNUMBER(SEARCH("shaft",$J52)),ISNUMBER(SEARCH("concreto",$F52))),"TUBO CRAVADO","")))</f>
        <v/>
      </c>
      <c r="T52">
        <f>IF($A52="","",TEXT($A52,"yyyymm")&amp;"|"&amp;$C52&amp;"|"&amp;$F52&amp;"|"&amp;$N52&amp;"|"&amp;$R52)</f>
        <v/>
      </c>
    </row>
    <row r="53" ht="11.55" customHeight="1">
      <c r="A53" s="10" t="n">
        <v>45995</v>
      </c>
      <c r="B53" s="7" t="inlineStr">
        <is>
          <t>Quinta</t>
        </is>
      </c>
      <c r="C53" s="7" t="inlineStr">
        <is>
          <t>Vacal</t>
        </is>
      </c>
      <c r="D53" s="7" t="n"/>
      <c r="E53" s="7" t="inlineStr">
        <is>
          <t>Apoio Fabrício PV 07 Lageado</t>
        </is>
      </c>
      <c r="F53" s="13" t="inlineStr">
        <is>
          <t>Apoio Vacal</t>
        </is>
      </c>
      <c r="G53" s="7" t="n"/>
      <c r="H53" s="7" t="n"/>
      <c r="I53" s="7" t="n"/>
      <c r="J53" s="7" t="inlineStr">
        <is>
          <t>Vacal</t>
        </is>
      </c>
      <c r="K53" s="7" t="inlineStr">
        <is>
          <t>Apoio</t>
        </is>
      </c>
      <c r="L53" s="16" t="inlineStr">
        <is>
          <t>PDS-dezembro(1).docx</t>
        </is>
      </c>
      <c r="M53">
        <f>IF($A53="","",TEXT($A53,"mmmm/yyyy"))</f>
        <v/>
      </c>
      <c r="P53">
        <f>IFERROR(_xludf.XLOOKUP($N53,Base_Enderecos!$A:$A,Base_Enderecos!$B:$B,""),"")</f>
        <v/>
      </c>
      <c r="Q53">
        <f>IFERROR(_xludf.XLOOKUP($N53,Base_Enderecos!$A:$A,Base_Enderecos!$C:$C,""),"")</f>
        <v/>
      </c>
      <c r="R53">
        <f>IF(OR(ISNUMBER(SEARCH("HDD",$F53)),ISNUMBER(SEARCH("MND",$F53)),ISNUMBER(SEARCH("PEAD",$F53)),ISNUMBER(SEARCH("Puxe",$J53)),ISNUMBER(SEARCH("Apoio HDD",$F53))),"MND",IF(OR(ISNUMBER(SEARCH("VCA",$F53)),ISNUMBER(SEARCH("PVC",$F53)),ISNUMBER(SEARCH("vca",$J53)),ISNUMBER(SEARCH("Transformação",$J53))),"VCA",IF(OR(ISNUMBER(SEARCH("crava",$F53)),ISNUMBER(SEARCH("tubo cravado",$F53)),ISNUMBER(SEARCH("shaft",$J53)),ISNUMBER(SEARCH("concreto",$F53))),"TUBO CRAVADO","")))</f>
        <v/>
      </c>
      <c r="T53">
        <f>IF($A53="","",TEXT($A53,"yyyymm")&amp;"|"&amp;$C53&amp;"|"&amp;$F53&amp;"|"&amp;$N53&amp;"|"&amp;$R53)</f>
        <v/>
      </c>
    </row>
    <row r="54" ht="11.55" customHeight="1">
      <c r="A54" s="10" t="n">
        <v>45996</v>
      </c>
      <c r="B54" s="7" t="inlineStr">
        <is>
          <t>Sexta</t>
        </is>
      </c>
      <c r="C54" s="7" t="inlineStr">
        <is>
          <t>Miriam</t>
        </is>
      </c>
      <c r="D54" s="7" t="n"/>
      <c r="E54" s="7" t="inlineStr">
        <is>
          <t>Paulo</t>
        </is>
      </c>
      <c r="F54" s="13" t="inlineStr">
        <is>
          <t>VCA PV 57 ao PV 59</t>
        </is>
      </c>
      <c r="G54" s="7" t="inlineStr">
        <is>
          <t>57</t>
        </is>
      </c>
      <c r="H54" s="7" t="inlineStr">
        <is>
          <t>59</t>
        </is>
      </c>
      <c r="I54" s="7" t="inlineStr">
        <is>
          <t>57, 59</t>
        </is>
      </c>
      <c r="J54" s="7" t="inlineStr">
        <is>
          <t>VCA</t>
        </is>
      </c>
      <c r="K54" s="7" t="inlineStr">
        <is>
          <t>Planejamento</t>
        </is>
      </c>
      <c r="L54" s="16" t="inlineStr">
        <is>
          <t>PDS-dezembro(1).docx</t>
        </is>
      </c>
      <c r="M54">
        <f>IF($A54="","",TEXT($A54,"mmmm/yyyy"))</f>
        <v/>
      </c>
      <c r="P54">
        <f>IFERROR(_xludf.XLOOKUP($N54,Base_Enderecos!$A:$A,Base_Enderecos!$B:$B,""),"")</f>
        <v/>
      </c>
      <c r="Q54">
        <f>IFERROR(_xludf.XLOOKUP($N54,Base_Enderecos!$A:$A,Base_Enderecos!$C:$C,""),"")</f>
        <v/>
      </c>
      <c r="R54">
        <f>IF(OR(ISNUMBER(SEARCH("HDD",$F54)),ISNUMBER(SEARCH("MND",$F54)),ISNUMBER(SEARCH("PEAD",$F54)),ISNUMBER(SEARCH("Puxe",$J54)),ISNUMBER(SEARCH("Apoio HDD",$F54))),"MND",IF(OR(ISNUMBER(SEARCH("VCA",$F54)),ISNUMBER(SEARCH("PVC",$F54)),ISNUMBER(SEARCH("vca",$J54)),ISNUMBER(SEARCH("Transformação",$J54))),"VCA",IF(OR(ISNUMBER(SEARCH("crava",$F54)),ISNUMBER(SEARCH("tubo cravado",$F54)),ISNUMBER(SEARCH("shaft",$J54)),ISNUMBER(SEARCH("concreto",$F54))),"TUBO CRAVADO","")))</f>
        <v/>
      </c>
      <c r="T54">
        <f>IF($A54="","",TEXT($A54,"yyyymm")&amp;"|"&amp;$C54&amp;"|"&amp;$F54&amp;"|"&amp;$N54&amp;"|"&amp;$R54)</f>
        <v/>
      </c>
    </row>
    <row r="55" ht="11.55" customHeight="1">
      <c r="A55" s="10" t="n">
        <v>45996</v>
      </c>
      <c r="B55" s="7" t="inlineStr">
        <is>
          <t>Sexta</t>
        </is>
      </c>
      <c r="C55" s="7" t="inlineStr">
        <is>
          <t>Mar de Coral</t>
        </is>
      </c>
      <c r="D55" s="7" t="n"/>
      <c r="E55" s="7" t="inlineStr">
        <is>
          <t>LS</t>
        </is>
      </c>
      <c r="F55" s="13" t="inlineStr">
        <is>
          <t>Escavação mecânica e montagem de armco PV 01</t>
        </is>
      </c>
      <c r="G55" s="7" t="inlineStr">
        <is>
          <t>01</t>
        </is>
      </c>
      <c r="H55" s="7" t="n"/>
      <c r="I55" s="7" t="inlineStr">
        <is>
          <t>01</t>
        </is>
      </c>
      <c r="J55" s="7" t="inlineStr">
        <is>
          <t>Escavação</t>
        </is>
      </c>
      <c r="K55" s="7" t="inlineStr">
        <is>
          <t>Planejamento</t>
        </is>
      </c>
      <c r="L55" s="16" t="inlineStr">
        <is>
          <t>PDS-dezembro(1).docx</t>
        </is>
      </c>
      <c r="M55">
        <f>IF($A55="","",TEXT($A55,"mmmm/yyyy"))</f>
        <v/>
      </c>
      <c r="P55">
        <f>IFERROR(_xludf.XLOOKUP($N55,Base_Enderecos!$A:$A,Base_Enderecos!$B:$B,""),"")</f>
        <v/>
      </c>
      <c r="Q55">
        <f>IFERROR(_xludf.XLOOKUP($N55,Base_Enderecos!$A:$A,Base_Enderecos!$C:$C,""),"")</f>
        <v/>
      </c>
      <c r="R55">
        <f>IF(OR(ISNUMBER(SEARCH("HDD",$F55)),ISNUMBER(SEARCH("MND",$F55)),ISNUMBER(SEARCH("PEAD",$F55)),ISNUMBER(SEARCH("Puxe",$J55)),ISNUMBER(SEARCH("Apoio HDD",$F55))),"MND",IF(OR(ISNUMBER(SEARCH("VCA",$F55)),ISNUMBER(SEARCH("PVC",$F55)),ISNUMBER(SEARCH("vca",$J55)),ISNUMBER(SEARCH("Transformação",$J55))),"VCA",IF(OR(ISNUMBER(SEARCH("crava",$F55)),ISNUMBER(SEARCH("tubo cravado",$F55)),ISNUMBER(SEARCH("shaft",$J55)),ISNUMBER(SEARCH("concreto",$F55))),"TUBO CRAVADO","")))</f>
        <v/>
      </c>
      <c r="T55">
        <f>IF($A55="","",TEXT($A55,"yyyymm")&amp;"|"&amp;$C55&amp;"|"&amp;$F55&amp;"|"&amp;$N55&amp;"|"&amp;$R55)</f>
        <v/>
      </c>
    </row>
    <row r="56" ht="11.55" customHeight="1">
      <c r="A56" s="10" t="n">
        <v>45996</v>
      </c>
      <c r="B56" s="7" t="inlineStr">
        <is>
          <t>Sexta</t>
        </is>
      </c>
      <c r="C56" s="7" t="inlineStr">
        <is>
          <t>CT Lageado</t>
        </is>
      </c>
      <c r="D56" s="7" t="n"/>
      <c r="E56" s="7" t="inlineStr">
        <is>
          <t>Cesar</t>
        </is>
      </c>
      <c r="F56" s="13" t="inlineStr">
        <is>
          <t>transformar PV 5.1</t>
        </is>
      </c>
      <c r="G56" s="7" t="inlineStr">
        <is>
          <t>5.1</t>
        </is>
      </c>
      <c r="H56" s="7" t="n"/>
      <c r="I56" s="7" t="inlineStr">
        <is>
          <t>5.1</t>
        </is>
      </c>
      <c r="J56" s="7" t="n"/>
      <c r="K56" s="7" t="inlineStr">
        <is>
          <t>Planejamento</t>
        </is>
      </c>
      <c r="L56" s="16" t="inlineStr">
        <is>
          <t>PDS-dezembro(1).docx</t>
        </is>
      </c>
      <c r="M56">
        <f>IF($A56="","",TEXT($A56,"mmmm/yyyy"))</f>
        <v/>
      </c>
      <c r="P56">
        <f>IFERROR(_xludf.XLOOKUP($N56,Base_Enderecos!$A:$A,Base_Enderecos!$B:$B,""),"")</f>
        <v/>
      </c>
      <c r="Q56">
        <f>IFERROR(_xludf.XLOOKUP($N56,Base_Enderecos!$A:$A,Base_Enderecos!$C:$C,""),"")</f>
        <v/>
      </c>
      <c r="R56">
        <f>IF(OR(ISNUMBER(SEARCH("HDD",$F56)),ISNUMBER(SEARCH("MND",$F56)),ISNUMBER(SEARCH("PEAD",$F56)),ISNUMBER(SEARCH("Puxe",$J56)),ISNUMBER(SEARCH("Apoio HDD",$F56))),"MND",IF(OR(ISNUMBER(SEARCH("VCA",$F56)),ISNUMBER(SEARCH("PVC",$F56)),ISNUMBER(SEARCH("vca",$J56)),ISNUMBER(SEARCH("Transformação",$J56))),"VCA",IF(OR(ISNUMBER(SEARCH("crava",$F56)),ISNUMBER(SEARCH("tubo cravado",$F56)),ISNUMBER(SEARCH("shaft",$J56)),ISNUMBER(SEARCH("concreto",$F56))),"TUBO CRAVADO","")))</f>
        <v/>
      </c>
      <c r="T56">
        <f>IF($A56="","",TEXT($A56,"yyyymm")&amp;"|"&amp;$C56&amp;"|"&amp;$F56&amp;"|"&amp;$N56&amp;"|"&amp;$R56)</f>
        <v/>
      </c>
    </row>
    <row r="57" ht="11.55" customHeight="1">
      <c r="A57" s="10" t="n">
        <v>45996</v>
      </c>
      <c r="B57" s="7" t="inlineStr">
        <is>
          <t>Sexta</t>
        </is>
      </c>
      <c r="C57" s="7" t="inlineStr">
        <is>
          <t>CT Lageado</t>
        </is>
      </c>
      <c r="D57" s="7" t="n"/>
      <c r="E57" s="7" t="inlineStr">
        <is>
          <t>Higor</t>
        </is>
      </c>
      <c r="F57" s="13" t="inlineStr">
        <is>
          <t>transformar PV 03</t>
        </is>
      </c>
      <c r="G57" s="7" t="inlineStr">
        <is>
          <t>03</t>
        </is>
      </c>
      <c r="H57" s="7" t="n"/>
      <c r="I57" s="7" t="inlineStr">
        <is>
          <t>03</t>
        </is>
      </c>
      <c r="J57" s="7" t="n"/>
      <c r="K57" s="7" t="inlineStr">
        <is>
          <t>Planejamento</t>
        </is>
      </c>
      <c r="L57" s="16" t="inlineStr">
        <is>
          <t>PDS-dezembro(1).docx</t>
        </is>
      </c>
      <c r="M57">
        <f>IF($A57="","",TEXT($A57,"mmmm/yyyy"))</f>
        <v/>
      </c>
      <c r="P57">
        <f>IFERROR(_xludf.XLOOKUP($N57,Base_Enderecos!$A:$A,Base_Enderecos!$B:$B,""),"")</f>
        <v/>
      </c>
      <c r="Q57">
        <f>IFERROR(_xludf.XLOOKUP($N57,Base_Enderecos!$A:$A,Base_Enderecos!$C:$C,""),"")</f>
        <v/>
      </c>
      <c r="R57">
        <f>IF(OR(ISNUMBER(SEARCH("HDD",$F57)),ISNUMBER(SEARCH("MND",$F57)),ISNUMBER(SEARCH("PEAD",$F57)),ISNUMBER(SEARCH("Puxe",$J57)),ISNUMBER(SEARCH("Apoio HDD",$F57))),"MND",IF(OR(ISNUMBER(SEARCH("VCA",$F57)),ISNUMBER(SEARCH("PVC",$F57)),ISNUMBER(SEARCH("vca",$J57)),ISNUMBER(SEARCH("Transformação",$J57))),"VCA",IF(OR(ISNUMBER(SEARCH("crava",$F57)),ISNUMBER(SEARCH("tubo cravado",$F57)),ISNUMBER(SEARCH("shaft",$J57)),ISNUMBER(SEARCH("concreto",$F57))),"TUBO CRAVADO","")))</f>
        <v/>
      </c>
      <c r="T57">
        <f>IF($A57="","",TEXT($A57,"yyyymm")&amp;"|"&amp;$C57&amp;"|"&amp;$F57&amp;"|"&amp;$N57&amp;"|"&amp;$R57)</f>
        <v/>
      </c>
    </row>
    <row r="58" ht="11.55" customHeight="1">
      <c r="A58" s="10" t="n">
        <v>45996</v>
      </c>
      <c r="B58" s="7" t="inlineStr">
        <is>
          <t>Sexta</t>
        </is>
      </c>
      <c r="C58" s="7" t="inlineStr">
        <is>
          <t>CT Lageado</t>
        </is>
      </c>
      <c r="D58" s="7" t="n"/>
      <c r="E58" s="7" t="inlineStr">
        <is>
          <t>Natalino</t>
        </is>
      </c>
      <c r="F58" s="13" t="inlineStr">
        <is>
          <t>Apoio HDD entre PVs 08 a 8.1</t>
        </is>
      </c>
      <c r="G58" s="7" t="inlineStr">
        <is>
          <t>08</t>
        </is>
      </c>
      <c r="H58" s="7" t="n"/>
      <c r="I58" s="7" t="inlineStr">
        <is>
          <t>08</t>
        </is>
      </c>
      <c r="J58" s="7" t="inlineStr">
        <is>
          <t>Apoio HDD</t>
        </is>
      </c>
      <c r="K58" s="7" t="inlineStr">
        <is>
          <t>Planejamento</t>
        </is>
      </c>
      <c r="L58" s="16" t="inlineStr">
        <is>
          <t>PDS-dezembro(1).docx</t>
        </is>
      </c>
      <c r="M58">
        <f>IF($A58="","",TEXT($A58,"mmmm/yyyy"))</f>
        <v/>
      </c>
      <c r="P58">
        <f>IFERROR(_xludf.XLOOKUP($N58,Base_Enderecos!$A:$A,Base_Enderecos!$B:$B,""),"")</f>
        <v/>
      </c>
      <c r="Q58">
        <f>IFERROR(_xludf.XLOOKUP($N58,Base_Enderecos!$A:$A,Base_Enderecos!$C:$C,""),"")</f>
        <v/>
      </c>
      <c r="R58">
        <f>IF(OR(ISNUMBER(SEARCH("HDD",$F58)),ISNUMBER(SEARCH("MND",$F58)),ISNUMBER(SEARCH("PEAD",$F58)),ISNUMBER(SEARCH("Puxe",$J58)),ISNUMBER(SEARCH("Apoio HDD",$F58))),"MND",IF(OR(ISNUMBER(SEARCH("VCA",$F58)),ISNUMBER(SEARCH("PVC",$F58)),ISNUMBER(SEARCH("vca",$J58)),ISNUMBER(SEARCH("Transformação",$J58))),"VCA",IF(OR(ISNUMBER(SEARCH("crava",$F58)),ISNUMBER(SEARCH("tubo cravado",$F58)),ISNUMBER(SEARCH("shaft",$J58)),ISNUMBER(SEARCH("concreto",$F58))),"TUBO CRAVADO","")))</f>
        <v/>
      </c>
      <c r="T58">
        <f>IF($A58="","",TEXT($A58,"yyyymm")&amp;"|"&amp;$C58&amp;"|"&amp;$F58&amp;"|"&amp;$N58&amp;"|"&amp;$R58)</f>
        <v/>
      </c>
    </row>
    <row r="59" ht="11.55" customHeight="1">
      <c r="A59" s="10" t="n">
        <v>45996</v>
      </c>
      <c r="B59" s="7" t="inlineStr">
        <is>
          <t>Sexta</t>
        </is>
      </c>
      <c r="C59" s="7" t="inlineStr">
        <is>
          <t>CT Lageado</t>
        </is>
      </c>
      <c r="D59" s="7" t="n"/>
      <c r="E59" s="7" t="inlineStr">
        <is>
          <t>Edivando</t>
        </is>
      </c>
      <c r="F59" s="13" t="inlineStr">
        <is>
          <t>Transformação PV 1.1</t>
        </is>
      </c>
      <c r="G59" s="7" t="inlineStr">
        <is>
          <t>1.1</t>
        </is>
      </c>
      <c r="H59" s="7" t="n"/>
      <c r="I59" s="7" t="inlineStr">
        <is>
          <t>1.1</t>
        </is>
      </c>
      <c r="J59" s="7" t="inlineStr">
        <is>
          <t>Transformação</t>
        </is>
      </c>
      <c r="K59" s="7" t="inlineStr">
        <is>
          <t>Planejamento</t>
        </is>
      </c>
      <c r="L59" s="16" t="inlineStr">
        <is>
          <t>PDS-dezembro(1).docx</t>
        </is>
      </c>
      <c r="M59">
        <f>IF($A59="","",TEXT($A59,"mmmm/yyyy"))</f>
        <v/>
      </c>
      <c r="P59">
        <f>IFERROR(_xludf.XLOOKUP($N59,Base_Enderecos!$A:$A,Base_Enderecos!$B:$B,""),"")</f>
        <v/>
      </c>
      <c r="Q59">
        <f>IFERROR(_xludf.XLOOKUP($N59,Base_Enderecos!$A:$A,Base_Enderecos!$C:$C,""),"")</f>
        <v/>
      </c>
      <c r="R59">
        <f>IF(OR(ISNUMBER(SEARCH("HDD",$F59)),ISNUMBER(SEARCH("MND",$F59)),ISNUMBER(SEARCH("PEAD",$F59)),ISNUMBER(SEARCH("Puxe",$J59)),ISNUMBER(SEARCH("Apoio HDD",$F59))),"MND",IF(OR(ISNUMBER(SEARCH("VCA",$F59)),ISNUMBER(SEARCH("PVC",$F59)),ISNUMBER(SEARCH("vca",$J59)),ISNUMBER(SEARCH("Transformação",$J59))),"VCA",IF(OR(ISNUMBER(SEARCH("crava",$F59)),ISNUMBER(SEARCH("tubo cravado",$F59)),ISNUMBER(SEARCH("shaft",$J59)),ISNUMBER(SEARCH("concreto",$F59))),"TUBO CRAVADO","")))</f>
        <v/>
      </c>
      <c r="T59">
        <f>IF($A59="","",TEXT($A59,"yyyymm")&amp;"|"&amp;$C59&amp;"|"&amp;$F59&amp;"|"&amp;$N59&amp;"|"&amp;$R59)</f>
        <v/>
      </c>
    </row>
    <row r="60" ht="11.55" customHeight="1">
      <c r="A60" s="10" t="n">
        <v>45996</v>
      </c>
      <c r="B60" s="7" t="inlineStr">
        <is>
          <t>Sexta</t>
        </is>
      </c>
      <c r="C60" s="7" t="inlineStr">
        <is>
          <t>CT Lageado</t>
        </is>
      </c>
      <c r="D60" s="7" t="n"/>
      <c r="E60" s="7" t="inlineStr">
        <is>
          <t>WJ (Edson)</t>
        </is>
      </c>
      <c r="F60" s="13" t="inlineStr">
        <is>
          <t>Execução do furo piloto entre os PVs 08 ao 8.1</t>
        </is>
      </c>
      <c r="G60" s="7" t="inlineStr">
        <is>
          <t>08</t>
        </is>
      </c>
      <c r="H60" s="7" t="n"/>
      <c r="I60" s="7" t="inlineStr">
        <is>
          <t>08</t>
        </is>
      </c>
      <c r="J60" s="7" t="inlineStr">
        <is>
          <t>Furo piloto</t>
        </is>
      </c>
      <c r="K60" s="7" t="inlineStr">
        <is>
          <t>Planejamento</t>
        </is>
      </c>
      <c r="L60" s="16" t="inlineStr">
        <is>
          <t>PDS-dezembro(1).docx</t>
        </is>
      </c>
      <c r="M60">
        <f>IF($A60="","",TEXT($A60,"mmmm/yyyy"))</f>
        <v/>
      </c>
      <c r="P60">
        <f>IFERROR(_xludf.XLOOKUP($N60,Base_Enderecos!$A:$A,Base_Enderecos!$B:$B,""),"")</f>
        <v/>
      </c>
      <c r="Q60">
        <f>IFERROR(_xludf.XLOOKUP($N60,Base_Enderecos!$A:$A,Base_Enderecos!$C:$C,""),"")</f>
        <v/>
      </c>
      <c r="R60">
        <f>IF(OR(ISNUMBER(SEARCH("HDD",$F60)),ISNUMBER(SEARCH("MND",$F60)),ISNUMBER(SEARCH("PEAD",$F60)),ISNUMBER(SEARCH("Puxe",$J60)),ISNUMBER(SEARCH("Apoio HDD",$F60))),"MND",IF(OR(ISNUMBER(SEARCH("VCA",$F60)),ISNUMBER(SEARCH("PVC",$F60)),ISNUMBER(SEARCH("vca",$J60)),ISNUMBER(SEARCH("Transformação",$J60))),"VCA",IF(OR(ISNUMBER(SEARCH("crava",$F60)),ISNUMBER(SEARCH("tubo cravado",$F60)),ISNUMBER(SEARCH("shaft",$J60)),ISNUMBER(SEARCH("concreto",$F60))),"TUBO CRAVADO","")))</f>
        <v/>
      </c>
      <c r="T60">
        <f>IF($A60="","",TEXT($A60,"yyyymm")&amp;"|"&amp;$C60&amp;"|"&amp;$F60&amp;"|"&amp;$N60&amp;"|"&amp;$R60)</f>
        <v/>
      </c>
    </row>
    <row r="61" ht="11.55" customHeight="1">
      <c r="A61" s="10" t="n">
        <v>45996</v>
      </c>
      <c r="B61" s="7" t="inlineStr">
        <is>
          <t>Sexta</t>
        </is>
      </c>
      <c r="C61" s="7" t="inlineStr">
        <is>
          <t>CT Lageado</t>
        </is>
      </c>
      <c r="D61" s="7" t="n"/>
      <c r="E61" s="7" t="inlineStr">
        <is>
          <t>Fabrício</t>
        </is>
      </c>
      <c r="F61" s="13" t="inlineStr">
        <is>
          <t>Apoio HDD entre PVs 07 a 7.1</t>
        </is>
      </c>
      <c r="G61" s="7" t="inlineStr">
        <is>
          <t>07</t>
        </is>
      </c>
      <c r="H61" s="7" t="n"/>
      <c r="I61" s="7" t="inlineStr">
        <is>
          <t>07</t>
        </is>
      </c>
      <c r="J61" s="7" t="inlineStr">
        <is>
          <t>Apoio HDD</t>
        </is>
      </c>
      <c r="K61" s="7" t="inlineStr">
        <is>
          <t>Planejamento</t>
        </is>
      </c>
      <c r="L61" s="16" t="inlineStr">
        <is>
          <t>PDS-dezembro(1).docx</t>
        </is>
      </c>
      <c r="M61">
        <f>IF($A61="","",TEXT($A61,"mmmm/yyyy"))</f>
        <v/>
      </c>
      <c r="P61">
        <f>IFERROR(_xludf.XLOOKUP($N61,Base_Enderecos!$A:$A,Base_Enderecos!$B:$B,""),"")</f>
        <v/>
      </c>
      <c r="Q61">
        <f>IFERROR(_xludf.XLOOKUP($N61,Base_Enderecos!$A:$A,Base_Enderecos!$C:$C,""),"")</f>
        <v/>
      </c>
      <c r="R61">
        <f>IF(OR(ISNUMBER(SEARCH("HDD",$F61)),ISNUMBER(SEARCH("MND",$F61)),ISNUMBER(SEARCH("PEAD",$F61)),ISNUMBER(SEARCH("Puxe",$J61)),ISNUMBER(SEARCH("Apoio HDD",$F61))),"MND",IF(OR(ISNUMBER(SEARCH("VCA",$F61)),ISNUMBER(SEARCH("PVC",$F61)),ISNUMBER(SEARCH("vca",$J61)),ISNUMBER(SEARCH("Transformação",$J61))),"VCA",IF(OR(ISNUMBER(SEARCH("crava",$F61)),ISNUMBER(SEARCH("tubo cravado",$F61)),ISNUMBER(SEARCH("shaft",$J61)),ISNUMBER(SEARCH("concreto",$F61))),"TUBO CRAVADO","")))</f>
        <v/>
      </c>
      <c r="T61">
        <f>IF($A61="","",TEXT($A61,"yyyymm")&amp;"|"&amp;$C61&amp;"|"&amp;$F61&amp;"|"&amp;$N61&amp;"|"&amp;$R61)</f>
        <v/>
      </c>
    </row>
    <row r="62" ht="11.55" customHeight="1">
      <c r="A62" s="10" t="n">
        <v>45996</v>
      </c>
      <c r="B62" s="7" t="inlineStr">
        <is>
          <t>Sexta</t>
        </is>
      </c>
      <c r="C62" s="7" t="inlineStr">
        <is>
          <t>CT Lageado</t>
        </is>
      </c>
      <c r="D62" s="7" t="n"/>
      <c r="E62" s="7" t="inlineStr">
        <is>
          <t>Work Drill Bruno</t>
        </is>
      </c>
      <c r="F62" s="13" t="inlineStr">
        <is>
          <t>Passagem de tubo entre os PVs 07 ao 7.1</t>
        </is>
      </c>
      <c r="G62" s="7" t="inlineStr">
        <is>
          <t>07</t>
        </is>
      </c>
      <c r="H62" s="7" t="n"/>
      <c r="I62" s="7" t="inlineStr">
        <is>
          <t>07</t>
        </is>
      </c>
      <c r="J62" s="7" t="inlineStr">
        <is>
          <t>Passagem de tubo</t>
        </is>
      </c>
      <c r="K62" s="7" t="inlineStr">
        <is>
          <t>Planejamento</t>
        </is>
      </c>
      <c r="L62" s="16" t="inlineStr">
        <is>
          <t>PDS-dezembro(1).docx</t>
        </is>
      </c>
      <c r="M62">
        <f>IF($A62="","",TEXT($A62,"mmmm/yyyy"))</f>
        <v/>
      </c>
      <c r="P62">
        <f>IFERROR(_xludf.XLOOKUP($N62,Base_Enderecos!$A:$A,Base_Enderecos!$B:$B,""),"")</f>
        <v/>
      </c>
      <c r="Q62">
        <f>IFERROR(_xludf.XLOOKUP($N62,Base_Enderecos!$A:$A,Base_Enderecos!$C:$C,""),"")</f>
        <v/>
      </c>
      <c r="R62">
        <f>IF(OR(ISNUMBER(SEARCH("HDD",$F62)),ISNUMBER(SEARCH("MND",$F62)),ISNUMBER(SEARCH("PEAD",$F62)),ISNUMBER(SEARCH("Puxe",$J62)),ISNUMBER(SEARCH("Apoio HDD",$F62))),"MND",IF(OR(ISNUMBER(SEARCH("VCA",$F62)),ISNUMBER(SEARCH("PVC",$F62)),ISNUMBER(SEARCH("vca",$J62)),ISNUMBER(SEARCH("Transformação",$J62))),"VCA",IF(OR(ISNUMBER(SEARCH("crava",$F62)),ISNUMBER(SEARCH("tubo cravado",$F62)),ISNUMBER(SEARCH("shaft",$J62)),ISNUMBER(SEARCH("concreto",$F62))),"TUBO CRAVADO","")))</f>
        <v/>
      </c>
      <c r="T62">
        <f>IF($A62="","",TEXT($A62,"yyyymm")&amp;"|"&amp;$C62&amp;"|"&amp;$F62&amp;"|"&amp;$N62&amp;"|"&amp;$R62)</f>
        <v/>
      </c>
    </row>
    <row r="63" ht="11.55" customHeight="1">
      <c r="A63" s="10" t="n">
        <v>45996</v>
      </c>
      <c r="B63" s="7" t="inlineStr">
        <is>
          <t>Sexta</t>
        </is>
      </c>
      <c r="C63" s="7" t="inlineStr">
        <is>
          <t>CT Lageado</t>
        </is>
      </c>
      <c r="D63" s="7" t="n"/>
      <c r="E63" s="7" t="inlineStr">
        <is>
          <t>Valter</t>
        </is>
      </c>
      <c r="F63" s="13" t="inlineStr">
        <is>
          <t>Transformação PV 4.1</t>
        </is>
      </c>
      <c r="G63" s="7" t="inlineStr">
        <is>
          <t>4.1</t>
        </is>
      </c>
      <c r="H63" s="7" t="n"/>
      <c r="I63" s="7" t="inlineStr">
        <is>
          <t>4.1</t>
        </is>
      </c>
      <c r="J63" s="7" t="inlineStr">
        <is>
          <t>Transformação</t>
        </is>
      </c>
      <c r="K63" s="7" t="inlineStr">
        <is>
          <t>Planejamento</t>
        </is>
      </c>
      <c r="L63" s="16" t="inlineStr">
        <is>
          <t>PDS-dezembro(1).docx</t>
        </is>
      </c>
      <c r="M63">
        <f>IF($A63="","",TEXT($A63,"mmmm/yyyy"))</f>
        <v/>
      </c>
      <c r="P63">
        <f>IFERROR(_xludf.XLOOKUP($N63,Base_Enderecos!$A:$A,Base_Enderecos!$B:$B,""),"")</f>
        <v/>
      </c>
      <c r="Q63">
        <f>IFERROR(_xludf.XLOOKUP($N63,Base_Enderecos!$A:$A,Base_Enderecos!$C:$C,""),"")</f>
        <v/>
      </c>
      <c r="R63">
        <f>IF(OR(ISNUMBER(SEARCH("HDD",$F63)),ISNUMBER(SEARCH("MND",$F63)),ISNUMBER(SEARCH("PEAD",$F63)),ISNUMBER(SEARCH("Puxe",$J63)),ISNUMBER(SEARCH("Apoio HDD",$F63))),"MND",IF(OR(ISNUMBER(SEARCH("VCA",$F63)),ISNUMBER(SEARCH("PVC",$F63)),ISNUMBER(SEARCH("vca",$J63)),ISNUMBER(SEARCH("Transformação",$J63))),"VCA",IF(OR(ISNUMBER(SEARCH("crava",$F63)),ISNUMBER(SEARCH("tubo cravado",$F63)),ISNUMBER(SEARCH("shaft",$J63)),ISNUMBER(SEARCH("concreto",$F63))),"TUBO CRAVADO","")))</f>
        <v/>
      </c>
      <c r="T63">
        <f>IF($A63="","",TEXT($A63,"yyyymm")&amp;"|"&amp;$C63&amp;"|"&amp;$F63&amp;"|"&amp;$N63&amp;"|"&amp;$R63)</f>
        <v/>
      </c>
    </row>
    <row r="64" ht="11.55" customHeight="1">
      <c r="A64" s="10" t="n">
        <v>45996</v>
      </c>
      <c r="B64" s="7" t="inlineStr">
        <is>
          <t>Sexta</t>
        </is>
      </c>
      <c r="C64" s="7" t="inlineStr">
        <is>
          <t>CT Lageado</t>
        </is>
      </c>
      <c r="D64" s="7" t="n"/>
      <c r="E64" s="7" t="inlineStr">
        <is>
          <t>Marcio</t>
        </is>
      </c>
      <c r="F64" s="13" t="inlineStr">
        <is>
          <t>Apoio HDD entre PVs 05 a 07</t>
        </is>
      </c>
      <c r="G64" s="7" t="inlineStr">
        <is>
          <t>05</t>
        </is>
      </c>
      <c r="H64" s="7" t="n"/>
      <c r="I64" s="7" t="inlineStr">
        <is>
          <t>05</t>
        </is>
      </c>
      <c r="J64" s="7" t="inlineStr">
        <is>
          <t>Apoio HDD</t>
        </is>
      </c>
      <c r="K64" s="7" t="inlineStr">
        <is>
          <t>Planejamento</t>
        </is>
      </c>
      <c r="L64" s="16" t="inlineStr">
        <is>
          <t>PDS-dezembro(1).docx</t>
        </is>
      </c>
      <c r="M64">
        <f>IF($A64="","",TEXT($A64,"mmmm/yyyy"))</f>
        <v/>
      </c>
      <c r="P64">
        <f>IFERROR(_xludf.XLOOKUP($N64,Base_Enderecos!$A:$A,Base_Enderecos!$B:$B,""),"")</f>
        <v/>
      </c>
      <c r="Q64">
        <f>IFERROR(_xludf.XLOOKUP($N64,Base_Enderecos!$A:$A,Base_Enderecos!$C:$C,""),"")</f>
        <v/>
      </c>
      <c r="R64">
        <f>IF(OR(ISNUMBER(SEARCH("HDD",$F64)),ISNUMBER(SEARCH("MND",$F64)),ISNUMBER(SEARCH("PEAD",$F64)),ISNUMBER(SEARCH("Puxe",$J64)),ISNUMBER(SEARCH("Apoio HDD",$F64))),"MND",IF(OR(ISNUMBER(SEARCH("VCA",$F64)),ISNUMBER(SEARCH("PVC",$F64)),ISNUMBER(SEARCH("vca",$J64)),ISNUMBER(SEARCH("Transformação",$J64))),"VCA",IF(OR(ISNUMBER(SEARCH("crava",$F64)),ISNUMBER(SEARCH("tubo cravado",$F64)),ISNUMBER(SEARCH("shaft",$J64)),ISNUMBER(SEARCH("concreto",$F64))),"TUBO CRAVADO","")))</f>
        <v/>
      </c>
      <c r="T64">
        <f>IF($A64="","",TEXT($A64,"yyyymm")&amp;"|"&amp;$C64&amp;"|"&amp;$F64&amp;"|"&amp;$N64&amp;"|"&amp;$R64)</f>
        <v/>
      </c>
    </row>
    <row r="65" ht="11.55" customHeight="1">
      <c r="A65" s="10" t="n">
        <v>45996</v>
      </c>
      <c r="B65" s="7" t="inlineStr">
        <is>
          <t>Sexta</t>
        </is>
      </c>
      <c r="C65" s="7" t="inlineStr">
        <is>
          <t>CT Lageado</t>
        </is>
      </c>
      <c r="D65" s="7" t="n"/>
      <c r="E65" s="7" t="inlineStr">
        <is>
          <t>WJ (Alex)</t>
        </is>
      </c>
      <c r="F65" s="13" t="inlineStr">
        <is>
          <t>Passagem de tubo entre os PVs 05 ao 07</t>
        </is>
      </c>
      <c r="G65" s="7" t="inlineStr">
        <is>
          <t>05</t>
        </is>
      </c>
      <c r="H65" s="7" t="n"/>
      <c r="I65" s="7" t="inlineStr">
        <is>
          <t>05</t>
        </is>
      </c>
      <c r="J65" s="7" t="inlineStr">
        <is>
          <t>Passagem de tubo</t>
        </is>
      </c>
      <c r="K65" s="7" t="inlineStr">
        <is>
          <t>Planejamento</t>
        </is>
      </c>
      <c r="L65" s="16" t="inlineStr">
        <is>
          <t>PDS-dezembro(1).docx</t>
        </is>
      </c>
      <c r="M65">
        <f>IF($A65="","",TEXT($A65,"mmmm/yyyy"))</f>
        <v/>
      </c>
      <c r="P65">
        <f>IFERROR(_xludf.XLOOKUP($N65,Base_Enderecos!$A:$A,Base_Enderecos!$B:$B,""),"")</f>
        <v/>
      </c>
      <c r="Q65">
        <f>IFERROR(_xludf.XLOOKUP($N65,Base_Enderecos!$A:$A,Base_Enderecos!$C:$C,""),"")</f>
        <v/>
      </c>
      <c r="R65">
        <f>IF(OR(ISNUMBER(SEARCH("HDD",$F65)),ISNUMBER(SEARCH("MND",$F65)),ISNUMBER(SEARCH("PEAD",$F65)),ISNUMBER(SEARCH("Puxe",$J65)),ISNUMBER(SEARCH("Apoio HDD",$F65))),"MND",IF(OR(ISNUMBER(SEARCH("VCA",$F65)),ISNUMBER(SEARCH("PVC",$F65)),ISNUMBER(SEARCH("vca",$J65)),ISNUMBER(SEARCH("Transformação",$J65))),"VCA",IF(OR(ISNUMBER(SEARCH("crava",$F65)),ISNUMBER(SEARCH("tubo cravado",$F65)),ISNUMBER(SEARCH("shaft",$J65)),ISNUMBER(SEARCH("concreto",$F65))),"TUBO CRAVADO","")))</f>
        <v/>
      </c>
      <c r="T65">
        <f>IF($A65="","",TEXT($A65,"yyyymm")&amp;"|"&amp;$C65&amp;"|"&amp;$F65&amp;"|"&amp;$N65&amp;"|"&amp;$R65)</f>
        <v/>
      </c>
    </row>
    <row r="66" ht="11.55" customHeight="1">
      <c r="A66" s="10" t="n">
        <v>45996</v>
      </c>
      <c r="B66" s="7" t="inlineStr">
        <is>
          <t>Sexta</t>
        </is>
      </c>
      <c r="C66" s="7" t="inlineStr">
        <is>
          <t>CT Benfica</t>
        </is>
      </c>
      <c r="D66" s="7" t="n"/>
      <c r="E66" s="7" t="inlineStr">
        <is>
          <t>Marcelo</t>
        </is>
      </c>
      <c r="F66" s="13" t="inlineStr">
        <is>
          <t>Acabamento entre os PVs 11 e 12</t>
        </is>
      </c>
      <c r="G66" s="7" t="inlineStr">
        <is>
          <t>11</t>
        </is>
      </c>
      <c r="H66" s="7" t="n"/>
      <c r="I66" s="7" t="inlineStr">
        <is>
          <t>11</t>
        </is>
      </c>
      <c r="J66" s="7" t="inlineStr">
        <is>
          <t>Acabamento</t>
        </is>
      </c>
      <c r="K66" s="7" t="inlineStr">
        <is>
          <t>Planejamento</t>
        </is>
      </c>
      <c r="L66" s="16" t="inlineStr">
        <is>
          <t>PDS-dezembro(1).docx</t>
        </is>
      </c>
      <c r="M66">
        <f>IF($A66="","",TEXT($A66,"mmmm/yyyy"))</f>
        <v/>
      </c>
      <c r="P66">
        <f>IFERROR(_xludf.XLOOKUP($N66,Base_Enderecos!$A:$A,Base_Enderecos!$B:$B,""),"")</f>
        <v/>
      </c>
      <c r="Q66">
        <f>IFERROR(_xludf.XLOOKUP($N66,Base_Enderecos!$A:$A,Base_Enderecos!$C:$C,""),"")</f>
        <v/>
      </c>
      <c r="R66">
        <f>IF(OR(ISNUMBER(SEARCH("HDD",$F66)),ISNUMBER(SEARCH("MND",$F66)),ISNUMBER(SEARCH("PEAD",$F66)),ISNUMBER(SEARCH("Puxe",$J66)),ISNUMBER(SEARCH("Apoio HDD",$F66))),"MND",IF(OR(ISNUMBER(SEARCH("VCA",$F66)),ISNUMBER(SEARCH("PVC",$F66)),ISNUMBER(SEARCH("vca",$J66)),ISNUMBER(SEARCH("Transformação",$J66))),"VCA",IF(OR(ISNUMBER(SEARCH("crava",$F66)),ISNUMBER(SEARCH("tubo cravado",$F66)),ISNUMBER(SEARCH("shaft",$J66)),ISNUMBER(SEARCH("concreto",$F66))),"TUBO CRAVADO","")))</f>
        <v/>
      </c>
      <c r="T66">
        <f>IF($A66="","",TEXT($A66,"yyyymm")&amp;"|"&amp;$C66&amp;"|"&amp;$F66&amp;"|"&amp;$N66&amp;"|"&amp;$R66)</f>
        <v/>
      </c>
    </row>
    <row r="67" ht="11.55" customHeight="1">
      <c r="A67" s="10" t="n">
        <v>45996</v>
      </c>
      <c r="B67" s="7" t="inlineStr">
        <is>
          <t>Sexta</t>
        </is>
      </c>
      <c r="C67" s="7" t="inlineStr">
        <is>
          <t>Demais trabalhos</t>
        </is>
      </c>
      <c r="D67" s="7" t="n"/>
      <c r="E67" s="7" t="inlineStr">
        <is>
          <t>Guindauto (Rodrigo)</t>
        </is>
      </c>
      <c r="F67" s="13" t="inlineStr">
        <is>
          <t>Apoio as equipes</t>
        </is>
      </c>
      <c r="G67" s="7" t="n"/>
      <c r="H67" s="7" t="n"/>
      <c r="I67" s="7" t="n"/>
      <c r="J67" s="7" t="n"/>
      <c r="K67" s="7" t="inlineStr">
        <is>
          <t>Planejamento</t>
        </is>
      </c>
      <c r="L67" s="16" t="inlineStr">
        <is>
          <t>PDS-dezembro(1).docx</t>
        </is>
      </c>
      <c r="M67">
        <f>IF($A67="","",TEXT($A67,"mmmm/yyyy"))</f>
        <v/>
      </c>
      <c r="P67">
        <f>IFERROR(_xludf.XLOOKUP($N67,Base_Enderecos!$A:$A,Base_Enderecos!$B:$B,""),"")</f>
        <v/>
      </c>
      <c r="Q67">
        <f>IFERROR(_xludf.XLOOKUP($N67,Base_Enderecos!$A:$A,Base_Enderecos!$C:$C,""),"")</f>
        <v/>
      </c>
      <c r="R67">
        <f>IF(OR(ISNUMBER(SEARCH("HDD",$F67)),ISNUMBER(SEARCH("MND",$F67)),ISNUMBER(SEARCH("PEAD",$F67)),ISNUMBER(SEARCH("Puxe",$J67)),ISNUMBER(SEARCH("Apoio HDD",$F67))),"MND",IF(OR(ISNUMBER(SEARCH("VCA",$F67)),ISNUMBER(SEARCH("PVC",$F67)),ISNUMBER(SEARCH("vca",$J67)),ISNUMBER(SEARCH("Transformação",$J67))),"VCA",IF(OR(ISNUMBER(SEARCH("crava",$F67)),ISNUMBER(SEARCH("tubo cravado",$F67)),ISNUMBER(SEARCH("shaft",$J67)),ISNUMBER(SEARCH("concreto",$F67))),"TUBO CRAVADO","")))</f>
        <v/>
      </c>
      <c r="T67">
        <f>IF($A67="","",TEXT($A67,"yyyymm")&amp;"|"&amp;$C67&amp;"|"&amp;$F67&amp;"|"&amp;$N67&amp;"|"&amp;$R67)</f>
        <v/>
      </c>
    </row>
    <row r="68" ht="11.55" customHeight="1">
      <c r="A68" s="10" t="n">
        <v>45996</v>
      </c>
      <c r="B68" s="7" t="inlineStr">
        <is>
          <t>Sexta</t>
        </is>
      </c>
      <c r="C68" s="7" t="inlineStr">
        <is>
          <t>Demais trabalhos</t>
        </is>
      </c>
      <c r="D68" s="7" t="n"/>
      <c r="E68" s="7" t="inlineStr">
        <is>
          <t>Guindauto (Márcio)</t>
        </is>
      </c>
      <c r="F68" s="13" t="inlineStr">
        <is>
          <t>Apoio as Equipe</t>
        </is>
      </c>
      <c r="G68" s="7" t="n"/>
      <c r="H68" s="7" t="n"/>
      <c r="I68" s="7" t="n"/>
      <c r="J68" s="7" t="n"/>
      <c r="K68" s="7" t="inlineStr">
        <is>
          <t>Planejamento</t>
        </is>
      </c>
      <c r="L68" s="16" t="inlineStr">
        <is>
          <t>PDS-dezembro(1).docx</t>
        </is>
      </c>
      <c r="M68">
        <f>IF($A68="","",TEXT($A68,"mmmm/yyyy"))</f>
        <v/>
      </c>
      <c r="P68">
        <f>IFERROR(_xludf.XLOOKUP($N68,Base_Enderecos!$A:$A,Base_Enderecos!$B:$B,""),"")</f>
        <v/>
      </c>
      <c r="Q68">
        <f>IFERROR(_xludf.XLOOKUP($N68,Base_Enderecos!$A:$A,Base_Enderecos!$C:$C,""),"")</f>
        <v/>
      </c>
      <c r="R68">
        <f>IF(OR(ISNUMBER(SEARCH("HDD",$F68)),ISNUMBER(SEARCH("MND",$F68)),ISNUMBER(SEARCH("PEAD",$F68)),ISNUMBER(SEARCH("Puxe",$J68)),ISNUMBER(SEARCH("Apoio HDD",$F68))),"MND",IF(OR(ISNUMBER(SEARCH("VCA",$F68)),ISNUMBER(SEARCH("PVC",$F68)),ISNUMBER(SEARCH("vca",$J68)),ISNUMBER(SEARCH("Transformação",$J68))),"VCA",IF(OR(ISNUMBER(SEARCH("crava",$F68)),ISNUMBER(SEARCH("tubo cravado",$F68)),ISNUMBER(SEARCH("shaft",$J68)),ISNUMBER(SEARCH("concreto",$F68))),"TUBO CRAVADO","")))</f>
        <v/>
      </c>
      <c r="T68">
        <f>IF($A68="","",TEXT($A68,"yyyymm")&amp;"|"&amp;$C68&amp;"|"&amp;$F68&amp;"|"&amp;$N68&amp;"|"&amp;$R68)</f>
        <v/>
      </c>
    </row>
    <row r="69" ht="11.55" customHeight="1">
      <c r="A69" s="10" t="n">
        <v>45996</v>
      </c>
      <c r="B69" s="7" t="inlineStr">
        <is>
          <t>Sexta</t>
        </is>
      </c>
      <c r="C69" s="7" t="inlineStr">
        <is>
          <t>Vacal</t>
        </is>
      </c>
      <c r="D69" s="7" t="n"/>
      <c r="E69" s="7" t="inlineStr">
        <is>
          <t>Apoio Natalino PV 07 Lageado</t>
        </is>
      </c>
      <c r="F69" s="13" t="inlineStr">
        <is>
          <t>Apoio Vacal</t>
        </is>
      </c>
      <c r="G69" s="7" t="n"/>
      <c r="H69" s="7" t="n"/>
      <c r="I69" s="7" t="n"/>
      <c r="J69" s="7" t="inlineStr">
        <is>
          <t>Vacal</t>
        </is>
      </c>
      <c r="K69" s="7" t="inlineStr">
        <is>
          <t>Apoio</t>
        </is>
      </c>
      <c r="L69" s="16" t="inlineStr">
        <is>
          <t>PDS-dezembro(1).docx</t>
        </is>
      </c>
      <c r="M69">
        <f>IF($A69="","",TEXT($A69,"mmmm/yyyy"))</f>
        <v/>
      </c>
      <c r="P69">
        <f>IFERROR(_xludf.XLOOKUP($N69,Base_Enderecos!$A:$A,Base_Enderecos!$B:$B,""),"")</f>
        <v/>
      </c>
      <c r="Q69">
        <f>IFERROR(_xludf.XLOOKUP($N69,Base_Enderecos!$A:$A,Base_Enderecos!$C:$C,""),"")</f>
        <v/>
      </c>
      <c r="R69">
        <f>IF(OR(ISNUMBER(SEARCH("HDD",$F69)),ISNUMBER(SEARCH("MND",$F69)),ISNUMBER(SEARCH("PEAD",$F69)),ISNUMBER(SEARCH("Puxe",$J69)),ISNUMBER(SEARCH("Apoio HDD",$F69))),"MND",IF(OR(ISNUMBER(SEARCH("VCA",$F69)),ISNUMBER(SEARCH("PVC",$F69)),ISNUMBER(SEARCH("vca",$J69)),ISNUMBER(SEARCH("Transformação",$J69))),"VCA",IF(OR(ISNUMBER(SEARCH("crava",$F69)),ISNUMBER(SEARCH("tubo cravado",$F69)),ISNUMBER(SEARCH("shaft",$J69)),ISNUMBER(SEARCH("concreto",$F69))),"TUBO CRAVADO","")))</f>
        <v/>
      </c>
      <c r="T69">
        <f>IF($A69="","",TEXT($A69,"yyyymm")&amp;"|"&amp;$C69&amp;"|"&amp;$F69&amp;"|"&amp;$N69&amp;"|"&amp;$R69)</f>
        <v/>
      </c>
    </row>
    <row r="70" ht="11.55" customHeight="1">
      <c r="A70" s="10" t="n">
        <v>45996</v>
      </c>
      <c r="B70" s="7" t="inlineStr">
        <is>
          <t>Sexta</t>
        </is>
      </c>
      <c r="C70" s="7" t="inlineStr">
        <is>
          <t>Vacal</t>
        </is>
      </c>
      <c r="D70" s="7" t="n"/>
      <c r="E70" s="7" t="inlineStr">
        <is>
          <t>Apoio Marcio PV 08 Lageado</t>
        </is>
      </c>
      <c r="F70" s="13" t="inlineStr">
        <is>
          <t>Apoio Vacal</t>
        </is>
      </c>
      <c r="G70" s="7" t="n"/>
      <c r="H70" s="7" t="n"/>
      <c r="I70" s="7" t="n"/>
      <c r="J70" s="7" t="inlineStr">
        <is>
          <t>Vacal</t>
        </is>
      </c>
      <c r="K70" s="7" t="inlineStr">
        <is>
          <t>Apoio</t>
        </is>
      </c>
      <c r="L70" s="16" t="inlineStr">
        <is>
          <t>PDS-dezembro(1).docx</t>
        </is>
      </c>
      <c r="M70">
        <f>IF($A70="","",TEXT($A70,"mmmm/yyyy"))</f>
        <v/>
      </c>
      <c r="P70">
        <f>IFERROR(_xludf.XLOOKUP($N70,Base_Enderecos!$A:$A,Base_Enderecos!$B:$B,""),"")</f>
        <v/>
      </c>
      <c r="Q70">
        <f>IFERROR(_xludf.XLOOKUP($N70,Base_Enderecos!$A:$A,Base_Enderecos!$C:$C,""),"")</f>
        <v/>
      </c>
      <c r="R70">
        <f>IF(OR(ISNUMBER(SEARCH("HDD",$F70)),ISNUMBER(SEARCH("MND",$F70)),ISNUMBER(SEARCH("PEAD",$F70)),ISNUMBER(SEARCH("Puxe",$J70)),ISNUMBER(SEARCH("Apoio HDD",$F70))),"MND",IF(OR(ISNUMBER(SEARCH("VCA",$F70)),ISNUMBER(SEARCH("PVC",$F70)),ISNUMBER(SEARCH("vca",$J70)),ISNUMBER(SEARCH("Transformação",$J70))),"VCA",IF(OR(ISNUMBER(SEARCH("crava",$F70)),ISNUMBER(SEARCH("tubo cravado",$F70)),ISNUMBER(SEARCH("shaft",$J70)),ISNUMBER(SEARCH("concreto",$F70))),"TUBO CRAVADO","")))</f>
        <v/>
      </c>
      <c r="T70">
        <f>IF($A70="","",TEXT($A70,"yyyymm")&amp;"|"&amp;$C70&amp;"|"&amp;$F70&amp;"|"&amp;$N70&amp;"|"&amp;$R70)</f>
        <v/>
      </c>
    </row>
    <row r="71" ht="11.55" customHeight="1">
      <c r="A71" s="10" t="n">
        <v>45996</v>
      </c>
      <c r="B71" s="7" t="inlineStr">
        <is>
          <t>Sexta</t>
        </is>
      </c>
      <c r="C71" s="7" t="inlineStr">
        <is>
          <t>Vacal</t>
        </is>
      </c>
      <c r="D71" s="7" t="n"/>
      <c r="E71" s="7" t="inlineStr">
        <is>
          <t>Apoio Fabrício PV 7.1 Lageado</t>
        </is>
      </c>
      <c r="F71" s="13" t="inlineStr">
        <is>
          <t>Apoio Vacal</t>
        </is>
      </c>
      <c r="G71" s="7" t="n"/>
      <c r="H71" s="7" t="n"/>
      <c r="I71" s="7" t="n"/>
      <c r="J71" s="7" t="inlineStr">
        <is>
          <t>Vacal</t>
        </is>
      </c>
      <c r="K71" s="7" t="inlineStr">
        <is>
          <t>Apoio</t>
        </is>
      </c>
      <c r="L71" s="16" t="inlineStr">
        <is>
          <t>PDS-dezembro(1).docx</t>
        </is>
      </c>
      <c r="M71">
        <f>IF($A71="","",TEXT($A71,"mmmm/yyyy"))</f>
        <v/>
      </c>
      <c r="P71">
        <f>IFERROR(_xludf.XLOOKUP($N71,Base_Enderecos!$A:$A,Base_Enderecos!$B:$B,""),"")</f>
        <v/>
      </c>
      <c r="Q71">
        <f>IFERROR(_xludf.XLOOKUP($N71,Base_Enderecos!$A:$A,Base_Enderecos!$C:$C,""),"")</f>
        <v/>
      </c>
      <c r="R71">
        <f>IF(OR(ISNUMBER(SEARCH("HDD",$F71)),ISNUMBER(SEARCH("MND",$F71)),ISNUMBER(SEARCH("PEAD",$F71)),ISNUMBER(SEARCH("Puxe",$J71)),ISNUMBER(SEARCH("Apoio HDD",$F71))),"MND",IF(OR(ISNUMBER(SEARCH("VCA",$F71)),ISNUMBER(SEARCH("PVC",$F71)),ISNUMBER(SEARCH("vca",$J71)),ISNUMBER(SEARCH("Transformação",$J71))),"VCA",IF(OR(ISNUMBER(SEARCH("crava",$F71)),ISNUMBER(SEARCH("tubo cravado",$F71)),ISNUMBER(SEARCH("shaft",$J71)),ISNUMBER(SEARCH("concreto",$F71))),"TUBO CRAVADO","")))</f>
        <v/>
      </c>
      <c r="T71">
        <f>IF($A71="","",TEXT($A71,"yyyymm")&amp;"|"&amp;$C71&amp;"|"&amp;$F71&amp;"|"&amp;$N71&amp;"|"&amp;$R71)</f>
        <v/>
      </c>
    </row>
    <row r="72" ht="11.55" customHeight="1">
      <c r="A72" s="10" t="n">
        <v>45999</v>
      </c>
      <c r="B72" s="7" t="inlineStr">
        <is>
          <t>Segunda</t>
        </is>
      </c>
      <c r="C72" s="7" t="inlineStr">
        <is>
          <t>Miriam</t>
        </is>
      </c>
      <c r="D72" s="7" t="n"/>
      <c r="E72" s="7" t="inlineStr">
        <is>
          <t>Paulo</t>
        </is>
      </c>
      <c r="F72" s="13" t="inlineStr">
        <is>
          <t>Recomposição de vala, calçada e rampa de acesso entre os PVs 57 ao 59</t>
        </is>
      </c>
      <c r="G72" s="7" t="inlineStr">
        <is>
          <t>57</t>
        </is>
      </c>
      <c r="H72" s="7" t="n"/>
      <c r="I72" s="7" t="inlineStr">
        <is>
          <t>57</t>
        </is>
      </c>
      <c r="J72" s="7" t="inlineStr">
        <is>
          <t>Recomposição</t>
        </is>
      </c>
      <c r="K72" s="7" t="inlineStr">
        <is>
          <t>Planejamento</t>
        </is>
      </c>
      <c r="L72" s="16" t="inlineStr">
        <is>
          <t>PDS-dezembro(1).docx</t>
        </is>
      </c>
      <c r="M72">
        <f>IF($A72="","",TEXT($A72,"mmmm/yyyy"))</f>
        <v/>
      </c>
      <c r="P72">
        <f>IFERROR(_xludf.XLOOKUP($N72,Base_Enderecos!$A:$A,Base_Enderecos!$B:$B,""),"")</f>
        <v/>
      </c>
      <c r="Q72">
        <f>IFERROR(_xludf.XLOOKUP($N72,Base_Enderecos!$A:$A,Base_Enderecos!$C:$C,""),"")</f>
        <v/>
      </c>
      <c r="R72">
        <f>IF(OR(ISNUMBER(SEARCH("HDD",$F72)),ISNUMBER(SEARCH("MND",$F72)),ISNUMBER(SEARCH("PEAD",$F72)),ISNUMBER(SEARCH("Puxe",$J72)),ISNUMBER(SEARCH("Apoio HDD",$F72))),"MND",IF(OR(ISNUMBER(SEARCH("VCA",$F72)),ISNUMBER(SEARCH("PVC",$F72)),ISNUMBER(SEARCH("vca",$J72)),ISNUMBER(SEARCH("Transformação",$J72))),"VCA",IF(OR(ISNUMBER(SEARCH("crava",$F72)),ISNUMBER(SEARCH("tubo cravado",$F72)),ISNUMBER(SEARCH("shaft",$J72)),ISNUMBER(SEARCH("concreto",$F72))),"TUBO CRAVADO","")))</f>
        <v/>
      </c>
      <c r="T72">
        <f>IF($A72="","",TEXT($A72,"yyyymm")&amp;"|"&amp;$C72&amp;"|"&amp;$F72&amp;"|"&amp;$N72&amp;"|"&amp;$R72)</f>
        <v/>
      </c>
    </row>
    <row r="73" ht="11.55" customHeight="1">
      <c r="A73" s="10" t="n">
        <v>45999</v>
      </c>
      <c r="B73" s="7" t="inlineStr">
        <is>
          <t>Segunda</t>
        </is>
      </c>
      <c r="C73" s="7" t="inlineStr">
        <is>
          <t>CT Lageado</t>
        </is>
      </c>
      <c r="D73" s="7" t="n"/>
      <c r="E73" s="7" t="inlineStr">
        <is>
          <t>Cesar</t>
        </is>
      </c>
      <c r="F73" s="13" t="inlineStr">
        <is>
          <t>transformar PV 04</t>
        </is>
      </c>
      <c r="G73" s="7" t="inlineStr">
        <is>
          <t>04</t>
        </is>
      </c>
      <c r="H73" s="7" t="n"/>
      <c r="I73" s="7" t="inlineStr">
        <is>
          <t>04</t>
        </is>
      </c>
      <c r="J73" s="7" t="n"/>
      <c r="K73" s="7" t="inlineStr">
        <is>
          <t>Planejamento</t>
        </is>
      </c>
      <c r="L73" s="16" t="inlineStr">
        <is>
          <t>PDS-dezembro(1).docx</t>
        </is>
      </c>
      <c r="M73">
        <f>IF($A73="","",TEXT($A73,"mmmm/yyyy"))</f>
        <v/>
      </c>
      <c r="P73">
        <f>IFERROR(_xludf.XLOOKUP($N73,Base_Enderecos!$A:$A,Base_Enderecos!$B:$B,""),"")</f>
        <v/>
      </c>
      <c r="Q73">
        <f>IFERROR(_xludf.XLOOKUP($N73,Base_Enderecos!$A:$A,Base_Enderecos!$C:$C,""),"")</f>
        <v/>
      </c>
      <c r="R73">
        <f>IF(OR(ISNUMBER(SEARCH("HDD",$F73)),ISNUMBER(SEARCH("MND",$F73)),ISNUMBER(SEARCH("PEAD",$F73)),ISNUMBER(SEARCH("Puxe",$J73)),ISNUMBER(SEARCH("Apoio HDD",$F73))),"MND",IF(OR(ISNUMBER(SEARCH("VCA",$F73)),ISNUMBER(SEARCH("PVC",$F73)),ISNUMBER(SEARCH("vca",$J73)),ISNUMBER(SEARCH("Transformação",$J73))),"VCA",IF(OR(ISNUMBER(SEARCH("crava",$F73)),ISNUMBER(SEARCH("tubo cravado",$F73)),ISNUMBER(SEARCH("shaft",$J73)),ISNUMBER(SEARCH("concreto",$F73))),"TUBO CRAVADO","")))</f>
        <v/>
      </c>
      <c r="T73">
        <f>IF($A73="","",TEXT($A73,"yyyymm")&amp;"|"&amp;$C73&amp;"|"&amp;$F73&amp;"|"&amp;$N73&amp;"|"&amp;$R73)</f>
        <v/>
      </c>
    </row>
    <row r="74" ht="11.55" customHeight="1">
      <c r="A74" s="10" t="n">
        <v>45999</v>
      </c>
      <c r="B74" s="7" t="inlineStr">
        <is>
          <t>Segunda</t>
        </is>
      </c>
      <c r="C74" s="7" t="inlineStr">
        <is>
          <t>CT Lageado</t>
        </is>
      </c>
      <c r="D74" s="7" t="n"/>
      <c r="E74" s="7" t="inlineStr">
        <is>
          <t>Higor</t>
        </is>
      </c>
      <c r="F74" s="13" t="inlineStr">
        <is>
          <t>transformar PV 03</t>
        </is>
      </c>
      <c r="G74" s="7" t="inlineStr">
        <is>
          <t>03</t>
        </is>
      </c>
      <c r="H74" s="7" t="n"/>
      <c r="I74" s="7" t="inlineStr">
        <is>
          <t>03</t>
        </is>
      </c>
      <c r="J74" s="7" t="n"/>
      <c r="K74" s="7" t="inlineStr">
        <is>
          <t>Planejamento</t>
        </is>
      </c>
      <c r="L74" s="16" t="inlineStr">
        <is>
          <t>PDS-dezembro(1).docx</t>
        </is>
      </c>
      <c r="M74">
        <f>IF($A74="","",TEXT($A74,"mmmm/yyyy"))</f>
        <v/>
      </c>
      <c r="P74">
        <f>IFERROR(_xludf.XLOOKUP($N74,Base_Enderecos!$A:$A,Base_Enderecos!$B:$B,""),"")</f>
        <v/>
      </c>
      <c r="Q74">
        <f>IFERROR(_xludf.XLOOKUP($N74,Base_Enderecos!$A:$A,Base_Enderecos!$C:$C,""),"")</f>
        <v/>
      </c>
      <c r="R74">
        <f>IF(OR(ISNUMBER(SEARCH("HDD",$F74)),ISNUMBER(SEARCH("MND",$F74)),ISNUMBER(SEARCH("PEAD",$F74)),ISNUMBER(SEARCH("Puxe",$J74)),ISNUMBER(SEARCH("Apoio HDD",$F74))),"MND",IF(OR(ISNUMBER(SEARCH("VCA",$F74)),ISNUMBER(SEARCH("PVC",$F74)),ISNUMBER(SEARCH("vca",$J74)),ISNUMBER(SEARCH("Transformação",$J74))),"VCA",IF(OR(ISNUMBER(SEARCH("crava",$F74)),ISNUMBER(SEARCH("tubo cravado",$F74)),ISNUMBER(SEARCH("shaft",$J74)),ISNUMBER(SEARCH("concreto",$F74))),"TUBO CRAVADO","")))</f>
        <v/>
      </c>
      <c r="T74">
        <f>IF($A74="","",TEXT($A74,"yyyymm")&amp;"|"&amp;$C74&amp;"|"&amp;$F74&amp;"|"&amp;$N74&amp;"|"&amp;$R74)</f>
        <v/>
      </c>
    </row>
    <row r="75" ht="11.55" customHeight="1">
      <c r="A75" s="10" t="n">
        <v>45999</v>
      </c>
      <c r="B75" s="7" t="inlineStr">
        <is>
          <t>Segunda</t>
        </is>
      </c>
      <c r="C75" s="7" t="inlineStr">
        <is>
          <t>CT Lageado</t>
        </is>
      </c>
      <c r="D75" s="7" t="n"/>
      <c r="E75" s="7" t="inlineStr">
        <is>
          <t>Edivando</t>
        </is>
      </c>
      <c r="F75" s="13" t="inlineStr">
        <is>
          <t>VCA entre os PVs 1.2 ao 1.3</t>
        </is>
      </c>
      <c r="G75" s="7" t="inlineStr">
        <is>
          <t>1.2</t>
        </is>
      </c>
      <c r="H75" s="7" t="n"/>
      <c r="I75" s="7" t="inlineStr">
        <is>
          <t>1.2</t>
        </is>
      </c>
      <c r="J75" s="7" t="inlineStr">
        <is>
          <t>VCA</t>
        </is>
      </c>
      <c r="K75" s="7" t="inlineStr">
        <is>
          <t>Planejamento</t>
        </is>
      </c>
      <c r="L75" s="16" t="inlineStr">
        <is>
          <t>PDS-dezembro(1).docx</t>
        </is>
      </c>
      <c r="M75">
        <f>IF($A75="","",TEXT($A75,"mmmm/yyyy"))</f>
        <v/>
      </c>
      <c r="P75">
        <f>IFERROR(_xludf.XLOOKUP($N75,Base_Enderecos!$A:$A,Base_Enderecos!$B:$B,""),"")</f>
        <v/>
      </c>
      <c r="Q75">
        <f>IFERROR(_xludf.XLOOKUP($N75,Base_Enderecos!$A:$A,Base_Enderecos!$C:$C,""),"")</f>
        <v/>
      </c>
      <c r="R75">
        <f>IF(OR(ISNUMBER(SEARCH("HDD",$F75)),ISNUMBER(SEARCH("MND",$F75)),ISNUMBER(SEARCH("PEAD",$F75)),ISNUMBER(SEARCH("Puxe",$J75)),ISNUMBER(SEARCH("Apoio HDD",$F75))),"MND",IF(OR(ISNUMBER(SEARCH("VCA",$F75)),ISNUMBER(SEARCH("PVC",$F75)),ISNUMBER(SEARCH("vca",$J75)),ISNUMBER(SEARCH("Transformação",$J75))),"VCA",IF(OR(ISNUMBER(SEARCH("crava",$F75)),ISNUMBER(SEARCH("tubo cravado",$F75)),ISNUMBER(SEARCH("shaft",$J75)),ISNUMBER(SEARCH("concreto",$F75))),"TUBO CRAVADO","")))</f>
        <v/>
      </c>
      <c r="T75">
        <f>IF($A75="","",TEXT($A75,"yyyymm")&amp;"|"&amp;$C75&amp;"|"&amp;$F75&amp;"|"&amp;$N75&amp;"|"&amp;$R75)</f>
        <v/>
      </c>
    </row>
    <row r="76" ht="11.55" customHeight="1">
      <c r="A76" s="10" t="n">
        <v>45999</v>
      </c>
      <c r="B76" s="7" t="inlineStr">
        <is>
          <t>Segunda</t>
        </is>
      </c>
      <c r="C76" s="7" t="inlineStr">
        <is>
          <t>CT Lageado</t>
        </is>
      </c>
      <c r="D76" s="7" t="n"/>
      <c r="E76" s="7" t="inlineStr">
        <is>
          <t>Fabrício</t>
        </is>
      </c>
      <c r="F76" s="13" t="inlineStr">
        <is>
          <t>Apoio HDD entre PVs 12 a 12.1</t>
        </is>
      </c>
      <c r="G76" s="7" t="inlineStr">
        <is>
          <t>12</t>
        </is>
      </c>
      <c r="H76" s="7" t="n"/>
      <c r="I76" s="7" t="inlineStr">
        <is>
          <t>12</t>
        </is>
      </c>
      <c r="J76" s="7" t="inlineStr">
        <is>
          <t>Apoio HDD</t>
        </is>
      </c>
      <c r="K76" s="7" t="inlineStr">
        <is>
          <t>Planejamento</t>
        </is>
      </c>
      <c r="L76" s="16" t="inlineStr">
        <is>
          <t>PDS-dezembro(1).docx</t>
        </is>
      </c>
      <c r="M76">
        <f>IF($A76="","",TEXT($A76,"mmmm/yyyy"))</f>
        <v/>
      </c>
      <c r="P76">
        <f>IFERROR(_xludf.XLOOKUP($N76,Base_Enderecos!$A:$A,Base_Enderecos!$B:$B,""),"")</f>
        <v/>
      </c>
      <c r="Q76">
        <f>IFERROR(_xludf.XLOOKUP($N76,Base_Enderecos!$A:$A,Base_Enderecos!$C:$C,""),"")</f>
        <v/>
      </c>
      <c r="R76">
        <f>IF(OR(ISNUMBER(SEARCH("HDD",$F76)),ISNUMBER(SEARCH("MND",$F76)),ISNUMBER(SEARCH("PEAD",$F76)),ISNUMBER(SEARCH("Puxe",$J76)),ISNUMBER(SEARCH("Apoio HDD",$F76))),"MND",IF(OR(ISNUMBER(SEARCH("VCA",$F76)),ISNUMBER(SEARCH("PVC",$F76)),ISNUMBER(SEARCH("vca",$J76)),ISNUMBER(SEARCH("Transformação",$J76))),"VCA",IF(OR(ISNUMBER(SEARCH("crava",$F76)),ISNUMBER(SEARCH("tubo cravado",$F76)),ISNUMBER(SEARCH("shaft",$J76)),ISNUMBER(SEARCH("concreto",$F76))),"TUBO CRAVADO","")))</f>
        <v/>
      </c>
      <c r="T76">
        <f>IF($A76="","",TEXT($A76,"yyyymm")&amp;"|"&amp;$C76&amp;"|"&amp;$F76&amp;"|"&amp;$N76&amp;"|"&amp;$R76)</f>
        <v/>
      </c>
    </row>
    <row r="77" ht="11.55" customHeight="1">
      <c r="A77" s="10" t="n">
        <v>45999</v>
      </c>
      <c r="B77" s="7" t="inlineStr">
        <is>
          <t>Segunda</t>
        </is>
      </c>
      <c r="C77" s="7" t="inlineStr">
        <is>
          <t>CT Lageado</t>
        </is>
      </c>
      <c r="D77" s="7" t="n"/>
      <c r="E77" s="7" t="inlineStr">
        <is>
          <t>Work Drill (Bruno)</t>
        </is>
      </c>
      <c r="F77" s="13" t="inlineStr">
        <is>
          <t>Execução do furo piloto entre os PVs 12 ao 12.1</t>
        </is>
      </c>
      <c r="G77" s="7" t="inlineStr">
        <is>
          <t>12</t>
        </is>
      </c>
      <c r="H77" s="7" t="n"/>
      <c r="I77" s="7" t="inlineStr">
        <is>
          <t>12</t>
        </is>
      </c>
      <c r="J77" s="7" t="inlineStr">
        <is>
          <t>Furo piloto</t>
        </is>
      </c>
      <c r="K77" s="7" t="inlineStr">
        <is>
          <t>Planejamento</t>
        </is>
      </c>
      <c r="L77" s="16" t="inlineStr">
        <is>
          <t>PDS-dezembro(1).docx</t>
        </is>
      </c>
      <c r="M77">
        <f>IF($A77="","",TEXT($A77,"mmmm/yyyy"))</f>
        <v/>
      </c>
      <c r="P77">
        <f>IFERROR(_xludf.XLOOKUP($N77,Base_Enderecos!$A:$A,Base_Enderecos!$B:$B,""),"")</f>
        <v/>
      </c>
      <c r="Q77">
        <f>IFERROR(_xludf.XLOOKUP($N77,Base_Enderecos!$A:$A,Base_Enderecos!$C:$C,""),"")</f>
        <v/>
      </c>
      <c r="R77">
        <f>IF(OR(ISNUMBER(SEARCH("HDD",$F77)),ISNUMBER(SEARCH("MND",$F77)),ISNUMBER(SEARCH("PEAD",$F77)),ISNUMBER(SEARCH("Puxe",$J77)),ISNUMBER(SEARCH("Apoio HDD",$F77))),"MND",IF(OR(ISNUMBER(SEARCH("VCA",$F77)),ISNUMBER(SEARCH("PVC",$F77)),ISNUMBER(SEARCH("vca",$J77)),ISNUMBER(SEARCH("Transformação",$J77))),"VCA",IF(OR(ISNUMBER(SEARCH("crava",$F77)),ISNUMBER(SEARCH("tubo cravado",$F77)),ISNUMBER(SEARCH("shaft",$J77)),ISNUMBER(SEARCH("concreto",$F77))),"TUBO CRAVADO","")))</f>
        <v/>
      </c>
      <c r="T77">
        <f>IF($A77="","",TEXT($A77,"yyyymm")&amp;"|"&amp;$C77&amp;"|"&amp;$F77&amp;"|"&amp;$N77&amp;"|"&amp;$R77)</f>
        <v/>
      </c>
    </row>
    <row r="78" ht="11.55" customHeight="1">
      <c r="A78" s="10" t="n">
        <v>45999</v>
      </c>
      <c r="B78" s="7" t="inlineStr">
        <is>
          <t>Segunda</t>
        </is>
      </c>
      <c r="C78" s="7" t="inlineStr">
        <is>
          <t>CT Lageado</t>
        </is>
      </c>
      <c r="D78" s="7" t="n"/>
      <c r="E78" s="7" t="inlineStr">
        <is>
          <t>Valter</t>
        </is>
      </c>
      <c r="F78" s="13" t="inlineStr">
        <is>
          <t>Transformação PV 7.1</t>
        </is>
      </c>
      <c r="G78" s="7" t="inlineStr">
        <is>
          <t>7.1</t>
        </is>
      </c>
      <c r="H78" s="7" t="n"/>
      <c r="I78" s="7" t="inlineStr">
        <is>
          <t>7.1</t>
        </is>
      </c>
      <c r="J78" s="7" t="inlineStr">
        <is>
          <t>Transformação</t>
        </is>
      </c>
      <c r="K78" s="7" t="inlineStr">
        <is>
          <t>Planejamento</t>
        </is>
      </c>
      <c r="L78" s="16" t="inlineStr">
        <is>
          <t>PDS-dezembro(1).docx</t>
        </is>
      </c>
      <c r="M78">
        <f>IF($A78="","",TEXT($A78,"mmmm/yyyy"))</f>
        <v/>
      </c>
      <c r="P78">
        <f>IFERROR(_xludf.XLOOKUP($N78,Base_Enderecos!$A:$A,Base_Enderecos!$B:$B,""),"")</f>
        <v/>
      </c>
      <c r="Q78">
        <f>IFERROR(_xludf.XLOOKUP($N78,Base_Enderecos!$A:$A,Base_Enderecos!$C:$C,""),"")</f>
        <v/>
      </c>
      <c r="R78">
        <f>IF(OR(ISNUMBER(SEARCH("HDD",$F78)),ISNUMBER(SEARCH("MND",$F78)),ISNUMBER(SEARCH("PEAD",$F78)),ISNUMBER(SEARCH("Puxe",$J78)),ISNUMBER(SEARCH("Apoio HDD",$F78))),"MND",IF(OR(ISNUMBER(SEARCH("VCA",$F78)),ISNUMBER(SEARCH("PVC",$F78)),ISNUMBER(SEARCH("vca",$J78)),ISNUMBER(SEARCH("Transformação",$J78))),"VCA",IF(OR(ISNUMBER(SEARCH("crava",$F78)),ISNUMBER(SEARCH("tubo cravado",$F78)),ISNUMBER(SEARCH("shaft",$J78)),ISNUMBER(SEARCH("concreto",$F78))),"TUBO CRAVADO","")))</f>
        <v/>
      </c>
      <c r="T78">
        <f>IF($A78="","",TEXT($A78,"yyyymm")&amp;"|"&amp;$C78&amp;"|"&amp;$F78&amp;"|"&amp;$N78&amp;"|"&amp;$R78)</f>
        <v/>
      </c>
    </row>
    <row r="79" ht="11.55" customHeight="1">
      <c r="A79" s="10" t="n">
        <v>45999</v>
      </c>
      <c r="B79" s="7" t="inlineStr">
        <is>
          <t>Segunda</t>
        </is>
      </c>
      <c r="C79" s="7" t="inlineStr">
        <is>
          <t>CT Lageado</t>
        </is>
      </c>
      <c r="D79" s="7" t="n"/>
      <c r="E79" s="7" t="inlineStr">
        <is>
          <t>Marcio</t>
        </is>
      </c>
      <c r="F79" s="13" t="inlineStr">
        <is>
          <t>Apoio HDD entre PVs 08 a 10</t>
        </is>
      </c>
      <c r="G79" s="7" t="inlineStr">
        <is>
          <t>08</t>
        </is>
      </c>
      <c r="H79" s="7" t="n"/>
      <c r="I79" s="7" t="inlineStr">
        <is>
          <t>08</t>
        </is>
      </c>
      <c r="J79" s="7" t="inlineStr">
        <is>
          <t>Apoio HDD</t>
        </is>
      </c>
      <c r="K79" s="7" t="inlineStr">
        <is>
          <t>Planejamento</t>
        </is>
      </c>
      <c r="L79" s="16" t="inlineStr">
        <is>
          <t>PDS-dezembro(1).docx</t>
        </is>
      </c>
      <c r="M79">
        <f>IF($A79="","",TEXT($A79,"mmmm/yyyy"))</f>
        <v/>
      </c>
      <c r="P79">
        <f>IFERROR(_xludf.XLOOKUP($N79,Base_Enderecos!$A:$A,Base_Enderecos!$B:$B,""),"")</f>
        <v/>
      </c>
      <c r="Q79">
        <f>IFERROR(_xludf.XLOOKUP($N79,Base_Enderecos!$A:$A,Base_Enderecos!$C:$C,""),"")</f>
        <v/>
      </c>
      <c r="R79">
        <f>IF(OR(ISNUMBER(SEARCH("HDD",$F79)),ISNUMBER(SEARCH("MND",$F79)),ISNUMBER(SEARCH("PEAD",$F79)),ISNUMBER(SEARCH("Puxe",$J79)),ISNUMBER(SEARCH("Apoio HDD",$F79))),"MND",IF(OR(ISNUMBER(SEARCH("VCA",$F79)),ISNUMBER(SEARCH("PVC",$F79)),ISNUMBER(SEARCH("vca",$J79)),ISNUMBER(SEARCH("Transformação",$J79))),"VCA",IF(OR(ISNUMBER(SEARCH("crava",$F79)),ISNUMBER(SEARCH("tubo cravado",$F79)),ISNUMBER(SEARCH("shaft",$J79)),ISNUMBER(SEARCH("concreto",$F79))),"TUBO CRAVADO","")))</f>
        <v/>
      </c>
      <c r="T79">
        <f>IF($A79="","",TEXT($A79,"yyyymm")&amp;"|"&amp;$C79&amp;"|"&amp;$F79&amp;"|"&amp;$N79&amp;"|"&amp;$R79)</f>
        <v/>
      </c>
    </row>
    <row r="80" ht="11.55" customHeight="1">
      <c r="A80" s="10" t="n">
        <v>45999</v>
      </c>
      <c r="B80" s="7" t="inlineStr">
        <is>
          <t>Segunda</t>
        </is>
      </c>
      <c r="C80" s="7" t="inlineStr">
        <is>
          <t>CT Lageado</t>
        </is>
      </c>
      <c r="D80" s="7" t="n"/>
      <c r="E80" s="7" t="inlineStr">
        <is>
          <t>WJ (Alex)</t>
        </is>
      </c>
      <c r="F80" s="13" t="inlineStr">
        <is>
          <t>Execução do furo piloto entre os PVs 08 ao 10</t>
        </is>
      </c>
      <c r="G80" s="7" t="inlineStr">
        <is>
          <t>08</t>
        </is>
      </c>
      <c r="H80" s="7" t="n"/>
      <c r="I80" s="7" t="inlineStr">
        <is>
          <t>08</t>
        </is>
      </c>
      <c r="J80" s="7" t="inlineStr">
        <is>
          <t>Furo piloto</t>
        </is>
      </c>
      <c r="K80" s="7" t="inlineStr">
        <is>
          <t>Planejamento</t>
        </is>
      </c>
      <c r="L80" s="16" t="inlineStr">
        <is>
          <t>PDS-dezembro(1).docx</t>
        </is>
      </c>
      <c r="M80">
        <f>IF($A80="","",TEXT($A80,"mmmm/yyyy"))</f>
        <v/>
      </c>
      <c r="P80">
        <f>IFERROR(_xludf.XLOOKUP($N80,Base_Enderecos!$A:$A,Base_Enderecos!$B:$B,""),"")</f>
        <v/>
      </c>
      <c r="Q80">
        <f>IFERROR(_xludf.XLOOKUP($N80,Base_Enderecos!$A:$A,Base_Enderecos!$C:$C,""),"")</f>
        <v/>
      </c>
      <c r="R80">
        <f>IF(OR(ISNUMBER(SEARCH("HDD",$F80)),ISNUMBER(SEARCH("MND",$F80)),ISNUMBER(SEARCH("PEAD",$F80)),ISNUMBER(SEARCH("Puxe",$J80)),ISNUMBER(SEARCH("Apoio HDD",$F80))),"MND",IF(OR(ISNUMBER(SEARCH("VCA",$F80)),ISNUMBER(SEARCH("PVC",$F80)),ISNUMBER(SEARCH("vca",$J80)),ISNUMBER(SEARCH("Transformação",$J80))),"VCA",IF(OR(ISNUMBER(SEARCH("crava",$F80)),ISNUMBER(SEARCH("tubo cravado",$F80)),ISNUMBER(SEARCH("shaft",$J80)),ISNUMBER(SEARCH("concreto",$F80))),"TUBO CRAVADO","")))</f>
        <v/>
      </c>
      <c r="T80">
        <f>IF($A80="","",TEXT($A80,"yyyymm")&amp;"|"&amp;$C80&amp;"|"&amp;$F80&amp;"|"&amp;$N80&amp;"|"&amp;$R80)</f>
        <v/>
      </c>
    </row>
    <row r="81" ht="11.55" customHeight="1">
      <c r="A81" s="10" t="n">
        <v>45999</v>
      </c>
      <c r="B81" s="7" t="inlineStr">
        <is>
          <t>Segunda</t>
        </is>
      </c>
      <c r="C81" s="7" t="inlineStr">
        <is>
          <t>CT Lageado</t>
        </is>
      </c>
      <c r="D81" s="7" t="n"/>
      <c r="E81" s="7" t="inlineStr">
        <is>
          <t>Marcelo</t>
        </is>
      </c>
      <c r="F81" s="13" t="inlineStr">
        <is>
          <t>Transformação PV 05</t>
        </is>
      </c>
      <c r="G81" s="7" t="inlineStr">
        <is>
          <t>05</t>
        </is>
      </c>
      <c r="H81" s="7" t="n"/>
      <c r="I81" s="7" t="inlineStr">
        <is>
          <t>05</t>
        </is>
      </c>
      <c r="J81" s="7" t="inlineStr">
        <is>
          <t>Transformação</t>
        </is>
      </c>
      <c r="K81" s="7" t="inlineStr">
        <is>
          <t>Planejamento</t>
        </is>
      </c>
      <c r="L81" s="16" t="inlineStr">
        <is>
          <t>PDS-dezembro(1).docx</t>
        </is>
      </c>
      <c r="M81">
        <f>IF($A81="","",TEXT($A81,"mmmm/yyyy"))</f>
        <v/>
      </c>
      <c r="P81">
        <f>IFERROR(_xludf.XLOOKUP($N81,Base_Enderecos!$A:$A,Base_Enderecos!$B:$B,""),"")</f>
        <v/>
      </c>
      <c r="Q81">
        <f>IFERROR(_xludf.XLOOKUP($N81,Base_Enderecos!$A:$A,Base_Enderecos!$C:$C,""),"")</f>
        <v/>
      </c>
      <c r="R81">
        <f>IF(OR(ISNUMBER(SEARCH("HDD",$F81)),ISNUMBER(SEARCH("MND",$F81)),ISNUMBER(SEARCH("PEAD",$F81)),ISNUMBER(SEARCH("Puxe",$J81)),ISNUMBER(SEARCH("Apoio HDD",$F81))),"MND",IF(OR(ISNUMBER(SEARCH("VCA",$F81)),ISNUMBER(SEARCH("PVC",$F81)),ISNUMBER(SEARCH("vca",$J81)),ISNUMBER(SEARCH("Transformação",$J81))),"VCA",IF(OR(ISNUMBER(SEARCH("crava",$F81)),ISNUMBER(SEARCH("tubo cravado",$F81)),ISNUMBER(SEARCH("shaft",$J81)),ISNUMBER(SEARCH("concreto",$F81))),"TUBO CRAVADO","")))</f>
        <v/>
      </c>
      <c r="T81">
        <f>IF($A81="","",TEXT($A81,"yyyymm")&amp;"|"&amp;$C81&amp;"|"&amp;$F81&amp;"|"&amp;$N81&amp;"|"&amp;$R81)</f>
        <v/>
      </c>
    </row>
    <row r="82" ht="11.55" customHeight="1">
      <c r="A82" s="10" t="n">
        <v>45999</v>
      </c>
      <c r="B82" s="7" t="inlineStr">
        <is>
          <t>Segunda</t>
        </is>
      </c>
      <c r="C82" s="7" t="inlineStr">
        <is>
          <t>Demais trabalhos</t>
        </is>
      </c>
      <c r="D82" s="7" t="n"/>
      <c r="E82" s="7" t="inlineStr">
        <is>
          <t>Guindauto (Rodrigo)</t>
        </is>
      </c>
      <c r="F82" s="13" t="inlineStr">
        <is>
          <t>Apoio as equipes</t>
        </is>
      </c>
      <c r="G82" s="7" t="n"/>
      <c r="H82" s="7" t="n"/>
      <c r="I82" s="7" t="n"/>
      <c r="J82" s="7" t="n"/>
      <c r="K82" s="7" t="inlineStr">
        <is>
          <t>Planejamento</t>
        </is>
      </c>
      <c r="L82" s="16" t="inlineStr">
        <is>
          <t>PDS-dezembro(1).docx</t>
        </is>
      </c>
      <c r="M82">
        <f>IF($A82="","",TEXT($A82,"mmmm/yyyy"))</f>
        <v/>
      </c>
      <c r="P82">
        <f>IFERROR(_xludf.XLOOKUP($N82,Base_Enderecos!$A:$A,Base_Enderecos!$B:$B,""),"")</f>
        <v/>
      </c>
      <c r="Q82">
        <f>IFERROR(_xludf.XLOOKUP($N82,Base_Enderecos!$A:$A,Base_Enderecos!$C:$C,""),"")</f>
        <v/>
      </c>
      <c r="R82">
        <f>IF(OR(ISNUMBER(SEARCH("HDD",$F82)),ISNUMBER(SEARCH("MND",$F82)),ISNUMBER(SEARCH("PEAD",$F82)),ISNUMBER(SEARCH("Puxe",$J82)),ISNUMBER(SEARCH("Apoio HDD",$F82))),"MND",IF(OR(ISNUMBER(SEARCH("VCA",$F82)),ISNUMBER(SEARCH("PVC",$F82)),ISNUMBER(SEARCH("vca",$J82)),ISNUMBER(SEARCH("Transformação",$J82))),"VCA",IF(OR(ISNUMBER(SEARCH("crava",$F82)),ISNUMBER(SEARCH("tubo cravado",$F82)),ISNUMBER(SEARCH("shaft",$J82)),ISNUMBER(SEARCH("concreto",$F82))),"TUBO CRAVADO","")))</f>
        <v/>
      </c>
      <c r="T82">
        <f>IF($A82="","",TEXT($A82,"yyyymm")&amp;"|"&amp;$C82&amp;"|"&amp;$F82&amp;"|"&amp;$N82&amp;"|"&amp;$R82)</f>
        <v/>
      </c>
    </row>
    <row r="83" ht="11.55" customHeight="1">
      <c r="A83" s="10" t="n">
        <v>45999</v>
      </c>
      <c r="B83" s="7" t="inlineStr">
        <is>
          <t>Segunda</t>
        </is>
      </c>
      <c r="C83" s="7" t="inlineStr">
        <is>
          <t>Demais trabalhos</t>
        </is>
      </c>
      <c r="D83" s="7" t="n"/>
      <c r="E83" s="7" t="inlineStr">
        <is>
          <t>Guindauto (Márcio)</t>
        </is>
      </c>
      <c r="F83" s="13" t="inlineStr">
        <is>
          <t>Apoio as Equipe</t>
        </is>
      </c>
      <c r="G83" s="7" t="n"/>
      <c r="H83" s="7" t="n"/>
      <c r="I83" s="7" t="n"/>
      <c r="J83" s="7" t="n"/>
      <c r="K83" s="7" t="inlineStr">
        <is>
          <t>Planejamento</t>
        </is>
      </c>
      <c r="L83" s="16" t="inlineStr">
        <is>
          <t>PDS-dezembro(1).docx</t>
        </is>
      </c>
      <c r="M83">
        <f>IF($A83="","",TEXT($A83,"mmmm/yyyy"))</f>
        <v/>
      </c>
      <c r="P83">
        <f>IFERROR(_xludf.XLOOKUP($N83,Base_Enderecos!$A:$A,Base_Enderecos!$B:$B,""),"")</f>
        <v/>
      </c>
      <c r="Q83">
        <f>IFERROR(_xludf.XLOOKUP($N83,Base_Enderecos!$A:$A,Base_Enderecos!$C:$C,""),"")</f>
        <v/>
      </c>
      <c r="R83">
        <f>IF(OR(ISNUMBER(SEARCH("HDD",$F83)),ISNUMBER(SEARCH("MND",$F83)),ISNUMBER(SEARCH("PEAD",$F83)),ISNUMBER(SEARCH("Puxe",$J83)),ISNUMBER(SEARCH("Apoio HDD",$F83))),"MND",IF(OR(ISNUMBER(SEARCH("VCA",$F83)),ISNUMBER(SEARCH("PVC",$F83)),ISNUMBER(SEARCH("vca",$J83)),ISNUMBER(SEARCH("Transformação",$J83))),"VCA",IF(OR(ISNUMBER(SEARCH("crava",$F83)),ISNUMBER(SEARCH("tubo cravado",$F83)),ISNUMBER(SEARCH("shaft",$J83)),ISNUMBER(SEARCH("concreto",$F83))),"TUBO CRAVADO","")))</f>
        <v/>
      </c>
      <c r="T83">
        <f>IF($A83="","",TEXT($A83,"yyyymm")&amp;"|"&amp;$C83&amp;"|"&amp;$F83&amp;"|"&amp;$N83&amp;"|"&amp;$R83)</f>
        <v/>
      </c>
    </row>
    <row r="84" ht="11.55" customHeight="1">
      <c r="A84" s="10" t="n">
        <v>45999</v>
      </c>
      <c r="B84" s="7" t="inlineStr">
        <is>
          <t>Segunda</t>
        </is>
      </c>
      <c r="C84" s="7" t="inlineStr">
        <is>
          <t>Vacal</t>
        </is>
      </c>
      <c r="D84" s="7" t="n"/>
      <c r="E84" s="7" t="inlineStr">
        <is>
          <t>Apoio Fabrício PV 12 Ladeado</t>
        </is>
      </c>
      <c r="F84" s="13" t="inlineStr">
        <is>
          <t>Apoio Vacal</t>
        </is>
      </c>
      <c r="G84" s="7" t="n"/>
      <c r="H84" s="7" t="n"/>
      <c r="I84" s="7" t="n"/>
      <c r="J84" s="7" t="inlineStr">
        <is>
          <t>Vacal</t>
        </is>
      </c>
      <c r="K84" s="7" t="inlineStr">
        <is>
          <t>Apoio</t>
        </is>
      </c>
      <c r="L84" s="16" t="inlineStr">
        <is>
          <t>PDS-dezembro(1).docx</t>
        </is>
      </c>
      <c r="M84">
        <f>IF($A84="","",TEXT($A84,"mmmm/yyyy"))</f>
        <v/>
      </c>
      <c r="P84">
        <f>IFERROR(_xludf.XLOOKUP($N84,Base_Enderecos!$A:$A,Base_Enderecos!$B:$B,""),"")</f>
        <v/>
      </c>
      <c r="Q84">
        <f>IFERROR(_xludf.XLOOKUP($N84,Base_Enderecos!$A:$A,Base_Enderecos!$C:$C,""),"")</f>
        <v/>
      </c>
      <c r="R84">
        <f>IF(OR(ISNUMBER(SEARCH("HDD",$F84)),ISNUMBER(SEARCH("MND",$F84)),ISNUMBER(SEARCH("PEAD",$F84)),ISNUMBER(SEARCH("Puxe",$J84)),ISNUMBER(SEARCH("Apoio HDD",$F84))),"MND",IF(OR(ISNUMBER(SEARCH("VCA",$F84)),ISNUMBER(SEARCH("PVC",$F84)),ISNUMBER(SEARCH("vca",$J84)),ISNUMBER(SEARCH("Transformação",$J84))),"VCA",IF(OR(ISNUMBER(SEARCH("crava",$F84)),ISNUMBER(SEARCH("tubo cravado",$F84)),ISNUMBER(SEARCH("shaft",$J84)),ISNUMBER(SEARCH("concreto",$F84))),"TUBO CRAVADO","")))</f>
        <v/>
      </c>
      <c r="T84">
        <f>IF($A84="","",TEXT($A84,"yyyymm")&amp;"|"&amp;$C84&amp;"|"&amp;$F84&amp;"|"&amp;$N84&amp;"|"&amp;$R84)</f>
        <v/>
      </c>
    </row>
    <row r="85" ht="11.55" customHeight="1">
      <c r="A85" s="10" t="n">
        <v>45999</v>
      </c>
      <c r="B85" s="7" t="inlineStr">
        <is>
          <t>Segunda</t>
        </is>
      </c>
      <c r="C85" s="7" t="inlineStr">
        <is>
          <t>Vacal</t>
        </is>
      </c>
      <c r="D85" s="7" t="n"/>
      <c r="E85" s="7" t="inlineStr">
        <is>
          <t>Apoio Marcio PV 08 Lageado</t>
        </is>
      </c>
      <c r="F85" s="13" t="inlineStr">
        <is>
          <t>Apoio Vacal</t>
        </is>
      </c>
      <c r="G85" s="7" t="n"/>
      <c r="H85" s="7" t="n"/>
      <c r="I85" s="7" t="n"/>
      <c r="J85" s="7" t="inlineStr">
        <is>
          <t>Vacal</t>
        </is>
      </c>
      <c r="K85" s="7" t="inlineStr">
        <is>
          <t>Apoio</t>
        </is>
      </c>
      <c r="L85" s="16" t="inlineStr">
        <is>
          <t>PDS-dezembro(1).docx</t>
        </is>
      </c>
      <c r="M85">
        <f>IF($A85="","",TEXT($A85,"mmmm/yyyy"))</f>
        <v/>
      </c>
      <c r="P85">
        <f>IFERROR(_xludf.XLOOKUP($N85,Base_Enderecos!$A:$A,Base_Enderecos!$B:$B,""),"")</f>
        <v/>
      </c>
      <c r="Q85">
        <f>IFERROR(_xludf.XLOOKUP($N85,Base_Enderecos!$A:$A,Base_Enderecos!$C:$C,""),"")</f>
        <v/>
      </c>
      <c r="R85">
        <f>IF(OR(ISNUMBER(SEARCH("HDD",$F85)),ISNUMBER(SEARCH("MND",$F85)),ISNUMBER(SEARCH("PEAD",$F85)),ISNUMBER(SEARCH("Puxe",$J85)),ISNUMBER(SEARCH("Apoio HDD",$F85))),"MND",IF(OR(ISNUMBER(SEARCH("VCA",$F85)),ISNUMBER(SEARCH("PVC",$F85)),ISNUMBER(SEARCH("vca",$J85)),ISNUMBER(SEARCH("Transformação",$J85))),"VCA",IF(OR(ISNUMBER(SEARCH("crava",$F85)),ISNUMBER(SEARCH("tubo cravado",$F85)),ISNUMBER(SEARCH("shaft",$J85)),ISNUMBER(SEARCH("concreto",$F85))),"TUBO CRAVADO","")))</f>
        <v/>
      </c>
      <c r="T85">
        <f>IF($A85="","",TEXT($A85,"yyyymm")&amp;"|"&amp;$C85&amp;"|"&amp;$F85&amp;"|"&amp;$N85&amp;"|"&amp;$R85)</f>
        <v/>
      </c>
    </row>
    <row r="86" ht="11.55" customHeight="1">
      <c r="A86" s="10" t="n">
        <v>46000</v>
      </c>
      <c r="B86" s="7" t="inlineStr">
        <is>
          <t>Terça</t>
        </is>
      </c>
      <c r="C86" s="7" t="inlineStr">
        <is>
          <t>Miriam</t>
        </is>
      </c>
      <c r="D86" s="7" t="n"/>
      <c r="E86" s="7" t="inlineStr">
        <is>
          <t>Paulo</t>
        </is>
      </c>
      <c r="F86" s="13" t="inlineStr">
        <is>
          <t>Recomposição de vala, calçada e rampa de acesso entre os PVs 57 ao 59</t>
        </is>
      </c>
      <c r="G86" s="7" t="inlineStr">
        <is>
          <t>57</t>
        </is>
      </c>
      <c r="H86" s="7" t="n"/>
      <c r="I86" s="7" t="inlineStr">
        <is>
          <t>57</t>
        </is>
      </c>
      <c r="J86" s="7" t="inlineStr">
        <is>
          <t>Recomposição</t>
        </is>
      </c>
      <c r="K86" s="7" t="inlineStr">
        <is>
          <t>Planejamento</t>
        </is>
      </c>
      <c r="L86" s="16" t="inlineStr">
        <is>
          <t>PDS-dezembro(1).docx</t>
        </is>
      </c>
      <c r="M86">
        <f>IF($A86="","",TEXT($A86,"mmmm/yyyy"))</f>
        <v/>
      </c>
      <c r="P86">
        <f>IFERROR(_xludf.XLOOKUP($N86,Base_Enderecos!$A:$A,Base_Enderecos!$B:$B,""),"")</f>
        <v/>
      </c>
      <c r="Q86">
        <f>IFERROR(_xludf.XLOOKUP($N86,Base_Enderecos!$A:$A,Base_Enderecos!$C:$C,""),"")</f>
        <v/>
      </c>
      <c r="R86">
        <f>IF(OR(ISNUMBER(SEARCH("HDD",$F86)),ISNUMBER(SEARCH("MND",$F86)),ISNUMBER(SEARCH("PEAD",$F86)),ISNUMBER(SEARCH("Puxe",$J86)),ISNUMBER(SEARCH("Apoio HDD",$F86))),"MND",IF(OR(ISNUMBER(SEARCH("VCA",$F86)),ISNUMBER(SEARCH("PVC",$F86)),ISNUMBER(SEARCH("vca",$J86)),ISNUMBER(SEARCH("Transformação",$J86))),"VCA",IF(OR(ISNUMBER(SEARCH("crava",$F86)),ISNUMBER(SEARCH("tubo cravado",$F86)),ISNUMBER(SEARCH("shaft",$J86)),ISNUMBER(SEARCH("concreto",$F86))),"TUBO CRAVADO","")))</f>
        <v/>
      </c>
      <c r="T86">
        <f>IF($A86="","",TEXT($A86,"yyyymm")&amp;"|"&amp;$C86&amp;"|"&amp;$F86&amp;"|"&amp;$N86&amp;"|"&amp;$R86)</f>
        <v/>
      </c>
    </row>
    <row r="87" ht="11.55" customHeight="1">
      <c r="A87" s="10" t="n">
        <v>46000</v>
      </c>
      <c r="B87" s="7" t="inlineStr">
        <is>
          <t>Terça</t>
        </is>
      </c>
      <c r="C87" s="7" t="inlineStr">
        <is>
          <t>CT Lageado</t>
        </is>
      </c>
      <c r="D87" s="7" t="n"/>
      <c r="E87" s="7" t="inlineStr">
        <is>
          <t>Cesar</t>
        </is>
      </c>
      <c r="F87" s="13" t="inlineStr">
        <is>
          <t>transformar PV 07</t>
        </is>
      </c>
      <c r="G87" s="7" t="inlineStr">
        <is>
          <t>07</t>
        </is>
      </c>
      <c r="H87" s="7" t="n"/>
      <c r="I87" s="7" t="inlineStr">
        <is>
          <t>07</t>
        </is>
      </c>
      <c r="J87" s="7" t="n"/>
      <c r="K87" s="7" t="inlineStr">
        <is>
          <t>Planejamento</t>
        </is>
      </c>
      <c r="L87" s="16" t="inlineStr">
        <is>
          <t>PDS-dezembro(1).docx</t>
        </is>
      </c>
      <c r="M87">
        <f>IF($A87="","",TEXT($A87,"mmmm/yyyy"))</f>
        <v/>
      </c>
      <c r="P87">
        <f>IFERROR(_xludf.XLOOKUP($N87,Base_Enderecos!$A:$A,Base_Enderecos!$B:$B,""),"")</f>
        <v/>
      </c>
      <c r="Q87">
        <f>IFERROR(_xludf.XLOOKUP($N87,Base_Enderecos!$A:$A,Base_Enderecos!$C:$C,""),"")</f>
        <v/>
      </c>
      <c r="R87">
        <f>IF(OR(ISNUMBER(SEARCH("HDD",$F87)),ISNUMBER(SEARCH("MND",$F87)),ISNUMBER(SEARCH("PEAD",$F87)),ISNUMBER(SEARCH("Puxe",$J87)),ISNUMBER(SEARCH("Apoio HDD",$F87))),"MND",IF(OR(ISNUMBER(SEARCH("VCA",$F87)),ISNUMBER(SEARCH("PVC",$F87)),ISNUMBER(SEARCH("vca",$J87)),ISNUMBER(SEARCH("Transformação",$J87))),"VCA",IF(OR(ISNUMBER(SEARCH("crava",$F87)),ISNUMBER(SEARCH("tubo cravado",$F87)),ISNUMBER(SEARCH("shaft",$J87)),ISNUMBER(SEARCH("concreto",$F87))),"TUBO CRAVADO","")))</f>
        <v/>
      </c>
      <c r="T87">
        <f>IF($A87="","",TEXT($A87,"yyyymm")&amp;"|"&amp;$C87&amp;"|"&amp;$F87&amp;"|"&amp;$N87&amp;"|"&amp;$R87)</f>
        <v/>
      </c>
    </row>
    <row r="88" ht="11.55" customHeight="1">
      <c r="A88" s="10" t="n">
        <v>46000</v>
      </c>
      <c r="B88" s="7" t="inlineStr">
        <is>
          <t>Terça</t>
        </is>
      </c>
      <c r="C88" s="7" t="inlineStr">
        <is>
          <t>CT Lageado</t>
        </is>
      </c>
      <c r="D88" s="7" t="n"/>
      <c r="E88" s="7" t="inlineStr">
        <is>
          <t>Higor</t>
        </is>
      </c>
      <c r="F88" s="13" t="inlineStr">
        <is>
          <t>transformar PV 03</t>
        </is>
      </c>
      <c r="G88" s="7" t="inlineStr">
        <is>
          <t>03</t>
        </is>
      </c>
      <c r="H88" s="7" t="n"/>
      <c r="I88" s="7" t="inlineStr">
        <is>
          <t>03</t>
        </is>
      </c>
      <c r="J88" s="7" t="n"/>
      <c r="K88" s="7" t="inlineStr">
        <is>
          <t>Planejamento</t>
        </is>
      </c>
      <c r="L88" s="16" t="inlineStr">
        <is>
          <t>PDS-dezembro(1).docx</t>
        </is>
      </c>
      <c r="M88">
        <f>IF($A88="","",TEXT($A88,"mmmm/yyyy"))</f>
        <v/>
      </c>
      <c r="P88">
        <f>IFERROR(_xludf.XLOOKUP($N88,Base_Enderecos!$A:$A,Base_Enderecos!$B:$B,""),"")</f>
        <v/>
      </c>
      <c r="Q88">
        <f>IFERROR(_xludf.XLOOKUP($N88,Base_Enderecos!$A:$A,Base_Enderecos!$C:$C,""),"")</f>
        <v/>
      </c>
      <c r="R88">
        <f>IF(OR(ISNUMBER(SEARCH("HDD",$F88)),ISNUMBER(SEARCH("MND",$F88)),ISNUMBER(SEARCH("PEAD",$F88)),ISNUMBER(SEARCH("Puxe",$J88)),ISNUMBER(SEARCH("Apoio HDD",$F88))),"MND",IF(OR(ISNUMBER(SEARCH("VCA",$F88)),ISNUMBER(SEARCH("PVC",$F88)),ISNUMBER(SEARCH("vca",$J88)),ISNUMBER(SEARCH("Transformação",$J88))),"VCA",IF(OR(ISNUMBER(SEARCH("crava",$F88)),ISNUMBER(SEARCH("tubo cravado",$F88)),ISNUMBER(SEARCH("shaft",$J88)),ISNUMBER(SEARCH("concreto",$F88))),"TUBO CRAVADO","")))</f>
        <v/>
      </c>
      <c r="T88">
        <f>IF($A88="","",TEXT($A88,"yyyymm")&amp;"|"&amp;$C88&amp;"|"&amp;$F88&amp;"|"&amp;$N88&amp;"|"&amp;$R88)</f>
        <v/>
      </c>
    </row>
    <row r="89" ht="11.55" customHeight="1">
      <c r="A89" s="10" t="n">
        <v>46000</v>
      </c>
      <c r="B89" s="7" t="inlineStr">
        <is>
          <t>Terça</t>
        </is>
      </c>
      <c r="C89" s="7" t="inlineStr">
        <is>
          <t>CT Lageado</t>
        </is>
      </c>
      <c r="D89" s="7" t="n"/>
      <c r="E89" s="7" t="inlineStr">
        <is>
          <t>Edivando</t>
        </is>
      </c>
      <c r="F89" s="13" t="inlineStr">
        <is>
          <t>VCA entre os PVs 1.2 ao 1.3</t>
        </is>
      </c>
      <c r="G89" s="7" t="inlineStr">
        <is>
          <t>1.2</t>
        </is>
      </c>
      <c r="H89" s="7" t="n"/>
      <c r="I89" s="7" t="inlineStr">
        <is>
          <t>1.2</t>
        </is>
      </c>
      <c r="J89" s="7" t="inlineStr">
        <is>
          <t>VCA</t>
        </is>
      </c>
      <c r="K89" s="7" t="inlineStr">
        <is>
          <t>Planejamento</t>
        </is>
      </c>
      <c r="L89" s="16" t="inlineStr">
        <is>
          <t>PDS-dezembro(1).docx</t>
        </is>
      </c>
      <c r="M89">
        <f>IF($A89="","",TEXT($A89,"mmmm/yyyy"))</f>
        <v/>
      </c>
      <c r="P89">
        <f>IFERROR(_xludf.XLOOKUP($N89,Base_Enderecos!$A:$A,Base_Enderecos!$B:$B,""),"")</f>
        <v/>
      </c>
      <c r="Q89">
        <f>IFERROR(_xludf.XLOOKUP($N89,Base_Enderecos!$A:$A,Base_Enderecos!$C:$C,""),"")</f>
        <v/>
      </c>
      <c r="R89">
        <f>IF(OR(ISNUMBER(SEARCH("HDD",$F89)),ISNUMBER(SEARCH("MND",$F89)),ISNUMBER(SEARCH("PEAD",$F89)),ISNUMBER(SEARCH("Puxe",$J89)),ISNUMBER(SEARCH("Apoio HDD",$F89))),"MND",IF(OR(ISNUMBER(SEARCH("VCA",$F89)),ISNUMBER(SEARCH("PVC",$F89)),ISNUMBER(SEARCH("vca",$J89)),ISNUMBER(SEARCH("Transformação",$J89))),"VCA",IF(OR(ISNUMBER(SEARCH("crava",$F89)),ISNUMBER(SEARCH("tubo cravado",$F89)),ISNUMBER(SEARCH("shaft",$J89)),ISNUMBER(SEARCH("concreto",$F89))),"TUBO CRAVADO","")))</f>
        <v/>
      </c>
      <c r="T89">
        <f>IF($A89="","",TEXT($A89,"yyyymm")&amp;"|"&amp;$C89&amp;"|"&amp;$F89&amp;"|"&amp;$N89&amp;"|"&amp;$R89)</f>
        <v/>
      </c>
    </row>
    <row r="90" ht="11.55" customHeight="1">
      <c r="A90" s="10" t="n">
        <v>46000</v>
      </c>
      <c r="B90" s="7" t="inlineStr">
        <is>
          <t>Terça</t>
        </is>
      </c>
      <c r="C90" s="7" t="inlineStr">
        <is>
          <t>CT Lageado</t>
        </is>
      </c>
      <c r="D90" s="7" t="n"/>
      <c r="E90" s="7" t="inlineStr">
        <is>
          <t>Fabrício</t>
        </is>
      </c>
      <c r="F90" s="13" t="inlineStr">
        <is>
          <t>Apoio HDD entre PVs 16 a 16.1</t>
        </is>
      </c>
      <c r="G90" s="7" t="inlineStr">
        <is>
          <t>16</t>
        </is>
      </c>
      <c r="H90" s="7" t="n"/>
      <c r="I90" s="7" t="inlineStr">
        <is>
          <t>16</t>
        </is>
      </c>
      <c r="J90" s="7" t="inlineStr">
        <is>
          <t>Apoio HDD</t>
        </is>
      </c>
      <c r="K90" s="7" t="inlineStr">
        <is>
          <t>Planejamento</t>
        </is>
      </c>
      <c r="L90" s="16" t="inlineStr">
        <is>
          <t>PDS-dezembro(1).docx</t>
        </is>
      </c>
      <c r="M90">
        <f>IF($A90="","",TEXT($A90,"mmmm/yyyy"))</f>
        <v/>
      </c>
      <c r="P90">
        <f>IFERROR(_xludf.XLOOKUP($N90,Base_Enderecos!$A:$A,Base_Enderecos!$B:$B,""),"")</f>
        <v/>
      </c>
      <c r="Q90">
        <f>IFERROR(_xludf.XLOOKUP($N90,Base_Enderecos!$A:$A,Base_Enderecos!$C:$C,""),"")</f>
        <v/>
      </c>
      <c r="R90">
        <f>IF(OR(ISNUMBER(SEARCH("HDD",$F90)),ISNUMBER(SEARCH("MND",$F90)),ISNUMBER(SEARCH("PEAD",$F90)),ISNUMBER(SEARCH("Puxe",$J90)),ISNUMBER(SEARCH("Apoio HDD",$F90))),"MND",IF(OR(ISNUMBER(SEARCH("VCA",$F90)),ISNUMBER(SEARCH("PVC",$F90)),ISNUMBER(SEARCH("vca",$J90)),ISNUMBER(SEARCH("Transformação",$J90))),"VCA",IF(OR(ISNUMBER(SEARCH("crava",$F90)),ISNUMBER(SEARCH("tubo cravado",$F90)),ISNUMBER(SEARCH("shaft",$J90)),ISNUMBER(SEARCH("concreto",$F90))),"TUBO CRAVADO","")))</f>
        <v/>
      </c>
      <c r="T90">
        <f>IF($A90="","",TEXT($A90,"yyyymm")&amp;"|"&amp;$C90&amp;"|"&amp;$F90&amp;"|"&amp;$N90&amp;"|"&amp;$R90)</f>
        <v/>
      </c>
    </row>
    <row r="91" ht="11.55" customHeight="1">
      <c r="A91" s="10" t="n">
        <v>46000</v>
      </c>
      <c r="B91" s="7" t="inlineStr">
        <is>
          <t>Terça</t>
        </is>
      </c>
      <c r="C91" s="7" t="inlineStr">
        <is>
          <t>CT Lageado</t>
        </is>
      </c>
      <c r="D91" s="7" t="n"/>
      <c r="E91" s="7" t="inlineStr">
        <is>
          <t>Work Drill (Bruno)</t>
        </is>
      </c>
      <c r="F91" s="13" t="inlineStr">
        <is>
          <t>Execução do furo piloto entre os PVs 16 ao 16.1</t>
        </is>
      </c>
      <c r="G91" s="7" t="inlineStr">
        <is>
          <t>16</t>
        </is>
      </c>
      <c r="H91" s="7" t="n"/>
      <c r="I91" s="7" t="inlineStr">
        <is>
          <t>16</t>
        </is>
      </c>
      <c r="J91" s="7" t="inlineStr">
        <is>
          <t>Furo piloto</t>
        </is>
      </c>
      <c r="K91" s="7" t="inlineStr">
        <is>
          <t>Planejamento</t>
        </is>
      </c>
      <c r="L91" s="16" t="inlineStr">
        <is>
          <t>PDS-dezembro(1).docx</t>
        </is>
      </c>
      <c r="M91">
        <f>IF($A91="","",TEXT($A91,"mmmm/yyyy"))</f>
        <v/>
      </c>
      <c r="P91">
        <f>IFERROR(_xludf.XLOOKUP($N91,Base_Enderecos!$A:$A,Base_Enderecos!$B:$B,""),"")</f>
        <v/>
      </c>
      <c r="Q91">
        <f>IFERROR(_xludf.XLOOKUP($N91,Base_Enderecos!$A:$A,Base_Enderecos!$C:$C,""),"")</f>
        <v/>
      </c>
      <c r="R91">
        <f>IF(OR(ISNUMBER(SEARCH("HDD",$F91)),ISNUMBER(SEARCH("MND",$F91)),ISNUMBER(SEARCH("PEAD",$F91)),ISNUMBER(SEARCH("Puxe",$J91)),ISNUMBER(SEARCH("Apoio HDD",$F91))),"MND",IF(OR(ISNUMBER(SEARCH("VCA",$F91)),ISNUMBER(SEARCH("PVC",$F91)),ISNUMBER(SEARCH("vca",$J91)),ISNUMBER(SEARCH("Transformação",$J91))),"VCA",IF(OR(ISNUMBER(SEARCH("crava",$F91)),ISNUMBER(SEARCH("tubo cravado",$F91)),ISNUMBER(SEARCH("shaft",$J91)),ISNUMBER(SEARCH("concreto",$F91))),"TUBO CRAVADO","")))</f>
        <v/>
      </c>
      <c r="T91">
        <f>IF($A91="","",TEXT($A91,"yyyymm")&amp;"|"&amp;$C91&amp;"|"&amp;$F91&amp;"|"&amp;$N91&amp;"|"&amp;$R91)</f>
        <v/>
      </c>
    </row>
    <row r="92" ht="11.55" customHeight="1">
      <c r="A92" s="10" t="n">
        <v>46000</v>
      </c>
      <c r="B92" s="7" t="inlineStr">
        <is>
          <t>Terça</t>
        </is>
      </c>
      <c r="C92" s="7" t="inlineStr">
        <is>
          <t>CT Lageado</t>
        </is>
      </c>
      <c r="D92" s="7" t="n"/>
      <c r="E92" s="7" t="inlineStr">
        <is>
          <t>Valter</t>
        </is>
      </c>
      <c r="F92" s="13" t="inlineStr">
        <is>
          <t>Transformação PV 7.1</t>
        </is>
      </c>
      <c r="G92" s="7" t="inlineStr">
        <is>
          <t>7.1</t>
        </is>
      </c>
      <c r="H92" s="7" t="n"/>
      <c r="I92" s="7" t="inlineStr">
        <is>
          <t>7.1</t>
        </is>
      </c>
      <c r="J92" s="7" t="inlineStr">
        <is>
          <t>Transformação</t>
        </is>
      </c>
      <c r="K92" s="7" t="inlineStr">
        <is>
          <t>Planejamento</t>
        </is>
      </c>
      <c r="L92" s="16" t="inlineStr">
        <is>
          <t>PDS-dezembro(1).docx</t>
        </is>
      </c>
      <c r="M92">
        <f>IF($A92="","",TEXT($A92,"mmmm/yyyy"))</f>
        <v/>
      </c>
      <c r="P92">
        <f>IFERROR(_xludf.XLOOKUP($N92,Base_Enderecos!$A:$A,Base_Enderecos!$B:$B,""),"")</f>
        <v/>
      </c>
      <c r="Q92">
        <f>IFERROR(_xludf.XLOOKUP($N92,Base_Enderecos!$A:$A,Base_Enderecos!$C:$C,""),"")</f>
        <v/>
      </c>
      <c r="R92">
        <f>IF(OR(ISNUMBER(SEARCH("HDD",$F92)),ISNUMBER(SEARCH("MND",$F92)),ISNUMBER(SEARCH("PEAD",$F92)),ISNUMBER(SEARCH("Puxe",$J92)),ISNUMBER(SEARCH("Apoio HDD",$F92))),"MND",IF(OR(ISNUMBER(SEARCH("VCA",$F92)),ISNUMBER(SEARCH("PVC",$F92)),ISNUMBER(SEARCH("vca",$J92)),ISNUMBER(SEARCH("Transformação",$J92))),"VCA",IF(OR(ISNUMBER(SEARCH("crava",$F92)),ISNUMBER(SEARCH("tubo cravado",$F92)),ISNUMBER(SEARCH("shaft",$J92)),ISNUMBER(SEARCH("concreto",$F92))),"TUBO CRAVADO","")))</f>
        <v/>
      </c>
      <c r="T92">
        <f>IF($A92="","",TEXT($A92,"yyyymm")&amp;"|"&amp;$C92&amp;"|"&amp;$F92&amp;"|"&amp;$N92&amp;"|"&amp;$R92)</f>
        <v/>
      </c>
    </row>
    <row r="93" ht="11.55" customHeight="1">
      <c r="A93" s="10" t="n">
        <v>46000</v>
      </c>
      <c r="B93" s="7" t="inlineStr">
        <is>
          <t>Terça</t>
        </is>
      </c>
      <c r="C93" s="7" t="inlineStr">
        <is>
          <t>CT Lageado</t>
        </is>
      </c>
      <c r="D93" s="7" t="n"/>
      <c r="E93" s="7" t="inlineStr">
        <is>
          <t>Marcio</t>
        </is>
      </c>
      <c r="F93" s="13" t="inlineStr">
        <is>
          <t>Apoio HDD entre PVs 10 a 12</t>
        </is>
      </c>
      <c r="G93" s="7" t="inlineStr">
        <is>
          <t>10</t>
        </is>
      </c>
      <c r="H93" s="7" t="n"/>
      <c r="I93" s="7" t="inlineStr">
        <is>
          <t>10</t>
        </is>
      </c>
      <c r="J93" s="7" t="inlineStr">
        <is>
          <t>Apoio HDD</t>
        </is>
      </c>
      <c r="K93" s="7" t="inlineStr">
        <is>
          <t>Planejamento</t>
        </is>
      </c>
      <c r="L93" s="16" t="inlineStr">
        <is>
          <t>PDS-dezembro(1).docx</t>
        </is>
      </c>
      <c r="M93">
        <f>IF($A93="","",TEXT($A93,"mmmm/yyyy"))</f>
        <v/>
      </c>
      <c r="P93">
        <f>IFERROR(_xludf.XLOOKUP($N93,Base_Enderecos!$A:$A,Base_Enderecos!$B:$B,""),"")</f>
        <v/>
      </c>
      <c r="Q93">
        <f>IFERROR(_xludf.XLOOKUP($N93,Base_Enderecos!$A:$A,Base_Enderecos!$C:$C,""),"")</f>
        <v/>
      </c>
      <c r="R93">
        <f>IF(OR(ISNUMBER(SEARCH("HDD",$F93)),ISNUMBER(SEARCH("MND",$F93)),ISNUMBER(SEARCH("PEAD",$F93)),ISNUMBER(SEARCH("Puxe",$J93)),ISNUMBER(SEARCH("Apoio HDD",$F93))),"MND",IF(OR(ISNUMBER(SEARCH("VCA",$F93)),ISNUMBER(SEARCH("PVC",$F93)),ISNUMBER(SEARCH("vca",$J93)),ISNUMBER(SEARCH("Transformação",$J93))),"VCA",IF(OR(ISNUMBER(SEARCH("crava",$F93)),ISNUMBER(SEARCH("tubo cravado",$F93)),ISNUMBER(SEARCH("shaft",$J93)),ISNUMBER(SEARCH("concreto",$F93))),"TUBO CRAVADO","")))</f>
        <v/>
      </c>
      <c r="T93">
        <f>IF($A93="","",TEXT($A93,"yyyymm")&amp;"|"&amp;$C93&amp;"|"&amp;$F93&amp;"|"&amp;$N93&amp;"|"&amp;$R93)</f>
        <v/>
      </c>
    </row>
    <row r="94" ht="11.55" customHeight="1">
      <c r="A94" s="10" t="n">
        <v>46000</v>
      </c>
      <c r="B94" s="7" t="inlineStr">
        <is>
          <t>Terça</t>
        </is>
      </c>
      <c r="C94" s="7" t="inlineStr">
        <is>
          <t>CT Lageado</t>
        </is>
      </c>
      <c r="D94" s="7" t="n"/>
      <c r="E94" s="7" t="inlineStr">
        <is>
          <t>WJ (Alex)</t>
        </is>
      </c>
      <c r="F94" s="13" t="inlineStr">
        <is>
          <t>Passagem de tubo entre os PVs 10 ao 12</t>
        </is>
      </c>
      <c r="G94" s="7" t="inlineStr">
        <is>
          <t>10</t>
        </is>
      </c>
      <c r="H94" s="7" t="n"/>
      <c r="I94" s="7" t="inlineStr">
        <is>
          <t>10</t>
        </is>
      </c>
      <c r="J94" s="7" t="inlineStr">
        <is>
          <t>Passagem de tubo</t>
        </is>
      </c>
      <c r="K94" s="7" t="inlineStr">
        <is>
          <t>Planejamento</t>
        </is>
      </c>
      <c r="L94" s="16" t="inlineStr">
        <is>
          <t>PDS-dezembro(1).docx</t>
        </is>
      </c>
      <c r="M94">
        <f>IF($A94="","",TEXT($A94,"mmmm/yyyy"))</f>
        <v/>
      </c>
      <c r="P94">
        <f>IFERROR(_xludf.XLOOKUP($N94,Base_Enderecos!$A:$A,Base_Enderecos!$B:$B,""),"")</f>
        <v/>
      </c>
      <c r="Q94">
        <f>IFERROR(_xludf.XLOOKUP($N94,Base_Enderecos!$A:$A,Base_Enderecos!$C:$C,""),"")</f>
        <v/>
      </c>
      <c r="R94">
        <f>IF(OR(ISNUMBER(SEARCH("HDD",$F94)),ISNUMBER(SEARCH("MND",$F94)),ISNUMBER(SEARCH("PEAD",$F94)),ISNUMBER(SEARCH("Puxe",$J94)),ISNUMBER(SEARCH("Apoio HDD",$F94))),"MND",IF(OR(ISNUMBER(SEARCH("VCA",$F94)),ISNUMBER(SEARCH("PVC",$F94)),ISNUMBER(SEARCH("vca",$J94)),ISNUMBER(SEARCH("Transformação",$J94))),"VCA",IF(OR(ISNUMBER(SEARCH("crava",$F94)),ISNUMBER(SEARCH("tubo cravado",$F94)),ISNUMBER(SEARCH("shaft",$J94)),ISNUMBER(SEARCH("concreto",$F94))),"TUBO CRAVADO","")))</f>
        <v/>
      </c>
      <c r="T94">
        <f>IF($A94="","",TEXT($A94,"yyyymm")&amp;"|"&amp;$C94&amp;"|"&amp;$F94&amp;"|"&amp;$N94&amp;"|"&amp;$R94)</f>
        <v/>
      </c>
    </row>
    <row r="95" ht="11.55" customHeight="1">
      <c r="A95" s="10" t="n">
        <v>46000</v>
      </c>
      <c r="B95" s="7" t="inlineStr">
        <is>
          <t>Terça</t>
        </is>
      </c>
      <c r="C95" s="7" t="inlineStr">
        <is>
          <t>CT Lageado</t>
        </is>
      </c>
      <c r="D95" s="7" t="n"/>
      <c r="E95" s="7" t="inlineStr">
        <is>
          <t>Marcelo</t>
        </is>
      </c>
      <c r="F95" s="13" t="inlineStr">
        <is>
          <t>Transformação PV 05</t>
        </is>
      </c>
      <c r="G95" s="7" t="inlineStr">
        <is>
          <t>05</t>
        </is>
      </c>
      <c r="H95" s="7" t="n"/>
      <c r="I95" s="7" t="inlineStr">
        <is>
          <t>05</t>
        </is>
      </c>
      <c r="J95" s="7" t="inlineStr">
        <is>
          <t>Transformação</t>
        </is>
      </c>
      <c r="K95" s="7" t="inlineStr">
        <is>
          <t>Planejamento</t>
        </is>
      </c>
      <c r="L95" s="16" t="inlineStr">
        <is>
          <t>PDS-dezembro(1).docx</t>
        </is>
      </c>
      <c r="M95">
        <f>IF($A95="","",TEXT($A95,"mmmm/yyyy"))</f>
        <v/>
      </c>
      <c r="P95">
        <f>IFERROR(_xludf.XLOOKUP($N95,Base_Enderecos!$A:$A,Base_Enderecos!$B:$B,""),"")</f>
        <v/>
      </c>
      <c r="Q95">
        <f>IFERROR(_xludf.XLOOKUP($N95,Base_Enderecos!$A:$A,Base_Enderecos!$C:$C,""),"")</f>
        <v/>
      </c>
      <c r="R95">
        <f>IF(OR(ISNUMBER(SEARCH("HDD",$F95)),ISNUMBER(SEARCH("MND",$F95)),ISNUMBER(SEARCH("PEAD",$F95)),ISNUMBER(SEARCH("Puxe",$J95)),ISNUMBER(SEARCH("Apoio HDD",$F95))),"MND",IF(OR(ISNUMBER(SEARCH("VCA",$F95)),ISNUMBER(SEARCH("PVC",$F95)),ISNUMBER(SEARCH("vca",$J95)),ISNUMBER(SEARCH("Transformação",$J95))),"VCA",IF(OR(ISNUMBER(SEARCH("crava",$F95)),ISNUMBER(SEARCH("tubo cravado",$F95)),ISNUMBER(SEARCH("shaft",$J95)),ISNUMBER(SEARCH("concreto",$F95))),"TUBO CRAVADO","")))</f>
        <v/>
      </c>
      <c r="T95">
        <f>IF($A95="","",TEXT($A95,"yyyymm")&amp;"|"&amp;$C95&amp;"|"&amp;$F95&amp;"|"&amp;$N95&amp;"|"&amp;$R95)</f>
        <v/>
      </c>
    </row>
    <row r="96" ht="11.55" customHeight="1">
      <c r="A96" s="10" t="n">
        <v>46000</v>
      </c>
      <c r="B96" s="7" t="inlineStr">
        <is>
          <t>Terça</t>
        </is>
      </c>
      <c r="C96" s="7" t="inlineStr">
        <is>
          <t>CT Lageado</t>
        </is>
      </c>
      <c r="D96" s="7" t="n"/>
      <c r="E96" s="7" t="inlineStr">
        <is>
          <t>LS 1</t>
        </is>
      </c>
      <c r="F96" s="13" t="inlineStr">
        <is>
          <t>Transformação PV 8.1</t>
        </is>
      </c>
      <c r="G96" s="7" t="inlineStr">
        <is>
          <t>8.1</t>
        </is>
      </c>
      <c r="H96" s="7" t="n"/>
      <c r="I96" s="7" t="inlineStr">
        <is>
          <t>8.1</t>
        </is>
      </c>
      <c r="J96" s="7" t="inlineStr">
        <is>
          <t>Transformação</t>
        </is>
      </c>
      <c r="K96" s="7" t="inlineStr">
        <is>
          <t>Planejamento</t>
        </is>
      </c>
      <c r="L96" s="16" t="inlineStr">
        <is>
          <t>PDS-dezembro(1).docx</t>
        </is>
      </c>
      <c r="M96">
        <f>IF($A96="","",TEXT($A96,"mmmm/yyyy"))</f>
        <v/>
      </c>
      <c r="P96">
        <f>IFERROR(_xludf.XLOOKUP($N96,Base_Enderecos!$A:$A,Base_Enderecos!$B:$B,""),"")</f>
        <v/>
      </c>
      <c r="Q96">
        <f>IFERROR(_xludf.XLOOKUP($N96,Base_Enderecos!$A:$A,Base_Enderecos!$C:$C,""),"")</f>
        <v/>
      </c>
      <c r="R96">
        <f>IF(OR(ISNUMBER(SEARCH("HDD",$F96)),ISNUMBER(SEARCH("MND",$F96)),ISNUMBER(SEARCH("PEAD",$F96)),ISNUMBER(SEARCH("Puxe",$J96)),ISNUMBER(SEARCH("Apoio HDD",$F96))),"MND",IF(OR(ISNUMBER(SEARCH("VCA",$F96)),ISNUMBER(SEARCH("PVC",$F96)),ISNUMBER(SEARCH("vca",$J96)),ISNUMBER(SEARCH("Transformação",$J96))),"VCA",IF(OR(ISNUMBER(SEARCH("crava",$F96)),ISNUMBER(SEARCH("tubo cravado",$F96)),ISNUMBER(SEARCH("shaft",$J96)),ISNUMBER(SEARCH("concreto",$F96))),"TUBO CRAVADO","")))</f>
        <v/>
      </c>
      <c r="T96">
        <f>IF($A96="","",TEXT($A96,"yyyymm")&amp;"|"&amp;$C96&amp;"|"&amp;$F96&amp;"|"&amp;$N96&amp;"|"&amp;$R96)</f>
        <v/>
      </c>
    </row>
    <row r="97" ht="11.55" customHeight="1">
      <c r="A97" s="10" t="n">
        <v>46000</v>
      </c>
      <c r="B97" s="7" t="inlineStr">
        <is>
          <t>Terça</t>
        </is>
      </c>
      <c r="C97" s="7" t="inlineStr">
        <is>
          <t>Demais trabalhos</t>
        </is>
      </c>
      <c r="D97" s="7" t="n"/>
      <c r="E97" s="7" t="inlineStr">
        <is>
          <t>Guindauto (Rodrigo)</t>
        </is>
      </c>
      <c r="F97" s="13" t="inlineStr">
        <is>
          <t>Apoio as equipes</t>
        </is>
      </c>
      <c r="G97" s="7" t="n"/>
      <c r="H97" s="7" t="n"/>
      <c r="I97" s="7" t="n"/>
      <c r="J97" s="7" t="n"/>
      <c r="K97" s="7" t="inlineStr">
        <is>
          <t>Planejamento</t>
        </is>
      </c>
      <c r="L97" s="16" t="inlineStr">
        <is>
          <t>PDS-dezembro(1).docx</t>
        </is>
      </c>
      <c r="M97">
        <f>IF($A97="","",TEXT($A97,"mmmm/yyyy"))</f>
        <v/>
      </c>
      <c r="P97">
        <f>IFERROR(_xludf.XLOOKUP($N97,Base_Enderecos!$A:$A,Base_Enderecos!$B:$B,""),"")</f>
        <v/>
      </c>
      <c r="Q97">
        <f>IFERROR(_xludf.XLOOKUP($N97,Base_Enderecos!$A:$A,Base_Enderecos!$C:$C,""),"")</f>
        <v/>
      </c>
      <c r="R97">
        <f>IF(OR(ISNUMBER(SEARCH("HDD",$F97)),ISNUMBER(SEARCH("MND",$F97)),ISNUMBER(SEARCH("PEAD",$F97)),ISNUMBER(SEARCH("Puxe",$J97)),ISNUMBER(SEARCH("Apoio HDD",$F97))),"MND",IF(OR(ISNUMBER(SEARCH("VCA",$F97)),ISNUMBER(SEARCH("PVC",$F97)),ISNUMBER(SEARCH("vca",$J97)),ISNUMBER(SEARCH("Transformação",$J97))),"VCA",IF(OR(ISNUMBER(SEARCH("crava",$F97)),ISNUMBER(SEARCH("tubo cravado",$F97)),ISNUMBER(SEARCH("shaft",$J97)),ISNUMBER(SEARCH("concreto",$F97))),"TUBO CRAVADO","")))</f>
        <v/>
      </c>
      <c r="T97">
        <f>IF($A97="","",TEXT($A97,"yyyymm")&amp;"|"&amp;$C97&amp;"|"&amp;$F97&amp;"|"&amp;$N97&amp;"|"&amp;$R97)</f>
        <v/>
      </c>
    </row>
    <row r="98" ht="11.55" customHeight="1">
      <c r="A98" s="10" t="n">
        <v>46000</v>
      </c>
      <c r="B98" s="7" t="inlineStr">
        <is>
          <t>Terça</t>
        </is>
      </c>
      <c r="C98" s="7" t="inlineStr">
        <is>
          <t>Demais trabalhos</t>
        </is>
      </c>
      <c r="D98" s="7" t="n"/>
      <c r="E98" s="7" t="inlineStr">
        <is>
          <t>Guindauto (Márcio)</t>
        </is>
      </c>
      <c r="F98" s="13" t="inlineStr">
        <is>
          <t>Apoio as Equipe</t>
        </is>
      </c>
      <c r="G98" s="7" t="n"/>
      <c r="H98" s="7" t="n"/>
      <c r="I98" s="7" t="n"/>
      <c r="J98" s="7" t="n"/>
      <c r="K98" s="7" t="inlineStr">
        <is>
          <t>Planejamento</t>
        </is>
      </c>
      <c r="L98" s="16" t="inlineStr">
        <is>
          <t>PDS-dezembro(1).docx</t>
        </is>
      </c>
      <c r="M98">
        <f>IF($A98="","",TEXT($A98,"mmmm/yyyy"))</f>
        <v/>
      </c>
      <c r="P98">
        <f>IFERROR(_xludf.XLOOKUP($N98,Base_Enderecos!$A:$A,Base_Enderecos!$B:$B,""),"")</f>
        <v/>
      </c>
      <c r="Q98">
        <f>IFERROR(_xludf.XLOOKUP($N98,Base_Enderecos!$A:$A,Base_Enderecos!$C:$C,""),"")</f>
        <v/>
      </c>
      <c r="R98">
        <f>IF(OR(ISNUMBER(SEARCH("HDD",$F98)),ISNUMBER(SEARCH("MND",$F98)),ISNUMBER(SEARCH("PEAD",$F98)),ISNUMBER(SEARCH("Puxe",$J98)),ISNUMBER(SEARCH("Apoio HDD",$F98))),"MND",IF(OR(ISNUMBER(SEARCH("VCA",$F98)),ISNUMBER(SEARCH("PVC",$F98)),ISNUMBER(SEARCH("vca",$J98)),ISNUMBER(SEARCH("Transformação",$J98))),"VCA",IF(OR(ISNUMBER(SEARCH("crava",$F98)),ISNUMBER(SEARCH("tubo cravado",$F98)),ISNUMBER(SEARCH("shaft",$J98)),ISNUMBER(SEARCH("concreto",$F98))),"TUBO CRAVADO","")))</f>
        <v/>
      </c>
      <c r="T98">
        <f>IF($A98="","",TEXT($A98,"yyyymm")&amp;"|"&amp;$C98&amp;"|"&amp;$F98&amp;"|"&amp;$N98&amp;"|"&amp;$R98)</f>
        <v/>
      </c>
    </row>
    <row r="99" ht="11.55" customHeight="1">
      <c r="A99" s="10" t="n">
        <v>46000</v>
      </c>
      <c r="B99" s="7" t="inlineStr">
        <is>
          <t>Terça</t>
        </is>
      </c>
      <c r="C99" s="7" t="inlineStr">
        <is>
          <t>Vacal</t>
        </is>
      </c>
      <c r="D99" s="7" t="n"/>
      <c r="E99" s="7" t="inlineStr">
        <is>
          <t>Apoio Fabrício PV 16 Ladeado</t>
        </is>
      </c>
      <c r="F99" s="13" t="inlineStr">
        <is>
          <t>Apoio Vacal</t>
        </is>
      </c>
      <c r="G99" s="7" t="n"/>
      <c r="H99" s="7" t="n"/>
      <c r="I99" s="7" t="n"/>
      <c r="J99" s="7" t="inlineStr">
        <is>
          <t>Vacal</t>
        </is>
      </c>
      <c r="K99" s="7" t="inlineStr">
        <is>
          <t>Apoio</t>
        </is>
      </c>
      <c r="L99" s="16" t="inlineStr">
        <is>
          <t>PDS-dezembro(1).docx</t>
        </is>
      </c>
      <c r="M99">
        <f>IF($A99="","",TEXT($A99,"mmmm/yyyy"))</f>
        <v/>
      </c>
      <c r="P99">
        <f>IFERROR(_xludf.XLOOKUP($N99,Base_Enderecos!$A:$A,Base_Enderecos!$B:$B,""),"")</f>
        <v/>
      </c>
      <c r="Q99">
        <f>IFERROR(_xludf.XLOOKUP($N99,Base_Enderecos!$A:$A,Base_Enderecos!$C:$C,""),"")</f>
        <v/>
      </c>
      <c r="R99">
        <f>IF(OR(ISNUMBER(SEARCH("HDD",$F99)),ISNUMBER(SEARCH("MND",$F99)),ISNUMBER(SEARCH("PEAD",$F99)),ISNUMBER(SEARCH("Puxe",$J99)),ISNUMBER(SEARCH("Apoio HDD",$F99))),"MND",IF(OR(ISNUMBER(SEARCH("VCA",$F99)),ISNUMBER(SEARCH("PVC",$F99)),ISNUMBER(SEARCH("vca",$J99)),ISNUMBER(SEARCH("Transformação",$J99))),"VCA",IF(OR(ISNUMBER(SEARCH("crava",$F99)),ISNUMBER(SEARCH("tubo cravado",$F99)),ISNUMBER(SEARCH("shaft",$J99)),ISNUMBER(SEARCH("concreto",$F99))),"TUBO CRAVADO","")))</f>
        <v/>
      </c>
      <c r="T99">
        <f>IF($A99="","",TEXT($A99,"yyyymm")&amp;"|"&amp;$C99&amp;"|"&amp;$F99&amp;"|"&amp;$N99&amp;"|"&amp;$R99)</f>
        <v/>
      </c>
    </row>
    <row r="100" ht="11.55" customHeight="1">
      <c r="A100" s="10" t="n">
        <v>46000</v>
      </c>
      <c r="B100" s="7" t="inlineStr">
        <is>
          <t>Terça</t>
        </is>
      </c>
      <c r="C100" s="7" t="inlineStr">
        <is>
          <t>Vacal</t>
        </is>
      </c>
      <c r="D100" s="7" t="n"/>
      <c r="E100" s="7" t="inlineStr">
        <is>
          <t>Apoio Marcio PV 10 Lageado</t>
        </is>
      </c>
      <c r="F100" s="13" t="inlineStr">
        <is>
          <t>Apoio Vacal</t>
        </is>
      </c>
      <c r="G100" s="7" t="n"/>
      <c r="H100" s="7" t="n"/>
      <c r="I100" s="7" t="n"/>
      <c r="J100" s="7" t="inlineStr">
        <is>
          <t>Vacal</t>
        </is>
      </c>
      <c r="K100" s="7" t="inlineStr">
        <is>
          <t>Apoio</t>
        </is>
      </c>
      <c r="L100" s="16" t="inlineStr">
        <is>
          <t>PDS-dezembro(1).docx</t>
        </is>
      </c>
      <c r="M100">
        <f>IF($A100="","",TEXT($A100,"mmmm/yyyy"))</f>
        <v/>
      </c>
      <c r="P100">
        <f>IFERROR(_xludf.XLOOKUP($N100,Base_Enderecos!$A:$A,Base_Enderecos!$B:$B,""),"")</f>
        <v/>
      </c>
      <c r="Q100">
        <f>IFERROR(_xludf.XLOOKUP($N100,Base_Enderecos!$A:$A,Base_Enderecos!$C:$C,""),"")</f>
        <v/>
      </c>
      <c r="R100">
        <f>IF(OR(ISNUMBER(SEARCH("HDD",$F100)),ISNUMBER(SEARCH("MND",$F100)),ISNUMBER(SEARCH("PEAD",$F100)),ISNUMBER(SEARCH("Puxe",$J100)),ISNUMBER(SEARCH("Apoio HDD",$F100))),"MND",IF(OR(ISNUMBER(SEARCH("VCA",$F100)),ISNUMBER(SEARCH("PVC",$F100)),ISNUMBER(SEARCH("vca",$J100)),ISNUMBER(SEARCH("Transformação",$J100))),"VCA",IF(OR(ISNUMBER(SEARCH("crava",$F100)),ISNUMBER(SEARCH("tubo cravado",$F100)),ISNUMBER(SEARCH("shaft",$J100)),ISNUMBER(SEARCH("concreto",$F100))),"TUBO CRAVADO","")))</f>
        <v/>
      </c>
      <c r="T100">
        <f>IF($A100="","",TEXT($A100,"yyyymm")&amp;"|"&amp;$C100&amp;"|"&amp;$F100&amp;"|"&amp;$N100&amp;"|"&amp;$R100)</f>
        <v/>
      </c>
    </row>
    <row r="101" ht="11.55" customHeight="1">
      <c r="A101" s="10" t="n">
        <v>46001</v>
      </c>
      <c r="B101" s="7" t="inlineStr">
        <is>
          <t>Quarta</t>
        </is>
      </c>
      <c r="C101" s="7" t="inlineStr">
        <is>
          <t>CT Lageado</t>
        </is>
      </c>
      <c r="D101" s="7" t="n"/>
      <c r="E101" s="7" t="inlineStr">
        <is>
          <t>Natalino</t>
        </is>
      </c>
      <c r="F101" s="13" t="inlineStr">
        <is>
          <t>Apoio HDD entre PVs 16 a 18</t>
        </is>
      </c>
      <c r="G101" s="7" t="inlineStr">
        <is>
          <t>16</t>
        </is>
      </c>
      <c r="H101" s="7" t="n"/>
      <c r="I101" s="7" t="inlineStr">
        <is>
          <t>16</t>
        </is>
      </c>
      <c r="J101" s="7" t="inlineStr">
        <is>
          <t>Apoio HDD</t>
        </is>
      </c>
      <c r="K101" s="7" t="inlineStr">
        <is>
          <t>Planejamento</t>
        </is>
      </c>
      <c r="L101" s="16" t="inlineStr">
        <is>
          <t>PDS-dezembro(1).docx</t>
        </is>
      </c>
      <c r="M101">
        <f>IF($A101="","",TEXT($A101,"mmmm/yyyy"))</f>
        <v/>
      </c>
      <c r="P101">
        <f>IFERROR(_xludf.XLOOKUP($N101,Base_Enderecos!$A:$A,Base_Enderecos!$B:$B,""),"")</f>
        <v/>
      </c>
      <c r="Q101">
        <f>IFERROR(_xludf.XLOOKUP($N101,Base_Enderecos!$A:$A,Base_Enderecos!$C:$C,""),"")</f>
        <v/>
      </c>
      <c r="R101">
        <f>IF(OR(ISNUMBER(SEARCH("HDD",$F101)),ISNUMBER(SEARCH("MND",$F101)),ISNUMBER(SEARCH("PEAD",$F101)),ISNUMBER(SEARCH("Puxe",$J101)),ISNUMBER(SEARCH("Apoio HDD",$F101))),"MND",IF(OR(ISNUMBER(SEARCH("VCA",$F101)),ISNUMBER(SEARCH("PVC",$F101)),ISNUMBER(SEARCH("vca",$J101)),ISNUMBER(SEARCH("Transformação",$J101))),"VCA",IF(OR(ISNUMBER(SEARCH("crava",$F101)),ISNUMBER(SEARCH("tubo cravado",$F101)),ISNUMBER(SEARCH("shaft",$J101)),ISNUMBER(SEARCH("concreto",$F101))),"TUBO CRAVADO","")))</f>
        <v/>
      </c>
      <c r="T101">
        <f>IF($A101="","",TEXT($A101,"yyyymm")&amp;"|"&amp;$C101&amp;"|"&amp;$F101&amp;"|"&amp;$N101&amp;"|"&amp;$R101)</f>
        <v/>
      </c>
    </row>
    <row r="102" ht="11.55" customHeight="1">
      <c r="A102" s="10" t="n">
        <v>46001</v>
      </c>
      <c r="B102" s="7" t="inlineStr">
        <is>
          <t>Quarta</t>
        </is>
      </c>
      <c r="C102" s="7" t="inlineStr">
        <is>
          <t>CT Lageado</t>
        </is>
      </c>
      <c r="D102" s="7" t="n"/>
      <c r="E102" s="7" t="inlineStr">
        <is>
          <t>WJ (Edson)</t>
        </is>
      </c>
      <c r="F102" s="13" t="inlineStr">
        <is>
          <t>Passagem de tubo entre os PVs 16 ao 18</t>
        </is>
      </c>
      <c r="G102" s="7" t="inlineStr">
        <is>
          <t>16</t>
        </is>
      </c>
      <c r="H102" s="7" t="n"/>
      <c r="I102" s="7" t="inlineStr">
        <is>
          <t>16</t>
        </is>
      </c>
      <c r="J102" s="7" t="inlineStr">
        <is>
          <t>Passagem de tubo</t>
        </is>
      </c>
      <c r="K102" s="7" t="inlineStr">
        <is>
          <t>Planejamento</t>
        </is>
      </c>
      <c r="L102" s="16" t="inlineStr">
        <is>
          <t>PDS-dezembro(1).docx</t>
        </is>
      </c>
      <c r="M102">
        <f>IF($A102="","",TEXT($A102,"mmmm/yyyy"))</f>
        <v/>
      </c>
      <c r="P102">
        <f>IFERROR(_xludf.XLOOKUP($N102,Base_Enderecos!$A:$A,Base_Enderecos!$B:$B,""),"")</f>
        <v/>
      </c>
      <c r="Q102">
        <f>IFERROR(_xludf.XLOOKUP($N102,Base_Enderecos!$A:$A,Base_Enderecos!$C:$C,""),"")</f>
        <v/>
      </c>
      <c r="R102">
        <f>IF(OR(ISNUMBER(SEARCH("HDD",$F102)),ISNUMBER(SEARCH("MND",$F102)),ISNUMBER(SEARCH("PEAD",$F102)),ISNUMBER(SEARCH("Puxe",$J102)),ISNUMBER(SEARCH("Apoio HDD",$F102))),"MND",IF(OR(ISNUMBER(SEARCH("VCA",$F102)),ISNUMBER(SEARCH("PVC",$F102)),ISNUMBER(SEARCH("vca",$J102)),ISNUMBER(SEARCH("Transformação",$J102))),"VCA",IF(OR(ISNUMBER(SEARCH("crava",$F102)),ISNUMBER(SEARCH("tubo cravado",$F102)),ISNUMBER(SEARCH("shaft",$J102)),ISNUMBER(SEARCH("concreto",$F102))),"TUBO CRAVADO","")))</f>
        <v/>
      </c>
      <c r="T102">
        <f>IF($A102="","",TEXT($A102,"yyyymm")&amp;"|"&amp;$C102&amp;"|"&amp;$F102&amp;"|"&amp;$N102&amp;"|"&amp;$R102)</f>
        <v/>
      </c>
    </row>
    <row r="103" ht="11.55" customHeight="1">
      <c r="A103" s="10" t="n">
        <v>46001</v>
      </c>
      <c r="B103" s="7" t="inlineStr">
        <is>
          <t>Quarta</t>
        </is>
      </c>
      <c r="C103" s="7" t="inlineStr">
        <is>
          <t>CT Lageado</t>
        </is>
      </c>
      <c r="D103" s="7" t="n"/>
      <c r="E103" s="7" t="inlineStr">
        <is>
          <t>Cesar</t>
        </is>
      </c>
      <c r="F103" s="13" t="inlineStr">
        <is>
          <t>transformar PV 07</t>
        </is>
      </c>
      <c r="G103" s="7" t="inlineStr">
        <is>
          <t>07</t>
        </is>
      </c>
      <c r="H103" s="7" t="n"/>
      <c r="I103" s="7" t="inlineStr">
        <is>
          <t>07</t>
        </is>
      </c>
      <c r="J103" s="7" t="n"/>
      <c r="K103" s="7" t="inlineStr">
        <is>
          <t>Planejamento</t>
        </is>
      </c>
      <c r="L103" s="16" t="inlineStr">
        <is>
          <t>PDS-dezembro(1).docx</t>
        </is>
      </c>
      <c r="M103">
        <f>IF($A103="","",TEXT($A103,"mmmm/yyyy"))</f>
        <v/>
      </c>
      <c r="P103">
        <f>IFERROR(_xludf.XLOOKUP($N103,Base_Enderecos!$A:$A,Base_Enderecos!$B:$B,""),"")</f>
        <v/>
      </c>
      <c r="Q103">
        <f>IFERROR(_xludf.XLOOKUP($N103,Base_Enderecos!$A:$A,Base_Enderecos!$C:$C,""),"")</f>
        <v/>
      </c>
      <c r="R103">
        <f>IF(OR(ISNUMBER(SEARCH("HDD",$F103)),ISNUMBER(SEARCH("MND",$F103)),ISNUMBER(SEARCH("PEAD",$F103)),ISNUMBER(SEARCH("Puxe",$J103)),ISNUMBER(SEARCH("Apoio HDD",$F103))),"MND",IF(OR(ISNUMBER(SEARCH("VCA",$F103)),ISNUMBER(SEARCH("PVC",$F103)),ISNUMBER(SEARCH("vca",$J103)),ISNUMBER(SEARCH("Transformação",$J103))),"VCA",IF(OR(ISNUMBER(SEARCH("crava",$F103)),ISNUMBER(SEARCH("tubo cravado",$F103)),ISNUMBER(SEARCH("shaft",$J103)),ISNUMBER(SEARCH("concreto",$F103))),"TUBO CRAVADO","")))</f>
        <v/>
      </c>
      <c r="T103">
        <f>IF($A103="","",TEXT($A103,"yyyymm")&amp;"|"&amp;$C103&amp;"|"&amp;$F103&amp;"|"&amp;$N103&amp;"|"&amp;$R103)</f>
        <v/>
      </c>
    </row>
    <row r="104" ht="11.55" customHeight="1">
      <c r="A104" s="10" t="n">
        <v>46001</v>
      </c>
      <c r="B104" s="7" t="inlineStr">
        <is>
          <t>Quarta</t>
        </is>
      </c>
      <c r="C104" s="7" t="inlineStr">
        <is>
          <t>CT Lageado</t>
        </is>
      </c>
      <c r="D104" s="7" t="n"/>
      <c r="E104" s="7" t="inlineStr">
        <is>
          <t>Higor</t>
        </is>
      </c>
      <c r="F104" s="13" t="inlineStr">
        <is>
          <t>transformar PV 18.1</t>
        </is>
      </c>
      <c r="G104" s="7" t="inlineStr">
        <is>
          <t>18.1</t>
        </is>
      </c>
      <c r="H104" s="7" t="n"/>
      <c r="I104" s="7" t="inlineStr">
        <is>
          <t>18.1</t>
        </is>
      </c>
      <c r="J104" s="7" t="n"/>
      <c r="K104" s="7" t="inlineStr">
        <is>
          <t>Planejamento</t>
        </is>
      </c>
      <c r="L104" s="16" t="inlineStr">
        <is>
          <t>PDS-dezembro(1).docx</t>
        </is>
      </c>
      <c r="M104">
        <f>IF($A104="","",TEXT($A104,"mmmm/yyyy"))</f>
        <v/>
      </c>
      <c r="P104">
        <f>IFERROR(_xludf.XLOOKUP($N104,Base_Enderecos!$A:$A,Base_Enderecos!$B:$B,""),"")</f>
        <v/>
      </c>
      <c r="Q104">
        <f>IFERROR(_xludf.XLOOKUP($N104,Base_Enderecos!$A:$A,Base_Enderecos!$C:$C,""),"")</f>
        <v/>
      </c>
      <c r="R104">
        <f>IF(OR(ISNUMBER(SEARCH("HDD",$F104)),ISNUMBER(SEARCH("MND",$F104)),ISNUMBER(SEARCH("PEAD",$F104)),ISNUMBER(SEARCH("Puxe",$J104)),ISNUMBER(SEARCH("Apoio HDD",$F104))),"MND",IF(OR(ISNUMBER(SEARCH("VCA",$F104)),ISNUMBER(SEARCH("PVC",$F104)),ISNUMBER(SEARCH("vca",$J104)),ISNUMBER(SEARCH("Transformação",$J104))),"VCA",IF(OR(ISNUMBER(SEARCH("crava",$F104)),ISNUMBER(SEARCH("tubo cravado",$F104)),ISNUMBER(SEARCH("shaft",$J104)),ISNUMBER(SEARCH("concreto",$F104))),"TUBO CRAVADO","")))</f>
        <v/>
      </c>
      <c r="T104">
        <f>IF($A104="","",TEXT($A104,"yyyymm")&amp;"|"&amp;$C104&amp;"|"&amp;$F104&amp;"|"&amp;$N104&amp;"|"&amp;$R104)</f>
        <v/>
      </c>
    </row>
    <row r="105" ht="11.55" customHeight="1">
      <c r="A105" s="10" t="n">
        <v>46001</v>
      </c>
      <c r="B105" s="7" t="inlineStr">
        <is>
          <t>Quarta</t>
        </is>
      </c>
      <c r="C105" s="7" t="inlineStr">
        <is>
          <t>CT Lageado</t>
        </is>
      </c>
      <c r="D105" s="7" t="n"/>
      <c r="E105" s="7" t="inlineStr">
        <is>
          <t>Edivando</t>
        </is>
      </c>
      <c r="F105" s="13" t="inlineStr">
        <is>
          <t>Transformação 1.2</t>
        </is>
      </c>
      <c r="G105" s="7" t="n"/>
      <c r="H105" s="7" t="n"/>
      <c r="I105" s="7" t="n"/>
      <c r="J105" s="7" t="inlineStr">
        <is>
          <t>Transformação</t>
        </is>
      </c>
      <c r="K105" s="7" t="inlineStr">
        <is>
          <t>Planejamento</t>
        </is>
      </c>
      <c r="L105" s="16" t="inlineStr">
        <is>
          <t>PDS-dezembro(1).docx</t>
        </is>
      </c>
      <c r="M105">
        <f>IF($A105="","",TEXT($A105,"mmmm/yyyy"))</f>
        <v/>
      </c>
      <c r="P105">
        <f>IFERROR(_xludf.XLOOKUP($N105,Base_Enderecos!$A:$A,Base_Enderecos!$B:$B,""),"")</f>
        <v/>
      </c>
      <c r="Q105">
        <f>IFERROR(_xludf.XLOOKUP($N105,Base_Enderecos!$A:$A,Base_Enderecos!$C:$C,""),"")</f>
        <v/>
      </c>
      <c r="R105">
        <f>IF(OR(ISNUMBER(SEARCH("HDD",$F105)),ISNUMBER(SEARCH("MND",$F105)),ISNUMBER(SEARCH("PEAD",$F105)),ISNUMBER(SEARCH("Puxe",$J105)),ISNUMBER(SEARCH("Apoio HDD",$F105))),"MND",IF(OR(ISNUMBER(SEARCH("VCA",$F105)),ISNUMBER(SEARCH("PVC",$F105)),ISNUMBER(SEARCH("vca",$J105)),ISNUMBER(SEARCH("Transformação",$J105))),"VCA",IF(OR(ISNUMBER(SEARCH("crava",$F105)),ISNUMBER(SEARCH("tubo cravado",$F105)),ISNUMBER(SEARCH("shaft",$J105)),ISNUMBER(SEARCH("concreto",$F105))),"TUBO CRAVADO","")))</f>
        <v/>
      </c>
      <c r="T105">
        <f>IF($A105="","",TEXT($A105,"yyyymm")&amp;"|"&amp;$C105&amp;"|"&amp;$F105&amp;"|"&amp;$N105&amp;"|"&amp;$R105)</f>
        <v/>
      </c>
    </row>
    <row r="106" ht="11.55" customHeight="1">
      <c r="A106" s="10" t="n">
        <v>46001</v>
      </c>
      <c r="B106" s="7" t="inlineStr">
        <is>
          <t>Quarta</t>
        </is>
      </c>
      <c r="C106" s="7" t="inlineStr">
        <is>
          <t>CT Lageado</t>
        </is>
      </c>
      <c r="D106" s="7" t="n"/>
      <c r="E106" s="7" t="inlineStr">
        <is>
          <t>Fabrício</t>
        </is>
      </c>
      <c r="F106" s="13" t="inlineStr">
        <is>
          <t>Apoio HDD entre PVs 16 a 16.1</t>
        </is>
      </c>
      <c r="G106" s="7" t="inlineStr">
        <is>
          <t>16</t>
        </is>
      </c>
      <c r="H106" s="7" t="n"/>
      <c r="I106" s="7" t="inlineStr">
        <is>
          <t>16</t>
        </is>
      </c>
      <c r="J106" s="7" t="inlineStr">
        <is>
          <t>Apoio HDD</t>
        </is>
      </c>
      <c r="K106" s="7" t="inlineStr">
        <is>
          <t>Planejamento</t>
        </is>
      </c>
      <c r="L106" s="16" t="inlineStr">
        <is>
          <t>PDS-dezembro(1).docx</t>
        </is>
      </c>
      <c r="M106">
        <f>IF($A106="","",TEXT($A106,"mmmm/yyyy"))</f>
        <v/>
      </c>
      <c r="P106">
        <f>IFERROR(_xludf.XLOOKUP($N106,Base_Enderecos!$A:$A,Base_Enderecos!$B:$B,""),"")</f>
        <v/>
      </c>
      <c r="Q106">
        <f>IFERROR(_xludf.XLOOKUP($N106,Base_Enderecos!$A:$A,Base_Enderecos!$C:$C,""),"")</f>
        <v/>
      </c>
      <c r="R106">
        <f>IF(OR(ISNUMBER(SEARCH("HDD",$F106)),ISNUMBER(SEARCH("MND",$F106)),ISNUMBER(SEARCH("PEAD",$F106)),ISNUMBER(SEARCH("Puxe",$J106)),ISNUMBER(SEARCH("Apoio HDD",$F106))),"MND",IF(OR(ISNUMBER(SEARCH("VCA",$F106)),ISNUMBER(SEARCH("PVC",$F106)),ISNUMBER(SEARCH("vca",$J106)),ISNUMBER(SEARCH("Transformação",$J106))),"VCA",IF(OR(ISNUMBER(SEARCH("crava",$F106)),ISNUMBER(SEARCH("tubo cravado",$F106)),ISNUMBER(SEARCH("shaft",$J106)),ISNUMBER(SEARCH("concreto",$F106))),"TUBO CRAVADO","")))</f>
        <v/>
      </c>
      <c r="T106">
        <f>IF($A106="","",TEXT($A106,"yyyymm")&amp;"|"&amp;$C106&amp;"|"&amp;$F106&amp;"|"&amp;$N106&amp;"|"&amp;$R106)</f>
        <v/>
      </c>
    </row>
    <row r="107" ht="11.55" customHeight="1">
      <c r="A107" s="10" t="n">
        <v>46001</v>
      </c>
      <c r="B107" s="7" t="inlineStr">
        <is>
          <t>Quarta</t>
        </is>
      </c>
      <c r="C107" s="7" t="inlineStr">
        <is>
          <t>CT Lageado</t>
        </is>
      </c>
      <c r="D107" s="7" t="n"/>
      <c r="E107" s="7" t="inlineStr">
        <is>
          <t>Work Drill (Bruno)</t>
        </is>
      </c>
      <c r="F107" s="13" t="inlineStr">
        <is>
          <t>Passagem de tubo entre os PVs 16 ao 16.1</t>
        </is>
      </c>
      <c r="G107" s="7" t="inlineStr">
        <is>
          <t>16</t>
        </is>
      </c>
      <c r="H107" s="7" t="n"/>
      <c r="I107" s="7" t="inlineStr">
        <is>
          <t>16</t>
        </is>
      </c>
      <c r="J107" s="7" t="inlineStr">
        <is>
          <t>Passagem de tubo</t>
        </is>
      </c>
      <c r="K107" s="7" t="inlineStr">
        <is>
          <t>Planejamento</t>
        </is>
      </c>
      <c r="L107" s="16" t="inlineStr">
        <is>
          <t>PDS-dezembro(1).docx</t>
        </is>
      </c>
      <c r="M107">
        <f>IF($A107="","",TEXT($A107,"mmmm/yyyy"))</f>
        <v/>
      </c>
      <c r="P107">
        <f>IFERROR(_xludf.XLOOKUP($N107,Base_Enderecos!$A:$A,Base_Enderecos!$B:$B,""),"")</f>
        <v/>
      </c>
      <c r="Q107">
        <f>IFERROR(_xludf.XLOOKUP($N107,Base_Enderecos!$A:$A,Base_Enderecos!$C:$C,""),"")</f>
        <v/>
      </c>
      <c r="R107">
        <f>IF(OR(ISNUMBER(SEARCH("HDD",$F107)),ISNUMBER(SEARCH("MND",$F107)),ISNUMBER(SEARCH("PEAD",$F107)),ISNUMBER(SEARCH("Puxe",$J107)),ISNUMBER(SEARCH("Apoio HDD",$F107))),"MND",IF(OR(ISNUMBER(SEARCH("VCA",$F107)),ISNUMBER(SEARCH("PVC",$F107)),ISNUMBER(SEARCH("vca",$J107)),ISNUMBER(SEARCH("Transformação",$J107))),"VCA",IF(OR(ISNUMBER(SEARCH("crava",$F107)),ISNUMBER(SEARCH("tubo cravado",$F107)),ISNUMBER(SEARCH("shaft",$J107)),ISNUMBER(SEARCH("concreto",$F107))),"TUBO CRAVADO","")))</f>
        <v/>
      </c>
      <c r="T107">
        <f>IF($A107="","",TEXT($A107,"yyyymm")&amp;"|"&amp;$C107&amp;"|"&amp;$F107&amp;"|"&amp;$N107&amp;"|"&amp;$R107)</f>
        <v/>
      </c>
    </row>
    <row r="108" ht="11.55" customHeight="1">
      <c r="A108" s="10" t="n">
        <v>46001</v>
      </c>
      <c r="B108" s="7" t="inlineStr">
        <is>
          <t>Quarta</t>
        </is>
      </c>
      <c r="C108" s="7" t="inlineStr">
        <is>
          <t>CT Lageado</t>
        </is>
      </c>
      <c r="D108" s="7" t="n"/>
      <c r="E108" s="7" t="inlineStr">
        <is>
          <t>Valter</t>
        </is>
      </c>
      <c r="F108" s="13" t="inlineStr">
        <is>
          <t>Transformação PV 7.1</t>
        </is>
      </c>
      <c r="G108" s="7" t="inlineStr">
        <is>
          <t>7.1</t>
        </is>
      </c>
      <c r="H108" s="7" t="n"/>
      <c r="I108" s="7" t="inlineStr">
        <is>
          <t>7.1</t>
        </is>
      </c>
      <c r="J108" s="7" t="inlineStr">
        <is>
          <t>Transformação</t>
        </is>
      </c>
      <c r="K108" s="7" t="inlineStr">
        <is>
          <t>Planejamento</t>
        </is>
      </c>
      <c r="L108" s="16" t="inlineStr">
        <is>
          <t>PDS-dezembro(1).docx</t>
        </is>
      </c>
      <c r="M108">
        <f>IF($A108="","",TEXT($A108,"mmmm/yyyy"))</f>
        <v/>
      </c>
      <c r="P108">
        <f>IFERROR(_xludf.XLOOKUP($N108,Base_Enderecos!$A:$A,Base_Enderecos!$B:$B,""),"")</f>
        <v/>
      </c>
      <c r="Q108">
        <f>IFERROR(_xludf.XLOOKUP($N108,Base_Enderecos!$A:$A,Base_Enderecos!$C:$C,""),"")</f>
        <v/>
      </c>
      <c r="R108">
        <f>IF(OR(ISNUMBER(SEARCH("HDD",$F108)),ISNUMBER(SEARCH("MND",$F108)),ISNUMBER(SEARCH("PEAD",$F108)),ISNUMBER(SEARCH("Puxe",$J108)),ISNUMBER(SEARCH("Apoio HDD",$F108))),"MND",IF(OR(ISNUMBER(SEARCH("VCA",$F108)),ISNUMBER(SEARCH("PVC",$F108)),ISNUMBER(SEARCH("vca",$J108)),ISNUMBER(SEARCH("Transformação",$J108))),"VCA",IF(OR(ISNUMBER(SEARCH("crava",$F108)),ISNUMBER(SEARCH("tubo cravado",$F108)),ISNUMBER(SEARCH("shaft",$J108)),ISNUMBER(SEARCH("concreto",$F108))),"TUBO CRAVADO","")))</f>
        <v/>
      </c>
      <c r="T108">
        <f>IF($A108="","",TEXT($A108,"yyyymm")&amp;"|"&amp;$C108&amp;"|"&amp;$F108&amp;"|"&amp;$N108&amp;"|"&amp;$R108)</f>
        <v/>
      </c>
    </row>
    <row r="109" ht="11.55" customHeight="1">
      <c r="A109" s="10" t="n">
        <v>46001</v>
      </c>
      <c r="B109" s="7" t="inlineStr">
        <is>
          <t>Quarta</t>
        </is>
      </c>
      <c r="C109" s="7" t="inlineStr">
        <is>
          <t>CT Lageado</t>
        </is>
      </c>
      <c r="D109" s="7" t="n"/>
      <c r="E109" s="7" t="inlineStr">
        <is>
          <t>Marcio</t>
        </is>
      </c>
      <c r="F109" s="13" t="inlineStr">
        <is>
          <t>Apoio HDD entre PVs 12 a 16</t>
        </is>
      </c>
      <c r="G109" s="7" t="inlineStr">
        <is>
          <t>12</t>
        </is>
      </c>
      <c r="H109" s="7" t="n"/>
      <c r="I109" s="7" t="inlineStr">
        <is>
          <t>12</t>
        </is>
      </c>
      <c r="J109" s="7" t="inlineStr">
        <is>
          <t>Apoio HDD</t>
        </is>
      </c>
      <c r="K109" s="7" t="inlineStr">
        <is>
          <t>Planejamento</t>
        </is>
      </c>
      <c r="L109" s="16" t="inlineStr">
        <is>
          <t>PDS-dezembro(1).docx</t>
        </is>
      </c>
      <c r="M109">
        <f>IF($A109="","",TEXT($A109,"mmmm/yyyy"))</f>
        <v/>
      </c>
      <c r="P109">
        <f>IFERROR(_xludf.XLOOKUP($N109,Base_Enderecos!$A:$A,Base_Enderecos!$B:$B,""),"")</f>
        <v/>
      </c>
      <c r="Q109">
        <f>IFERROR(_xludf.XLOOKUP($N109,Base_Enderecos!$A:$A,Base_Enderecos!$C:$C,""),"")</f>
        <v/>
      </c>
      <c r="R109">
        <f>IF(OR(ISNUMBER(SEARCH("HDD",$F109)),ISNUMBER(SEARCH("MND",$F109)),ISNUMBER(SEARCH("PEAD",$F109)),ISNUMBER(SEARCH("Puxe",$J109)),ISNUMBER(SEARCH("Apoio HDD",$F109))),"MND",IF(OR(ISNUMBER(SEARCH("VCA",$F109)),ISNUMBER(SEARCH("PVC",$F109)),ISNUMBER(SEARCH("vca",$J109)),ISNUMBER(SEARCH("Transformação",$J109))),"VCA",IF(OR(ISNUMBER(SEARCH("crava",$F109)),ISNUMBER(SEARCH("tubo cravado",$F109)),ISNUMBER(SEARCH("shaft",$J109)),ISNUMBER(SEARCH("concreto",$F109))),"TUBO CRAVADO","")))</f>
        <v/>
      </c>
      <c r="T109">
        <f>IF($A109="","",TEXT($A109,"yyyymm")&amp;"|"&amp;$C109&amp;"|"&amp;$F109&amp;"|"&amp;$N109&amp;"|"&amp;$R109)</f>
        <v/>
      </c>
    </row>
    <row r="110" ht="11.55" customHeight="1">
      <c r="A110" s="10" t="n">
        <v>46001</v>
      </c>
      <c r="B110" s="7" t="inlineStr">
        <is>
          <t>Quarta</t>
        </is>
      </c>
      <c r="C110" s="7" t="inlineStr">
        <is>
          <t>CT Lageado</t>
        </is>
      </c>
      <c r="D110" s="7" t="n"/>
      <c r="E110" s="7" t="inlineStr">
        <is>
          <t>WJ (Alex)</t>
        </is>
      </c>
      <c r="F110" s="13" t="inlineStr">
        <is>
          <t>Passagem de tubo entre os PVs 12 ao 16</t>
        </is>
      </c>
      <c r="G110" s="7" t="inlineStr">
        <is>
          <t>12</t>
        </is>
      </c>
      <c r="H110" s="7" t="n"/>
      <c r="I110" s="7" t="inlineStr">
        <is>
          <t>12</t>
        </is>
      </c>
      <c r="J110" s="7" t="inlineStr">
        <is>
          <t>Passagem de tubo</t>
        </is>
      </c>
      <c r="K110" s="7" t="inlineStr">
        <is>
          <t>Planejamento</t>
        </is>
      </c>
      <c r="L110" s="16" t="inlineStr">
        <is>
          <t>PDS-dezembro(1).docx</t>
        </is>
      </c>
      <c r="M110">
        <f>IF($A110="","",TEXT($A110,"mmmm/yyyy"))</f>
        <v/>
      </c>
      <c r="P110">
        <f>IFERROR(_xludf.XLOOKUP($N110,Base_Enderecos!$A:$A,Base_Enderecos!$B:$B,""),"")</f>
        <v/>
      </c>
      <c r="Q110">
        <f>IFERROR(_xludf.XLOOKUP($N110,Base_Enderecos!$A:$A,Base_Enderecos!$C:$C,""),"")</f>
        <v/>
      </c>
      <c r="R110">
        <f>IF(OR(ISNUMBER(SEARCH("HDD",$F110)),ISNUMBER(SEARCH("MND",$F110)),ISNUMBER(SEARCH("PEAD",$F110)),ISNUMBER(SEARCH("Puxe",$J110)),ISNUMBER(SEARCH("Apoio HDD",$F110))),"MND",IF(OR(ISNUMBER(SEARCH("VCA",$F110)),ISNUMBER(SEARCH("PVC",$F110)),ISNUMBER(SEARCH("vca",$J110)),ISNUMBER(SEARCH("Transformação",$J110))),"VCA",IF(OR(ISNUMBER(SEARCH("crava",$F110)),ISNUMBER(SEARCH("tubo cravado",$F110)),ISNUMBER(SEARCH("shaft",$J110)),ISNUMBER(SEARCH("concreto",$F110))),"TUBO CRAVADO","")))</f>
        <v/>
      </c>
      <c r="T110">
        <f>IF($A110="","",TEXT($A110,"yyyymm")&amp;"|"&amp;$C110&amp;"|"&amp;$F110&amp;"|"&amp;$N110&amp;"|"&amp;$R110)</f>
        <v/>
      </c>
    </row>
    <row r="111" ht="11.55" customHeight="1">
      <c r="A111" s="10" t="n">
        <v>46001</v>
      </c>
      <c r="B111" s="7" t="inlineStr">
        <is>
          <t>Quarta</t>
        </is>
      </c>
      <c r="C111" s="7" t="inlineStr">
        <is>
          <t>CT Lageado</t>
        </is>
      </c>
      <c r="D111" s="7" t="n"/>
      <c r="E111" s="7" t="inlineStr">
        <is>
          <t>Marcelo</t>
        </is>
      </c>
      <c r="F111" s="13" t="inlineStr">
        <is>
          <t>Transformação PV 05</t>
        </is>
      </c>
      <c r="G111" s="7" t="inlineStr">
        <is>
          <t>05</t>
        </is>
      </c>
      <c r="H111" s="7" t="n"/>
      <c r="I111" s="7" t="inlineStr">
        <is>
          <t>05</t>
        </is>
      </c>
      <c r="J111" s="7" t="inlineStr">
        <is>
          <t>Transformação</t>
        </is>
      </c>
      <c r="K111" s="7" t="inlineStr">
        <is>
          <t>Planejamento</t>
        </is>
      </c>
      <c r="L111" s="16" t="inlineStr">
        <is>
          <t>PDS-dezembro(1).docx</t>
        </is>
      </c>
      <c r="M111">
        <f>IF($A111="","",TEXT($A111,"mmmm/yyyy"))</f>
        <v/>
      </c>
      <c r="P111">
        <f>IFERROR(_xludf.XLOOKUP($N111,Base_Enderecos!$A:$A,Base_Enderecos!$B:$B,""),"")</f>
        <v/>
      </c>
      <c r="Q111">
        <f>IFERROR(_xludf.XLOOKUP($N111,Base_Enderecos!$A:$A,Base_Enderecos!$C:$C,""),"")</f>
        <v/>
      </c>
      <c r="R111">
        <f>IF(OR(ISNUMBER(SEARCH("HDD",$F111)),ISNUMBER(SEARCH("MND",$F111)),ISNUMBER(SEARCH("PEAD",$F111)),ISNUMBER(SEARCH("Puxe",$J111)),ISNUMBER(SEARCH("Apoio HDD",$F111))),"MND",IF(OR(ISNUMBER(SEARCH("VCA",$F111)),ISNUMBER(SEARCH("PVC",$F111)),ISNUMBER(SEARCH("vca",$J111)),ISNUMBER(SEARCH("Transformação",$J111))),"VCA",IF(OR(ISNUMBER(SEARCH("crava",$F111)),ISNUMBER(SEARCH("tubo cravado",$F111)),ISNUMBER(SEARCH("shaft",$J111)),ISNUMBER(SEARCH("concreto",$F111))),"TUBO CRAVADO","")))</f>
        <v/>
      </c>
      <c r="T111">
        <f>IF($A111="","",TEXT($A111,"yyyymm")&amp;"|"&amp;$C111&amp;"|"&amp;$F111&amp;"|"&amp;$N111&amp;"|"&amp;$R111)</f>
        <v/>
      </c>
    </row>
    <row r="112" ht="11.55" customHeight="1">
      <c r="A112" s="10" t="n">
        <v>46001</v>
      </c>
      <c r="B112" s="7" t="inlineStr">
        <is>
          <t>Quarta</t>
        </is>
      </c>
      <c r="C112" s="7" t="inlineStr">
        <is>
          <t>CT Lageado</t>
        </is>
      </c>
      <c r="D112" s="7" t="n"/>
      <c r="E112" s="7" t="inlineStr">
        <is>
          <t>Paulo</t>
        </is>
      </c>
      <c r="F112" s="13" t="inlineStr">
        <is>
          <t>Transformação PV 10</t>
        </is>
      </c>
      <c r="G112" s="7" t="inlineStr">
        <is>
          <t>10</t>
        </is>
      </c>
      <c r="H112" s="7" t="n"/>
      <c r="I112" s="7" t="inlineStr">
        <is>
          <t>10</t>
        </is>
      </c>
      <c r="J112" s="7" t="inlineStr">
        <is>
          <t>Transformação</t>
        </is>
      </c>
      <c r="K112" s="7" t="inlineStr">
        <is>
          <t>Planejamento</t>
        </is>
      </c>
      <c r="L112" s="16" t="inlineStr">
        <is>
          <t>PDS-dezembro(1).docx</t>
        </is>
      </c>
      <c r="M112">
        <f>IF($A112="","",TEXT($A112,"mmmm/yyyy"))</f>
        <v/>
      </c>
      <c r="P112">
        <f>IFERROR(_xludf.XLOOKUP($N112,Base_Enderecos!$A:$A,Base_Enderecos!$B:$B,""),"")</f>
        <v/>
      </c>
      <c r="Q112">
        <f>IFERROR(_xludf.XLOOKUP($N112,Base_Enderecos!$A:$A,Base_Enderecos!$C:$C,""),"")</f>
        <v/>
      </c>
      <c r="R112">
        <f>IF(OR(ISNUMBER(SEARCH("HDD",$F112)),ISNUMBER(SEARCH("MND",$F112)),ISNUMBER(SEARCH("PEAD",$F112)),ISNUMBER(SEARCH("Puxe",$J112)),ISNUMBER(SEARCH("Apoio HDD",$F112))),"MND",IF(OR(ISNUMBER(SEARCH("VCA",$F112)),ISNUMBER(SEARCH("PVC",$F112)),ISNUMBER(SEARCH("vca",$J112)),ISNUMBER(SEARCH("Transformação",$J112))),"VCA",IF(OR(ISNUMBER(SEARCH("crava",$F112)),ISNUMBER(SEARCH("tubo cravado",$F112)),ISNUMBER(SEARCH("shaft",$J112)),ISNUMBER(SEARCH("concreto",$F112))),"TUBO CRAVADO","")))</f>
        <v/>
      </c>
      <c r="T112">
        <f>IF($A112="","",TEXT($A112,"yyyymm")&amp;"|"&amp;$C112&amp;"|"&amp;$F112&amp;"|"&amp;$N112&amp;"|"&amp;$R112)</f>
        <v/>
      </c>
    </row>
    <row r="113" ht="11.55" customHeight="1">
      <c r="A113" s="10" t="n">
        <v>46001</v>
      </c>
      <c r="B113" s="7" t="inlineStr">
        <is>
          <t>Quarta</t>
        </is>
      </c>
      <c r="C113" s="7" t="inlineStr">
        <is>
          <t>Mar de Coral</t>
        </is>
      </c>
      <c r="D113" s="7" t="n"/>
      <c r="E113" s="7" t="inlineStr">
        <is>
          <t>LS 1</t>
        </is>
      </c>
      <c r="F113" s="13" t="inlineStr">
        <is>
          <t>Escavação mecânica e montagem de armco PV 01</t>
        </is>
      </c>
      <c r="G113" s="7" t="inlineStr">
        <is>
          <t>01</t>
        </is>
      </c>
      <c r="H113" s="7" t="n"/>
      <c r="I113" s="7" t="inlineStr">
        <is>
          <t>01</t>
        </is>
      </c>
      <c r="J113" s="7" t="inlineStr">
        <is>
          <t>Escavação</t>
        </is>
      </c>
      <c r="K113" s="7" t="inlineStr">
        <is>
          <t>Planejamento</t>
        </is>
      </c>
      <c r="L113" s="16" t="inlineStr">
        <is>
          <t>PDS-dezembro(1).docx</t>
        </is>
      </c>
      <c r="M113">
        <f>IF($A113="","",TEXT($A113,"mmmm/yyyy"))</f>
        <v/>
      </c>
      <c r="P113">
        <f>IFERROR(_xludf.XLOOKUP($N113,Base_Enderecos!$A:$A,Base_Enderecos!$B:$B,""),"")</f>
        <v/>
      </c>
      <c r="Q113">
        <f>IFERROR(_xludf.XLOOKUP($N113,Base_Enderecos!$A:$A,Base_Enderecos!$C:$C,""),"")</f>
        <v/>
      </c>
      <c r="R113">
        <f>IF(OR(ISNUMBER(SEARCH("HDD",$F113)),ISNUMBER(SEARCH("MND",$F113)),ISNUMBER(SEARCH("PEAD",$F113)),ISNUMBER(SEARCH("Puxe",$J113)),ISNUMBER(SEARCH("Apoio HDD",$F113))),"MND",IF(OR(ISNUMBER(SEARCH("VCA",$F113)),ISNUMBER(SEARCH("PVC",$F113)),ISNUMBER(SEARCH("vca",$J113)),ISNUMBER(SEARCH("Transformação",$J113))),"VCA",IF(OR(ISNUMBER(SEARCH("crava",$F113)),ISNUMBER(SEARCH("tubo cravado",$F113)),ISNUMBER(SEARCH("shaft",$J113)),ISNUMBER(SEARCH("concreto",$F113))),"TUBO CRAVADO","")))</f>
        <v/>
      </c>
      <c r="T113">
        <f>IF($A113="","",TEXT($A113,"yyyymm")&amp;"|"&amp;$C113&amp;"|"&amp;$F113&amp;"|"&amp;$N113&amp;"|"&amp;$R113)</f>
        <v/>
      </c>
    </row>
    <row r="114" ht="11.55" customHeight="1">
      <c r="A114" s="10" t="n">
        <v>46001</v>
      </c>
      <c r="B114" s="7" t="inlineStr">
        <is>
          <t>Quarta</t>
        </is>
      </c>
      <c r="C114" s="7" t="inlineStr">
        <is>
          <t>Demais trabalhos</t>
        </is>
      </c>
      <c r="D114" s="7" t="n"/>
      <c r="E114" s="7" t="inlineStr">
        <is>
          <t>Guindauto (Rodrigo)</t>
        </is>
      </c>
      <c r="F114" s="13" t="inlineStr">
        <is>
          <t>Apoio as equipes</t>
        </is>
      </c>
      <c r="G114" s="7" t="n"/>
      <c r="H114" s="7" t="n"/>
      <c r="I114" s="7" t="n"/>
      <c r="J114" s="7" t="n"/>
      <c r="K114" s="7" t="inlineStr">
        <is>
          <t>Planejamento</t>
        </is>
      </c>
      <c r="L114" s="16" t="inlineStr">
        <is>
          <t>PDS-dezembro(1).docx</t>
        </is>
      </c>
      <c r="M114">
        <f>IF($A114="","",TEXT($A114,"mmmm/yyyy"))</f>
        <v/>
      </c>
      <c r="P114">
        <f>IFERROR(_xludf.XLOOKUP($N114,Base_Enderecos!$A:$A,Base_Enderecos!$B:$B,""),"")</f>
        <v/>
      </c>
      <c r="Q114">
        <f>IFERROR(_xludf.XLOOKUP($N114,Base_Enderecos!$A:$A,Base_Enderecos!$C:$C,""),"")</f>
        <v/>
      </c>
      <c r="R114">
        <f>IF(OR(ISNUMBER(SEARCH("HDD",$F114)),ISNUMBER(SEARCH("MND",$F114)),ISNUMBER(SEARCH("PEAD",$F114)),ISNUMBER(SEARCH("Puxe",$J114)),ISNUMBER(SEARCH("Apoio HDD",$F114))),"MND",IF(OR(ISNUMBER(SEARCH("VCA",$F114)),ISNUMBER(SEARCH("PVC",$F114)),ISNUMBER(SEARCH("vca",$J114)),ISNUMBER(SEARCH("Transformação",$J114))),"VCA",IF(OR(ISNUMBER(SEARCH("crava",$F114)),ISNUMBER(SEARCH("tubo cravado",$F114)),ISNUMBER(SEARCH("shaft",$J114)),ISNUMBER(SEARCH("concreto",$F114))),"TUBO CRAVADO","")))</f>
        <v/>
      </c>
      <c r="T114">
        <f>IF($A114="","",TEXT($A114,"yyyymm")&amp;"|"&amp;$C114&amp;"|"&amp;$F114&amp;"|"&amp;$N114&amp;"|"&amp;$R114)</f>
        <v/>
      </c>
    </row>
    <row r="115" ht="11.55" customHeight="1">
      <c r="A115" s="10" t="n">
        <v>46001</v>
      </c>
      <c r="B115" s="7" t="inlineStr">
        <is>
          <t>Quarta</t>
        </is>
      </c>
      <c r="C115" s="7" t="inlineStr">
        <is>
          <t>Demais trabalhos</t>
        </is>
      </c>
      <c r="D115" s="7" t="n"/>
      <c r="E115" s="7" t="inlineStr">
        <is>
          <t>Guindauto (Márcio)</t>
        </is>
      </c>
      <c r="F115" s="13" t="inlineStr">
        <is>
          <t>Apoio as Equipe</t>
        </is>
      </c>
      <c r="G115" s="7" t="n"/>
      <c r="H115" s="7" t="n"/>
      <c r="I115" s="7" t="n"/>
      <c r="J115" s="7" t="n"/>
      <c r="K115" s="7" t="inlineStr">
        <is>
          <t>Planejamento</t>
        </is>
      </c>
      <c r="L115" s="16" t="inlineStr">
        <is>
          <t>PDS-dezembro(1).docx</t>
        </is>
      </c>
      <c r="M115">
        <f>IF($A115="","",TEXT($A115,"mmmm/yyyy"))</f>
        <v/>
      </c>
      <c r="P115">
        <f>IFERROR(_xludf.XLOOKUP($N115,Base_Enderecos!$A:$A,Base_Enderecos!$B:$B,""),"")</f>
        <v/>
      </c>
      <c r="Q115">
        <f>IFERROR(_xludf.XLOOKUP($N115,Base_Enderecos!$A:$A,Base_Enderecos!$C:$C,""),"")</f>
        <v/>
      </c>
      <c r="R115">
        <f>IF(OR(ISNUMBER(SEARCH("HDD",$F115)),ISNUMBER(SEARCH("MND",$F115)),ISNUMBER(SEARCH("PEAD",$F115)),ISNUMBER(SEARCH("Puxe",$J115)),ISNUMBER(SEARCH("Apoio HDD",$F115))),"MND",IF(OR(ISNUMBER(SEARCH("VCA",$F115)),ISNUMBER(SEARCH("PVC",$F115)),ISNUMBER(SEARCH("vca",$J115)),ISNUMBER(SEARCH("Transformação",$J115))),"VCA",IF(OR(ISNUMBER(SEARCH("crava",$F115)),ISNUMBER(SEARCH("tubo cravado",$F115)),ISNUMBER(SEARCH("shaft",$J115)),ISNUMBER(SEARCH("concreto",$F115))),"TUBO CRAVADO","")))</f>
        <v/>
      </c>
      <c r="T115">
        <f>IF($A115="","",TEXT($A115,"yyyymm")&amp;"|"&amp;$C115&amp;"|"&amp;$F115&amp;"|"&amp;$N115&amp;"|"&amp;$R115)</f>
        <v/>
      </c>
    </row>
    <row r="116" ht="11.55" customHeight="1">
      <c r="A116" s="10" t="n">
        <v>46001</v>
      </c>
      <c r="B116" s="7" t="inlineStr">
        <is>
          <t>Quarta</t>
        </is>
      </c>
      <c r="C116" s="7" t="inlineStr">
        <is>
          <t>Vacal</t>
        </is>
      </c>
      <c r="D116" s="7" t="n"/>
      <c r="E116" s="7" t="inlineStr">
        <is>
          <t>Apoio Fabrício PV 16 Ladeado</t>
        </is>
      </c>
      <c r="F116" s="13" t="inlineStr">
        <is>
          <t>Apoio Vacal</t>
        </is>
      </c>
      <c r="G116" s="7" t="n"/>
      <c r="H116" s="7" t="n"/>
      <c r="I116" s="7" t="n"/>
      <c r="J116" s="7" t="inlineStr">
        <is>
          <t>Vacal</t>
        </is>
      </c>
      <c r="K116" s="7" t="inlineStr">
        <is>
          <t>Apoio</t>
        </is>
      </c>
      <c r="L116" s="16" t="inlineStr">
        <is>
          <t>PDS-dezembro(1).docx</t>
        </is>
      </c>
      <c r="M116">
        <f>IF($A116="","",TEXT($A116,"mmmm/yyyy"))</f>
        <v/>
      </c>
      <c r="P116">
        <f>IFERROR(_xludf.XLOOKUP($N116,Base_Enderecos!$A:$A,Base_Enderecos!$B:$B,""),"")</f>
        <v/>
      </c>
      <c r="Q116">
        <f>IFERROR(_xludf.XLOOKUP($N116,Base_Enderecos!$A:$A,Base_Enderecos!$C:$C,""),"")</f>
        <v/>
      </c>
      <c r="R116">
        <f>IF(OR(ISNUMBER(SEARCH("HDD",$F116)),ISNUMBER(SEARCH("MND",$F116)),ISNUMBER(SEARCH("PEAD",$F116)),ISNUMBER(SEARCH("Puxe",$J116)),ISNUMBER(SEARCH("Apoio HDD",$F116))),"MND",IF(OR(ISNUMBER(SEARCH("VCA",$F116)),ISNUMBER(SEARCH("PVC",$F116)),ISNUMBER(SEARCH("vca",$J116)),ISNUMBER(SEARCH("Transformação",$J116))),"VCA",IF(OR(ISNUMBER(SEARCH("crava",$F116)),ISNUMBER(SEARCH("tubo cravado",$F116)),ISNUMBER(SEARCH("shaft",$J116)),ISNUMBER(SEARCH("concreto",$F116))),"TUBO CRAVADO","")))</f>
        <v/>
      </c>
      <c r="T116">
        <f>IF($A116="","",TEXT($A116,"yyyymm")&amp;"|"&amp;$C116&amp;"|"&amp;$F116&amp;"|"&amp;$N116&amp;"|"&amp;$R116)</f>
        <v/>
      </c>
    </row>
    <row r="117" ht="11.55" customHeight="1">
      <c r="A117" s="10" t="n">
        <v>46001</v>
      </c>
      <c r="B117" s="7" t="inlineStr">
        <is>
          <t>Quarta</t>
        </is>
      </c>
      <c r="C117" s="7" t="inlineStr">
        <is>
          <t>Vacal</t>
        </is>
      </c>
      <c r="D117" s="7" t="n"/>
      <c r="E117" s="7" t="inlineStr">
        <is>
          <t>Apoio Marcio PV 12 Lageado</t>
        </is>
      </c>
      <c r="F117" s="13" t="inlineStr">
        <is>
          <t>Apoio Vacal</t>
        </is>
      </c>
      <c r="G117" s="7" t="n"/>
      <c r="H117" s="7" t="n"/>
      <c r="I117" s="7" t="n"/>
      <c r="J117" s="7" t="inlineStr">
        <is>
          <t>Vacal</t>
        </is>
      </c>
      <c r="K117" s="7" t="inlineStr">
        <is>
          <t>Apoio</t>
        </is>
      </c>
      <c r="L117" s="16" t="inlineStr">
        <is>
          <t>PDS-dezembro(1).docx</t>
        </is>
      </c>
      <c r="M117">
        <f>IF($A117="","",TEXT($A117,"mmmm/yyyy"))</f>
        <v/>
      </c>
      <c r="P117">
        <f>IFERROR(_xludf.XLOOKUP($N117,Base_Enderecos!$A:$A,Base_Enderecos!$B:$B,""),"")</f>
        <v/>
      </c>
      <c r="Q117">
        <f>IFERROR(_xludf.XLOOKUP($N117,Base_Enderecos!$A:$A,Base_Enderecos!$C:$C,""),"")</f>
        <v/>
      </c>
      <c r="R117">
        <f>IF(OR(ISNUMBER(SEARCH("HDD",$F117)),ISNUMBER(SEARCH("MND",$F117)),ISNUMBER(SEARCH("PEAD",$F117)),ISNUMBER(SEARCH("Puxe",$J117)),ISNUMBER(SEARCH("Apoio HDD",$F117))),"MND",IF(OR(ISNUMBER(SEARCH("VCA",$F117)),ISNUMBER(SEARCH("PVC",$F117)),ISNUMBER(SEARCH("vca",$J117)),ISNUMBER(SEARCH("Transformação",$J117))),"VCA",IF(OR(ISNUMBER(SEARCH("crava",$F117)),ISNUMBER(SEARCH("tubo cravado",$F117)),ISNUMBER(SEARCH("shaft",$J117)),ISNUMBER(SEARCH("concreto",$F117))),"TUBO CRAVADO","")))</f>
        <v/>
      </c>
      <c r="T117">
        <f>IF($A117="","",TEXT($A117,"yyyymm")&amp;"|"&amp;$C117&amp;"|"&amp;$F117&amp;"|"&amp;$N117&amp;"|"&amp;$R117)</f>
        <v/>
      </c>
    </row>
    <row r="118" ht="11.55" customHeight="1">
      <c r="A118" s="10" t="n">
        <v>46002</v>
      </c>
      <c r="B118" s="7" t="inlineStr">
        <is>
          <t>Quinta</t>
        </is>
      </c>
      <c r="C118" s="7" t="inlineStr">
        <is>
          <t>CT Lageado</t>
        </is>
      </c>
      <c r="D118" s="7" t="n"/>
      <c r="E118" s="7" t="inlineStr">
        <is>
          <t>Natalino</t>
        </is>
      </c>
      <c r="F118" s="13" t="inlineStr">
        <is>
          <t>Apoio HDD entre PVs 18 a 19</t>
        </is>
      </c>
      <c r="G118" s="7" t="inlineStr">
        <is>
          <t>18</t>
        </is>
      </c>
      <c r="H118" s="7" t="n"/>
      <c r="I118" s="7" t="inlineStr">
        <is>
          <t>18</t>
        </is>
      </c>
      <c r="J118" s="7" t="inlineStr">
        <is>
          <t>Apoio HDD</t>
        </is>
      </c>
      <c r="K118" s="7" t="inlineStr">
        <is>
          <t>Planejamento</t>
        </is>
      </c>
      <c r="L118" s="16" t="inlineStr">
        <is>
          <t>PDS-dezembro(1).docx</t>
        </is>
      </c>
      <c r="M118">
        <f>IF($A118="","",TEXT($A118,"mmmm/yyyy"))</f>
        <v/>
      </c>
      <c r="P118">
        <f>IFERROR(_xludf.XLOOKUP($N118,Base_Enderecos!$A:$A,Base_Enderecos!$B:$B,""),"")</f>
        <v/>
      </c>
      <c r="Q118">
        <f>IFERROR(_xludf.XLOOKUP($N118,Base_Enderecos!$A:$A,Base_Enderecos!$C:$C,""),"")</f>
        <v/>
      </c>
      <c r="R118">
        <f>IF(OR(ISNUMBER(SEARCH("HDD",$F118)),ISNUMBER(SEARCH("MND",$F118)),ISNUMBER(SEARCH("PEAD",$F118)),ISNUMBER(SEARCH("Puxe",$J118)),ISNUMBER(SEARCH("Apoio HDD",$F118))),"MND",IF(OR(ISNUMBER(SEARCH("VCA",$F118)),ISNUMBER(SEARCH("PVC",$F118)),ISNUMBER(SEARCH("vca",$J118)),ISNUMBER(SEARCH("Transformação",$J118))),"VCA",IF(OR(ISNUMBER(SEARCH("crava",$F118)),ISNUMBER(SEARCH("tubo cravado",$F118)),ISNUMBER(SEARCH("shaft",$J118)),ISNUMBER(SEARCH("concreto",$F118))),"TUBO CRAVADO","")))</f>
        <v/>
      </c>
      <c r="T118">
        <f>IF($A118="","",TEXT($A118,"yyyymm")&amp;"|"&amp;$C118&amp;"|"&amp;$F118&amp;"|"&amp;$N118&amp;"|"&amp;$R118)</f>
        <v/>
      </c>
    </row>
    <row r="119" ht="11.55" customHeight="1">
      <c r="A119" s="10" t="n">
        <v>46002</v>
      </c>
      <c r="B119" s="7" t="inlineStr">
        <is>
          <t>Quinta</t>
        </is>
      </c>
      <c r="C119" s="7" t="inlineStr">
        <is>
          <t>CT Lageado</t>
        </is>
      </c>
      <c r="D119" s="7" t="n"/>
      <c r="E119" s="7" t="inlineStr">
        <is>
          <t>WJ (Edson)</t>
        </is>
      </c>
      <c r="F119" s="13" t="inlineStr">
        <is>
          <t>Execução do furo piloto entre os PVs 18 ao 19</t>
        </is>
      </c>
      <c r="G119" s="7" t="inlineStr">
        <is>
          <t>18</t>
        </is>
      </c>
      <c r="H119" s="7" t="n"/>
      <c r="I119" s="7" t="inlineStr">
        <is>
          <t>18</t>
        </is>
      </c>
      <c r="J119" s="7" t="inlineStr">
        <is>
          <t>Furo piloto</t>
        </is>
      </c>
      <c r="K119" s="7" t="inlineStr">
        <is>
          <t>Planejamento</t>
        </is>
      </c>
      <c r="L119" s="16" t="inlineStr">
        <is>
          <t>PDS-dezembro(1).docx</t>
        </is>
      </c>
      <c r="M119">
        <f>IF($A119="","",TEXT($A119,"mmmm/yyyy"))</f>
        <v/>
      </c>
      <c r="P119">
        <f>IFERROR(_xludf.XLOOKUP($N119,Base_Enderecos!$A:$A,Base_Enderecos!$B:$B,""),"")</f>
        <v/>
      </c>
      <c r="Q119">
        <f>IFERROR(_xludf.XLOOKUP($N119,Base_Enderecos!$A:$A,Base_Enderecos!$C:$C,""),"")</f>
        <v/>
      </c>
      <c r="R119">
        <f>IF(OR(ISNUMBER(SEARCH("HDD",$F119)),ISNUMBER(SEARCH("MND",$F119)),ISNUMBER(SEARCH("PEAD",$F119)),ISNUMBER(SEARCH("Puxe",$J119)),ISNUMBER(SEARCH("Apoio HDD",$F119))),"MND",IF(OR(ISNUMBER(SEARCH("VCA",$F119)),ISNUMBER(SEARCH("PVC",$F119)),ISNUMBER(SEARCH("vca",$J119)),ISNUMBER(SEARCH("Transformação",$J119))),"VCA",IF(OR(ISNUMBER(SEARCH("crava",$F119)),ISNUMBER(SEARCH("tubo cravado",$F119)),ISNUMBER(SEARCH("shaft",$J119)),ISNUMBER(SEARCH("concreto",$F119))),"TUBO CRAVADO","")))</f>
        <v/>
      </c>
      <c r="T119">
        <f>IF($A119="","",TEXT($A119,"yyyymm")&amp;"|"&amp;$C119&amp;"|"&amp;$F119&amp;"|"&amp;$N119&amp;"|"&amp;$R119)</f>
        <v/>
      </c>
    </row>
    <row r="120" ht="11.55" customHeight="1">
      <c r="A120" s="10" t="n">
        <v>46002</v>
      </c>
      <c r="B120" s="7" t="inlineStr">
        <is>
          <t>Quinta</t>
        </is>
      </c>
      <c r="C120" s="7" t="inlineStr">
        <is>
          <t>CT Lageado</t>
        </is>
      </c>
      <c r="D120" s="7" t="n"/>
      <c r="E120" s="7" t="inlineStr">
        <is>
          <t>Higor</t>
        </is>
      </c>
      <c r="F120" s="13" t="inlineStr">
        <is>
          <t>transformar PV 18.1</t>
        </is>
      </c>
      <c r="G120" s="7" t="inlineStr">
        <is>
          <t>18.1</t>
        </is>
      </c>
      <c r="H120" s="7" t="n"/>
      <c r="I120" s="7" t="inlineStr">
        <is>
          <t>18.1</t>
        </is>
      </c>
      <c r="J120" s="7" t="n"/>
      <c r="K120" s="7" t="inlineStr">
        <is>
          <t>Planejamento</t>
        </is>
      </c>
      <c r="L120" s="16" t="inlineStr">
        <is>
          <t>PDS-dezembro(1).docx</t>
        </is>
      </c>
      <c r="M120">
        <f>IF($A120="","",TEXT($A120,"mmmm/yyyy"))</f>
        <v/>
      </c>
      <c r="P120">
        <f>IFERROR(_xludf.XLOOKUP($N120,Base_Enderecos!$A:$A,Base_Enderecos!$B:$B,""),"")</f>
        <v/>
      </c>
      <c r="Q120">
        <f>IFERROR(_xludf.XLOOKUP($N120,Base_Enderecos!$A:$A,Base_Enderecos!$C:$C,""),"")</f>
        <v/>
      </c>
      <c r="R120">
        <f>IF(OR(ISNUMBER(SEARCH("HDD",$F120)),ISNUMBER(SEARCH("MND",$F120)),ISNUMBER(SEARCH("PEAD",$F120)),ISNUMBER(SEARCH("Puxe",$J120)),ISNUMBER(SEARCH("Apoio HDD",$F120))),"MND",IF(OR(ISNUMBER(SEARCH("VCA",$F120)),ISNUMBER(SEARCH("PVC",$F120)),ISNUMBER(SEARCH("vca",$J120)),ISNUMBER(SEARCH("Transformação",$J120))),"VCA",IF(OR(ISNUMBER(SEARCH("crava",$F120)),ISNUMBER(SEARCH("tubo cravado",$F120)),ISNUMBER(SEARCH("shaft",$J120)),ISNUMBER(SEARCH("concreto",$F120))),"TUBO CRAVADO","")))</f>
        <v/>
      </c>
      <c r="T120">
        <f>IF($A120="","",TEXT($A120,"yyyymm")&amp;"|"&amp;$C120&amp;"|"&amp;$F120&amp;"|"&amp;$N120&amp;"|"&amp;$R120)</f>
        <v/>
      </c>
    </row>
    <row r="121" ht="11.55" customHeight="1">
      <c r="A121" s="10" t="n">
        <v>46002</v>
      </c>
      <c r="B121" s="7" t="inlineStr">
        <is>
          <t>Quinta</t>
        </is>
      </c>
      <c r="C121" s="7" t="inlineStr">
        <is>
          <t>CT Lageado</t>
        </is>
      </c>
      <c r="D121" s="7" t="n"/>
      <c r="E121" s="7" t="inlineStr">
        <is>
          <t>Edivando</t>
        </is>
      </c>
      <c r="F121" s="13" t="inlineStr">
        <is>
          <t>Acabamento PV 1.2</t>
        </is>
      </c>
      <c r="G121" s="7" t="inlineStr">
        <is>
          <t>1.2</t>
        </is>
      </c>
      <c r="H121" s="7" t="n"/>
      <c r="I121" s="7" t="inlineStr">
        <is>
          <t>1.2</t>
        </is>
      </c>
      <c r="J121" s="7" t="inlineStr">
        <is>
          <t>Acabamento</t>
        </is>
      </c>
      <c r="K121" s="7" t="inlineStr">
        <is>
          <t>Planejamento</t>
        </is>
      </c>
      <c r="L121" s="16" t="inlineStr">
        <is>
          <t>PDS-dezembro(1).docx</t>
        </is>
      </c>
      <c r="M121">
        <f>IF($A121="","",TEXT($A121,"mmmm/yyyy"))</f>
        <v/>
      </c>
      <c r="P121">
        <f>IFERROR(_xludf.XLOOKUP($N121,Base_Enderecos!$A:$A,Base_Enderecos!$B:$B,""),"")</f>
        <v/>
      </c>
      <c r="Q121">
        <f>IFERROR(_xludf.XLOOKUP($N121,Base_Enderecos!$A:$A,Base_Enderecos!$C:$C,""),"")</f>
        <v/>
      </c>
      <c r="R121">
        <f>IF(OR(ISNUMBER(SEARCH("HDD",$F121)),ISNUMBER(SEARCH("MND",$F121)),ISNUMBER(SEARCH("PEAD",$F121)),ISNUMBER(SEARCH("Puxe",$J121)),ISNUMBER(SEARCH("Apoio HDD",$F121))),"MND",IF(OR(ISNUMBER(SEARCH("VCA",$F121)),ISNUMBER(SEARCH("PVC",$F121)),ISNUMBER(SEARCH("vca",$J121)),ISNUMBER(SEARCH("Transformação",$J121))),"VCA",IF(OR(ISNUMBER(SEARCH("crava",$F121)),ISNUMBER(SEARCH("tubo cravado",$F121)),ISNUMBER(SEARCH("shaft",$J121)),ISNUMBER(SEARCH("concreto",$F121))),"TUBO CRAVADO","")))</f>
        <v/>
      </c>
      <c r="T121">
        <f>IF($A121="","",TEXT($A121,"yyyymm")&amp;"|"&amp;$C121&amp;"|"&amp;$F121&amp;"|"&amp;$N121&amp;"|"&amp;$R121)</f>
        <v/>
      </c>
    </row>
    <row r="122" ht="11.55" customHeight="1">
      <c r="A122" s="10" t="n">
        <v>46002</v>
      </c>
      <c r="B122" s="7" t="inlineStr">
        <is>
          <t>Quinta</t>
        </is>
      </c>
      <c r="C122" s="7" t="inlineStr">
        <is>
          <t>CT Lageado</t>
        </is>
      </c>
      <c r="D122" s="7" t="n"/>
      <c r="E122" s="7" t="inlineStr">
        <is>
          <t>Fabrício</t>
        </is>
      </c>
      <c r="F122" s="13" t="inlineStr">
        <is>
          <t>Apoio HDD entre PVs 12 a 12.1</t>
        </is>
      </c>
      <c r="G122" s="7" t="inlineStr">
        <is>
          <t>12</t>
        </is>
      </c>
      <c r="H122" s="7" t="n"/>
      <c r="I122" s="7" t="inlineStr">
        <is>
          <t>12</t>
        </is>
      </c>
      <c r="J122" s="7" t="inlineStr">
        <is>
          <t>Apoio HDD</t>
        </is>
      </c>
      <c r="K122" s="7" t="inlineStr">
        <is>
          <t>Planejamento</t>
        </is>
      </c>
      <c r="L122" s="16" t="inlineStr">
        <is>
          <t>PDS-dezembro(1).docx</t>
        </is>
      </c>
      <c r="M122">
        <f>IF($A122="","",TEXT($A122,"mmmm/yyyy"))</f>
        <v/>
      </c>
      <c r="P122">
        <f>IFERROR(_xludf.XLOOKUP($N122,Base_Enderecos!$A:$A,Base_Enderecos!$B:$B,""),"")</f>
        <v/>
      </c>
      <c r="Q122">
        <f>IFERROR(_xludf.XLOOKUP($N122,Base_Enderecos!$A:$A,Base_Enderecos!$C:$C,""),"")</f>
        <v/>
      </c>
      <c r="R122">
        <f>IF(OR(ISNUMBER(SEARCH("HDD",$F122)),ISNUMBER(SEARCH("MND",$F122)),ISNUMBER(SEARCH("PEAD",$F122)),ISNUMBER(SEARCH("Puxe",$J122)),ISNUMBER(SEARCH("Apoio HDD",$F122))),"MND",IF(OR(ISNUMBER(SEARCH("VCA",$F122)),ISNUMBER(SEARCH("PVC",$F122)),ISNUMBER(SEARCH("vca",$J122)),ISNUMBER(SEARCH("Transformação",$J122))),"VCA",IF(OR(ISNUMBER(SEARCH("crava",$F122)),ISNUMBER(SEARCH("tubo cravado",$F122)),ISNUMBER(SEARCH("shaft",$J122)),ISNUMBER(SEARCH("concreto",$F122))),"TUBO CRAVADO","")))</f>
        <v/>
      </c>
      <c r="T122">
        <f>IF($A122="","",TEXT($A122,"yyyymm")&amp;"|"&amp;$C122&amp;"|"&amp;$F122&amp;"|"&amp;$N122&amp;"|"&amp;$R122)</f>
        <v/>
      </c>
    </row>
    <row r="123" ht="11.55" customHeight="1">
      <c r="A123" s="10" t="n">
        <v>46002</v>
      </c>
      <c r="B123" s="7" t="inlineStr">
        <is>
          <t>Quinta</t>
        </is>
      </c>
      <c r="C123" s="7" t="inlineStr">
        <is>
          <t>CT Lageado</t>
        </is>
      </c>
      <c r="D123" s="7" t="n"/>
      <c r="E123" s="7" t="inlineStr">
        <is>
          <t>Work Drill (Bruno)</t>
        </is>
      </c>
      <c r="F123" s="13" t="inlineStr">
        <is>
          <t>Passagem de tubo entre os PVs 12 ao 12.1</t>
        </is>
      </c>
      <c r="G123" s="7" t="inlineStr">
        <is>
          <t>12</t>
        </is>
      </c>
      <c r="H123" s="7" t="n"/>
      <c r="I123" s="7" t="inlineStr">
        <is>
          <t>12</t>
        </is>
      </c>
      <c r="J123" s="7" t="inlineStr">
        <is>
          <t>Passagem de tubo</t>
        </is>
      </c>
      <c r="K123" s="7" t="inlineStr">
        <is>
          <t>Planejamento</t>
        </is>
      </c>
      <c r="L123" s="16" t="inlineStr">
        <is>
          <t>PDS-dezembro(1).docx</t>
        </is>
      </c>
      <c r="M123">
        <f>IF($A123="","",TEXT($A123,"mmmm/yyyy"))</f>
        <v/>
      </c>
      <c r="P123">
        <f>IFERROR(_xludf.XLOOKUP($N123,Base_Enderecos!$A:$A,Base_Enderecos!$B:$B,""),"")</f>
        <v/>
      </c>
      <c r="Q123">
        <f>IFERROR(_xludf.XLOOKUP($N123,Base_Enderecos!$A:$A,Base_Enderecos!$C:$C,""),"")</f>
        <v/>
      </c>
      <c r="R123">
        <f>IF(OR(ISNUMBER(SEARCH("HDD",$F123)),ISNUMBER(SEARCH("MND",$F123)),ISNUMBER(SEARCH("PEAD",$F123)),ISNUMBER(SEARCH("Puxe",$J123)),ISNUMBER(SEARCH("Apoio HDD",$F123))),"MND",IF(OR(ISNUMBER(SEARCH("VCA",$F123)),ISNUMBER(SEARCH("PVC",$F123)),ISNUMBER(SEARCH("vca",$J123)),ISNUMBER(SEARCH("Transformação",$J123))),"VCA",IF(OR(ISNUMBER(SEARCH("crava",$F123)),ISNUMBER(SEARCH("tubo cravado",$F123)),ISNUMBER(SEARCH("shaft",$J123)),ISNUMBER(SEARCH("concreto",$F123))),"TUBO CRAVADO","")))</f>
        <v/>
      </c>
      <c r="T123">
        <f>IF($A123="","",TEXT($A123,"yyyymm")&amp;"|"&amp;$C123&amp;"|"&amp;$F123&amp;"|"&amp;$N123&amp;"|"&amp;$R123)</f>
        <v/>
      </c>
    </row>
    <row r="124" ht="11.55" customHeight="1">
      <c r="A124" s="10" t="n">
        <v>46002</v>
      </c>
      <c r="B124" s="7" t="inlineStr">
        <is>
          <t>Quinta</t>
        </is>
      </c>
      <c r="C124" s="7" t="inlineStr">
        <is>
          <t>CT Lageado</t>
        </is>
      </c>
      <c r="D124" s="7" t="n"/>
      <c r="E124" s="7" t="inlineStr">
        <is>
          <t>Valter</t>
        </is>
      </c>
      <c r="F124" s="13" t="inlineStr">
        <is>
          <t>Retirada da cabeça de puxo PV 4.1</t>
        </is>
      </c>
      <c r="G124" s="7" t="inlineStr">
        <is>
          <t>4.1</t>
        </is>
      </c>
      <c r="H124" s="7" t="n"/>
      <c r="I124" s="7" t="inlineStr">
        <is>
          <t>4.1</t>
        </is>
      </c>
      <c r="J124" s="7" t="n"/>
      <c r="K124" s="7" t="inlineStr">
        <is>
          <t>Planejamento</t>
        </is>
      </c>
      <c r="L124" s="16" t="inlineStr">
        <is>
          <t>PDS-dezembro(1).docx</t>
        </is>
      </c>
      <c r="M124">
        <f>IF($A124="","",TEXT($A124,"mmmm/yyyy"))</f>
        <v/>
      </c>
      <c r="P124">
        <f>IFERROR(_xludf.XLOOKUP($N124,Base_Enderecos!$A:$A,Base_Enderecos!$B:$B,""),"")</f>
        <v/>
      </c>
      <c r="Q124">
        <f>IFERROR(_xludf.XLOOKUP($N124,Base_Enderecos!$A:$A,Base_Enderecos!$C:$C,""),"")</f>
        <v/>
      </c>
      <c r="R124">
        <f>IF(OR(ISNUMBER(SEARCH("HDD",$F124)),ISNUMBER(SEARCH("MND",$F124)),ISNUMBER(SEARCH("PEAD",$F124)),ISNUMBER(SEARCH("Puxe",$J124)),ISNUMBER(SEARCH("Apoio HDD",$F124))),"MND",IF(OR(ISNUMBER(SEARCH("VCA",$F124)),ISNUMBER(SEARCH("PVC",$F124)),ISNUMBER(SEARCH("vca",$J124)),ISNUMBER(SEARCH("Transformação",$J124))),"VCA",IF(OR(ISNUMBER(SEARCH("crava",$F124)),ISNUMBER(SEARCH("tubo cravado",$F124)),ISNUMBER(SEARCH("shaft",$J124)),ISNUMBER(SEARCH("concreto",$F124))),"TUBO CRAVADO","")))</f>
        <v/>
      </c>
      <c r="T124">
        <f>IF($A124="","",TEXT($A124,"yyyymm")&amp;"|"&amp;$C124&amp;"|"&amp;$F124&amp;"|"&amp;$N124&amp;"|"&amp;$R124)</f>
        <v/>
      </c>
    </row>
    <row r="125" ht="11.55" customHeight="1">
      <c r="A125" s="10" t="n">
        <v>46002</v>
      </c>
      <c r="B125" s="7" t="inlineStr">
        <is>
          <t>Quinta</t>
        </is>
      </c>
      <c r="C125" s="7" t="inlineStr">
        <is>
          <t>CT Lageado</t>
        </is>
      </c>
      <c r="D125" s="7" t="n"/>
      <c r="E125" s="7" t="inlineStr">
        <is>
          <t>Marcio</t>
        </is>
      </c>
      <c r="F125" s="13" t="inlineStr">
        <is>
          <t>Apoio HDD entre PVs 16 a 18</t>
        </is>
      </c>
      <c r="G125" s="7" t="inlineStr">
        <is>
          <t>16</t>
        </is>
      </c>
      <c r="H125" s="7" t="n"/>
      <c r="I125" s="7" t="inlineStr">
        <is>
          <t>16</t>
        </is>
      </c>
      <c r="J125" s="7" t="inlineStr">
        <is>
          <t>Apoio HDD</t>
        </is>
      </c>
      <c r="K125" s="7" t="inlineStr">
        <is>
          <t>Planejamento</t>
        </is>
      </c>
      <c r="L125" s="16" t="inlineStr">
        <is>
          <t>PDS-dezembro(1).docx</t>
        </is>
      </c>
      <c r="M125">
        <f>IF($A125="","",TEXT($A125,"mmmm/yyyy"))</f>
        <v/>
      </c>
      <c r="P125">
        <f>IFERROR(_xludf.XLOOKUP($N125,Base_Enderecos!$A:$A,Base_Enderecos!$B:$B,""),"")</f>
        <v/>
      </c>
      <c r="Q125">
        <f>IFERROR(_xludf.XLOOKUP($N125,Base_Enderecos!$A:$A,Base_Enderecos!$C:$C,""),"")</f>
        <v/>
      </c>
      <c r="R125">
        <f>IF(OR(ISNUMBER(SEARCH("HDD",$F125)),ISNUMBER(SEARCH("MND",$F125)),ISNUMBER(SEARCH("PEAD",$F125)),ISNUMBER(SEARCH("Puxe",$J125)),ISNUMBER(SEARCH("Apoio HDD",$F125))),"MND",IF(OR(ISNUMBER(SEARCH("VCA",$F125)),ISNUMBER(SEARCH("PVC",$F125)),ISNUMBER(SEARCH("vca",$J125)),ISNUMBER(SEARCH("Transformação",$J125))),"VCA",IF(OR(ISNUMBER(SEARCH("crava",$F125)),ISNUMBER(SEARCH("tubo cravado",$F125)),ISNUMBER(SEARCH("shaft",$J125)),ISNUMBER(SEARCH("concreto",$F125))),"TUBO CRAVADO","")))</f>
        <v/>
      </c>
      <c r="T125">
        <f>IF($A125="","",TEXT($A125,"yyyymm")&amp;"|"&amp;$C125&amp;"|"&amp;$F125&amp;"|"&amp;$N125&amp;"|"&amp;$R125)</f>
        <v/>
      </c>
    </row>
    <row r="126" ht="11.55" customHeight="1">
      <c r="A126" s="10" t="n">
        <v>46002</v>
      </c>
      <c r="B126" s="7" t="inlineStr">
        <is>
          <t>Quinta</t>
        </is>
      </c>
      <c r="C126" s="7" t="inlineStr">
        <is>
          <t>CT Lageado</t>
        </is>
      </c>
      <c r="D126" s="7" t="n"/>
      <c r="E126" s="7" t="inlineStr">
        <is>
          <t>WJ (Alex)</t>
        </is>
      </c>
      <c r="F126" s="13" t="inlineStr">
        <is>
          <t>Passagem de tubo entre os PVs 16 ao 18</t>
        </is>
      </c>
      <c r="G126" s="7" t="inlineStr">
        <is>
          <t>16</t>
        </is>
      </c>
      <c r="H126" s="7" t="n"/>
      <c r="I126" s="7" t="inlineStr">
        <is>
          <t>16</t>
        </is>
      </c>
      <c r="J126" s="7" t="inlineStr">
        <is>
          <t>Passagem de tubo</t>
        </is>
      </c>
      <c r="K126" s="7" t="inlineStr">
        <is>
          <t>Planejamento</t>
        </is>
      </c>
      <c r="L126" s="16" t="inlineStr">
        <is>
          <t>PDS-dezembro(1).docx</t>
        </is>
      </c>
      <c r="M126">
        <f>IF($A126="","",TEXT($A126,"mmmm/yyyy"))</f>
        <v/>
      </c>
      <c r="P126">
        <f>IFERROR(_xludf.XLOOKUP($N126,Base_Enderecos!$A:$A,Base_Enderecos!$B:$B,""),"")</f>
        <v/>
      </c>
      <c r="Q126">
        <f>IFERROR(_xludf.XLOOKUP($N126,Base_Enderecos!$A:$A,Base_Enderecos!$C:$C,""),"")</f>
        <v/>
      </c>
      <c r="R126">
        <f>IF(OR(ISNUMBER(SEARCH("HDD",$F126)),ISNUMBER(SEARCH("MND",$F126)),ISNUMBER(SEARCH("PEAD",$F126)),ISNUMBER(SEARCH("Puxe",$J126)),ISNUMBER(SEARCH("Apoio HDD",$F126))),"MND",IF(OR(ISNUMBER(SEARCH("VCA",$F126)),ISNUMBER(SEARCH("PVC",$F126)),ISNUMBER(SEARCH("vca",$J126)),ISNUMBER(SEARCH("Transformação",$J126))),"VCA",IF(OR(ISNUMBER(SEARCH("crava",$F126)),ISNUMBER(SEARCH("tubo cravado",$F126)),ISNUMBER(SEARCH("shaft",$J126)),ISNUMBER(SEARCH("concreto",$F126))),"TUBO CRAVADO","")))</f>
        <v/>
      </c>
      <c r="T126">
        <f>IF($A126="","",TEXT($A126,"yyyymm")&amp;"|"&amp;$C126&amp;"|"&amp;$F126&amp;"|"&amp;$N126&amp;"|"&amp;$R126)</f>
        <v/>
      </c>
    </row>
    <row r="127" ht="11.55" customHeight="1">
      <c r="A127" s="10" t="n">
        <v>46002</v>
      </c>
      <c r="B127" s="7" t="inlineStr">
        <is>
          <t>Quinta</t>
        </is>
      </c>
      <c r="C127" s="7" t="inlineStr">
        <is>
          <t>CT Lageado</t>
        </is>
      </c>
      <c r="D127" s="7" t="n"/>
      <c r="E127" s="7" t="inlineStr">
        <is>
          <t>Marcelo</t>
        </is>
      </c>
      <c r="F127" s="13" t="inlineStr">
        <is>
          <t>Transformação PV 05</t>
        </is>
      </c>
      <c r="G127" s="7" t="inlineStr">
        <is>
          <t>05</t>
        </is>
      </c>
      <c r="H127" s="7" t="n"/>
      <c r="I127" s="7" t="inlineStr">
        <is>
          <t>05</t>
        </is>
      </c>
      <c r="J127" s="7" t="inlineStr">
        <is>
          <t>Transformação</t>
        </is>
      </c>
      <c r="K127" s="7" t="inlineStr">
        <is>
          <t>Planejamento</t>
        </is>
      </c>
      <c r="L127" s="16" t="inlineStr">
        <is>
          <t>PDS-dezembro(1).docx</t>
        </is>
      </c>
      <c r="M127">
        <f>IF($A127="","",TEXT($A127,"mmmm/yyyy"))</f>
        <v/>
      </c>
      <c r="P127">
        <f>IFERROR(_xludf.XLOOKUP($N127,Base_Enderecos!$A:$A,Base_Enderecos!$B:$B,""),"")</f>
        <v/>
      </c>
      <c r="Q127">
        <f>IFERROR(_xludf.XLOOKUP($N127,Base_Enderecos!$A:$A,Base_Enderecos!$C:$C,""),"")</f>
        <v/>
      </c>
      <c r="R127">
        <f>IF(OR(ISNUMBER(SEARCH("HDD",$F127)),ISNUMBER(SEARCH("MND",$F127)),ISNUMBER(SEARCH("PEAD",$F127)),ISNUMBER(SEARCH("Puxe",$J127)),ISNUMBER(SEARCH("Apoio HDD",$F127))),"MND",IF(OR(ISNUMBER(SEARCH("VCA",$F127)),ISNUMBER(SEARCH("PVC",$F127)),ISNUMBER(SEARCH("vca",$J127)),ISNUMBER(SEARCH("Transformação",$J127))),"VCA",IF(OR(ISNUMBER(SEARCH("crava",$F127)),ISNUMBER(SEARCH("tubo cravado",$F127)),ISNUMBER(SEARCH("shaft",$J127)),ISNUMBER(SEARCH("concreto",$F127))),"TUBO CRAVADO","")))</f>
        <v/>
      </c>
      <c r="T127">
        <f>IF($A127="","",TEXT($A127,"yyyymm")&amp;"|"&amp;$C127&amp;"|"&amp;$F127&amp;"|"&amp;$N127&amp;"|"&amp;$R127)</f>
        <v/>
      </c>
    </row>
    <row r="128" ht="11.55" customHeight="1">
      <c r="A128" s="10" t="n">
        <v>46002</v>
      </c>
      <c r="B128" s="7" t="inlineStr">
        <is>
          <t>Quinta</t>
        </is>
      </c>
      <c r="C128" s="7" t="inlineStr">
        <is>
          <t>CT Lageado</t>
        </is>
      </c>
      <c r="D128" s="7" t="n"/>
      <c r="E128" s="7" t="inlineStr">
        <is>
          <t>Paulo</t>
        </is>
      </c>
      <c r="F128" s="13" t="inlineStr">
        <is>
          <t>Transformação PV 10</t>
        </is>
      </c>
      <c r="G128" s="7" t="inlineStr">
        <is>
          <t>10</t>
        </is>
      </c>
      <c r="H128" s="7" t="n"/>
      <c r="I128" s="7" t="inlineStr">
        <is>
          <t>10</t>
        </is>
      </c>
      <c r="J128" s="7" t="inlineStr">
        <is>
          <t>Transformação</t>
        </is>
      </c>
      <c r="K128" s="7" t="inlineStr">
        <is>
          <t>Planejamento</t>
        </is>
      </c>
      <c r="L128" s="16" t="inlineStr">
        <is>
          <t>PDS-dezembro(1).docx</t>
        </is>
      </c>
      <c r="M128">
        <f>IF($A128="","",TEXT($A128,"mmmm/yyyy"))</f>
        <v/>
      </c>
      <c r="P128">
        <f>IFERROR(_xludf.XLOOKUP($N128,Base_Enderecos!$A:$A,Base_Enderecos!$B:$B,""),"")</f>
        <v/>
      </c>
      <c r="Q128">
        <f>IFERROR(_xludf.XLOOKUP($N128,Base_Enderecos!$A:$A,Base_Enderecos!$C:$C,""),"")</f>
        <v/>
      </c>
      <c r="R128">
        <f>IF(OR(ISNUMBER(SEARCH("HDD",$F128)),ISNUMBER(SEARCH("MND",$F128)),ISNUMBER(SEARCH("PEAD",$F128)),ISNUMBER(SEARCH("Puxe",$J128)),ISNUMBER(SEARCH("Apoio HDD",$F128))),"MND",IF(OR(ISNUMBER(SEARCH("VCA",$F128)),ISNUMBER(SEARCH("PVC",$F128)),ISNUMBER(SEARCH("vca",$J128)),ISNUMBER(SEARCH("Transformação",$J128))),"VCA",IF(OR(ISNUMBER(SEARCH("crava",$F128)),ISNUMBER(SEARCH("tubo cravado",$F128)),ISNUMBER(SEARCH("shaft",$J128)),ISNUMBER(SEARCH("concreto",$F128))),"TUBO CRAVADO","")))</f>
        <v/>
      </c>
      <c r="T128">
        <f>IF($A128="","",TEXT($A128,"yyyymm")&amp;"|"&amp;$C128&amp;"|"&amp;$F128&amp;"|"&amp;$N128&amp;"|"&amp;$R128)</f>
        <v/>
      </c>
    </row>
    <row r="129" ht="11.55" customHeight="1">
      <c r="A129" s="10" t="n">
        <v>46002</v>
      </c>
      <c r="B129" s="7" t="inlineStr">
        <is>
          <t>Quinta</t>
        </is>
      </c>
      <c r="C129" s="7" t="inlineStr">
        <is>
          <t>CT Lageado</t>
        </is>
      </c>
      <c r="D129" s="7" t="n"/>
      <c r="E129" s="7" t="inlineStr">
        <is>
          <t>LS 1</t>
        </is>
      </c>
      <c r="F129" s="13" t="inlineStr">
        <is>
          <t>Escavação mecânica e montagem de armco PV 19</t>
        </is>
      </c>
      <c r="G129" s="7" t="inlineStr">
        <is>
          <t>19</t>
        </is>
      </c>
      <c r="H129" s="7" t="n"/>
      <c r="I129" s="7" t="inlineStr">
        <is>
          <t>19</t>
        </is>
      </c>
      <c r="J129" s="7" t="inlineStr">
        <is>
          <t>Escavação</t>
        </is>
      </c>
      <c r="K129" s="7" t="inlineStr">
        <is>
          <t>Planejamento</t>
        </is>
      </c>
      <c r="L129" s="16" t="inlineStr">
        <is>
          <t>PDS-dezembro(1).docx</t>
        </is>
      </c>
      <c r="M129">
        <f>IF($A129="","",TEXT($A129,"mmmm/yyyy"))</f>
        <v/>
      </c>
      <c r="P129">
        <f>IFERROR(_xludf.XLOOKUP($N129,Base_Enderecos!$A:$A,Base_Enderecos!$B:$B,""),"")</f>
        <v/>
      </c>
      <c r="Q129">
        <f>IFERROR(_xludf.XLOOKUP($N129,Base_Enderecos!$A:$A,Base_Enderecos!$C:$C,""),"")</f>
        <v/>
      </c>
      <c r="R129">
        <f>IF(OR(ISNUMBER(SEARCH("HDD",$F129)),ISNUMBER(SEARCH("MND",$F129)),ISNUMBER(SEARCH("PEAD",$F129)),ISNUMBER(SEARCH("Puxe",$J129)),ISNUMBER(SEARCH("Apoio HDD",$F129))),"MND",IF(OR(ISNUMBER(SEARCH("VCA",$F129)),ISNUMBER(SEARCH("PVC",$F129)),ISNUMBER(SEARCH("vca",$J129)),ISNUMBER(SEARCH("Transformação",$J129))),"VCA",IF(OR(ISNUMBER(SEARCH("crava",$F129)),ISNUMBER(SEARCH("tubo cravado",$F129)),ISNUMBER(SEARCH("shaft",$J129)),ISNUMBER(SEARCH("concreto",$F129))),"TUBO CRAVADO","")))</f>
        <v/>
      </c>
      <c r="T129">
        <f>IF($A129="","",TEXT($A129,"yyyymm")&amp;"|"&amp;$C129&amp;"|"&amp;$F129&amp;"|"&amp;$N129&amp;"|"&amp;$R129)</f>
        <v/>
      </c>
    </row>
    <row r="130" ht="11.55" customHeight="1">
      <c r="A130" s="10" t="n">
        <v>46002</v>
      </c>
      <c r="B130" s="7" t="inlineStr">
        <is>
          <t>Quinta</t>
        </is>
      </c>
      <c r="C130" s="7" t="inlineStr">
        <is>
          <t>Mar de Coral</t>
        </is>
      </c>
      <c r="D130" s="7" t="n"/>
      <c r="E130" s="7" t="inlineStr">
        <is>
          <t>Nova Construção</t>
        </is>
      </c>
      <c r="F130" s="13" t="inlineStr">
        <is>
          <t>Escavação mecânica e montagem de armco PV 02</t>
        </is>
      </c>
      <c r="G130" s="7" t="inlineStr">
        <is>
          <t>02</t>
        </is>
      </c>
      <c r="H130" s="7" t="n"/>
      <c r="I130" s="7" t="inlineStr">
        <is>
          <t>02</t>
        </is>
      </c>
      <c r="J130" s="7" t="inlineStr">
        <is>
          <t>Escavação</t>
        </is>
      </c>
      <c r="K130" s="7" t="inlineStr">
        <is>
          <t>Planejamento</t>
        </is>
      </c>
      <c r="L130" s="16" t="inlineStr">
        <is>
          <t>PDS-dezembro(1).docx</t>
        </is>
      </c>
      <c r="M130">
        <f>IF($A130="","",TEXT($A130,"mmmm/yyyy"))</f>
        <v/>
      </c>
      <c r="P130">
        <f>IFERROR(_xludf.XLOOKUP($N130,Base_Enderecos!$A:$A,Base_Enderecos!$B:$B,""),"")</f>
        <v/>
      </c>
      <c r="Q130">
        <f>IFERROR(_xludf.XLOOKUP($N130,Base_Enderecos!$A:$A,Base_Enderecos!$C:$C,""),"")</f>
        <v/>
      </c>
      <c r="R130">
        <f>IF(OR(ISNUMBER(SEARCH("HDD",$F130)),ISNUMBER(SEARCH("MND",$F130)),ISNUMBER(SEARCH("PEAD",$F130)),ISNUMBER(SEARCH("Puxe",$J130)),ISNUMBER(SEARCH("Apoio HDD",$F130))),"MND",IF(OR(ISNUMBER(SEARCH("VCA",$F130)),ISNUMBER(SEARCH("PVC",$F130)),ISNUMBER(SEARCH("vca",$J130)),ISNUMBER(SEARCH("Transformação",$J130))),"VCA",IF(OR(ISNUMBER(SEARCH("crava",$F130)),ISNUMBER(SEARCH("tubo cravado",$F130)),ISNUMBER(SEARCH("shaft",$J130)),ISNUMBER(SEARCH("concreto",$F130))),"TUBO CRAVADO","")))</f>
        <v/>
      </c>
      <c r="T130">
        <f>IF($A130="","",TEXT($A130,"yyyymm")&amp;"|"&amp;$C130&amp;"|"&amp;$F130&amp;"|"&amp;$N130&amp;"|"&amp;$R130)</f>
        <v/>
      </c>
    </row>
    <row r="131" ht="11.55" customHeight="1">
      <c r="A131" s="10" t="n">
        <v>46002</v>
      </c>
      <c r="B131" s="7" t="inlineStr">
        <is>
          <t>Quinta</t>
        </is>
      </c>
      <c r="C131" s="7" t="inlineStr">
        <is>
          <t>Demais trabalhos</t>
        </is>
      </c>
      <c r="D131" s="7" t="n"/>
      <c r="E131" s="7" t="inlineStr">
        <is>
          <t>Guindauto (Rodrigo)</t>
        </is>
      </c>
      <c r="F131" s="13" t="inlineStr">
        <is>
          <t>Apoio as equipes</t>
        </is>
      </c>
      <c r="G131" s="7" t="n"/>
      <c r="H131" s="7" t="n"/>
      <c r="I131" s="7" t="n"/>
      <c r="J131" s="7" t="n"/>
      <c r="K131" s="7" t="inlineStr">
        <is>
          <t>Planejamento</t>
        </is>
      </c>
      <c r="L131" s="16" t="inlineStr">
        <is>
          <t>PDS-dezembro(1).docx</t>
        </is>
      </c>
      <c r="M131">
        <f>IF($A131="","",TEXT($A131,"mmmm/yyyy"))</f>
        <v/>
      </c>
      <c r="P131">
        <f>IFERROR(_xludf.XLOOKUP($N131,Base_Enderecos!$A:$A,Base_Enderecos!$B:$B,""),"")</f>
        <v/>
      </c>
      <c r="Q131">
        <f>IFERROR(_xludf.XLOOKUP($N131,Base_Enderecos!$A:$A,Base_Enderecos!$C:$C,""),"")</f>
        <v/>
      </c>
      <c r="R131">
        <f>IF(OR(ISNUMBER(SEARCH("HDD",$F131)),ISNUMBER(SEARCH("MND",$F131)),ISNUMBER(SEARCH("PEAD",$F131)),ISNUMBER(SEARCH("Puxe",$J131)),ISNUMBER(SEARCH("Apoio HDD",$F131))),"MND",IF(OR(ISNUMBER(SEARCH("VCA",$F131)),ISNUMBER(SEARCH("PVC",$F131)),ISNUMBER(SEARCH("vca",$J131)),ISNUMBER(SEARCH("Transformação",$J131))),"VCA",IF(OR(ISNUMBER(SEARCH("crava",$F131)),ISNUMBER(SEARCH("tubo cravado",$F131)),ISNUMBER(SEARCH("shaft",$J131)),ISNUMBER(SEARCH("concreto",$F131))),"TUBO CRAVADO","")))</f>
        <v/>
      </c>
      <c r="T131">
        <f>IF($A131="","",TEXT($A131,"yyyymm")&amp;"|"&amp;$C131&amp;"|"&amp;$F131&amp;"|"&amp;$N131&amp;"|"&amp;$R131)</f>
        <v/>
      </c>
    </row>
    <row r="132" ht="11.55" customHeight="1">
      <c r="A132" s="10" t="n">
        <v>46002</v>
      </c>
      <c r="B132" s="7" t="inlineStr">
        <is>
          <t>Quinta</t>
        </is>
      </c>
      <c r="C132" s="7" t="inlineStr">
        <is>
          <t>Demais trabalhos</t>
        </is>
      </c>
      <c r="D132" s="7" t="n"/>
      <c r="E132" s="7" t="inlineStr">
        <is>
          <t>Guindauto (Márcio)</t>
        </is>
      </c>
      <c r="F132" s="13" t="inlineStr">
        <is>
          <t>Apoio as Equipe</t>
        </is>
      </c>
      <c r="G132" s="7" t="n"/>
      <c r="H132" s="7" t="n"/>
      <c r="I132" s="7" t="n"/>
      <c r="J132" s="7" t="n"/>
      <c r="K132" s="7" t="inlineStr">
        <is>
          <t>Planejamento</t>
        </is>
      </c>
      <c r="L132" s="16" t="inlineStr">
        <is>
          <t>PDS-dezembro(1).docx</t>
        </is>
      </c>
      <c r="M132">
        <f>IF($A132="","",TEXT($A132,"mmmm/yyyy"))</f>
        <v/>
      </c>
      <c r="P132">
        <f>IFERROR(_xludf.XLOOKUP($N132,Base_Enderecos!$A:$A,Base_Enderecos!$B:$B,""),"")</f>
        <v/>
      </c>
      <c r="Q132">
        <f>IFERROR(_xludf.XLOOKUP($N132,Base_Enderecos!$A:$A,Base_Enderecos!$C:$C,""),"")</f>
        <v/>
      </c>
      <c r="R132">
        <f>IF(OR(ISNUMBER(SEARCH("HDD",$F132)),ISNUMBER(SEARCH("MND",$F132)),ISNUMBER(SEARCH("PEAD",$F132)),ISNUMBER(SEARCH("Puxe",$J132)),ISNUMBER(SEARCH("Apoio HDD",$F132))),"MND",IF(OR(ISNUMBER(SEARCH("VCA",$F132)),ISNUMBER(SEARCH("PVC",$F132)),ISNUMBER(SEARCH("vca",$J132)),ISNUMBER(SEARCH("Transformação",$J132))),"VCA",IF(OR(ISNUMBER(SEARCH("crava",$F132)),ISNUMBER(SEARCH("tubo cravado",$F132)),ISNUMBER(SEARCH("shaft",$J132)),ISNUMBER(SEARCH("concreto",$F132))),"TUBO CRAVADO","")))</f>
        <v/>
      </c>
      <c r="T132">
        <f>IF($A132="","",TEXT($A132,"yyyymm")&amp;"|"&amp;$C132&amp;"|"&amp;$F132&amp;"|"&amp;$N132&amp;"|"&amp;$R132)</f>
        <v/>
      </c>
    </row>
    <row r="133" ht="11.55" customHeight="1">
      <c r="A133" s="10" t="n">
        <v>46002</v>
      </c>
      <c r="B133" s="7" t="inlineStr">
        <is>
          <t>Quinta</t>
        </is>
      </c>
      <c r="C133" s="7" t="inlineStr">
        <is>
          <t>Vacal</t>
        </is>
      </c>
      <c r="D133" s="7" t="n"/>
      <c r="E133" s="7" t="inlineStr">
        <is>
          <t>Apoio Fabrício PV 12 Lageado</t>
        </is>
      </c>
      <c r="F133" s="13" t="inlineStr">
        <is>
          <t>Apoio Vacal</t>
        </is>
      </c>
      <c r="G133" s="7" t="n"/>
      <c r="H133" s="7" t="n"/>
      <c r="I133" s="7" t="n"/>
      <c r="J133" s="7" t="inlineStr">
        <is>
          <t>Vacal</t>
        </is>
      </c>
      <c r="K133" s="7" t="inlineStr">
        <is>
          <t>Apoio</t>
        </is>
      </c>
      <c r="L133" s="16" t="inlineStr">
        <is>
          <t>PDS-dezembro(1).docx</t>
        </is>
      </c>
      <c r="M133">
        <f>IF($A133="","",TEXT($A133,"mmmm/yyyy"))</f>
        <v/>
      </c>
      <c r="P133">
        <f>IFERROR(_xludf.XLOOKUP($N133,Base_Enderecos!$A:$A,Base_Enderecos!$B:$B,""),"")</f>
        <v/>
      </c>
      <c r="Q133">
        <f>IFERROR(_xludf.XLOOKUP($N133,Base_Enderecos!$A:$A,Base_Enderecos!$C:$C,""),"")</f>
        <v/>
      </c>
      <c r="R133">
        <f>IF(OR(ISNUMBER(SEARCH("HDD",$F133)),ISNUMBER(SEARCH("MND",$F133)),ISNUMBER(SEARCH("PEAD",$F133)),ISNUMBER(SEARCH("Puxe",$J133)),ISNUMBER(SEARCH("Apoio HDD",$F133))),"MND",IF(OR(ISNUMBER(SEARCH("VCA",$F133)),ISNUMBER(SEARCH("PVC",$F133)),ISNUMBER(SEARCH("vca",$J133)),ISNUMBER(SEARCH("Transformação",$J133))),"VCA",IF(OR(ISNUMBER(SEARCH("crava",$F133)),ISNUMBER(SEARCH("tubo cravado",$F133)),ISNUMBER(SEARCH("shaft",$J133)),ISNUMBER(SEARCH("concreto",$F133))),"TUBO CRAVADO","")))</f>
        <v/>
      </c>
      <c r="T133">
        <f>IF($A133="","",TEXT($A133,"yyyymm")&amp;"|"&amp;$C133&amp;"|"&amp;$F133&amp;"|"&amp;$N133&amp;"|"&amp;$R133)</f>
        <v/>
      </c>
    </row>
    <row r="134" ht="11.55" customHeight="1">
      <c r="A134" s="10" t="n">
        <v>46002</v>
      </c>
      <c r="B134" s="7" t="inlineStr">
        <is>
          <t>Quinta</t>
        </is>
      </c>
      <c r="C134" s="7" t="inlineStr">
        <is>
          <t>Vacal</t>
        </is>
      </c>
      <c r="D134" s="7" t="n"/>
      <c r="E134" s="7" t="inlineStr">
        <is>
          <t>Apoio Marcio PV 16 Lageado</t>
        </is>
      </c>
      <c r="F134" s="13" t="inlineStr">
        <is>
          <t>Apoio Vacal</t>
        </is>
      </c>
      <c r="G134" s="7" t="n"/>
      <c r="H134" s="7" t="n"/>
      <c r="I134" s="7" t="n"/>
      <c r="J134" s="7" t="inlineStr">
        <is>
          <t>Vacal</t>
        </is>
      </c>
      <c r="K134" s="7" t="inlineStr">
        <is>
          <t>Apoio</t>
        </is>
      </c>
      <c r="L134" s="16" t="inlineStr">
        <is>
          <t>PDS-dezembro(1).docx</t>
        </is>
      </c>
      <c r="M134">
        <f>IF($A134="","",TEXT($A134,"mmmm/yyyy"))</f>
        <v/>
      </c>
      <c r="P134">
        <f>IFERROR(_xludf.XLOOKUP($N134,Base_Enderecos!$A:$A,Base_Enderecos!$B:$B,""),"")</f>
        <v/>
      </c>
      <c r="Q134">
        <f>IFERROR(_xludf.XLOOKUP($N134,Base_Enderecos!$A:$A,Base_Enderecos!$C:$C,""),"")</f>
        <v/>
      </c>
      <c r="R134">
        <f>IF(OR(ISNUMBER(SEARCH("HDD",$F134)),ISNUMBER(SEARCH("MND",$F134)),ISNUMBER(SEARCH("PEAD",$F134)),ISNUMBER(SEARCH("Puxe",$J134)),ISNUMBER(SEARCH("Apoio HDD",$F134))),"MND",IF(OR(ISNUMBER(SEARCH("VCA",$F134)),ISNUMBER(SEARCH("PVC",$F134)),ISNUMBER(SEARCH("vca",$J134)),ISNUMBER(SEARCH("Transformação",$J134))),"VCA",IF(OR(ISNUMBER(SEARCH("crava",$F134)),ISNUMBER(SEARCH("tubo cravado",$F134)),ISNUMBER(SEARCH("shaft",$J134)),ISNUMBER(SEARCH("concreto",$F134))),"TUBO CRAVADO","")))</f>
        <v/>
      </c>
      <c r="T134">
        <f>IF($A134="","",TEXT($A134,"yyyymm")&amp;"|"&amp;$C134&amp;"|"&amp;$F134&amp;"|"&amp;$N134&amp;"|"&amp;$R134)</f>
        <v/>
      </c>
    </row>
    <row r="135" ht="11.55" customHeight="1">
      <c r="A135" s="10" t="n">
        <v>46006</v>
      </c>
      <c r="B135" s="7" t="inlineStr">
        <is>
          <t>Segunda</t>
        </is>
      </c>
      <c r="C135" s="7" t="inlineStr">
        <is>
          <t>CT *Lajeado</t>
        </is>
      </c>
      <c r="D135" s="7" t="n"/>
      <c r="E135" s="7" t="inlineStr">
        <is>
          <t>Marcelo</t>
        </is>
      </c>
      <c r="F135" s="13" t="inlineStr">
        <is>
          <t>Transformação PV 12</t>
        </is>
      </c>
      <c r="G135" s="7" t="inlineStr">
        <is>
          <t>12</t>
        </is>
      </c>
      <c r="H135" s="7" t="n"/>
      <c r="I135" s="7" t="inlineStr">
        <is>
          <t>12</t>
        </is>
      </c>
      <c r="J135" s="7" t="inlineStr">
        <is>
          <t>Transformação</t>
        </is>
      </c>
      <c r="K135" s="7" t="inlineStr">
        <is>
          <t>Planejamento</t>
        </is>
      </c>
      <c r="L135" s="16" t="inlineStr">
        <is>
          <t>PDS-dezembro(1).docx</t>
        </is>
      </c>
      <c r="M135">
        <f>IF($A135="","",TEXT($A135,"mmmm/yyyy"))</f>
        <v/>
      </c>
      <c r="P135">
        <f>IFERROR(_xludf.XLOOKUP($N135,Base_Enderecos!$A:$A,Base_Enderecos!$B:$B,""),"")</f>
        <v/>
      </c>
      <c r="Q135">
        <f>IFERROR(_xludf.XLOOKUP($N135,Base_Enderecos!$A:$A,Base_Enderecos!$C:$C,""),"")</f>
        <v/>
      </c>
      <c r="R135">
        <f>IF(OR(ISNUMBER(SEARCH("HDD",$F135)),ISNUMBER(SEARCH("MND",$F135)),ISNUMBER(SEARCH("PEAD",$F135)),ISNUMBER(SEARCH("Puxe",$J135)),ISNUMBER(SEARCH("Apoio HDD",$F135))),"MND",IF(OR(ISNUMBER(SEARCH("VCA",$F135)),ISNUMBER(SEARCH("PVC",$F135)),ISNUMBER(SEARCH("vca",$J135)),ISNUMBER(SEARCH("Transformação",$J135))),"VCA",IF(OR(ISNUMBER(SEARCH("crava",$F135)),ISNUMBER(SEARCH("tubo cravado",$F135)),ISNUMBER(SEARCH("shaft",$J135)),ISNUMBER(SEARCH("concreto",$F135))),"TUBO CRAVADO","")))</f>
        <v/>
      </c>
      <c r="T135">
        <f>IF($A135="","",TEXT($A135,"yyyymm")&amp;"|"&amp;$C135&amp;"|"&amp;$F135&amp;"|"&amp;$N135&amp;"|"&amp;$R135)</f>
        <v/>
      </c>
    </row>
    <row r="136" ht="11.55" customHeight="1">
      <c r="A136" s="10" t="n">
        <v>46006</v>
      </c>
      <c r="B136" s="7" t="inlineStr">
        <is>
          <t>Segunda</t>
        </is>
      </c>
      <c r="C136" s="7" t="inlineStr">
        <is>
          <t>CT *Lajeado</t>
        </is>
      </c>
      <c r="D136" s="7" t="n"/>
      <c r="E136" s="7" t="inlineStr">
        <is>
          <t>Cesar</t>
        </is>
      </c>
      <c r="F136" s="13" t="inlineStr">
        <is>
          <t>Transformação PV 07</t>
        </is>
      </c>
      <c r="G136" s="7" t="inlineStr">
        <is>
          <t>07</t>
        </is>
      </c>
      <c r="H136" s="7" t="n"/>
      <c r="I136" s="7" t="inlineStr">
        <is>
          <t>07</t>
        </is>
      </c>
      <c r="J136" s="7" t="inlineStr">
        <is>
          <t>Transformação</t>
        </is>
      </c>
      <c r="K136" s="7" t="inlineStr">
        <is>
          <t>Planejamento</t>
        </is>
      </c>
      <c r="L136" s="16" t="inlineStr">
        <is>
          <t>PDS-dezembro(1).docx</t>
        </is>
      </c>
      <c r="M136">
        <f>IF($A136="","",TEXT($A136,"mmmm/yyyy"))</f>
        <v/>
      </c>
      <c r="P136">
        <f>IFERROR(_xludf.XLOOKUP($N136,Base_Enderecos!$A:$A,Base_Enderecos!$B:$B,""),"")</f>
        <v/>
      </c>
      <c r="Q136">
        <f>IFERROR(_xludf.XLOOKUP($N136,Base_Enderecos!$A:$A,Base_Enderecos!$C:$C,""),"")</f>
        <v/>
      </c>
      <c r="R136">
        <f>IF(OR(ISNUMBER(SEARCH("HDD",$F136)),ISNUMBER(SEARCH("MND",$F136)),ISNUMBER(SEARCH("PEAD",$F136)),ISNUMBER(SEARCH("Puxe",$J136)),ISNUMBER(SEARCH("Apoio HDD",$F136))),"MND",IF(OR(ISNUMBER(SEARCH("VCA",$F136)),ISNUMBER(SEARCH("PVC",$F136)),ISNUMBER(SEARCH("vca",$J136)),ISNUMBER(SEARCH("Transformação",$J136))),"VCA",IF(OR(ISNUMBER(SEARCH("crava",$F136)),ISNUMBER(SEARCH("tubo cravado",$F136)),ISNUMBER(SEARCH("shaft",$J136)),ISNUMBER(SEARCH("concreto",$F136))),"TUBO CRAVADO","")))</f>
        <v/>
      </c>
      <c r="T136">
        <f>IF($A136="","",TEXT($A136,"yyyymm")&amp;"|"&amp;$C136&amp;"|"&amp;$F136&amp;"|"&amp;$N136&amp;"|"&amp;$R136)</f>
        <v/>
      </c>
    </row>
    <row r="137" ht="11.55" customHeight="1">
      <c r="A137" s="10" t="n">
        <v>46006</v>
      </c>
      <c r="B137" s="7" t="inlineStr">
        <is>
          <t>Segunda</t>
        </is>
      </c>
      <c r="C137" s="7" t="inlineStr">
        <is>
          <t>CT *Lajeado</t>
        </is>
      </c>
      <c r="D137" s="7" t="n"/>
      <c r="E137" s="7" t="inlineStr">
        <is>
          <t>Edivando</t>
        </is>
      </c>
      <c r="F137" s="13" t="inlineStr">
        <is>
          <t>Transformação PV 16</t>
        </is>
      </c>
      <c r="G137" s="7" t="inlineStr">
        <is>
          <t>16</t>
        </is>
      </c>
      <c r="H137" s="7" t="n"/>
      <c r="I137" s="7" t="inlineStr">
        <is>
          <t>16</t>
        </is>
      </c>
      <c r="J137" s="7" t="inlineStr">
        <is>
          <t>Transformação</t>
        </is>
      </c>
      <c r="K137" s="7" t="inlineStr">
        <is>
          <t>Planejamento</t>
        </is>
      </c>
      <c r="L137" s="16" t="inlineStr">
        <is>
          <t>PDS-dezembro(1).docx</t>
        </is>
      </c>
      <c r="M137">
        <f>IF($A137="","",TEXT($A137,"mmmm/yyyy"))</f>
        <v/>
      </c>
      <c r="P137">
        <f>IFERROR(_xludf.XLOOKUP($N137,Base_Enderecos!$A:$A,Base_Enderecos!$B:$B,""),"")</f>
        <v/>
      </c>
      <c r="Q137">
        <f>IFERROR(_xludf.XLOOKUP($N137,Base_Enderecos!$A:$A,Base_Enderecos!$C:$C,""),"")</f>
        <v/>
      </c>
      <c r="R137">
        <f>IF(OR(ISNUMBER(SEARCH("HDD",$F137)),ISNUMBER(SEARCH("MND",$F137)),ISNUMBER(SEARCH("PEAD",$F137)),ISNUMBER(SEARCH("Puxe",$J137)),ISNUMBER(SEARCH("Apoio HDD",$F137))),"MND",IF(OR(ISNUMBER(SEARCH("VCA",$F137)),ISNUMBER(SEARCH("PVC",$F137)),ISNUMBER(SEARCH("vca",$J137)),ISNUMBER(SEARCH("Transformação",$J137))),"VCA",IF(OR(ISNUMBER(SEARCH("crava",$F137)),ISNUMBER(SEARCH("tubo cravado",$F137)),ISNUMBER(SEARCH("shaft",$J137)),ISNUMBER(SEARCH("concreto",$F137))),"TUBO CRAVADO","")))</f>
        <v/>
      </c>
      <c r="T137">
        <f>IF($A137="","",TEXT($A137,"yyyymm")&amp;"|"&amp;$C137&amp;"|"&amp;$F137&amp;"|"&amp;$N137&amp;"|"&amp;$R137)</f>
        <v/>
      </c>
    </row>
    <row r="138" ht="11.55" customHeight="1">
      <c r="A138" s="10" t="n">
        <v>46006</v>
      </c>
      <c r="B138" s="7" t="inlineStr">
        <is>
          <t>Segunda</t>
        </is>
      </c>
      <c r="C138" s="7" t="inlineStr">
        <is>
          <t>CT *Lajeado</t>
        </is>
      </c>
      <c r="D138" s="7" t="n"/>
      <c r="E138" s="7" t="inlineStr">
        <is>
          <t>Higor</t>
        </is>
      </c>
      <c r="F138" s="13" t="inlineStr">
        <is>
          <t>Transformação PV 16.1</t>
        </is>
      </c>
      <c r="G138" s="7" t="inlineStr">
        <is>
          <t>16.1</t>
        </is>
      </c>
      <c r="H138" s="7" t="n"/>
      <c r="I138" s="7" t="inlineStr">
        <is>
          <t>16.1</t>
        </is>
      </c>
      <c r="J138" s="7" t="inlineStr">
        <is>
          <t>Transformação</t>
        </is>
      </c>
      <c r="K138" s="7" t="inlineStr">
        <is>
          <t>Planejamento</t>
        </is>
      </c>
      <c r="L138" s="16" t="inlineStr">
        <is>
          <t>PDS-dezembro(1).docx</t>
        </is>
      </c>
      <c r="M138">
        <f>IF($A138="","",TEXT($A138,"mmmm/yyyy"))</f>
        <v/>
      </c>
      <c r="P138">
        <f>IFERROR(_xludf.XLOOKUP($N138,Base_Enderecos!$A:$A,Base_Enderecos!$B:$B,""),"")</f>
        <v/>
      </c>
      <c r="Q138">
        <f>IFERROR(_xludf.XLOOKUP($N138,Base_Enderecos!$A:$A,Base_Enderecos!$C:$C,""),"")</f>
        <v/>
      </c>
      <c r="R138">
        <f>IF(OR(ISNUMBER(SEARCH("HDD",$F138)),ISNUMBER(SEARCH("MND",$F138)),ISNUMBER(SEARCH("PEAD",$F138)),ISNUMBER(SEARCH("Puxe",$J138)),ISNUMBER(SEARCH("Apoio HDD",$F138))),"MND",IF(OR(ISNUMBER(SEARCH("VCA",$F138)),ISNUMBER(SEARCH("PVC",$F138)),ISNUMBER(SEARCH("vca",$J138)),ISNUMBER(SEARCH("Transformação",$J138))),"VCA",IF(OR(ISNUMBER(SEARCH("crava",$F138)),ISNUMBER(SEARCH("tubo cravado",$F138)),ISNUMBER(SEARCH("shaft",$J138)),ISNUMBER(SEARCH("concreto",$F138))),"TUBO CRAVADO","")))</f>
        <v/>
      </c>
      <c r="T138">
        <f>IF($A138="","",TEXT($A138,"yyyymm")&amp;"|"&amp;$C138&amp;"|"&amp;$F138&amp;"|"&amp;$N138&amp;"|"&amp;$R138)</f>
        <v/>
      </c>
    </row>
    <row r="139" ht="11.55" customHeight="1">
      <c r="A139" s="10" t="n">
        <v>46006</v>
      </c>
      <c r="B139" s="7" t="inlineStr">
        <is>
          <t>Segunda</t>
        </is>
      </c>
      <c r="C139" s="7" t="inlineStr">
        <is>
          <t>CT *Lajeado</t>
        </is>
      </c>
      <c r="D139" s="7" t="n"/>
      <c r="E139" s="7" t="inlineStr">
        <is>
          <t>Valter</t>
        </is>
      </c>
      <c r="F139" s="13" t="inlineStr">
        <is>
          <t>Transformação PV 10</t>
        </is>
      </c>
      <c r="G139" s="7" t="inlineStr">
        <is>
          <t>10</t>
        </is>
      </c>
      <c r="H139" s="7" t="n"/>
      <c r="I139" s="7" t="inlineStr">
        <is>
          <t>10</t>
        </is>
      </c>
      <c r="J139" s="7" t="inlineStr">
        <is>
          <t>Transformação</t>
        </is>
      </c>
      <c r="K139" s="7" t="inlineStr">
        <is>
          <t>Planejamento</t>
        </is>
      </c>
      <c r="L139" s="16" t="inlineStr">
        <is>
          <t>PDS-dezembro(1).docx</t>
        </is>
      </c>
      <c r="M139">
        <f>IF($A139="","",TEXT($A139,"mmmm/yyyy"))</f>
        <v/>
      </c>
      <c r="P139">
        <f>IFERROR(_xludf.XLOOKUP($N139,Base_Enderecos!$A:$A,Base_Enderecos!$B:$B,""),"")</f>
        <v/>
      </c>
      <c r="Q139">
        <f>IFERROR(_xludf.XLOOKUP($N139,Base_Enderecos!$A:$A,Base_Enderecos!$C:$C,""),"")</f>
        <v/>
      </c>
      <c r="R139">
        <f>IF(OR(ISNUMBER(SEARCH("HDD",$F139)),ISNUMBER(SEARCH("MND",$F139)),ISNUMBER(SEARCH("PEAD",$F139)),ISNUMBER(SEARCH("Puxe",$J139)),ISNUMBER(SEARCH("Apoio HDD",$F139))),"MND",IF(OR(ISNUMBER(SEARCH("VCA",$F139)),ISNUMBER(SEARCH("PVC",$F139)),ISNUMBER(SEARCH("vca",$J139)),ISNUMBER(SEARCH("Transformação",$J139))),"VCA",IF(OR(ISNUMBER(SEARCH("crava",$F139)),ISNUMBER(SEARCH("tubo cravado",$F139)),ISNUMBER(SEARCH("shaft",$J139)),ISNUMBER(SEARCH("concreto",$F139))),"TUBO CRAVADO","")))</f>
        <v/>
      </c>
      <c r="T139">
        <f>IF($A139="","",TEXT($A139,"yyyymm")&amp;"|"&amp;$C139&amp;"|"&amp;$F139&amp;"|"&amp;$N139&amp;"|"&amp;$R139)</f>
        <v/>
      </c>
    </row>
    <row r="140" ht="11.55" customHeight="1">
      <c r="A140" s="10" t="n">
        <v>46006</v>
      </c>
      <c r="B140" s="7" t="inlineStr">
        <is>
          <t>Segunda</t>
        </is>
      </c>
      <c r="C140" s="7" t="inlineStr">
        <is>
          <t>CT *Lajeado</t>
        </is>
      </c>
      <c r="D140" s="7" t="n"/>
      <c r="E140" s="7" t="inlineStr">
        <is>
          <t>Paulo</t>
        </is>
      </c>
      <c r="F140" s="13" t="inlineStr">
        <is>
          <t>Transformação PV 08</t>
        </is>
      </c>
      <c r="G140" s="7" t="inlineStr">
        <is>
          <t>08</t>
        </is>
      </c>
      <c r="H140" s="7" t="n"/>
      <c r="I140" s="7" t="inlineStr">
        <is>
          <t>08</t>
        </is>
      </c>
      <c r="J140" s="7" t="inlineStr">
        <is>
          <t>Transformação</t>
        </is>
      </c>
      <c r="K140" s="7" t="inlineStr">
        <is>
          <t>Planejamento</t>
        </is>
      </c>
      <c r="L140" s="16" t="inlineStr">
        <is>
          <t>PDS-dezembro(1).docx</t>
        </is>
      </c>
      <c r="M140">
        <f>IF($A140="","",TEXT($A140,"mmmm/yyyy"))</f>
        <v/>
      </c>
      <c r="P140">
        <f>IFERROR(_xludf.XLOOKUP($N140,Base_Enderecos!$A:$A,Base_Enderecos!$B:$B,""),"")</f>
        <v/>
      </c>
      <c r="Q140">
        <f>IFERROR(_xludf.XLOOKUP($N140,Base_Enderecos!$A:$A,Base_Enderecos!$C:$C,""),"")</f>
        <v/>
      </c>
      <c r="R140">
        <f>IF(OR(ISNUMBER(SEARCH("HDD",$F140)),ISNUMBER(SEARCH("MND",$F140)),ISNUMBER(SEARCH("PEAD",$F140)),ISNUMBER(SEARCH("Puxe",$J140)),ISNUMBER(SEARCH("Apoio HDD",$F140))),"MND",IF(OR(ISNUMBER(SEARCH("VCA",$F140)),ISNUMBER(SEARCH("PVC",$F140)),ISNUMBER(SEARCH("vca",$J140)),ISNUMBER(SEARCH("Transformação",$J140))),"VCA",IF(OR(ISNUMBER(SEARCH("crava",$F140)),ISNUMBER(SEARCH("tubo cravado",$F140)),ISNUMBER(SEARCH("shaft",$J140)),ISNUMBER(SEARCH("concreto",$F140))),"TUBO CRAVADO","")))</f>
        <v/>
      </c>
      <c r="T140">
        <f>IF($A140="","",TEXT($A140,"yyyymm")&amp;"|"&amp;$C140&amp;"|"&amp;$F140&amp;"|"&amp;$N140&amp;"|"&amp;$R140)</f>
        <v/>
      </c>
    </row>
    <row r="141" ht="11.55" customHeight="1">
      <c r="A141" s="10" t="n">
        <v>46006</v>
      </c>
      <c r="B141" s="7" t="inlineStr">
        <is>
          <t>Segunda</t>
        </is>
      </c>
      <c r="C141" s="7" t="inlineStr">
        <is>
          <t>CT *Lajeado</t>
        </is>
      </c>
      <c r="D141" s="7" t="n"/>
      <c r="E141" s="7" t="inlineStr">
        <is>
          <t>LS</t>
        </is>
      </c>
      <c r="F141" s="13" t="inlineStr">
        <is>
          <t>Transformação PV 12.1</t>
        </is>
      </c>
      <c r="G141" s="7" t="inlineStr">
        <is>
          <t>12.1</t>
        </is>
      </c>
      <c r="H141" s="7" t="n"/>
      <c r="I141" s="7" t="inlineStr">
        <is>
          <t>12.1</t>
        </is>
      </c>
      <c r="J141" s="7" t="inlineStr">
        <is>
          <t>Transformação</t>
        </is>
      </c>
      <c r="K141" s="7" t="inlineStr">
        <is>
          <t>Planejamento</t>
        </is>
      </c>
      <c r="L141" s="16" t="inlineStr">
        <is>
          <t>PDS-dezembro(1).docx</t>
        </is>
      </c>
      <c r="M141">
        <f>IF($A141="","",TEXT($A141,"mmmm/yyyy"))</f>
        <v/>
      </c>
      <c r="P141">
        <f>IFERROR(_xludf.XLOOKUP($N141,Base_Enderecos!$A:$A,Base_Enderecos!$B:$B,""),"")</f>
        <v/>
      </c>
      <c r="Q141">
        <f>IFERROR(_xludf.XLOOKUP($N141,Base_Enderecos!$A:$A,Base_Enderecos!$C:$C,""),"")</f>
        <v/>
      </c>
      <c r="R141">
        <f>IF(OR(ISNUMBER(SEARCH("HDD",$F141)),ISNUMBER(SEARCH("MND",$F141)),ISNUMBER(SEARCH("PEAD",$F141)),ISNUMBER(SEARCH("Puxe",$J141)),ISNUMBER(SEARCH("Apoio HDD",$F141))),"MND",IF(OR(ISNUMBER(SEARCH("VCA",$F141)),ISNUMBER(SEARCH("PVC",$F141)),ISNUMBER(SEARCH("vca",$J141)),ISNUMBER(SEARCH("Transformação",$J141))),"VCA",IF(OR(ISNUMBER(SEARCH("crava",$F141)),ISNUMBER(SEARCH("tubo cravado",$F141)),ISNUMBER(SEARCH("shaft",$J141)),ISNUMBER(SEARCH("concreto",$F141))),"TUBO CRAVADO","")))</f>
        <v/>
      </c>
      <c r="T141">
        <f>IF($A141="","",TEXT($A141,"yyyymm")&amp;"|"&amp;$C141&amp;"|"&amp;$F141&amp;"|"&amp;$N141&amp;"|"&amp;$R141)</f>
        <v/>
      </c>
    </row>
    <row r="142" ht="11.55" customHeight="1">
      <c r="A142" s="10" t="n">
        <v>46006</v>
      </c>
      <c r="B142" s="7" t="inlineStr">
        <is>
          <t>Segunda</t>
        </is>
      </c>
      <c r="C142" s="7" t="inlineStr">
        <is>
          <t>CT *Lajeado</t>
        </is>
      </c>
      <c r="D142" s="7" t="n"/>
      <c r="E142" s="7" t="inlineStr">
        <is>
          <t>Piso (Edson)</t>
        </is>
      </c>
      <c r="F142" s="13" t="inlineStr">
        <is>
          <t>Reparos passeio e sarjeta entre PVs 1 ao 1.1</t>
        </is>
      </c>
      <c r="G142" s="7" t="inlineStr">
        <is>
          <t>1</t>
        </is>
      </c>
      <c r="H142" s="7" t="n"/>
      <c r="I142" s="7" t="inlineStr">
        <is>
          <t>1</t>
        </is>
      </c>
      <c r="J142" s="7" t="inlineStr">
        <is>
          <t>Reparo</t>
        </is>
      </c>
      <c r="K142" s="7" t="inlineStr">
        <is>
          <t>Planejamento</t>
        </is>
      </c>
      <c r="L142" s="16" t="inlineStr">
        <is>
          <t>PDS-dezembro(1).docx</t>
        </is>
      </c>
      <c r="M142">
        <f>IF($A142="","",TEXT($A142,"mmmm/yyyy"))</f>
        <v/>
      </c>
      <c r="P142">
        <f>IFERROR(_xludf.XLOOKUP($N142,Base_Enderecos!$A:$A,Base_Enderecos!$B:$B,""),"")</f>
        <v/>
      </c>
      <c r="Q142">
        <f>IFERROR(_xludf.XLOOKUP($N142,Base_Enderecos!$A:$A,Base_Enderecos!$C:$C,""),"")</f>
        <v/>
      </c>
      <c r="R142">
        <f>IF(OR(ISNUMBER(SEARCH("HDD",$F142)),ISNUMBER(SEARCH("MND",$F142)),ISNUMBER(SEARCH("PEAD",$F142)),ISNUMBER(SEARCH("Puxe",$J142)),ISNUMBER(SEARCH("Apoio HDD",$F142))),"MND",IF(OR(ISNUMBER(SEARCH("VCA",$F142)),ISNUMBER(SEARCH("PVC",$F142)),ISNUMBER(SEARCH("vca",$J142)),ISNUMBER(SEARCH("Transformação",$J142))),"VCA",IF(OR(ISNUMBER(SEARCH("crava",$F142)),ISNUMBER(SEARCH("tubo cravado",$F142)),ISNUMBER(SEARCH("shaft",$J142)),ISNUMBER(SEARCH("concreto",$F142))),"TUBO CRAVADO","")))</f>
        <v/>
      </c>
      <c r="T142">
        <f>IF($A142="","",TEXT($A142,"yyyymm")&amp;"|"&amp;$C142&amp;"|"&amp;$F142&amp;"|"&amp;$N142&amp;"|"&amp;$R142)</f>
        <v/>
      </c>
    </row>
    <row r="143" ht="11.55" customHeight="1">
      <c r="A143" s="10" t="n">
        <v>46006</v>
      </c>
      <c r="B143" s="7" t="inlineStr">
        <is>
          <t>Segunda</t>
        </is>
      </c>
      <c r="C143" s="7" t="inlineStr">
        <is>
          <t>CT Mar de Coral</t>
        </is>
      </c>
      <c r="D143" s="7" t="n"/>
      <c r="E143" s="7" t="inlineStr">
        <is>
          <t>Nova Construção</t>
        </is>
      </c>
      <c r="F143" s="13" t="inlineStr">
        <is>
          <t>Escavação mecânica e montagem armco PV 03</t>
        </is>
      </c>
      <c r="G143" s="7" t="inlineStr">
        <is>
          <t>03</t>
        </is>
      </c>
      <c r="H143" s="7" t="n"/>
      <c r="I143" s="7" t="inlineStr">
        <is>
          <t>03</t>
        </is>
      </c>
      <c r="J143" s="7" t="inlineStr">
        <is>
          <t>Escavação</t>
        </is>
      </c>
      <c r="K143" s="7" t="inlineStr">
        <is>
          <t>Planejamento</t>
        </is>
      </c>
      <c r="L143" s="16" t="inlineStr">
        <is>
          <t>PDS-dezembro(1).docx</t>
        </is>
      </c>
      <c r="M143">
        <f>IF($A143="","",TEXT($A143,"mmmm/yyyy"))</f>
        <v/>
      </c>
      <c r="P143">
        <f>IFERROR(_xludf.XLOOKUP($N143,Base_Enderecos!$A:$A,Base_Enderecos!$B:$B,""),"")</f>
        <v/>
      </c>
      <c r="Q143">
        <f>IFERROR(_xludf.XLOOKUP($N143,Base_Enderecos!$A:$A,Base_Enderecos!$C:$C,""),"")</f>
        <v/>
      </c>
      <c r="R143">
        <f>IF(OR(ISNUMBER(SEARCH("HDD",$F143)),ISNUMBER(SEARCH("MND",$F143)),ISNUMBER(SEARCH("PEAD",$F143)),ISNUMBER(SEARCH("Puxe",$J143)),ISNUMBER(SEARCH("Apoio HDD",$F143))),"MND",IF(OR(ISNUMBER(SEARCH("VCA",$F143)),ISNUMBER(SEARCH("PVC",$F143)),ISNUMBER(SEARCH("vca",$J143)),ISNUMBER(SEARCH("Transformação",$J143))),"VCA",IF(OR(ISNUMBER(SEARCH("crava",$F143)),ISNUMBER(SEARCH("tubo cravado",$F143)),ISNUMBER(SEARCH("shaft",$J143)),ISNUMBER(SEARCH("concreto",$F143))),"TUBO CRAVADO","")))</f>
        <v/>
      </c>
      <c r="T143">
        <f>IF($A143="","",TEXT($A143,"yyyymm")&amp;"|"&amp;$C143&amp;"|"&amp;$F143&amp;"|"&amp;$N143&amp;"|"&amp;$R143)</f>
        <v/>
      </c>
    </row>
    <row r="144" ht="11.55" customHeight="1">
      <c r="A144" s="10" t="n">
        <v>46006</v>
      </c>
      <c r="B144" s="7" t="inlineStr">
        <is>
          <t>Segunda</t>
        </is>
      </c>
      <c r="C144" s="7" t="inlineStr">
        <is>
          <t>CT Lourdes</t>
        </is>
      </c>
      <c r="D144" s="7" t="n"/>
      <c r="E144" s="7" t="inlineStr">
        <is>
          <t>WJ (Alex)</t>
        </is>
      </c>
      <c r="F144" s="13" t="inlineStr">
        <is>
          <t>Execução furo piloto entre PVs 14 ao 18</t>
        </is>
      </c>
      <c r="G144" s="7" t="inlineStr">
        <is>
          <t>14</t>
        </is>
      </c>
      <c r="H144" s="7" t="n"/>
      <c r="I144" s="7" t="inlineStr">
        <is>
          <t>14</t>
        </is>
      </c>
      <c r="J144" s="7" t="inlineStr">
        <is>
          <t>Furo piloto</t>
        </is>
      </c>
      <c r="K144" s="7" t="inlineStr">
        <is>
          <t>Planejamento</t>
        </is>
      </c>
      <c r="L144" s="16" t="inlineStr">
        <is>
          <t>PDS-dezembro(1).docx</t>
        </is>
      </c>
      <c r="M144">
        <f>IF($A144="","",TEXT($A144,"mmmm/yyyy"))</f>
        <v/>
      </c>
      <c r="P144">
        <f>IFERROR(_xludf.XLOOKUP($N144,Base_Enderecos!$A:$A,Base_Enderecos!$B:$B,""),"")</f>
        <v/>
      </c>
      <c r="Q144">
        <f>IFERROR(_xludf.XLOOKUP($N144,Base_Enderecos!$A:$A,Base_Enderecos!$C:$C,""),"")</f>
        <v/>
      </c>
      <c r="R144">
        <f>IF(OR(ISNUMBER(SEARCH("HDD",$F144)),ISNUMBER(SEARCH("MND",$F144)),ISNUMBER(SEARCH("PEAD",$F144)),ISNUMBER(SEARCH("Puxe",$J144)),ISNUMBER(SEARCH("Apoio HDD",$F144))),"MND",IF(OR(ISNUMBER(SEARCH("VCA",$F144)),ISNUMBER(SEARCH("PVC",$F144)),ISNUMBER(SEARCH("vca",$J144)),ISNUMBER(SEARCH("Transformação",$J144))),"VCA",IF(OR(ISNUMBER(SEARCH("crava",$F144)),ISNUMBER(SEARCH("tubo cravado",$F144)),ISNUMBER(SEARCH("shaft",$J144)),ISNUMBER(SEARCH("concreto",$F144))),"TUBO CRAVADO","")))</f>
        <v/>
      </c>
      <c r="T144">
        <f>IF($A144="","",TEXT($A144,"yyyymm")&amp;"|"&amp;$C144&amp;"|"&amp;$F144&amp;"|"&amp;$N144&amp;"|"&amp;$R144)</f>
        <v/>
      </c>
    </row>
    <row r="145" ht="11.55" customHeight="1">
      <c r="A145" s="10" t="n">
        <v>46006</v>
      </c>
      <c r="B145" s="7" t="inlineStr">
        <is>
          <t>Segunda</t>
        </is>
      </c>
      <c r="C145" s="7" t="inlineStr">
        <is>
          <t>CT Lourdes</t>
        </is>
      </c>
      <c r="D145" s="7" t="n"/>
      <c r="E145" s="7" t="inlineStr">
        <is>
          <t>Marcio</t>
        </is>
      </c>
      <c r="F145" s="13" t="inlineStr">
        <is>
          <t>Apoio HDD entre PVs 14 ao 18</t>
        </is>
      </c>
      <c r="G145" s="7" t="inlineStr">
        <is>
          <t>14</t>
        </is>
      </c>
      <c r="H145" s="7" t="n"/>
      <c r="I145" s="7" t="inlineStr">
        <is>
          <t>14</t>
        </is>
      </c>
      <c r="J145" s="7" t="inlineStr">
        <is>
          <t>Apoio HDD</t>
        </is>
      </c>
      <c r="K145" s="7" t="inlineStr">
        <is>
          <t>Planejamento</t>
        </is>
      </c>
      <c r="L145" s="16" t="inlineStr">
        <is>
          <t>PDS-dezembro(1).docx</t>
        </is>
      </c>
      <c r="M145">
        <f>IF($A145="","",TEXT($A145,"mmmm/yyyy"))</f>
        <v/>
      </c>
      <c r="P145">
        <f>IFERROR(_xludf.XLOOKUP($N145,Base_Enderecos!$A:$A,Base_Enderecos!$B:$B,""),"")</f>
        <v/>
      </c>
      <c r="Q145">
        <f>IFERROR(_xludf.XLOOKUP($N145,Base_Enderecos!$A:$A,Base_Enderecos!$C:$C,""),"")</f>
        <v/>
      </c>
      <c r="R145">
        <f>IF(OR(ISNUMBER(SEARCH("HDD",$F145)),ISNUMBER(SEARCH("MND",$F145)),ISNUMBER(SEARCH("PEAD",$F145)),ISNUMBER(SEARCH("Puxe",$J145)),ISNUMBER(SEARCH("Apoio HDD",$F145))),"MND",IF(OR(ISNUMBER(SEARCH("VCA",$F145)),ISNUMBER(SEARCH("PVC",$F145)),ISNUMBER(SEARCH("vca",$J145)),ISNUMBER(SEARCH("Transformação",$J145))),"VCA",IF(OR(ISNUMBER(SEARCH("crava",$F145)),ISNUMBER(SEARCH("tubo cravado",$F145)),ISNUMBER(SEARCH("shaft",$J145)),ISNUMBER(SEARCH("concreto",$F145))),"TUBO CRAVADO","")))</f>
        <v/>
      </c>
      <c r="T145">
        <f>IF($A145="","",TEXT($A145,"yyyymm")&amp;"|"&amp;$C145&amp;"|"&amp;$F145&amp;"|"&amp;$N145&amp;"|"&amp;$R145)</f>
        <v/>
      </c>
    </row>
    <row r="146" ht="11.55" customHeight="1">
      <c r="A146" s="10" t="n">
        <v>46006</v>
      </c>
      <c r="B146" s="7" t="inlineStr">
        <is>
          <t>Segunda</t>
        </is>
      </c>
      <c r="C146" s="7" t="inlineStr">
        <is>
          <t>CT Lourdes</t>
        </is>
      </c>
      <c r="D146" s="7" t="n"/>
      <c r="E146" s="7" t="inlineStr">
        <is>
          <t>WJ (Edson)</t>
        </is>
      </c>
      <c r="F146" s="13" t="inlineStr">
        <is>
          <t>Execução furo piloto entre PVs 18 ao 19</t>
        </is>
      </c>
      <c r="G146" s="7" t="inlineStr">
        <is>
          <t>18</t>
        </is>
      </c>
      <c r="H146" s="7" t="n"/>
      <c r="I146" s="7" t="inlineStr">
        <is>
          <t>18</t>
        </is>
      </c>
      <c r="J146" s="7" t="inlineStr">
        <is>
          <t>Furo piloto</t>
        </is>
      </c>
      <c r="K146" s="7" t="inlineStr">
        <is>
          <t>Planejamento</t>
        </is>
      </c>
      <c r="L146" s="16" t="inlineStr">
        <is>
          <t>PDS-dezembro(1).docx</t>
        </is>
      </c>
      <c r="M146">
        <f>IF($A146="","",TEXT($A146,"mmmm/yyyy"))</f>
        <v/>
      </c>
      <c r="P146">
        <f>IFERROR(_xludf.XLOOKUP($N146,Base_Enderecos!$A:$A,Base_Enderecos!$B:$B,""),"")</f>
        <v/>
      </c>
      <c r="Q146">
        <f>IFERROR(_xludf.XLOOKUP($N146,Base_Enderecos!$A:$A,Base_Enderecos!$C:$C,""),"")</f>
        <v/>
      </c>
      <c r="R146">
        <f>IF(OR(ISNUMBER(SEARCH("HDD",$F146)),ISNUMBER(SEARCH("MND",$F146)),ISNUMBER(SEARCH("PEAD",$F146)),ISNUMBER(SEARCH("Puxe",$J146)),ISNUMBER(SEARCH("Apoio HDD",$F146))),"MND",IF(OR(ISNUMBER(SEARCH("VCA",$F146)),ISNUMBER(SEARCH("PVC",$F146)),ISNUMBER(SEARCH("vca",$J146)),ISNUMBER(SEARCH("Transformação",$J146))),"VCA",IF(OR(ISNUMBER(SEARCH("crava",$F146)),ISNUMBER(SEARCH("tubo cravado",$F146)),ISNUMBER(SEARCH("shaft",$J146)),ISNUMBER(SEARCH("concreto",$F146))),"TUBO CRAVADO","")))</f>
        <v/>
      </c>
      <c r="T146">
        <f>IF($A146="","",TEXT($A146,"yyyymm")&amp;"|"&amp;$C146&amp;"|"&amp;$F146&amp;"|"&amp;$N146&amp;"|"&amp;$R146)</f>
        <v/>
      </c>
    </row>
    <row r="147" ht="11.55" customHeight="1">
      <c r="A147" s="10" t="n">
        <v>46006</v>
      </c>
      <c r="B147" s="7" t="inlineStr">
        <is>
          <t>Segunda</t>
        </is>
      </c>
      <c r="C147" s="7" t="inlineStr">
        <is>
          <t>CT Lourdes</t>
        </is>
      </c>
      <c r="D147" s="7" t="n"/>
      <c r="E147" s="7" t="inlineStr">
        <is>
          <t>Natalino</t>
        </is>
      </c>
      <c r="F147" s="13" t="inlineStr">
        <is>
          <t>Apoio HDD entre PVs 18 ao 19</t>
        </is>
      </c>
      <c r="G147" s="7" t="inlineStr">
        <is>
          <t>18</t>
        </is>
      </c>
      <c r="H147" s="7" t="n"/>
      <c r="I147" s="7" t="inlineStr">
        <is>
          <t>18</t>
        </is>
      </c>
      <c r="J147" s="7" t="inlineStr">
        <is>
          <t>Apoio HDD</t>
        </is>
      </c>
      <c r="K147" s="7" t="inlineStr">
        <is>
          <t>Planejamento</t>
        </is>
      </c>
      <c r="L147" s="16" t="inlineStr">
        <is>
          <t>PDS-dezembro(1).docx</t>
        </is>
      </c>
      <c r="M147">
        <f>IF($A147="","",TEXT($A147,"mmmm/yyyy"))</f>
        <v/>
      </c>
      <c r="P147">
        <f>IFERROR(_xludf.XLOOKUP($N147,Base_Enderecos!$A:$A,Base_Enderecos!$B:$B,""),"")</f>
        <v/>
      </c>
      <c r="Q147">
        <f>IFERROR(_xludf.XLOOKUP($N147,Base_Enderecos!$A:$A,Base_Enderecos!$C:$C,""),"")</f>
        <v/>
      </c>
      <c r="R147">
        <f>IF(OR(ISNUMBER(SEARCH("HDD",$F147)),ISNUMBER(SEARCH("MND",$F147)),ISNUMBER(SEARCH("PEAD",$F147)),ISNUMBER(SEARCH("Puxe",$J147)),ISNUMBER(SEARCH("Apoio HDD",$F147))),"MND",IF(OR(ISNUMBER(SEARCH("VCA",$F147)),ISNUMBER(SEARCH("PVC",$F147)),ISNUMBER(SEARCH("vca",$J147)),ISNUMBER(SEARCH("Transformação",$J147))),"VCA",IF(OR(ISNUMBER(SEARCH("crava",$F147)),ISNUMBER(SEARCH("tubo cravado",$F147)),ISNUMBER(SEARCH("shaft",$J147)),ISNUMBER(SEARCH("concreto",$F147))),"TUBO CRAVADO","")))</f>
        <v/>
      </c>
      <c r="T147">
        <f>IF($A147="","",TEXT($A147,"yyyymm")&amp;"|"&amp;$C147&amp;"|"&amp;$F147&amp;"|"&amp;$N147&amp;"|"&amp;$R147)</f>
        <v/>
      </c>
    </row>
    <row r="148" ht="11.55" customHeight="1">
      <c r="A148" s="10" t="n">
        <v>46006</v>
      </c>
      <c r="B148" s="7" t="inlineStr">
        <is>
          <t>Segunda</t>
        </is>
      </c>
      <c r="C148" s="7" t="inlineStr">
        <is>
          <t>CT Lourdes</t>
        </is>
      </c>
      <c r="D148" s="7" t="n"/>
      <c r="E148" s="7" t="inlineStr">
        <is>
          <t>Work Drill (Bruno)</t>
        </is>
      </c>
      <c r="F148" s="13" t="inlineStr">
        <is>
          <t>Execução furo piloto entre PVs 10 ao 12</t>
        </is>
      </c>
      <c r="G148" s="7" t="inlineStr">
        <is>
          <t>10</t>
        </is>
      </c>
      <c r="H148" s="7" t="n"/>
      <c r="I148" s="7" t="inlineStr">
        <is>
          <t>10</t>
        </is>
      </c>
      <c r="J148" s="7" t="inlineStr">
        <is>
          <t>Furo piloto</t>
        </is>
      </c>
      <c r="K148" s="7" t="inlineStr">
        <is>
          <t>Planejamento</t>
        </is>
      </c>
      <c r="L148" s="16" t="inlineStr">
        <is>
          <t>PDS-dezembro(1).docx</t>
        </is>
      </c>
      <c r="M148">
        <f>IF($A148="","",TEXT($A148,"mmmm/yyyy"))</f>
        <v/>
      </c>
      <c r="P148">
        <f>IFERROR(_xludf.XLOOKUP($N148,Base_Enderecos!$A:$A,Base_Enderecos!$B:$B,""),"")</f>
        <v/>
      </c>
      <c r="Q148">
        <f>IFERROR(_xludf.XLOOKUP($N148,Base_Enderecos!$A:$A,Base_Enderecos!$C:$C,""),"")</f>
        <v/>
      </c>
      <c r="R148">
        <f>IF(OR(ISNUMBER(SEARCH("HDD",$F148)),ISNUMBER(SEARCH("MND",$F148)),ISNUMBER(SEARCH("PEAD",$F148)),ISNUMBER(SEARCH("Puxe",$J148)),ISNUMBER(SEARCH("Apoio HDD",$F148))),"MND",IF(OR(ISNUMBER(SEARCH("VCA",$F148)),ISNUMBER(SEARCH("PVC",$F148)),ISNUMBER(SEARCH("vca",$J148)),ISNUMBER(SEARCH("Transformação",$J148))),"VCA",IF(OR(ISNUMBER(SEARCH("crava",$F148)),ISNUMBER(SEARCH("tubo cravado",$F148)),ISNUMBER(SEARCH("shaft",$J148)),ISNUMBER(SEARCH("concreto",$F148))),"TUBO CRAVADO","")))</f>
        <v/>
      </c>
      <c r="T148">
        <f>IF($A148="","",TEXT($A148,"yyyymm")&amp;"|"&amp;$C148&amp;"|"&amp;$F148&amp;"|"&amp;$N148&amp;"|"&amp;$R148)</f>
        <v/>
      </c>
    </row>
    <row r="149" ht="11.55" customHeight="1">
      <c r="A149" s="10" t="n">
        <v>46006</v>
      </c>
      <c r="B149" s="7" t="inlineStr">
        <is>
          <t>Segunda</t>
        </is>
      </c>
      <c r="C149" s="7" t="inlineStr">
        <is>
          <t>CT Lourdes</t>
        </is>
      </c>
      <c r="D149" s="7" t="n"/>
      <c r="E149" s="7" t="inlineStr">
        <is>
          <t>Fabrício</t>
        </is>
      </c>
      <c r="F149" s="13" t="inlineStr">
        <is>
          <t>Apoio HDD entre PVs 10 ao 12</t>
        </is>
      </c>
      <c r="G149" s="7" t="inlineStr">
        <is>
          <t>10</t>
        </is>
      </c>
      <c r="H149" s="7" t="n"/>
      <c r="I149" s="7" t="inlineStr">
        <is>
          <t>10</t>
        </is>
      </c>
      <c r="J149" s="7" t="inlineStr">
        <is>
          <t>Apoio HDD</t>
        </is>
      </c>
      <c r="K149" s="7" t="inlineStr">
        <is>
          <t>Planejamento</t>
        </is>
      </c>
      <c r="L149" s="16" t="inlineStr">
        <is>
          <t>PDS-dezembro(1).docx</t>
        </is>
      </c>
      <c r="M149">
        <f>IF($A149="","",TEXT($A149,"mmmm/yyyy"))</f>
        <v/>
      </c>
      <c r="P149">
        <f>IFERROR(_xludf.XLOOKUP($N149,Base_Enderecos!$A:$A,Base_Enderecos!$B:$B,""),"")</f>
        <v/>
      </c>
      <c r="Q149">
        <f>IFERROR(_xludf.XLOOKUP($N149,Base_Enderecos!$A:$A,Base_Enderecos!$C:$C,""),"")</f>
        <v/>
      </c>
      <c r="R149">
        <f>IF(OR(ISNUMBER(SEARCH("HDD",$F149)),ISNUMBER(SEARCH("MND",$F149)),ISNUMBER(SEARCH("PEAD",$F149)),ISNUMBER(SEARCH("Puxe",$J149)),ISNUMBER(SEARCH("Apoio HDD",$F149))),"MND",IF(OR(ISNUMBER(SEARCH("VCA",$F149)),ISNUMBER(SEARCH("PVC",$F149)),ISNUMBER(SEARCH("vca",$J149)),ISNUMBER(SEARCH("Transformação",$J149))),"VCA",IF(OR(ISNUMBER(SEARCH("crava",$F149)),ISNUMBER(SEARCH("tubo cravado",$F149)),ISNUMBER(SEARCH("shaft",$J149)),ISNUMBER(SEARCH("concreto",$F149))),"TUBO CRAVADO","")))</f>
        <v/>
      </c>
      <c r="T149">
        <f>IF($A149="","",TEXT($A149,"yyyymm")&amp;"|"&amp;$C149&amp;"|"&amp;$F149&amp;"|"&amp;$N149&amp;"|"&amp;$R149)</f>
        <v/>
      </c>
    </row>
    <row r="150" ht="11.55" customHeight="1">
      <c r="A150" s="10" t="n">
        <v>46006</v>
      </c>
      <c r="B150" s="7" t="inlineStr">
        <is>
          <t>Segunda</t>
        </is>
      </c>
      <c r="C150" s="7" t="inlineStr">
        <is>
          <t>Vacal</t>
        </is>
      </c>
      <c r="D150" s="7" t="n"/>
      <c r="E150" s="7" t="inlineStr">
        <is>
          <t>PV 18 Lourdes</t>
        </is>
      </c>
      <c r="F150" s="13" t="inlineStr">
        <is>
          <t>Apoio Vacal</t>
        </is>
      </c>
      <c r="G150" s="7" t="n"/>
      <c r="H150" s="7" t="n"/>
      <c r="I150" s="7" t="n"/>
      <c r="J150" s="7" t="inlineStr">
        <is>
          <t>Vacal</t>
        </is>
      </c>
      <c r="K150" s="7" t="inlineStr">
        <is>
          <t>Apoio</t>
        </is>
      </c>
      <c r="L150" s="16" t="inlineStr">
        <is>
          <t>PDS-dezembro(1).docx</t>
        </is>
      </c>
      <c r="M150">
        <f>IF($A150="","",TEXT($A150,"mmmm/yyyy"))</f>
        <v/>
      </c>
      <c r="P150">
        <f>IFERROR(_xludf.XLOOKUP($N150,Base_Enderecos!$A:$A,Base_Enderecos!$B:$B,""),"")</f>
        <v/>
      </c>
      <c r="Q150">
        <f>IFERROR(_xludf.XLOOKUP($N150,Base_Enderecos!$A:$A,Base_Enderecos!$C:$C,""),"")</f>
        <v/>
      </c>
      <c r="R150">
        <f>IF(OR(ISNUMBER(SEARCH("HDD",$F150)),ISNUMBER(SEARCH("MND",$F150)),ISNUMBER(SEARCH("PEAD",$F150)),ISNUMBER(SEARCH("Puxe",$J150)),ISNUMBER(SEARCH("Apoio HDD",$F150))),"MND",IF(OR(ISNUMBER(SEARCH("VCA",$F150)),ISNUMBER(SEARCH("PVC",$F150)),ISNUMBER(SEARCH("vca",$J150)),ISNUMBER(SEARCH("Transformação",$J150))),"VCA",IF(OR(ISNUMBER(SEARCH("crava",$F150)),ISNUMBER(SEARCH("tubo cravado",$F150)),ISNUMBER(SEARCH("shaft",$J150)),ISNUMBER(SEARCH("concreto",$F150))),"TUBO CRAVADO","")))</f>
        <v/>
      </c>
      <c r="T150">
        <f>IF($A150="","",TEXT($A150,"yyyymm")&amp;"|"&amp;$C150&amp;"|"&amp;$F150&amp;"|"&amp;$N150&amp;"|"&amp;$R150)</f>
        <v/>
      </c>
    </row>
    <row r="151" ht="11.55" customHeight="1">
      <c r="A151" s="10" t="n">
        <v>46006</v>
      </c>
      <c r="B151" s="7" t="inlineStr">
        <is>
          <t>Segunda</t>
        </is>
      </c>
      <c r="C151" s="7" t="inlineStr">
        <is>
          <t>Vacal</t>
        </is>
      </c>
      <c r="D151" s="7" t="n"/>
      <c r="E151" s="7" t="inlineStr">
        <is>
          <t>PV 19 Lourdes</t>
        </is>
      </c>
      <c r="F151" s="13" t="inlineStr">
        <is>
          <t>Apoio Vacal</t>
        </is>
      </c>
      <c r="G151" s="7" t="n"/>
      <c r="H151" s="7" t="n"/>
      <c r="I151" s="7" t="n"/>
      <c r="J151" s="7" t="inlineStr">
        <is>
          <t>Vacal</t>
        </is>
      </c>
      <c r="K151" s="7" t="inlineStr">
        <is>
          <t>Apoio</t>
        </is>
      </c>
      <c r="L151" s="16" t="inlineStr">
        <is>
          <t>PDS-dezembro(1).docx</t>
        </is>
      </c>
      <c r="M151">
        <f>IF($A151="","",TEXT($A151,"mmmm/yyyy"))</f>
        <v/>
      </c>
      <c r="P151">
        <f>IFERROR(_xludf.XLOOKUP($N151,Base_Enderecos!$A:$A,Base_Enderecos!$B:$B,""),"")</f>
        <v/>
      </c>
      <c r="Q151">
        <f>IFERROR(_xludf.XLOOKUP($N151,Base_Enderecos!$A:$A,Base_Enderecos!$C:$C,""),"")</f>
        <v/>
      </c>
      <c r="R151">
        <f>IF(OR(ISNUMBER(SEARCH("HDD",$F151)),ISNUMBER(SEARCH("MND",$F151)),ISNUMBER(SEARCH("PEAD",$F151)),ISNUMBER(SEARCH("Puxe",$J151)),ISNUMBER(SEARCH("Apoio HDD",$F151))),"MND",IF(OR(ISNUMBER(SEARCH("VCA",$F151)),ISNUMBER(SEARCH("PVC",$F151)),ISNUMBER(SEARCH("vca",$J151)),ISNUMBER(SEARCH("Transformação",$J151))),"VCA",IF(OR(ISNUMBER(SEARCH("crava",$F151)),ISNUMBER(SEARCH("tubo cravado",$F151)),ISNUMBER(SEARCH("shaft",$J151)),ISNUMBER(SEARCH("concreto",$F151))),"TUBO CRAVADO","")))</f>
        <v/>
      </c>
      <c r="T151">
        <f>IF($A151="","",TEXT($A151,"yyyymm")&amp;"|"&amp;$C151&amp;"|"&amp;$F151&amp;"|"&amp;$N151&amp;"|"&amp;$R151)</f>
        <v/>
      </c>
    </row>
    <row r="152" ht="11.55" customHeight="1">
      <c r="A152" s="10" t="n">
        <v>46006</v>
      </c>
      <c r="B152" s="7" t="inlineStr">
        <is>
          <t>Segunda</t>
        </is>
      </c>
      <c r="C152" s="7" t="inlineStr">
        <is>
          <t>Vacal</t>
        </is>
      </c>
      <c r="D152" s="7" t="n"/>
      <c r="E152" s="7" t="inlineStr">
        <is>
          <t>PV 10 Lourdes</t>
        </is>
      </c>
      <c r="F152" s="13" t="inlineStr">
        <is>
          <t>Apoio Vacal</t>
        </is>
      </c>
      <c r="G152" s="7" t="n"/>
      <c r="H152" s="7" t="n"/>
      <c r="I152" s="7" t="n"/>
      <c r="J152" s="7" t="inlineStr">
        <is>
          <t>Vacal</t>
        </is>
      </c>
      <c r="K152" s="7" t="inlineStr">
        <is>
          <t>Apoio</t>
        </is>
      </c>
      <c r="L152" s="16" t="inlineStr">
        <is>
          <t>PDS-dezembro(1).docx</t>
        </is>
      </c>
      <c r="M152">
        <f>IF($A152="","",TEXT($A152,"mmmm/yyyy"))</f>
        <v/>
      </c>
      <c r="P152">
        <f>IFERROR(_xludf.XLOOKUP($N152,Base_Enderecos!$A:$A,Base_Enderecos!$B:$B,""),"")</f>
        <v/>
      </c>
      <c r="Q152">
        <f>IFERROR(_xludf.XLOOKUP($N152,Base_Enderecos!$A:$A,Base_Enderecos!$C:$C,""),"")</f>
        <v/>
      </c>
      <c r="R152">
        <f>IF(OR(ISNUMBER(SEARCH("HDD",$F152)),ISNUMBER(SEARCH("MND",$F152)),ISNUMBER(SEARCH("PEAD",$F152)),ISNUMBER(SEARCH("Puxe",$J152)),ISNUMBER(SEARCH("Apoio HDD",$F152))),"MND",IF(OR(ISNUMBER(SEARCH("VCA",$F152)),ISNUMBER(SEARCH("PVC",$F152)),ISNUMBER(SEARCH("vca",$J152)),ISNUMBER(SEARCH("Transformação",$J152))),"VCA",IF(OR(ISNUMBER(SEARCH("crava",$F152)),ISNUMBER(SEARCH("tubo cravado",$F152)),ISNUMBER(SEARCH("shaft",$J152)),ISNUMBER(SEARCH("concreto",$F152))),"TUBO CRAVADO","")))</f>
        <v/>
      </c>
      <c r="T152">
        <f>IF($A152="","",TEXT($A152,"yyyymm")&amp;"|"&amp;$C152&amp;"|"&amp;$F152&amp;"|"&amp;$N152&amp;"|"&amp;$R152)</f>
        <v/>
      </c>
    </row>
    <row r="153" ht="11.55" customHeight="1">
      <c r="A153" s="10" t="n">
        <v>46006</v>
      </c>
      <c r="B153" s="7" t="inlineStr">
        <is>
          <t>Segunda</t>
        </is>
      </c>
      <c r="C153" s="7" t="inlineStr">
        <is>
          <t>Guindauto</t>
        </is>
      </c>
      <c r="D153" s="7" t="n"/>
      <c r="E153" s="7" t="inlineStr">
        <is>
          <t>Rodrigo apoio as equipes</t>
        </is>
      </c>
      <c r="F153" s="13" t="inlineStr">
        <is>
          <t>Rodrigo apoio as equipes</t>
        </is>
      </c>
      <c r="G153" s="7" t="n"/>
      <c r="H153" s="7" t="n"/>
      <c r="I153" s="7" t="n"/>
      <c r="J153" s="7" t="inlineStr">
        <is>
          <t>Guindauto</t>
        </is>
      </c>
      <c r="K153" s="7" t="inlineStr">
        <is>
          <t>Apoio</t>
        </is>
      </c>
      <c r="L153" s="16" t="inlineStr">
        <is>
          <t>PDS-dezembro(1).docx</t>
        </is>
      </c>
      <c r="M153">
        <f>IF($A153="","",TEXT($A153,"mmmm/yyyy"))</f>
        <v/>
      </c>
      <c r="P153">
        <f>IFERROR(_xludf.XLOOKUP($N153,Base_Enderecos!$A:$A,Base_Enderecos!$B:$B,""),"")</f>
        <v/>
      </c>
      <c r="Q153">
        <f>IFERROR(_xludf.XLOOKUP($N153,Base_Enderecos!$A:$A,Base_Enderecos!$C:$C,""),"")</f>
        <v/>
      </c>
      <c r="R153">
        <f>IF(OR(ISNUMBER(SEARCH("HDD",$F153)),ISNUMBER(SEARCH("MND",$F153)),ISNUMBER(SEARCH("PEAD",$F153)),ISNUMBER(SEARCH("Puxe",$J153)),ISNUMBER(SEARCH("Apoio HDD",$F153))),"MND",IF(OR(ISNUMBER(SEARCH("VCA",$F153)),ISNUMBER(SEARCH("PVC",$F153)),ISNUMBER(SEARCH("vca",$J153)),ISNUMBER(SEARCH("Transformação",$J153))),"VCA",IF(OR(ISNUMBER(SEARCH("crava",$F153)),ISNUMBER(SEARCH("tubo cravado",$F153)),ISNUMBER(SEARCH("shaft",$J153)),ISNUMBER(SEARCH("concreto",$F153))),"TUBO CRAVADO","")))</f>
        <v/>
      </c>
      <c r="T153">
        <f>IF($A153="","",TEXT($A153,"yyyymm")&amp;"|"&amp;$C153&amp;"|"&amp;$F153&amp;"|"&amp;$N153&amp;"|"&amp;$R153)</f>
        <v/>
      </c>
    </row>
    <row r="154" ht="11.55" customHeight="1">
      <c r="A154" s="10" t="n">
        <v>46006</v>
      </c>
      <c r="B154" s="7" t="inlineStr">
        <is>
          <t>Segunda</t>
        </is>
      </c>
      <c r="C154" s="7" t="inlineStr">
        <is>
          <t>Guindauto</t>
        </is>
      </c>
      <c r="D154" s="7" t="n"/>
      <c r="E154" s="7" t="inlineStr">
        <is>
          <t>Marcio apoio as equipes.</t>
        </is>
      </c>
      <c r="F154" s="13" t="inlineStr">
        <is>
          <t>Marcio apoio as equipes.</t>
        </is>
      </c>
      <c r="G154" s="7" t="n"/>
      <c r="H154" s="7" t="n"/>
      <c r="I154" s="7" t="n"/>
      <c r="J154" s="7" t="inlineStr">
        <is>
          <t>Guindauto</t>
        </is>
      </c>
      <c r="K154" s="7" t="inlineStr">
        <is>
          <t>Apoio</t>
        </is>
      </c>
      <c r="L154" s="16" t="inlineStr">
        <is>
          <t>PDS-dezembro(1).docx</t>
        </is>
      </c>
      <c r="M154">
        <f>IF($A154="","",TEXT($A154,"mmmm/yyyy"))</f>
        <v/>
      </c>
      <c r="P154">
        <f>IFERROR(_xludf.XLOOKUP($N154,Base_Enderecos!$A:$A,Base_Enderecos!$B:$B,""),"")</f>
        <v/>
      </c>
      <c r="Q154">
        <f>IFERROR(_xludf.XLOOKUP($N154,Base_Enderecos!$A:$A,Base_Enderecos!$C:$C,""),"")</f>
        <v/>
      </c>
      <c r="R154">
        <f>IF(OR(ISNUMBER(SEARCH("HDD",$F154)),ISNUMBER(SEARCH("MND",$F154)),ISNUMBER(SEARCH("PEAD",$F154)),ISNUMBER(SEARCH("Puxe",$J154)),ISNUMBER(SEARCH("Apoio HDD",$F154))),"MND",IF(OR(ISNUMBER(SEARCH("VCA",$F154)),ISNUMBER(SEARCH("PVC",$F154)),ISNUMBER(SEARCH("vca",$J154)),ISNUMBER(SEARCH("Transformação",$J154))),"VCA",IF(OR(ISNUMBER(SEARCH("crava",$F154)),ISNUMBER(SEARCH("tubo cravado",$F154)),ISNUMBER(SEARCH("shaft",$J154)),ISNUMBER(SEARCH("concreto",$F154))),"TUBO CRAVADO","")))</f>
        <v/>
      </c>
      <c r="T154">
        <f>IF($A154="","",TEXT($A154,"yyyymm")&amp;"|"&amp;$C154&amp;"|"&amp;$F154&amp;"|"&amp;$N154&amp;"|"&amp;$R154)</f>
        <v/>
      </c>
    </row>
    <row r="155" ht="11.55" customHeight="1">
      <c r="A155" s="10" t="n">
        <v>46007</v>
      </c>
      <c r="B155" s="7" t="inlineStr">
        <is>
          <t>Terça</t>
        </is>
      </c>
      <c r="C155" s="7" t="inlineStr">
        <is>
          <t>CT *Lajeado</t>
        </is>
      </c>
      <c r="D155" s="7" t="n"/>
      <c r="E155" s="7" t="inlineStr">
        <is>
          <t>Marcelo</t>
        </is>
      </c>
      <c r="F155" s="13" t="inlineStr">
        <is>
          <t>Transformação PV 12</t>
        </is>
      </c>
      <c r="G155" s="7" t="inlineStr">
        <is>
          <t>12</t>
        </is>
      </c>
      <c r="H155" s="7" t="n"/>
      <c r="I155" s="7" t="inlineStr">
        <is>
          <t>12</t>
        </is>
      </c>
      <c r="J155" s="7" t="inlineStr">
        <is>
          <t>Transformação</t>
        </is>
      </c>
      <c r="K155" s="7" t="inlineStr">
        <is>
          <t>Planejamento</t>
        </is>
      </c>
      <c r="L155" s="16" t="inlineStr">
        <is>
          <t>PDS-dezembro(1).docx</t>
        </is>
      </c>
      <c r="M155">
        <f>IF($A155="","",TEXT($A155,"mmmm/yyyy"))</f>
        <v/>
      </c>
      <c r="P155">
        <f>IFERROR(_xludf.XLOOKUP($N155,Base_Enderecos!$A:$A,Base_Enderecos!$B:$B,""),"")</f>
        <v/>
      </c>
      <c r="Q155">
        <f>IFERROR(_xludf.XLOOKUP($N155,Base_Enderecos!$A:$A,Base_Enderecos!$C:$C,""),"")</f>
        <v/>
      </c>
      <c r="R155">
        <f>IF(OR(ISNUMBER(SEARCH("HDD",$F155)),ISNUMBER(SEARCH("MND",$F155)),ISNUMBER(SEARCH("PEAD",$F155)),ISNUMBER(SEARCH("Puxe",$J155)),ISNUMBER(SEARCH("Apoio HDD",$F155))),"MND",IF(OR(ISNUMBER(SEARCH("VCA",$F155)),ISNUMBER(SEARCH("PVC",$F155)),ISNUMBER(SEARCH("vca",$J155)),ISNUMBER(SEARCH("Transformação",$J155))),"VCA",IF(OR(ISNUMBER(SEARCH("crava",$F155)),ISNUMBER(SEARCH("tubo cravado",$F155)),ISNUMBER(SEARCH("shaft",$J155)),ISNUMBER(SEARCH("concreto",$F155))),"TUBO CRAVADO","")))</f>
        <v/>
      </c>
      <c r="T155">
        <f>IF($A155="","",TEXT($A155,"yyyymm")&amp;"|"&amp;$C155&amp;"|"&amp;$F155&amp;"|"&amp;$N155&amp;"|"&amp;$R155)</f>
        <v/>
      </c>
    </row>
    <row r="156" ht="11.55" customHeight="1">
      <c r="A156" s="10" t="n">
        <v>46007</v>
      </c>
      <c r="B156" s="7" t="inlineStr">
        <is>
          <t>Terça</t>
        </is>
      </c>
      <c r="C156" s="7" t="inlineStr">
        <is>
          <t>CT *Lajeado</t>
        </is>
      </c>
      <c r="D156" s="7" t="n"/>
      <c r="E156" s="7" t="inlineStr">
        <is>
          <t>Cesar</t>
        </is>
      </c>
      <c r="F156" s="13" t="inlineStr">
        <is>
          <t>Transformação PV 19</t>
        </is>
      </c>
      <c r="G156" s="7" t="inlineStr">
        <is>
          <t>19</t>
        </is>
      </c>
      <c r="H156" s="7" t="n"/>
      <c r="I156" s="7" t="inlineStr">
        <is>
          <t>19</t>
        </is>
      </c>
      <c r="J156" s="7" t="inlineStr">
        <is>
          <t>Transformação</t>
        </is>
      </c>
      <c r="K156" s="7" t="inlineStr">
        <is>
          <t>Planejamento</t>
        </is>
      </c>
      <c r="L156" s="16" t="inlineStr">
        <is>
          <t>PDS-dezembro(1).docx</t>
        </is>
      </c>
      <c r="M156">
        <f>IF($A156="","",TEXT($A156,"mmmm/yyyy"))</f>
        <v/>
      </c>
      <c r="P156">
        <f>IFERROR(_xludf.XLOOKUP($N156,Base_Enderecos!$A:$A,Base_Enderecos!$B:$B,""),"")</f>
        <v/>
      </c>
      <c r="Q156">
        <f>IFERROR(_xludf.XLOOKUP($N156,Base_Enderecos!$A:$A,Base_Enderecos!$C:$C,""),"")</f>
        <v/>
      </c>
      <c r="R156">
        <f>IF(OR(ISNUMBER(SEARCH("HDD",$F156)),ISNUMBER(SEARCH("MND",$F156)),ISNUMBER(SEARCH("PEAD",$F156)),ISNUMBER(SEARCH("Puxe",$J156)),ISNUMBER(SEARCH("Apoio HDD",$F156))),"MND",IF(OR(ISNUMBER(SEARCH("VCA",$F156)),ISNUMBER(SEARCH("PVC",$F156)),ISNUMBER(SEARCH("vca",$J156)),ISNUMBER(SEARCH("Transformação",$J156))),"VCA",IF(OR(ISNUMBER(SEARCH("crava",$F156)),ISNUMBER(SEARCH("tubo cravado",$F156)),ISNUMBER(SEARCH("shaft",$J156)),ISNUMBER(SEARCH("concreto",$F156))),"TUBO CRAVADO","")))</f>
        <v/>
      </c>
      <c r="T156">
        <f>IF($A156="","",TEXT($A156,"yyyymm")&amp;"|"&amp;$C156&amp;"|"&amp;$F156&amp;"|"&amp;$N156&amp;"|"&amp;$R156)</f>
        <v/>
      </c>
    </row>
    <row r="157" ht="11.55" customHeight="1">
      <c r="A157" s="10" t="n">
        <v>46007</v>
      </c>
      <c r="B157" s="7" t="inlineStr">
        <is>
          <t>Terça</t>
        </is>
      </c>
      <c r="C157" s="7" t="inlineStr">
        <is>
          <t>CT *Lajeado</t>
        </is>
      </c>
      <c r="D157" s="7" t="n"/>
      <c r="E157" s="7" t="inlineStr">
        <is>
          <t>Edivando</t>
        </is>
      </c>
      <c r="F157" s="13" t="inlineStr">
        <is>
          <t>Transformação PV 16</t>
        </is>
      </c>
      <c r="G157" s="7" t="inlineStr">
        <is>
          <t>16</t>
        </is>
      </c>
      <c r="H157" s="7" t="n"/>
      <c r="I157" s="7" t="inlineStr">
        <is>
          <t>16</t>
        </is>
      </c>
      <c r="J157" s="7" t="inlineStr">
        <is>
          <t>Transformação</t>
        </is>
      </c>
      <c r="K157" s="7" t="inlineStr">
        <is>
          <t>Planejamento</t>
        </is>
      </c>
      <c r="L157" s="16" t="inlineStr">
        <is>
          <t>PDS-dezembro(1).docx</t>
        </is>
      </c>
      <c r="M157">
        <f>IF($A157="","",TEXT($A157,"mmmm/yyyy"))</f>
        <v/>
      </c>
      <c r="P157">
        <f>IFERROR(_xludf.XLOOKUP($N157,Base_Enderecos!$A:$A,Base_Enderecos!$B:$B,""),"")</f>
        <v/>
      </c>
      <c r="Q157">
        <f>IFERROR(_xludf.XLOOKUP($N157,Base_Enderecos!$A:$A,Base_Enderecos!$C:$C,""),"")</f>
        <v/>
      </c>
      <c r="R157">
        <f>IF(OR(ISNUMBER(SEARCH("HDD",$F157)),ISNUMBER(SEARCH("MND",$F157)),ISNUMBER(SEARCH("PEAD",$F157)),ISNUMBER(SEARCH("Puxe",$J157)),ISNUMBER(SEARCH("Apoio HDD",$F157))),"MND",IF(OR(ISNUMBER(SEARCH("VCA",$F157)),ISNUMBER(SEARCH("PVC",$F157)),ISNUMBER(SEARCH("vca",$J157)),ISNUMBER(SEARCH("Transformação",$J157))),"VCA",IF(OR(ISNUMBER(SEARCH("crava",$F157)),ISNUMBER(SEARCH("tubo cravado",$F157)),ISNUMBER(SEARCH("shaft",$J157)),ISNUMBER(SEARCH("concreto",$F157))),"TUBO CRAVADO","")))</f>
        <v/>
      </c>
      <c r="T157">
        <f>IF($A157="","",TEXT($A157,"yyyymm")&amp;"|"&amp;$C157&amp;"|"&amp;$F157&amp;"|"&amp;$N157&amp;"|"&amp;$R157)</f>
        <v/>
      </c>
    </row>
    <row r="158" ht="11.55" customHeight="1">
      <c r="A158" s="10" t="n">
        <v>46007</v>
      </c>
      <c r="B158" s="7" t="inlineStr">
        <is>
          <t>Terça</t>
        </is>
      </c>
      <c r="C158" s="7" t="inlineStr">
        <is>
          <t>CT *Lajeado</t>
        </is>
      </c>
      <c r="D158" s="7" t="n"/>
      <c r="E158" s="7" t="inlineStr">
        <is>
          <t>Higor</t>
        </is>
      </c>
      <c r="F158" s="13" t="inlineStr">
        <is>
          <t>Transformação PV 12.1</t>
        </is>
      </c>
      <c r="G158" s="7" t="inlineStr">
        <is>
          <t>12.1</t>
        </is>
      </c>
      <c r="H158" s="7" t="n"/>
      <c r="I158" s="7" t="inlineStr">
        <is>
          <t>12.1</t>
        </is>
      </c>
      <c r="J158" s="7" t="inlineStr">
        <is>
          <t>Transformação</t>
        </is>
      </c>
      <c r="K158" s="7" t="inlineStr">
        <is>
          <t>Planejamento</t>
        </is>
      </c>
      <c r="L158" s="16" t="inlineStr">
        <is>
          <t>PDS-dezembro(1).docx</t>
        </is>
      </c>
      <c r="M158">
        <f>IF($A158="","",TEXT($A158,"mmmm/yyyy"))</f>
        <v/>
      </c>
      <c r="P158">
        <f>IFERROR(_xludf.XLOOKUP($N158,Base_Enderecos!$A:$A,Base_Enderecos!$B:$B,""),"")</f>
        <v/>
      </c>
      <c r="Q158">
        <f>IFERROR(_xludf.XLOOKUP($N158,Base_Enderecos!$A:$A,Base_Enderecos!$C:$C,""),"")</f>
        <v/>
      </c>
      <c r="R158">
        <f>IF(OR(ISNUMBER(SEARCH("HDD",$F158)),ISNUMBER(SEARCH("MND",$F158)),ISNUMBER(SEARCH("PEAD",$F158)),ISNUMBER(SEARCH("Puxe",$J158)),ISNUMBER(SEARCH("Apoio HDD",$F158))),"MND",IF(OR(ISNUMBER(SEARCH("VCA",$F158)),ISNUMBER(SEARCH("PVC",$F158)),ISNUMBER(SEARCH("vca",$J158)),ISNUMBER(SEARCH("Transformação",$J158))),"VCA",IF(OR(ISNUMBER(SEARCH("crava",$F158)),ISNUMBER(SEARCH("tubo cravado",$F158)),ISNUMBER(SEARCH("shaft",$J158)),ISNUMBER(SEARCH("concreto",$F158))),"TUBO CRAVADO","")))</f>
        <v/>
      </c>
      <c r="T158">
        <f>IF($A158="","",TEXT($A158,"yyyymm")&amp;"|"&amp;$C158&amp;"|"&amp;$F158&amp;"|"&amp;$N158&amp;"|"&amp;$R158)</f>
        <v/>
      </c>
    </row>
    <row r="159" ht="11.55" customHeight="1">
      <c r="A159" s="10" t="n">
        <v>46007</v>
      </c>
      <c r="B159" s="7" t="inlineStr">
        <is>
          <t>Terça</t>
        </is>
      </c>
      <c r="C159" s="7" t="inlineStr">
        <is>
          <t>CT *Lajeado</t>
        </is>
      </c>
      <c r="D159" s="7" t="n"/>
      <c r="E159" s="7" t="inlineStr">
        <is>
          <t>Valter</t>
        </is>
      </c>
      <c r="F159" s="13" t="inlineStr">
        <is>
          <t>Transformação PV 18</t>
        </is>
      </c>
      <c r="G159" s="7" t="inlineStr">
        <is>
          <t>18</t>
        </is>
      </c>
      <c r="H159" s="7" t="n"/>
      <c r="I159" s="7" t="inlineStr">
        <is>
          <t>18</t>
        </is>
      </c>
      <c r="J159" s="7" t="inlineStr">
        <is>
          <t>Transformação</t>
        </is>
      </c>
      <c r="K159" s="7" t="inlineStr">
        <is>
          <t>Planejamento</t>
        </is>
      </c>
      <c r="L159" s="16" t="inlineStr">
        <is>
          <t>PDS-dezembro(1).docx</t>
        </is>
      </c>
      <c r="M159">
        <f>IF($A159="","",TEXT($A159,"mmmm/yyyy"))</f>
        <v/>
      </c>
      <c r="P159">
        <f>IFERROR(_xludf.XLOOKUP($N159,Base_Enderecos!$A:$A,Base_Enderecos!$B:$B,""),"")</f>
        <v/>
      </c>
      <c r="Q159">
        <f>IFERROR(_xludf.XLOOKUP($N159,Base_Enderecos!$A:$A,Base_Enderecos!$C:$C,""),"")</f>
        <v/>
      </c>
      <c r="R159">
        <f>IF(OR(ISNUMBER(SEARCH("HDD",$F159)),ISNUMBER(SEARCH("MND",$F159)),ISNUMBER(SEARCH("PEAD",$F159)),ISNUMBER(SEARCH("Puxe",$J159)),ISNUMBER(SEARCH("Apoio HDD",$F159))),"MND",IF(OR(ISNUMBER(SEARCH("VCA",$F159)),ISNUMBER(SEARCH("PVC",$F159)),ISNUMBER(SEARCH("vca",$J159)),ISNUMBER(SEARCH("Transformação",$J159))),"VCA",IF(OR(ISNUMBER(SEARCH("crava",$F159)),ISNUMBER(SEARCH("tubo cravado",$F159)),ISNUMBER(SEARCH("shaft",$J159)),ISNUMBER(SEARCH("concreto",$F159))),"TUBO CRAVADO","")))</f>
        <v/>
      </c>
      <c r="T159">
        <f>IF($A159="","",TEXT($A159,"yyyymm")&amp;"|"&amp;$C159&amp;"|"&amp;$F159&amp;"|"&amp;$N159&amp;"|"&amp;$R159)</f>
        <v/>
      </c>
    </row>
    <row r="160" ht="11.55" customHeight="1">
      <c r="A160" s="10" t="n">
        <v>46007</v>
      </c>
      <c r="B160" s="7" t="inlineStr">
        <is>
          <t>Terça</t>
        </is>
      </c>
      <c r="C160" s="7" t="inlineStr">
        <is>
          <t>CT *Lajeado</t>
        </is>
      </c>
      <c r="D160" s="7" t="n"/>
      <c r="E160" s="7" t="inlineStr">
        <is>
          <t>Paulo</t>
        </is>
      </c>
      <c r="F160" s="13" t="inlineStr">
        <is>
          <t>Transformação PV 19.1</t>
        </is>
      </c>
      <c r="G160" s="7" t="inlineStr">
        <is>
          <t>19.1</t>
        </is>
      </c>
      <c r="H160" s="7" t="n"/>
      <c r="I160" s="7" t="inlineStr">
        <is>
          <t>19.1</t>
        </is>
      </c>
      <c r="J160" s="7" t="inlineStr">
        <is>
          <t>Transformação</t>
        </is>
      </c>
      <c r="K160" s="7" t="inlineStr">
        <is>
          <t>Planejamento</t>
        </is>
      </c>
      <c r="L160" s="16" t="inlineStr">
        <is>
          <t>PDS-dezembro(1).docx</t>
        </is>
      </c>
      <c r="M160">
        <f>IF($A160="","",TEXT($A160,"mmmm/yyyy"))</f>
        <v/>
      </c>
      <c r="P160">
        <f>IFERROR(_xludf.XLOOKUP($N160,Base_Enderecos!$A:$A,Base_Enderecos!$B:$B,""),"")</f>
        <v/>
      </c>
      <c r="Q160">
        <f>IFERROR(_xludf.XLOOKUP($N160,Base_Enderecos!$A:$A,Base_Enderecos!$C:$C,""),"")</f>
        <v/>
      </c>
      <c r="R160">
        <f>IF(OR(ISNUMBER(SEARCH("HDD",$F160)),ISNUMBER(SEARCH("MND",$F160)),ISNUMBER(SEARCH("PEAD",$F160)),ISNUMBER(SEARCH("Puxe",$J160)),ISNUMBER(SEARCH("Apoio HDD",$F160))),"MND",IF(OR(ISNUMBER(SEARCH("VCA",$F160)),ISNUMBER(SEARCH("PVC",$F160)),ISNUMBER(SEARCH("vca",$J160)),ISNUMBER(SEARCH("Transformação",$J160))),"VCA",IF(OR(ISNUMBER(SEARCH("crava",$F160)),ISNUMBER(SEARCH("tubo cravado",$F160)),ISNUMBER(SEARCH("shaft",$J160)),ISNUMBER(SEARCH("concreto",$F160))),"TUBO CRAVADO","")))</f>
        <v/>
      </c>
      <c r="T160">
        <f>IF($A160="","",TEXT($A160,"yyyymm")&amp;"|"&amp;$C160&amp;"|"&amp;$F160&amp;"|"&amp;$N160&amp;"|"&amp;$R160)</f>
        <v/>
      </c>
    </row>
    <row r="161" ht="11.55" customHeight="1">
      <c r="A161" s="10" t="n">
        <v>46007</v>
      </c>
      <c r="B161" s="7" t="inlineStr">
        <is>
          <t>Terça</t>
        </is>
      </c>
      <c r="C161" s="7" t="inlineStr">
        <is>
          <t>CT Mar de Coral</t>
        </is>
      </c>
      <c r="D161" s="7" t="n"/>
      <c r="E161" s="7" t="inlineStr">
        <is>
          <t>Nova Construção</t>
        </is>
      </c>
      <c r="F161" s="13" t="inlineStr">
        <is>
          <t>Escavação mecânica e montagem armco PV 01</t>
        </is>
      </c>
      <c r="G161" s="7" t="inlineStr">
        <is>
          <t>01</t>
        </is>
      </c>
      <c r="H161" s="7" t="n"/>
      <c r="I161" s="7" t="inlineStr">
        <is>
          <t>01</t>
        </is>
      </c>
      <c r="J161" s="7" t="inlineStr">
        <is>
          <t>Escavação</t>
        </is>
      </c>
      <c r="K161" s="7" t="inlineStr">
        <is>
          <t>Planejamento</t>
        </is>
      </c>
      <c r="L161" s="16" t="inlineStr">
        <is>
          <t>PDS-dezembro(1).docx</t>
        </is>
      </c>
      <c r="M161">
        <f>IF($A161="","",TEXT($A161,"mmmm/yyyy"))</f>
        <v/>
      </c>
      <c r="P161">
        <f>IFERROR(_xludf.XLOOKUP($N161,Base_Enderecos!$A:$A,Base_Enderecos!$B:$B,""),"")</f>
        <v/>
      </c>
      <c r="Q161">
        <f>IFERROR(_xludf.XLOOKUP($N161,Base_Enderecos!$A:$A,Base_Enderecos!$C:$C,""),"")</f>
        <v/>
      </c>
      <c r="R161">
        <f>IF(OR(ISNUMBER(SEARCH("HDD",$F161)),ISNUMBER(SEARCH("MND",$F161)),ISNUMBER(SEARCH("PEAD",$F161)),ISNUMBER(SEARCH("Puxe",$J161)),ISNUMBER(SEARCH("Apoio HDD",$F161))),"MND",IF(OR(ISNUMBER(SEARCH("VCA",$F161)),ISNUMBER(SEARCH("PVC",$F161)),ISNUMBER(SEARCH("vca",$J161)),ISNUMBER(SEARCH("Transformação",$J161))),"VCA",IF(OR(ISNUMBER(SEARCH("crava",$F161)),ISNUMBER(SEARCH("tubo cravado",$F161)),ISNUMBER(SEARCH("shaft",$J161)),ISNUMBER(SEARCH("concreto",$F161))),"TUBO CRAVADO","")))</f>
        <v/>
      </c>
      <c r="T161">
        <f>IF($A161="","",TEXT($A161,"yyyymm")&amp;"|"&amp;$C161&amp;"|"&amp;$F161&amp;"|"&amp;$N161&amp;"|"&amp;$R161)</f>
        <v/>
      </c>
    </row>
    <row r="162" ht="11.55" customHeight="1">
      <c r="A162" s="10" t="n">
        <v>46007</v>
      </c>
      <c r="B162" s="7" t="inlineStr">
        <is>
          <t>Terça</t>
        </is>
      </c>
      <c r="C162" s="7" t="inlineStr">
        <is>
          <t>CT Lourdes</t>
        </is>
      </c>
      <c r="D162" s="7" t="n"/>
      <c r="E162" s="7" t="inlineStr">
        <is>
          <t>WJ (Alex)</t>
        </is>
      </c>
      <c r="F162" s="13" t="inlineStr">
        <is>
          <t>Execução furo piloto entre PVs 14 ao 18</t>
        </is>
      </c>
      <c r="G162" s="7" t="inlineStr">
        <is>
          <t>14</t>
        </is>
      </c>
      <c r="H162" s="7" t="n"/>
      <c r="I162" s="7" t="inlineStr">
        <is>
          <t>14</t>
        </is>
      </c>
      <c r="J162" s="7" t="inlineStr">
        <is>
          <t>Furo piloto</t>
        </is>
      </c>
      <c r="K162" s="7" t="inlineStr">
        <is>
          <t>Planejamento</t>
        </is>
      </c>
      <c r="L162" s="16" t="inlineStr">
        <is>
          <t>PDS-dezembro(1).docx</t>
        </is>
      </c>
      <c r="M162">
        <f>IF($A162="","",TEXT($A162,"mmmm/yyyy"))</f>
        <v/>
      </c>
      <c r="P162">
        <f>IFERROR(_xludf.XLOOKUP($N162,Base_Enderecos!$A:$A,Base_Enderecos!$B:$B,""),"")</f>
        <v/>
      </c>
      <c r="Q162">
        <f>IFERROR(_xludf.XLOOKUP($N162,Base_Enderecos!$A:$A,Base_Enderecos!$C:$C,""),"")</f>
        <v/>
      </c>
      <c r="R162">
        <f>IF(OR(ISNUMBER(SEARCH("HDD",$F162)),ISNUMBER(SEARCH("MND",$F162)),ISNUMBER(SEARCH("PEAD",$F162)),ISNUMBER(SEARCH("Puxe",$J162)),ISNUMBER(SEARCH("Apoio HDD",$F162))),"MND",IF(OR(ISNUMBER(SEARCH("VCA",$F162)),ISNUMBER(SEARCH("PVC",$F162)),ISNUMBER(SEARCH("vca",$J162)),ISNUMBER(SEARCH("Transformação",$J162))),"VCA",IF(OR(ISNUMBER(SEARCH("crava",$F162)),ISNUMBER(SEARCH("tubo cravado",$F162)),ISNUMBER(SEARCH("shaft",$J162)),ISNUMBER(SEARCH("concreto",$F162))),"TUBO CRAVADO","")))</f>
        <v/>
      </c>
      <c r="T162">
        <f>IF($A162="","",TEXT($A162,"yyyymm")&amp;"|"&amp;$C162&amp;"|"&amp;$F162&amp;"|"&amp;$N162&amp;"|"&amp;$R162)</f>
        <v/>
      </c>
    </row>
    <row r="163" ht="11.55" customHeight="1">
      <c r="A163" s="10" t="n">
        <v>46007</v>
      </c>
      <c r="B163" s="7" t="inlineStr">
        <is>
          <t>Terça</t>
        </is>
      </c>
      <c r="C163" s="7" t="inlineStr">
        <is>
          <t>CT Lourdes</t>
        </is>
      </c>
      <c r="D163" s="7" t="n"/>
      <c r="E163" s="7" t="inlineStr">
        <is>
          <t>Marcio</t>
        </is>
      </c>
      <c r="F163" s="13" t="inlineStr">
        <is>
          <t>Apoio HDD entre PVs 14 ao 18</t>
        </is>
      </c>
      <c r="G163" s="7" t="inlineStr">
        <is>
          <t>14</t>
        </is>
      </c>
      <c r="H163" s="7" t="n"/>
      <c r="I163" s="7" t="inlineStr">
        <is>
          <t>14</t>
        </is>
      </c>
      <c r="J163" s="7" t="inlineStr">
        <is>
          <t>Apoio HDD</t>
        </is>
      </c>
      <c r="K163" s="7" t="inlineStr">
        <is>
          <t>Planejamento</t>
        </is>
      </c>
      <c r="L163" s="16" t="inlineStr">
        <is>
          <t>PDS-dezembro(1).docx</t>
        </is>
      </c>
      <c r="M163">
        <f>IF($A163="","",TEXT($A163,"mmmm/yyyy"))</f>
        <v/>
      </c>
      <c r="P163">
        <f>IFERROR(_xludf.XLOOKUP($N163,Base_Enderecos!$A:$A,Base_Enderecos!$B:$B,""),"")</f>
        <v/>
      </c>
      <c r="Q163">
        <f>IFERROR(_xludf.XLOOKUP($N163,Base_Enderecos!$A:$A,Base_Enderecos!$C:$C,""),"")</f>
        <v/>
      </c>
      <c r="R163">
        <f>IF(OR(ISNUMBER(SEARCH("HDD",$F163)),ISNUMBER(SEARCH("MND",$F163)),ISNUMBER(SEARCH("PEAD",$F163)),ISNUMBER(SEARCH("Puxe",$J163)),ISNUMBER(SEARCH("Apoio HDD",$F163))),"MND",IF(OR(ISNUMBER(SEARCH("VCA",$F163)),ISNUMBER(SEARCH("PVC",$F163)),ISNUMBER(SEARCH("vca",$J163)),ISNUMBER(SEARCH("Transformação",$J163))),"VCA",IF(OR(ISNUMBER(SEARCH("crava",$F163)),ISNUMBER(SEARCH("tubo cravado",$F163)),ISNUMBER(SEARCH("shaft",$J163)),ISNUMBER(SEARCH("concreto",$F163))),"TUBO CRAVADO","")))</f>
        <v/>
      </c>
      <c r="T163">
        <f>IF($A163="","",TEXT($A163,"yyyymm")&amp;"|"&amp;$C163&amp;"|"&amp;$F163&amp;"|"&amp;$N163&amp;"|"&amp;$R163)</f>
        <v/>
      </c>
    </row>
    <row r="164" ht="11.55" customHeight="1">
      <c r="A164" s="10" t="n">
        <v>46007</v>
      </c>
      <c r="B164" s="7" t="inlineStr">
        <is>
          <t>Terça</t>
        </is>
      </c>
      <c r="C164" s="7" t="inlineStr">
        <is>
          <t>CT Lourdes</t>
        </is>
      </c>
      <c r="D164" s="7" t="n"/>
      <c r="E164" s="7" t="inlineStr">
        <is>
          <t>WJ (Edson)</t>
        </is>
      </c>
      <c r="F164" s="13" t="inlineStr">
        <is>
          <t>Execução furo piloto entre PVs 21 ao 22</t>
        </is>
      </c>
      <c r="G164" s="7" t="inlineStr">
        <is>
          <t>21</t>
        </is>
      </c>
      <c r="H164" s="7" t="n"/>
      <c r="I164" s="7" t="inlineStr">
        <is>
          <t>21</t>
        </is>
      </c>
      <c r="J164" s="7" t="inlineStr">
        <is>
          <t>Furo piloto</t>
        </is>
      </c>
      <c r="K164" s="7" t="inlineStr">
        <is>
          <t>Planejamento</t>
        </is>
      </c>
      <c r="L164" s="16" t="inlineStr">
        <is>
          <t>PDS-dezembro(1).docx</t>
        </is>
      </c>
      <c r="M164">
        <f>IF($A164="","",TEXT($A164,"mmmm/yyyy"))</f>
        <v/>
      </c>
      <c r="P164">
        <f>IFERROR(_xludf.XLOOKUP($N164,Base_Enderecos!$A:$A,Base_Enderecos!$B:$B,""),"")</f>
        <v/>
      </c>
      <c r="Q164">
        <f>IFERROR(_xludf.XLOOKUP($N164,Base_Enderecos!$A:$A,Base_Enderecos!$C:$C,""),"")</f>
        <v/>
      </c>
      <c r="R164">
        <f>IF(OR(ISNUMBER(SEARCH("HDD",$F164)),ISNUMBER(SEARCH("MND",$F164)),ISNUMBER(SEARCH("PEAD",$F164)),ISNUMBER(SEARCH("Puxe",$J164)),ISNUMBER(SEARCH("Apoio HDD",$F164))),"MND",IF(OR(ISNUMBER(SEARCH("VCA",$F164)),ISNUMBER(SEARCH("PVC",$F164)),ISNUMBER(SEARCH("vca",$J164)),ISNUMBER(SEARCH("Transformação",$J164))),"VCA",IF(OR(ISNUMBER(SEARCH("crava",$F164)),ISNUMBER(SEARCH("tubo cravado",$F164)),ISNUMBER(SEARCH("shaft",$J164)),ISNUMBER(SEARCH("concreto",$F164))),"TUBO CRAVADO","")))</f>
        <v/>
      </c>
      <c r="T164">
        <f>IF($A164="","",TEXT($A164,"yyyymm")&amp;"|"&amp;$C164&amp;"|"&amp;$F164&amp;"|"&amp;$N164&amp;"|"&amp;$R164)</f>
        <v/>
      </c>
    </row>
    <row r="165" ht="11.55" customHeight="1">
      <c r="A165" s="10" t="n">
        <v>46007</v>
      </c>
      <c r="B165" s="7" t="inlineStr">
        <is>
          <t>Terça</t>
        </is>
      </c>
      <c r="C165" s="7" t="inlineStr">
        <is>
          <t>CT Lourdes</t>
        </is>
      </c>
      <c r="D165" s="7" t="n"/>
      <c r="E165" s="7" t="inlineStr">
        <is>
          <t>Natalino</t>
        </is>
      </c>
      <c r="F165" s="13" t="inlineStr">
        <is>
          <t>Apoio HDD entre PVs 21 ao 22</t>
        </is>
      </c>
      <c r="G165" s="7" t="inlineStr">
        <is>
          <t>21</t>
        </is>
      </c>
      <c r="H165" s="7" t="n"/>
      <c r="I165" s="7" t="inlineStr">
        <is>
          <t>21</t>
        </is>
      </c>
      <c r="J165" s="7" t="inlineStr">
        <is>
          <t>Apoio HDD</t>
        </is>
      </c>
      <c r="K165" s="7" t="inlineStr">
        <is>
          <t>Planejamento</t>
        </is>
      </c>
      <c r="L165" s="16" t="inlineStr">
        <is>
          <t>PDS-dezembro(1).docx</t>
        </is>
      </c>
      <c r="M165">
        <f>IF($A165="","",TEXT($A165,"mmmm/yyyy"))</f>
        <v/>
      </c>
      <c r="P165">
        <f>IFERROR(_xludf.XLOOKUP($N165,Base_Enderecos!$A:$A,Base_Enderecos!$B:$B,""),"")</f>
        <v/>
      </c>
      <c r="Q165">
        <f>IFERROR(_xludf.XLOOKUP($N165,Base_Enderecos!$A:$A,Base_Enderecos!$C:$C,""),"")</f>
        <v/>
      </c>
      <c r="R165">
        <f>IF(OR(ISNUMBER(SEARCH("HDD",$F165)),ISNUMBER(SEARCH("MND",$F165)),ISNUMBER(SEARCH("PEAD",$F165)),ISNUMBER(SEARCH("Puxe",$J165)),ISNUMBER(SEARCH("Apoio HDD",$F165))),"MND",IF(OR(ISNUMBER(SEARCH("VCA",$F165)),ISNUMBER(SEARCH("PVC",$F165)),ISNUMBER(SEARCH("vca",$J165)),ISNUMBER(SEARCH("Transformação",$J165))),"VCA",IF(OR(ISNUMBER(SEARCH("crava",$F165)),ISNUMBER(SEARCH("tubo cravado",$F165)),ISNUMBER(SEARCH("shaft",$J165)),ISNUMBER(SEARCH("concreto",$F165))),"TUBO CRAVADO","")))</f>
        <v/>
      </c>
      <c r="T165">
        <f>IF($A165="","",TEXT($A165,"yyyymm")&amp;"|"&amp;$C165&amp;"|"&amp;$F165&amp;"|"&amp;$N165&amp;"|"&amp;$R165)</f>
        <v/>
      </c>
    </row>
    <row r="166" ht="11.55" customHeight="1">
      <c r="A166" s="10" t="n">
        <v>46007</v>
      </c>
      <c r="B166" s="7" t="inlineStr">
        <is>
          <t>Terça</t>
        </is>
      </c>
      <c r="C166" s="7" t="inlineStr">
        <is>
          <t>CT Lourdes</t>
        </is>
      </c>
      <c r="D166" s="7" t="n"/>
      <c r="E166" s="7" t="inlineStr">
        <is>
          <t>Work Drill (Bruno)</t>
        </is>
      </c>
      <c r="F166" s="13" t="inlineStr">
        <is>
          <t>Execução furo piloto entre PVs 10 ao 12</t>
        </is>
      </c>
      <c r="G166" s="7" t="inlineStr">
        <is>
          <t>10</t>
        </is>
      </c>
      <c r="H166" s="7" t="n"/>
      <c r="I166" s="7" t="inlineStr">
        <is>
          <t>10</t>
        </is>
      </c>
      <c r="J166" s="7" t="inlineStr">
        <is>
          <t>Furo piloto</t>
        </is>
      </c>
      <c r="K166" s="7" t="inlineStr">
        <is>
          <t>Planejamento</t>
        </is>
      </c>
      <c r="L166" s="16" t="inlineStr">
        <is>
          <t>PDS-dezembro(1).docx</t>
        </is>
      </c>
      <c r="M166">
        <f>IF($A166="","",TEXT($A166,"mmmm/yyyy"))</f>
        <v/>
      </c>
      <c r="P166">
        <f>IFERROR(_xludf.XLOOKUP($N166,Base_Enderecos!$A:$A,Base_Enderecos!$B:$B,""),"")</f>
        <v/>
      </c>
      <c r="Q166">
        <f>IFERROR(_xludf.XLOOKUP($N166,Base_Enderecos!$A:$A,Base_Enderecos!$C:$C,""),"")</f>
        <v/>
      </c>
      <c r="R166">
        <f>IF(OR(ISNUMBER(SEARCH("HDD",$F166)),ISNUMBER(SEARCH("MND",$F166)),ISNUMBER(SEARCH("PEAD",$F166)),ISNUMBER(SEARCH("Puxe",$J166)),ISNUMBER(SEARCH("Apoio HDD",$F166))),"MND",IF(OR(ISNUMBER(SEARCH("VCA",$F166)),ISNUMBER(SEARCH("PVC",$F166)),ISNUMBER(SEARCH("vca",$J166)),ISNUMBER(SEARCH("Transformação",$J166))),"VCA",IF(OR(ISNUMBER(SEARCH("crava",$F166)),ISNUMBER(SEARCH("tubo cravado",$F166)),ISNUMBER(SEARCH("shaft",$J166)),ISNUMBER(SEARCH("concreto",$F166))),"TUBO CRAVADO","")))</f>
        <v/>
      </c>
      <c r="T166">
        <f>IF($A166="","",TEXT($A166,"yyyymm")&amp;"|"&amp;$C166&amp;"|"&amp;$F166&amp;"|"&amp;$N166&amp;"|"&amp;$R166)</f>
        <v/>
      </c>
    </row>
    <row r="167" ht="11.55" customHeight="1">
      <c r="A167" s="10" t="n">
        <v>46007</v>
      </c>
      <c r="B167" s="7" t="inlineStr">
        <is>
          <t>Terça</t>
        </is>
      </c>
      <c r="C167" s="7" t="inlineStr">
        <is>
          <t>CT Lourdes</t>
        </is>
      </c>
      <c r="D167" s="7" t="n"/>
      <c r="E167" s="7" t="inlineStr">
        <is>
          <t>Fabrício</t>
        </is>
      </c>
      <c r="F167" s="13" t="inlineStr">
        <is>
          <t>Apoio HDD entre PVs 10 ao 12</t>
        </is>
      </c>
      <c r="G167" s="7" t="inlineStr">
        <is>
          <t>10</t>
        </is>
      </c>
      <c r="H167" s="7" t="n"/>
      <c r="I167" s="7" t="inlineStr">
        <is>
          <t>10</t>
        </is>
      </c>
      <c r="J167" s="7" t="inlineStr">
        <is>
          <t>Apoio HDD</t>
        </is>
      </c>
      <c r="K167" s="7" t="inlineStr">
        <is>
          <t>Planejamento</t>
        </is>
      </c>
      <c r="L167" s="16" t="inlineStr">
        <is>
          <t>PDS-dezembro(1).docx</t>
        </is>
      </c>
      <c r="M167">
        <f>IF($A167="","",TEXT($A167,"mmmm/yyyy"))</f>
        <v/>
      </c>
      <c r="P167">
        <f>IFERROR(_xludf.XLOOKUP($N167,Base_Enderecos!$A:$A,Base_Enderecos!$B:$B,""),"")</f>
        <v/>
      </c>
      <c r="Q167">
        <f>IFERROR(_xludf.XLOOKUP($N167,Base_Enderecos!$A:$A,Base_Enderecos!$C:$C,""),"")</f>
        <v/>
      </c>
      <c r="R167">
        <f>IF(OR(ISNUMBER(SEARCH("HDD",$F167)),ISNUMBER(SEARCH("MND",$F167)),ISNUMBER(SEARCH("PEAD",$F167)),ISNUMBER(SEARCH("Puxe",$J167)),ISNUMBER(SEARCH("Apoio HDD",$F167))),"MND",IF(OR(ISNUMBER(SEARCH("VCA",$F167)),ISNUMBER(SEARCH("PVC",$F167)),ISNUMBER(SEARCH("vca",$J167)),ISNUMBER(SEARCH("Transformação",$J167))),"VCA",IF(OR(ISNUMBER(SEARCH("crava",$F167)),ISNUMBER(SEARCH("tubo cravado",$F167)),ISNUMBER(SEARCH("shaft",$J167)),ISNUMBER(SEARCH("concreto",$F167))),"TUBO CRAVADO","")))</f>
        <v/>
      </c>
      <c r="T167">
        <f>IF($A167="","",TEXT($A167,"yyyymm")&amp;"|"&amp;$C167&amp;"|"&amp;$F167&amp;"|"&amp;$N167&amp;"|"&amp;$R167)</f>
        <v/>
      </c>
    </row>
    <row r="168" ht="11.55" customHeight="1">
      <c r="A168" s="10" t="n">
        <v>46007</v>
      </c>
      <c r="B168" s="7" t="inlineStr">
        <is>
          <t>Terça</t>
        </is>
      </c>
      <c r="C168" s="7" t="inlineStr">
        <is>
          <t>CT Lourdes</t>
        </is>
      </c>
      <c r="D168" s="7" t="n"/>
      <c r="E168" s="7" t="inlineStr">
        <is>
          <t>LS</t>
        </is>
      </c>
      <c r="F168" s="13" t="inlineStr">
        <is>
          <t>Ajuste PV 18</t>
        </is>
      </c>
      <c r="G168" s="7" t="inlineStr">
        <is>
          <t>18</t>
        </is>
      </c>
      <c r="H168" s="7" t="n"/>
      <c r="I168" s="7" t="inlineStr">
        <is>
          <t>18</t>
        </is>
      </c>
      <c r="J168" s="7" t="n"/>
      <c r="K168" s="7" t="inlineStr">
        <is>
          <t>Planejamento</t>
        </is>
      </c>
      <c r="L168" s="16" t="inlineStr">
        <is>
          <t>PDS-dezembro(1).docx</t>
        </is>
      </c>
      <c r="M168">
        <f>IF($A168="","",TEXT($A168,"mmmm/yyyy"))</f>
        <v/>
      </c>
      <c r="P168">
        <f>IFERROR(_xludf.XLOOKUP($N168,Base_Enderecos!$A:$A,Base_Enderecos!$B:$B,""),"")</f>
        <v/>
      </c>
      <c r="Q168">
        <f>IFERROR(_xludf.XLOOKUP($N168,Base_Enderecos!$A:$A,Base_Enderecos!$C:$C,""),"")</f>
        <v/>
      </c>
      <c r="R168">
        <f>IF(OR(ISNUMBER(SEARCH("HDD",$F168)),ISNUMBER(SEARCH("MND",$F168)),ISNUMBER(SEARCH("PEAD",$F168)),ISNUMBER(SEARCH("Puxe",$J168)),ISNUMBER(SEARCH("Apoio HDD",$F168))),"MND",IF(OR(ISNUMBER(SEARCH("VCA",$F168)),ISNUMBER(SEARCH("PVC",$F168)),ISNUMBER(SEARCH("vca",$J168)),ISNUMBER(SEARCH("Transformação",$J168))),"VCA",IF(OR(ISNUMBER(SEARCH("crava",$F168)),ISNUMBER(SEARCH("tubo cravado",$F168)),ISNUMBER(SEARCH("shaft",$J168)),ISNUMBER(SEARCH("concreto",$F168))),"TUBO CRAVADO","")))</f>
        <v/>
      </c>
      <c r="T168">
        <f>IF($A168="","",TEXT($A168,"yyyymm")&amp;"|"&amp;$C168&amp;"|"&amp;$F168&amp;"|"&amp;$N168&amp;"|"&amp;$R168)</f>
        <v/>
      </c>
    </row>
    <row r="169" ht="11.55" customHeight="1">
      <c r="A169" s="10" t="n">
        <v>46007</v>
      </c>
      <c r="B169" s="7" t="inlineStr">
        <is>
          <t>Terça</t>
        </is>
      </c>
      <c r="C169" s="7" t="inlineStr">
        <is>
          <t>CT Miriam</t>
        </is>
      </c>
      <c r="D169" s="7" t="n"/>
      <c r="E169" s="7" t="inlineStr">
        <is>
          <t>Piso (Edson)</t>
        </is>
      </c>
      <c r="F169" s="13" t="inlineStr">
        <is>
          <t>Reparos passeio, guias e sarjeta entre PV 57</t>
        </is>
      </c>
      <c r="G169" s="7" t="inlineStr">
        <is>
          <t>57</t>
        </is>
      </c>
      <c r="H169" s="7" t="n"/>
      <c r="I169" s="7" t="inlineStr">
        <is>
          <t>57</t>
        </is>
      </c>
      <c r="J169" s="7" t="inlineStr">
        <is>
          <t>Reparo</t>
        </is>
      </c>
      <c r="K169" s="7" t="inlineStr">
        <is>
          <t>Planejamento</t>
        </is>
      </c>
      <c r="L169" s="16" t="inlineStr">
        <is>
          <t>PDS-dezembro(1).docx</t>
        </is>
      </c>
      <c r="M169">
        <f>IF($A169="","",TEXT($A169,"mmmm/yyyy"))</f>
        <v/>
      </c>
      <c r="P169">
        <f>IFERROR(_xludf.XLOOKUP($N169,Base_Enderecos!$A:$A,Base_Enderecos!$B:$B,""),"")</f>
        <v/>
      </c>
      <c r="Q169">
        <f>IFERROR(_xludf.XLOOKUP($N169,Base_Enderecos!$A:$A,Base_Enderecos!$C:$C,""),"")</f>
        <v/>
      </c>
      <c r="R169">
        <f>IF(OR(ISNUMBER(SEARCH("HDD",$F169)),ISNUMBER(SEARCH("MND",$F169)),ISNUMBER(SEARCH("PEAD",$F169)),ISNUMBER(SEARCH("Puxe",$J169)),ISNUMBER(SEARCH("Apoio HDD",$F169))),"MND",IF(OR(ISNUMBER(SEARCH("VCA",$F169)),ISNUMBER(SEARCH("PVC",$F169)),ISNUMBER(SEARCH("vca",$J169)),ISNUMBER(SEARCH("Transformação",$J169))),"VCA",IF(OR(ISNUMBER(SEARCH("crava",$F169)),ISNUMBER(SEARCH("tubo cravado",$F169)),ISNUMBER(SEARCH("shaft",$J169)),ISNUMBER(SEARCH("concreto",$F169))),"TUBO CRAVADO","")))</f>
        <v/>
      </c>
      <c r="T169">
        <f>IF($A169="","",TEXT($A169,"yyyymm")&amp;"|"&amp;$C169&amp;"|"&amp;$F169&amp;"|"&amp;$N169&amp;"|"&amp;$R169)</f>
        <v/>
      </c>
    </row>
    <row r="170" ht="11.55" customHeight="1">
      <c r="A170" s="10" t="n">
        <v>46007</v>
      </c>
      <c r="B170" s="7" t="inlineStr">
        <is>
          <t>Terça</t>
        </is>
      </c>
      <c r="C170" s="7" t="inlineStr">
        <is>
          <t>Vacal</t>
        </is>
      </c>
      <c r="D170" s="7" t="n"/>
      <c r="E170" s="7" t="inlineStr">
        <is>
          <t>PV 18 Lourdes</t>
        </is>
      </c>
      <c r="F170" s="13" t="inlineStr">
        <is>
          <t>Apoio Vacal</t>
        </is>
      </c>
      <c r="G170" s="7" t="n"/>
      <c r="H170" s="7" t="n"/>
      <c r="I170" s="7" t="n"/>
      <c r="J170" s="7" t="inlineStr">
        <is>
          <t>Vacal</t>
        </is>
      </c>
      <c r="K170" s="7" t="inlineStr">
        <is>
          <t>Apoio</t>
        </is>
      </c>
      <c r="L170" s="16" t="inlineStr">
        <is>
          <t>PDS-dezembro(1).docx</t>
        </is>
      </c>
      <c r="M170">
        <f>IF($A170="","",TEXT($A170,"mmmm/yyyy"))</f>
        <v/>
      </c>
      <c r="P170">
        <f>IFERROR(_xludf.XLOOKUP($N170,Base_Enderecos!$A:$A,Base_Enderecos!$B:$B,""),"")</f>
        <v/>
      </c>
      <c r="Q170">
        <f>IFERROR(_xludf.XLOOKUP($N170,Base_Enderecos!$A:$A,Base_Enderecos!$C:$C,""),"")</f>
        <v/>
      </c>
      <c r="R170">
        <f>IF(OR(ISNUMBER(SEARCH("HDD",$F170)),ISNUMBER(SEARCH("MND",$F170)),ISNUMBER(SEARCH("PEAD",$F170)),ISNUMBER(SEARCH("Puxe",$J170)),ISNUMBER(SEARCH("Apoio HDD",$F170))),"MND",IF(OR(ISNUMBER(SEARCH("VCA",$F170)),ISNUMBER(SEARCH("PVC",$F170)),ISNUMBER(SEARCH("vca",$J170)),ISNUMBER(SEARCH("Transformação",$J170))),"VCA",IF(OR(ISNUMBER(SEARCH("crava",$F170)),ISNUMBER(SEARCH("tubo cravado",$F170)),ISNUMBER(SEARCH("shaft",$J170)),ISNUMBER(SEARCH("concreto",$F170))),"TUBO CRAVADO","")))</f>
        <v/>
      </c>
      <c r="T170">
        <f>IF($A170="","",TEXT($A170,"yyyymm")&amp;"|"&amp;$C170&amp;"|"&amp;$F170&amp;"|"&amp;$N170&amp;"|"&amp;$R170)</f>
        <v/>
      </c>
    </row>
    <row r="171" ht="11.55" customHeight="1">
      <c r="A171" s="10" t="n">
        <v>46007</v>
      </c>
      <c r="B171" s="7" t="inlineStr">
        <is>
          <t>Terça</t>
        </is>
      </c>
      <c r="C171" s="7" t="inlineStr">
        <is>
          <t>Vacal</t>
        </is>
      </c>
      <c r="D171" s="7" t="n"/>
      <c r="E171" s="7" t="n"/>
      <c r="F171" s="13" t="inlineStr">
        <is>
          <t>Apoio Vacal</t>
        </is>
      </c>
      <c r="G171" s="7" t="n"/>
      <c r="H171" s="7" t="n"/>
      <c r="I171" s="7" t="n"/>
      <c r="J171" s="7" t="inlineStr">
        <is>
          <t>Vacal</t>
        </is>
      </c>
      <c r="K171" s="7" t="inlineStr">
        <is>
          <t>Apoio</t>
        </is>
      </c>
      <c r="L171" s="16" t="inlineStr">
        <is>
          <t>PDS-dezembro(1).docx</t>
        </is>
      </c>
      <c r="M171">
        <f>IF($A171="","",TEXT($A171,"mmmm/yyyy"))</f>
        <v/>
      </c>
      <c r="P171">
        <f>IFERROR(_xludf.XLOOKUP($N171,Base_Enderecos!$A:$A,Base_Enderecos!$B:$B,""),"")</f>
        <v/>
      </c>
      <c r="Q171">
        <f>IFERROR(_xludf.XLOOKUP($N171,Base_Enderecos!$A:$A,Base_Enderecos!$C:$C,""),"")</f>
        <v/>
      </c>
      <c r="R171">
        <f>IF(OR(ISNUMBER(SEARCH("HDD",$F171)),ISNUMBER(SEARCH("MND",$F171)),ISNUMBER(SEARCH("PEAD",$F171)),ISNUMBER(SEARCH("Puxe",$J171)),ISNUMBER(SEARCH("Apoio HDD",$F171))),"MND",IF(OR(ISNUMBER(SEARCH("VCA",$F171)),ISNUMBER(SEARCH("PVC",$F171)),ISNUMBER(SEARCH("vca",$J171)),ISNUMBER(SEARCH("Transformação",$J171))),"VCA",IF(OR(ISNUMBER(SEARCH("crava",$F171)),ISNUMBER(SEARCH("tubo cravado",$F171)),ISNUMBER(SEARCH("shaft",$J171)),ISNUMBER(SEARCH("concreto",$F171))),"TUBO CRAVADO","")))</f>
        <v/>
      </c>
      <c r="T171">
        <f>IF($A171="","",TEXT($A171,"yyyymm")&amp;"|"&amp;$C171&amp;"|"&amp;$F171&amp;"|"&amp;$N171&amp;"|"&amp;$R171)</f>
        <v/>
      </c>
    </row>
    <row r="172" ht="11.55" customHeight="1">
      <c r="A172" s="10" t="n">
        <v>46007</v>
      </c>
      <c r="B172" s="7" t="inlineStr">
        <is>
          <t>Terça</t>
        </is>
      </c>
      <c r="C172" s="7" t="inlineStr">
        <is>
          <t>Vacal</t>
        </is>
      </c>
      <c r="D172" s="7" t="n"/>
      <c r="E172" s="7" t="inlineStr">
        <is>
          <t>Lajeado</t>
        </is>
      </c>
      <c r="F172" s="13" t="inlineStr">
        <is>
          <t>Apoio Vacal</t>
        </is>
      </c>
      <c r="G172" s="7" t="n"/>
      <c r="H172" s="7" t="n"/>
      <c r="I172" s="7" t="n"/>
      <c r="J172" s="7" t="inlineStr">
        <is>
          <t>Vacal</t>
        </is>
      </c>
      <c r="K172" s="7" t="inlineStr">
        <is>
          <t>Apoio</t>
        </is>
      </c>
      <c r="L172" s="16" t="inlineStr">
        <is>
          <t>PDS-dezembro(1).docx</t>
        </is>
      </c>
      <c r="M172">
        <f>IF($A172="","",TEXT($A172,"mmmm/yyyy"))</f>
        <v/>
      </c>
      <c r="P172">
        <f>IFERROR(_xludf.XLOOKUP($N172,Base_Enderecos!$A:$A,Base_Enderecos!$B:$B,""),"")</f>
        <v/>
      </c>
      <c r="Q172">
        <f>IFERROR(_xludf.XLOOKUP($N172,Base_Enderecos!$A:$A,Base_Enderecos!$C:$C,""),"")</f>
        <v/>
      </c>
      <c r="R172">
        <f>IF(OR(ISNUMBER(SEARCH("HDD",$F172)),ISNUMBER(SEARCH("MND",$F172)),ISNUMBER(SEARCH("PEAD",$F172)),ISNUMBER(SEARCH("Puxe",$J172)),ISNUMBER(SEARCH("Apoio HDD",$F172))),"MND",IF(OR(ISNUMBER(SEARCH("VCA",$F172)),ISNUMBER(SEARCH("PVC",$F172)),ISNUMBER(SEARCH("vca",$J172)),ISNUMBER(SEARCH("Transformação",$J172))),"VCA",IF(OR(ISNUMBER(SEARCH("crava",$F172)),ISNUMBER(SEARCH("tubo cravado",$F172)),ISNUMBER(SEARCH("shaft",$J172)),ISNUMBER(SEARCH("concreto",$F172))),"TUBO CRAVADO","")))</f>
        <v/>
      </c>
      <c r="T172">
        <f>IF($A172="","",TEXT($A172,"yyyymm")&amp;"|"&amp;$C172&amp;"|"&amp;$F172&amp;"|"&amp;$N172&amp;"|"&amp;$R172)</f>
        <v/>
      </c>
    </row>
    <row r="173" ht="11.55" customHeight="1">
      <c r="A173" s="10" t="n">
        <v>46007</v>
      </c>
      <c r="B173" s="7" t="inlineStr">
        <is>
          <t>Terça</t>
        </is>
      </c>
      <c r="C173" s="7" t="inlineStr">
        <is>
          <t>Guindauto</t>
        </is>
      </c>
      <c r="D173" s="7" t="n"/>
      <c r="E173" s="7" t="inlineStr">
        <is>
          <t>Rodrigo apoio as equipes</t>
        </is>
      </c>
      <c r="F173" s="13" t="inlineStr">
        <is>
          <t>Rodrigo apoio as equipes</t>
        </is>
      </c>
      <c r="G173" s="7" t="n"/>
      <c r="H173" s="7" t="n"/>
      <c r="I173" s="7" t="n"/>
      <c r="J173" s="7" t="inlineStr">
        <is>
          <t>Guindauto</t>
        </is>
      </c>
      <c r="K173" s="7" t="inlineStr">
        <is>
          <t>Apoio</t>
        </is>
      </c>
      <c r="L173" s="16" t="inlineStr">
        <is>
          <t>PDS-dezembro(1).docx</t>
        </is>
      </c>
      <c r="M173">
        <f>IF($A173="","",TEXT($A173,"mmmm/yyyy"))</f>
        <v/>
      </c>
      <c r="P173">
        <f>IFERROR(_xludf.XLOOKUP($N173,Base_Enderecos!$A:$A,Base_Enderecos!$B:$B,""),"")</f>
        <v/>
      </c>
      <c r="Q173">
        <f>IFERROR(_xludf.XLOOKUP($N173,Base_Enderecos!$A:$A,Base_Enderecos!$C:$C,""),"")</f>
        <v/>
      </c>
      <c r="R173">
        <f>IF(OR(ISNUMBER(SEARCH("HDD",$F173)),ISNUMBER(SEARCH("MND",$F173)),ISNUMBER(SEARCH("PEAD",$F173)),ISNUMBER(SEARCH("Puxe",$J173)),ISNUMBER(SEARCH("Apoio HDD",$F173))),"MND",IF(OR(ISNUMBER(SEARCH("VCA",$F173)),ISNUMBER(SEARCH("PVC",$F173)),ISNUMBER(SEARCH("vca",$J173)),ISNUMBER(SEARCH("Transformação",$J173))),"VCA",IF(OR(ISNUMBER(SEARCH("crava",$F173)),ISNUMBER(SEARCH("tubo cravado",$F173)),ISNUMBER(SEARCH("shaft",$J173)),ISNUMBER(SEARCH("concreto",$F173))),"TUBO CRAVADO","")))</f>
        <v/>
      </c>
      <c r="T173">
        <f>IF($A173="","",TEXT($A173,"yyyymm")&amp;"|"&amp;$C173&amp;"|"&amp;$F173&amp;"|"&amp;$N173&amp;"|"&amp;$R173)</f>
        <v/>
      </c>
    </row>
    <row r="174" ht="11.55" customHeight="1">
      <c r="A174" s="10" t="n">
        <v>46007</v>
      </c>
      <c r="B174" s="7" t="inlineStr">
        <is>
          <t>Terça</t>
        </is>
      </c>
      <c r="C174" s="7" t="inlineStr">
        <is>
          <t>Guindauto</t>
        </is>
      </c>
      <c r="D174" s="7" t="n"/>
      <c r="E174" s="7" t="inlineStr">
        <is>
          <t>Marcio apoio as equipes</t>
        </is>
      </c>
      <c r="F174" s="13" t="inlineStr">
        <is>
          <t>Marcio apoio as equipes</t>
        </is>
      </c>
      <c r="G174" s="7" t="n"/>
      <c r="H174" s="7" t="n"/>
      <c r="I174" s="7" t="n"/>
      <c r="J174" s="7" t="inlineStr">
        <is>
          <t>Guindauto</t>
        </is>
      </c>
      <c r="K174" s="7" t="inlineStr">
        <is>
          <t>Apoio</t>
        </is>
      </c>
      <c r="L174" s="16" t="inlineStr">
        <is>
          <t>PDS-dezembro(1).docx</t>
        </is>
      </c>
      <c r="M174">
        <f>IF($A174="","",TEXT($A174,"mmmm/yyyy"))</f>
        <v/>
      </c>
      <c r="P174">
        <f>IFERROR(_xludf.XLOOKUP($N174,Base_Enderecos!$A:$A,Base_Enderecos!$B:$B,""),"")</f>
        <v/>
      </c>
      <c r="Q174">
        <f>IFERROR(_xludf.XLOOKUP($N174,Base_Enderecos!$A:$A,Base_Enderecos!$C:$C,""),"")</f>
        <v/>
      </c>
      <c r="R174">
        <f>IF(OR(ISNUMBER(SEARCH("HDD",$F174)),ISNUMBER(SEARCH("MND",$F174)),ISNUMBER(SEARCH("PEAD",$F174)),ISNUMBER(SEARCH("Puxe",$J174)),ISNUMBER(SEARCH("Apoio HDD",$F174))),"MND",IF(OR(ISNUMBER(SEARCH("VCA",$F174)),ISNUMBER(SEARCH("PVC",$F174)),ISNUMBER(SEARCH("vca",$J174)),ISNUMBER(SEARCH("Transformação",$J174))),"VCA",IF(OR(ISNUMBER(SEARCH("crava",$F174)),ISNUMBER(SEARCH("tubo cravado",$F174)),ISNUMBER(SEARCH("shaft",$J174)),ISNUMBER(SEARCH("concreto",$F174))),"TUBO CRAVADO","")))</f>
        <v/>
      </c>
      <c r="T174">
        <f>IF($A174="","",TEXT($A174,"yyyymm")&amp;"|"&amp;$C174&amp;"|"&amp;$F174&amp;"|"&amp;$N174&amp;"|"&amp;$R174)</f>
        <v/>
      </c>
    </row>
    <row r="175" ht="11.55" customHeight="1">
      <c r="A175" s="10" t="n">
        <v>46008</v>
      </c>
      <c r="B175" s="7" t="inlineStr">
        <is>
          <t>Quarta</t>
        </is>
      </c>
      <c r="C175" s="7" t="inlineStr">
        <is>
          <t>CT *Lajeado</t>
        </is>
      </c>
      <c r="D175" s="7" t="n"/>
      <c r="E175" s="7" t="inlineStr">
        <is>
          <t>Marcelo</t>
        </is>
      </c>
      <c r="F175" s="13" t="inlineStr">
        <is>
          <t>Transformação PV 12</t>
        </is>
      </c>
      <c r="G175" s="7" t="inlineStr">
        <is>
          <t>12</t>
        </is>
      </c>
      <c r="H175" s="7" t="n"/>
      <c r="I175" s="7" t="inlineStr">
        <is>
          <t>12</t>
        </is>
      </c>
      <c r="J175" s="7" t="inlineStr">
        <is>
          <t>Transformação</t>
        </is>
      </c>
      <c r="K175" s="7" t="inlineStr">
        <is>
          <t>Planejamento</t>
        </is>
      </c>
      <c r="L175" s="16" t="inlineStr">
        <is>
          <t>PDS-dezembro(1).docx</t>
        </is>
      </c>
      <c r="M175">
        <f>IF($A175="","",TEXT($A175,"mmmm/yyyy"))</f>
        <v/>
      </c>
      <c r="P175">
        <f>IFERROR(_xludf.XLOOKUP($N175,Base_Enderecos!$A:$A,Base_Enderecos!$B:$B,""),"")</f>
        <v/>
      </c>
      <c r="Q175">
        <f>IFERROR(_xludf.XLOOKUP($N175,Base_Enderecos!$A:$A,Base_Enderecos!$C:$C,""),"")</f>
        <v/>
      </c>
      <c r="R175">
        <f>IF(OR(ISNUMBER(SEARCH("HDD",$F175)),ISNUMBER(SEARCH("MND",$F175)),ISNUMBER(SEARCH("PEAD",$F175)),ISNUMBER(SEARCH("Puxe",$J175)),ISNUMBER(SEARCH("Apoio HDD",$F175))),"MND",IF(OR(ISNUMBER(SEARCH("VCA",$F175)),ISNUMBER(SEARCH("PVC",$F175)),ISNUMBER(SEARCH("vca",$J175)),ISNUMBER(SEARCH("Transformação",$J175))),"VCA",IF(OR(ISNUMBER(SEARCH("crava",$F175)),ISNUMBER(SEARCH("tubo cravado",$F175)),ISNUMBER(SEARCH("shaft",$J175)),ISNUMBER(SEARCH("concreto",$F175))),"TUBO CRAVADO","")))</f>
        <v/>
      </c>
      <c r="T175">
        <f>IF($A175="","",TEXT($A175,"yyyymm")&amp;"|"&amp;$C175&amp;"|"&amp;$F175&amp;"|"&amp;$N175&amp;"|"&amp;$R175)</f>
        <v/>
      </c>
    </row>
    <row r="176" ht="11.55" customHeight="1">
      <c r="A176" s="10" t="n">
        <v>46008</v>
      </c>
      <c r="B176" s="7" t="inlineStr">
        <is>
          <t>Quarta</t>
        </is>
      </c>
      <c r="C176" s="7" t="inlineStr">
        <is>
          <t>CT *Lajeado</t>
        </is>
      </c>
      <c r="D176" s="7" t="n"/>
      <c r="E176" s="7" t="inlineStr">
        <is>
          <t>Cesar</t>
        </is>
      </c>
      <c r="F176" s="13" t="inlineStr">
        <is>
          <t>Transformação PV 19</t>
        </is>
      </c>
      <c r="G176" s="7" t="inlineStr">
        <is>
          <t>19</t>
        </is>
      </c>
      <c r="H176" s="7" t="n"/>
      <c r="I176" s="7" t="inlineStr">
        <is>
          <t>19</t>
        </is>
      </c>
      <c r="J176" s="7" t="inlineStr">
        <is>
          <t>Transformação</t>
        </is>
      </c>
      <c r="K176" s="7" t="inlineStr">
        <is>
          <t>Planejamento</t>
        </is>
      </c>
      <c r="L176" s="16" t="inlineStr">
        <is>
          <t>PDS-dezembro(1).docx</t>
        </is>
      </c>
      <c r="M176">
        <f>IF($A176="","",TEXT($A176,"mmmm/yyyy"))</f>
        <v/>
      </c>
      <c r="P176">
        <f>IFERROR(_xludf.XLOOKUP($N176,Base_Enderecos!$A:$A,Base_Enderecos!$B:$B,""),"")</f>
        <v/>
      </c>
      <c r="Q176">
        <f>IFERROR(_xludf.XLOOKUP($N176,Base_Enderecos!$A:$A,Base_Enderecos!$C:$C,""),"")</f>
        <v/>
      </c>
      <c r="R176">
        <f>IF(OR(ISNUMBER(SEARCH("HDD",$F176)),ISNUMBER(SEARCH("MND",$F176)),ISNUMBER(SEARCH("PEAD",$F176)),ISNUMBER(SEARCH("Puxe",$J176)),ISNUMBER(SEARCH("Apoio HDD",$F176))),"MND",IF(OR(ISNUMBER(SEARCH("VCA",$F176)),ISNUMBER(SEARCH("PVC",$F176)),ISNUMBER(SEARCH("vca",$J176)),ISNUMBER(SEARCH("Transformação",$J176))),"VCA",IF(OR(ISNUMBER(SEARCH("crava",$F176)),ISNUMBER(SEARCH("tubo cravado",$F176)),ISNUMBER(SEARCH("shaft",$J176)),ISNUMBER(SEARCH("concreto",$F176))),"TUBO CRAVADO","")))</f>
        <v/>
      </c>
      <c r="T176">
        <f>IF($A176="","",TEXT($A176,"yyyymm")&amp;"|"&amp;$C176&amp;"|"&amp;$F176&amp;"|"&amp;$N176&amp;"|"&amp;$R176)</f>
        <v/>
      </c>
    </row>
    <row r="177" ht="11.55" customHeight="1">
      <c r="A177" s="10" t="n">
        <v>46008</v>
      </c>
      <c r="B177" s="7" t="inlineStr">
        <is>
          <t>Quarta</t>
        </is>
      </c>
      <c r="C177" s="7" t="inlineStr">
        <is>
          <t>CT *Lajeado</t>
        </is>
      </c>
      <c r="D177" s="7" t="n"/>
      <c r="E177" s="7" t="inlineStr">
        <is>
          <t>Edivando</t>
        </is>
      </c>
      <c r="F177" s="13" t="inlineStr">
        <is>
          <t>Transformação PV 16</t>
        </is>
      </c>
      <c r="G177" s="7" t="inlineStr">
        <is>
          <t>16</t>
        </is>
      </c>
      <c r="H177" s="7" t="n"/>
      <c r="I177" s="7" t="inlineStr">
        <is>
          <t>16</t>
        </is>
      </c>
      <c r="J177" s="7" t="inlineStr">
        <is>
          <t>Transformação</t>
        </is>
      </c>
      <c r="K177" s="7" t="inlineStr">
        <is>
          <t>Planejamento</t>
        </is>
      </c>
      <c r="L177" s="16" t="inlineStr">
        <is>
          <t>PDS-dezembro(1).docx</t>
        </is>
      </c>
      <c r="M177">
        <f>IF($A177="","",TEXT($A177,"mmmm/yyyy"))</f>
        <v/>
      </c>
      <c r="P177">
        <f>IFERROR(_xludf.XLOOKUP($N177,Base_Enderecos!$A:$A,Base_Enderecos!$B:$B,""),"")</f>
        <v/>
      </c>
      <c r="Q177">
        <f>IFERROR(_xludf.XLOOKUP($N177,Base_Enderecos!$A:$A,Base_Enderecos!$C:$C,""),"")</f>
        <v/>
      </c>
      <c r="R177">
        <f>IF(OR(ISNUMBER(SEARCH("HDD",$F177)),ISNUMBER(SEARCH("MND",$F177)),ISNUMBER(SEARCH("PEAD",$F177)),ISNUMBER(SEARCH("Puxe",$J177)),ISNUMBER(SEARCH("Apoio HDD",$F177))),"MND",IF(OR(ISNUMBER(SEARCH("VCA",$F177)),ISNUMBER(SEARCH("PVC",$F177)),ISNUMBER(SEARCH("vca",$J177)),ISNUMBER(SEARCH("Transformação",$J177))),"VCA",IF(OR(ISNUMBER(SEARCH("crava",$F177)),ISNUMBER(SEARCH("tubo cravado",$F177)),ISNUMBER(SEARCH("shaft",$J177)),ISNUMBER(SEARCH("concreto",$F177))),"TUBO CRAVADO","")))</f>
        <v/>
      </c>
      <c r="T177">
        <f>IF($A177="","",TEXT($A177,"yyyymm")&amp;"|"&amp;$C177&amp;"|"&amp;$F177&amp;"|"&amp;$N177&amp;"|"&amp;$R177)</f>
        <v/>
      </c>
    </row>
    <row r="178" ht="11.55" customHeight="1">
      <c r="A178" s="10" t="n">
        <v>46008</v>
      </c>
      <c r="B178" s="7" t="inlineStr">
        <is>
          <t>Quarta</t>
        </is>
      </c>
      <c r="C178" s="7" t="inlineStr">
        <is>
          <t>CT *Lajeado</t>
        </is>
      </c>
      <c r="D178" s="7" t="n"/>
      <c r="E178" s="7" t="inlineStr">
        <is>
          <t>Valter</t>
        </is>
      </c>
      <c r="F178" s="13" t="inlineStr">
        <is>
          <t>Transformação PV 18</t>
        </is>
      </c>
      <c r="G178" s="7" t="inlineStr">
        <is>
          <t>18</t>
        </is>
      </c>
      <c r="H178" s="7" t="n"/>
      <c r="I178" s="7" t="inlineStr">
        <is>
          <t>18</t>
        </is>
      </c>
      <c r="J178" s="7" t="inlineStr">
        <is>
          <t>Transformação</t>
        </is>
      </c>
      <c r="K178" s="7" t="inlineStr">
        <is>
          <t>Planejamento</t>
        </is>
      </c>
      <c r="L178" s="16" t="inlineStr">
        <is>
          <t>PDS-dezembro(1).docx</t>
        </is>
      </c>
      <c r="M178">
        <f>IF($A178="","",TEXT($A178,"mmmm/yyyy"))</f>
        <v/>
      </c>
      <c r="P178">
        <f>IFERROR(_xludf.XLOOKUP($N178,Base_Enderecos!$A:$A,Base_Enderecos!$B:$B,""),"")</f>
        <v/>
      </c>
      <c r="Q178">
        <f>IFERROR(_xludf.XLOOKUP($N178,Base_Enderecos!$A:$A,Base_Enderecos!$C:$C,""),"")</f>
        <v/>
      </c>
      <c r="R178">
        <f>IF(OR(ISNUMBER(SEARCH("HDD",$F178)),ISNUMBER(SEARCH("MND",$F178)),ISNUMBER(SEARCH("PEAD",$F178)),ISNUMBER(SEARCH("Puxe",$J178)),ISNUMBER(SEARCH("Apoio HDD",$F178))),"MND",IF(OR(ISNUMBER(SEARCH("VCA",$F178)),ISNUMBER(SEARCH("PVC",$F178)),ISNUMBER(SEARCH("vca",$J178)),ISNUMBER(SEARCH("Transformação",$J178))),"VCA",IF(OR(ISNUMBER(SEARCH("crava",$F178)),ISNUMBER(SEARCH("tubo cravado",$F178)),ISNUMBER(SEARCH("shaft",$J178)),ISNUMBER(SEARCH("concreto",$F178))),"TUBO CRAVADO","")))</f>
        <v/>
      </c>
      <c r="T178">
        <f>IF($A178="","",TEXT($A178,"yyyymm")&amp;"|"&amp;$C178&amp;"|"&amp;$F178&amp;"|"&amp;$N178&amp;"|"&amp;$R178)</f>
        <v/>
      </c>
    </row>
    <row r="179" ht="11.55" customHeight="1">
      <c r="A179" s="10" t="n">
        <v>46008</v>
      </c>
      <c r="B179" s="7" t="inlineStr">
        <is>
          <t>Quarta</t>
        </is>
      </c>
      <c r="C179" s="7" t="inlineStr">
        <is>
          <t>CT *Lajeado</t>
        </is>
      </c>
      <c r="D179" s="7" t="n"/>
      <c r="E179" s="7" t="inlineStr">
        <is>
          <t>Paulo</t>
        </is>
      </c>
      <c r="F179" s="13" t="inlineStr">
        <is>
          <t>Transformação PV 19.1</t>
        </is>
      </c>
      <c r="G179" s="7" t="inlineStr">
        <is>
          <t>19.1</t>
        </is>
      </c>
      <c r="H179" s="7" t="n"/>
      <c r="I179" s="7" t="inlineStr">
        <is>
          <t>19.1</t>
        </is>
      </c>
      <c r="J179" s="7" t="inlineStr">
        <is>
          <t>Transformação</t>
        </is>
      </c>
      <c r="K179" s="7" t="inlineStr">
        <is>
          <t>Planejamento</t>
        </is>
      </c>
      <c r="L179" s="16" t="inlineStr">
        <is>
          <t>PDS-dezembro(1).docx</t>
        </is>
      </c>
      <c r="M179">
        <f>IF($A179="","",TEXT($A179,"mmmm/yyyy"))</f>
        <v/>
      </c>
      <c r="P179">
        <f>IFERROR(_xludf.XLOOKUP($N179,Base_Enderecos!$A:$A,Base_Enderecos!$B:$B,""),"")</f>
        <v/>
      </c>
      <c r="Q179">
        <f>IFERROR(_xludf.XLOOKUP($N179,Base_Enderecos!$A:$A,Base_Enderecos!$C:$C,""),"")</f>
        <v/>
      </c>
      <c r="R179">
        <f>IF(OR(ISNUMBER(SEARCH("HDD",$F179)),ISNUMBER(SEARCH("MND",$F179)),ISNUMBER(SEARCH("PEAD",$F179)),ISNUMBER(SEARCH("Puxe",$J179)),ISNUMBER(SEARCH("Apoio HDD",$F179))),"MND",IF(OR(ISNUMBER(SEARCH("VCA",$F179)),ISNUMBER(SEARCH("PVC",$F179)),ISNUMBER(SEARCH("vca",$J179)),ISNUMBER(SEARCH("Transformação",$J179))),"VCA",IF(OR(ISNUMBER(SEARCH("crava",$F179)),ISNUMBER(SEARCH("tubo cravado",$F179)),ISNUMBER(SEARCH("shaft",$J179)),ISNUMBER(SEARCH("concreto",$F179))),"TUBO CRAVADO","")))</f>
        <v/>
      </c>
      <c r="T179">
        <f>IF($A179="","",TEXT($A179,"yyyymm")&amp;"|"&amp;$C179&amp;"|"&amp;$F179&amp;"|"&amp;$N179&amp;"|"&amp;$R179)</f>
        <v/>
      </c>
    </row>
    <row r="180" ht="11.55" customHeight="1">
      <c r="A180" s="10" t="n">
        <v>46008</v>
      </c>
      <c r="B180" s="7" t="inlineStr">
        <is>
          <t>Quarta</t>
        </is>
      </c>
      <c r="C180" s="7" t="inlineStr">
        <is>
          <t>CT Mar de Coral</t>
        </is>
      </c>
      <c r="D180" s="7" t="n"/>
      <c r="E180" s="7" t="inlineStr">
        <is>
          <t>Nova Construção</t>
        </is>
      </c>
      <c r="F180" s="13" t="inlineStr">
        <is>
          <t>Escavação mecânica e montagem armco PV 01</t>
        </is>
      </c>
      <c r="G180" s="7" t="inlineStr">
        <is>
          <t>01</t>
        </is>
      </c>
      <c r="H180" s="7" t="n"/>
      <c r="I180" s="7" t="inlineStr">
        <is>
          <t>01</t>
        </is>
      </c>
      <c r="J180" s="7" t="inlineStr">
        <is>
          <t>Escavação</t>
        </is>
      </c>
      <c r="K180" s="7" t="inlineStr">
        <is>
          <t>Planejamento</t>
        </is>
      </c>
      <c r="L180" s="16" t="inlineStr">
        <is>
          <t>PDS-dezembro(1).docx</t>
        </is>
      </c>
      <c r="M180">
        <f>IF($A180="","",TEXT($A180,"mmmm/yyyy"))</f>
        <v/>
      </c>
      <c r="P180">
        <f>IFERROR(_xludf.XLOOKUP($N180,Base_Enderecos!$A:$A,Base_Enderecos!$B:$B,""),"")</f>
        <v/>
      </c>
      <c r="Q180">
        <f>IFERROR(_xludf.XLOOKUP($N180,Base_Enderecos!$A:$A,Base_Enderecos!$C:$C,""),"")</f>
        <v/>
      </c>
      <c r="R180">
        <f>IF(OR(ISNUMBER(SEARCH("HDD",$F180)),ISNUMBER(SEARCH("MND",$F180)),ISNUMBER(SEARCH("PEAD",$F180)),ISNUMBER(SEARCH("Puxe",$J180)),ISNUMBER(SEARCH("Apoio HDD",$F180))),"MND",IF(OR(ISNUMBER(SEARCH("VCA",$F180)),ISNUMBER(SEARCH("PVC",$F180)),ISNUMBER(SEARCH("vca",$J180)),ISNUMBER(SEARCH("Transformação",$J180))),"VCA",IF(OR(ISNUMBER(SEARCH("crava",$F180)),ISNUMBER(SEARCH("tubo cravado",$F180)),ISNUMBER(SEARCH("shaft",$J180)),ISNUMBER(SEARCH("concreto",$F180))),"TUBO CRAVADO","")))</f>
        <v/>
      </c>
      <c r="T180">
        <f>IF($A180="","",TEXT($A180,"yyyymm")&amp;"|"&amp;$C180&amp;"|"&amp;$F180&amp;"|"&amp;$N180&amp;"|"&amp;$R180)</f>
        <v/>
      </c>
    </row>
    <row r="181" ht="11.55" customHeight="1">
      <c r="A181" s="10" t="n">
        <v>46008</v>
      </c>
      <c r="B181" s="7" t="inlineStr">
        <is>
          <t>Quarta</t>
        </is>
      </c>
      <c r="C181" s="7" t="inlineStr">
        <is>
          <t>CT Lourdes</t>
        </is>
      </c>
      <c r="D181" s="7" t="n"/>
      <c r="E181" s="7" t="inlineStr">
        <is>
          <t>Higor</t>
        </is>
      </c>
      <c r="F181" s="13" t="inlineStr">
        <is>
          <t>Transformação PV 10</t>
        </is>
      </c>
      <c r="G181" s="7" t="inlineStr">
        <is>
          <t>10</t>
        </is>
      </c>
      <c r="H181" s="7" t="n"/>
      <c r="I181" s="7" t="inlineStr">
        <is>
          <t>10</t>
        </is>
      </c>
      <c r="J181" s="7" t="inlineStr">
        <is>
          <t>Transformação</t>
        </is>
      </c>
      <c r="K181" s="7" t="inlineStr">
        <is>
          <t>Planejamento</t>
        </is>
      </c>
      <c r="L181" s="16" t="inlineStr">
        <is>
          <t>PDS-dezembro(1).docx</t>
        </is>
      </c>
      <c r="M181">
        <f>IF($A181="","",TEXT($A181,"mmmm/yyyy"))</f>
        <v/>
      </c>
      <c r="P181">
        <f>IFERROR(_xludf.XLOOKUP($N181,Base_Enderecos!$A:$A,Base_Enderecos!$B:$B,""),"")</f>
        <v/>
      </c>
      <c r="Q181">
        <f>IFERROR(_xludf.XLOOKUP($N181,Base_Enderecos!$A:$A,Base_Enderecos!$C:$C,""),"")</f>
        <v/>
      </c>
      <c r="R181">
        <f>IF(OR(ISNUMBER(SEARCH("HDD",$F181)),ISNUMBER(SEARCH("MND",$F181)),ISNUMBER(SEARCH("PEAD",$F181)),ISNUMBER(SEARCH("Puxe",$J181)),ISNUMBER(SEARCH("Apoio HDD",$F181))),"MND",IF(OR(ISNUMBER(SEARCH("VCA",$F181)),ISNUMBER(SEARCH("PVC",$F181)),ISNUMBER(SEARCH("vca",$J181)),ISNUMBER(SEARCH("Transformação",$J181))),"VCA",IF(OR(ISNUMBER(SEARCH("crava",$F181)),ISNUMBER(SEARCH("tubo cravado",$F181)),ISNUMBER(SEARCH("shaft",$J181)),ISNUMBER(SEARCH("concreto",$F181))),"TUBO CRAVADO","")))</f>
        <v/>
      </c>
      <c r="T181">
        <f>IF($A181="","",TEXT($A181,"yyyymm")&amp;"|"&amp;$C181&amp;"|"&amp;$F181&amp;"|"&amp;$N181&amp;"|"&amp;$R181)</f>
        <v/>
      </c>
    </row>
    <row r="182" ht="11.55" customHeight="1">
      <c r="A182" s="10" t="n">
        <v>46008</v>
      </c>
      <c r="B182" s="7" t="inlineStr">
        <is>
          <t>Quarta</t>
        </is>
      </c>
      <c r="C182" s="7" t="inlineStr">
        <is>
          <t>CT Lourdes</t>
        </is>
      </c>
      <c r="D182" s="7" t="n"/>
      <c r="E182" s="7" t="inlineStr">
        <is>
          <t>WJ (Alex)</t>
        </is>
      </c>
      <c r="F182" s="13" t="inlineStr">
        <is>
          <t>Execução do puxe entre PVs 14 ao 18</t>
        </is>
      </c>
      <c r="G182" s="7" t="inlineStr">
        <is>
          <t>14</t>
        </is>
      </c>
      <c r="H182" s="7" t="n"/>
      <c r="I182" s="7" t="inlineStr">
        <is>
          <t>14</t>
        </is>
      </c>
      <c r="J182" s="7" t="inlineStr">
        <is>
          <t>Puxe</t>
        </is>
      </c>
      <c r="K182" s="7" t="inlineStr">
        <is>
          <t>Planejamento</t>
        </is>
      </c>
      <c r="L182" s="16" t="inlineStr">
        <is>
          <t>PDS-dezembro(1).docx</t>
        </is>
      </c>
      <c r="M182">
        <f>IF($A182="","",TEXT($A182,"mmmm/yyyy"))</f>
        <v/>
      </c>
      <c r="P182">
        <f>IFERROR(_xludf.XLOOKUP($N182,Base_Enderecos!$A:$A,Base_Enderecos!$B:$B,""),"")</f>
        <v/>
      </c>
      <c r="Q182">
        <f>IFERROR(_xludf.XLOOKUP($N182,Base_Enderecos!$A:$A,Base_Enderecos!$C:$C,""),"")</f>
        <v/>
      </c>
      <c r="R182">
        <f>IF(OR(ISNUMBER(SEARCH("HDD",$F182)),ISNUMBER(SEARCH("MND",$F182)),ISNUMBER(SEARCH("PEAD",$F182)),ISNUMBER(SEARCH("Puxe",$J182)),ISNUMBER(SEARCH("Apoio HDD",$F182))),"MND",IF(OR(ISNUMBER(SEARCH("VCA",$F182)),ISNUMBER(SEARCH("PVC",$F182)),ISNUMBER(SEARCH("vca",$J182)),ISNUMBER(SEARCH("Transformação",$J182))),"VCA",IF(OR(ISNUMBER(SEARCH("crava",$F182)),ISNUMBER(SEARCH("tubo cravado",$F182)),ISNUMBER(SEARCH("shaft",$J182)),ISNUMBER(SEARCH("concreto",$F182))),"TUBO CRAVADO","")))</f>
        <v/>
      </c>
      <c r="T182">
        <f>IF($A182="","",TEXT($A182,"yyyymm")&amp;"|"&amp;$C182&amp;"|"&amp;$F182&amp;"|"&amp;$N182&amp;"|"&amp;$R182)</f>
        <v/>
      </c>
    </row>
    <row r="183" ht="11.55" customHeight="1">
      <c r="A183" s="10" t="n">
        <v>46008</v>
      </c>
      <c r="B183" s="7" t="inlineStr">
        <is>
          <t>Quarta</t>
        </is>
      </c>
      <c r="C183" s="7" t="inlineStr">
        <is>
          <t>CT Lourdes</t>
        </is>
      </c>
      <c r="D183" s="7" t="n"/>
      <c r="E183" s="7" t="inlineStr">
        <is>
          <t>Marcio</t>
        </is>
      </c>
      <c r="F183" s="13" t="inlineStr">
        <is>
          <t>Apoio HDD entre PVs 14 ao 18</t>
        </is>
      </c>
      <c r="G183" s="7" t="inlineStr">
        <is>
          <t>14</t>
        </is>
      </c>
      <c r="H183" s="7" t="n"/>
      <c r="I183" s="7" t="inlineStr">
        <is>
          <t>14</t>
        </is>
      </c>
      <c r="J183" s="7" t="inlineStr">
        <is>
          <t>Apoio HDD</t>
        </is>
      </c>
      <c r="K183" s="7" t="inlineStr">
        <is>
          <t>Planejamento</t>
        </is>
      </c>
      <c r="L183" s="16" t="inlineStr">
        <is>
          <t>PDS-dezembro(1).docx</t>
        </is>
      </c>
      <c r="M183">
        <f>IF($A183="","",TEXT($A183,"mmmm/yyyy"))</f>
        <v/>
      </c>
      <c r="P183">
        <f>IFERROR(_xludf.XLOOKUP($N183,Base_Enderecos!$A:$A,Base_Enderecos!$B:$B,""),"")</f>
        <v/>
      </c>
      <c r="Q183">
        <f>IFERROR(_xludf.XLOOKUP($N183,Base_Enderecos!$A:$A,Base_Enderecos!$C:$C,""),"")</f>
        <v/>
      </c>
      <c r="R183">
        <f>IF(OR(ISNUMBER(SEARCH("HDD",$F183)),ISNUMBER(SEARCH("MND",$F183)),ISNUMBER(SEARCH("PEAD",$F183)),ISNUMBER(SEARCH("Puxe",$J183)),ISNUMBER(SEARCH("Apoio HDD",$F183))),"MND",IF(OR(ISNUMBER(SEARCH("VCA",$F183)),ISNUMBER(SEARCH("PVC",$F183)),ISNUMBER(SEARCH("vca",$J183)),ISNUMBER(SEARCH("Transformação",$J183))),"VCA",IF(OR(ISNUMBER(SEARCH("crava",$F183)),ISNUMBER(SEARCH("tubo cravado",$F183)),ISNUMBER(SEARCH("shaft",$J183)),ISNUMBER(SEARCH("concreto",$F183))),"TUBO CRAVADO","")))</f>
        <v/>
      </c>
      <c r="T183">
        <f>IF($A183="","",TEXT($A183,"yyyymm")&amp;"|"&amp;$C183&amp;"|"&amp;$F183&amp;"|"&amp;$N183&amp;"|"&amp;$R183)</f>
        <v/>
      </c>
    </row>
    <row r="184" ht="11.55" customHeight="1">
      <c r="A184" s="10" t="n">
        <v>46008</v>
      </c>
      <c r="B184" s="7" t="inlineStr">
        <is>
          <t>Quarta</t>
        </is>
      </c>
      <c r="C184" s="7" t="inlineStr">
        <is>
          <t>CT Lourdes</t>
        </is>
      </c>
      <c r="D184" s="7" t="n"/>
      <c r="E184" s="7" t="inlineStr">
        <is>
          <t>WJ (Edson)</t>
        </is>
      </c>
      <c r="F184" s="13" t="inlineStr">
        <is>
          <t>Execução furo piloto entre PVs 18 ao 19</t>
        </is>
      </c>
      <c r="G184" s="7" t="inlineStr">
        <is>
          <t>18</t>
        </is>
      </c>
      <c r="H184" s="7" t="n"/>
      <c r="I184" s="7" t="inlineStr">
        <is>
          <t>18</t>
        </is>
      </c>
      <c r="J184" s="7" t="inlineStr">
        <is>
          <t>Furo piloto</t>
        </is>
      </c>
      <c r="K184" s="7" t="inlineStr">
        <is>
          <t>Planejamento</t>
        </is>
      </c>
      <c r="L184" s="16" t="inlineStr">
        <is>
          <t>PDS-dezembro(1).docx</t>
        </is>
      </c>
      <c r="M184">
        <f>IF($A184="","",TEXT($A184,"mmmm/yyyy"))</f>
        <v/>
      </c>
      <c r="P184">
        <f>IFERROR(_xludf.XLOOKUP($N184,Base_Enderecos!$A:$A,Base_Enderecos!$B:$B,""),"")</f>
        <v/>
      </c>
      <c r="Q184">
        <f>IFERROR(_xludf.XLOOKUP($N184,Base_Enderecos!$A:$A,Base_Enderecos!$C:$C,""),"")</f>
        <v/>
      </c>
      <c r="R184">
        <f>IF(OR(ISNUMBER(SEARCH("HDD",$F184)),ISNUMBER(SEARCH("MND",$F184)),ISNUMBER(SEARCH("PEAD",$F184)),ISNUMBER(SEARCH("Puxe",$J184)),ISNUMBER(SEARCH("Apoio HDD",$F184))),"MND",IF(OR(ISNUMBER(SEARCH("VCA",$F184)),ISNUMBER(SEARCH("PVC",$F184)),ISNUMBER(SEARCH("vca",$J184)),ISNUMBER(SEARCH("Transformação",$J184))),"VCA",IF(OR(ISNUMBER(SEARCH("crava",$F184)),ISNUMBER(SEARCH("tubo cravado",$F184)),ISNUMBER(SEARCH("shaft",$J184)),ISNUMBER(SEARCH("concreto",$F184))),"TUBO CRAVADO","")))</f>
        <v/>
      </c>
      <c r="T184">
        <f>IF($A184="","",TEXT($A184,"yyyymm")&amp;"|"&amp;$C184&amp;"|"&amp;$F184&amp;"|"&amp;$N184&amp;"|"&amp;$R184)</f>
        <v/>
      </c>
    </row>
    <row r="185" ht="11.55" customHeight="1">
      <c r="A185" s="10" t="n">
        <v>46008</v>
      </c>
      <c r="B185" s="7" t="inlineStr">
        <is>
          <t>Quarta</t>
        </is>
      </c>
      <c r="C185" s="7" t="inlineStr">
        <is>
          <t>CT Lourdes</t>
        </is>
      </c>
      <c r="D185" s="7" t="n"/>
      <c r="E185" s="7" t="inlineStr">
        <is>
          <t>Natalino</t>
        </is>
      </c>
      <c r="F185" s="13" t="inlineStr">
        <is>
          <t>Apoio HDD entre PVs 18 ao 19</t>
        </is>
      </c>
      <c r="G185" s="7" t="inlineStr">
        <is>
          <t>18</t>
        </is>
      </c>
      <c r="H185" s="7" t="n"/>
      <c r="I185" s="7" t="inlineStr">
        <is>
          <t>18</t>
        </is>
      </c>
      <c r="J185" s="7" t="inlineStr">
        <is>
          <t>Apoio HDD</t>
        </is>
      </c>
      <c r="K185" s="7" t="inlineStr">
        <is>
          <t>Planejamento</t>
        </is>
      </c>
      <c r="L185" s="16" t="inlineStr">
        <is>
          <t>PDS-dezembro(1).docx</t>
        </is>
      </c>
      <c r="M185">
        <f>IF($A185="","",TEXT($A185,"mmmm/yyyy"))</f>
        <v/>
      </c>
      <c r="P185">
        <f>IFERROR(_xludf.XLOOKUP($N185,Base_Enderecos!$A:$A,Base_Enderecos!$B:$B,""),"")</f>
        <v/>
      </c>
      <c r="Q185">
        <f>IFERROR(_xludf.XLOOKUP($N185,Base_Enderecos!$A:$A,Base_Enderecos!$C:$C,""),"")</f>
        <v/>
      </c>
      <c r="R185">
        <f>IF(OR(ISNUMBER(SEARCH("HDD",$F185)),ISNUMBER(SEARCH("MND",$F185)),ISNUMBER(SEARCH("PEAD",$F185)),ISNUMBER(SEARCH("Puxe",$J185)),ISNUMBER(SEARCH("Apoio HDD",$F185))),"MND",IF(OR(ISNUMBER(SEARCH("VCA",$F185)),ISNUMBER(SEARCH("PVC",$F185)),ISNUMBER(SEARCH("vca",$J185)),ISNUMBER(SEARCH("Transformação",$J185))),"VCA",IF(OR(ISNUMBER(SEARCH("crava",$F185)),ISNUMBER(SEARCH("tubo cravado",$F185)),ISNUMBER(SEARCH("shaft",$J185)),ISNUMBER(SEARCH("concreto",$F185))),"TUBO CRAVADO","")))</f>
        <v/>
      </c>
      <c r="T185">
        <f>IF($A185="","",TEXT($A185,"yyyymm")&amp;"|"&amp;$C185&amp;"|"&amp;$F185&amp;"|"&amp;$N185&amp;"|"&amp;$R185)</f>
        <v/>
      </c>
    </row>
    <row r="186" ht="11.55" customHeight="1">
      <c r="A186" s="10" t="n">
        <v>46008</v>
      </c>
      <c r="B186" s="7" t="inlineStr">
        <is>
          <t>Quarta</t>
        </is>
      </c>
      <c r="C186" s="7" t="inlineStr">
        <is>
          <t>CT Lourdes</t>
        </is>
      </c>
      <c r="D186" s="7" t="n"/>
      <c r="E186" s="7" t="inlineStr">
        <is>
          <t>Work Drill (Bruno)</t>
        </is>
      </c>
      <c r="F186" s="13" t="inlineStr">
        <is>
          <t>Execução furo piloto entre PVs 12 ao 13</t>
        </is>
      </c>
      <c r="G186" s="7" t="inlineStr">
        <is>
          <t>12</t>
        </is>
      </c>
      <c r="H186" s="7" t="n"/>
      <c r="I186" s="7" t="inlineStr">
        <is>
          <t>12</t>
        </is>
      </c>
      <c r="J186" s="7" t="inlineStr">
        <is>
          <t>Furo piloto</t>
        </is>
      </c>
      <c r="K186" s="7" t="inlineStr">
        <is>
          <t>Planejamento</t>
        </is>
      </c>
      <c r="L186" s="16" t="inlineStr">
        <is>
          <t>PDS-dezembro(1).docx</t>
        </is>
      </c>
      <c r="M186">
        <f>IF($A186="","",TEXT($A186,"mmmm/yyyy"))</f>
        <v/>
      </c>
      <c r="P186">
        <f>IFERROR(_xludf.XLOOKUP($N186,Base_Enderecos!$A:$A,Base_Enderecos!$B:$B,""),"")</f>
        <v/>
      </c>
      <c r="Q186">
        <f>IFERROR(_xludf.XLOOKUP($N186,Base_Enderecos!$A:$A,Base_Enderecos!$C:$C,""),"")</f>
        <v/>
      </c>
      <c r="R186">
        <f>IF(OR(ISNUMBER(SEARCH("HDD",$F186)),ISNUMBER(SEARCH("MND",$F186)),ISNUMBER(SEARCH("PEAD",$F186)),ISNUMBER(SEARCH("Puxe",$J186)),ISNUMBER(SEARCH("Apoio HDD",$F186))),"MND",IF(OR(ISNUMBER(SEARCH("VCA",$F186)),ISNUMBER(SEARCH("PVC",$F186)),ISNUMBER(SEARCH("vca",$J186)),ISNUMBER(SEARCH("Transformação",$J186))),"VCA",IF(OR(ISNUMBER(SEARCH("crava",$F186)),ISNUMBER(SEARCH("tubo cravado",$F186)),ISNUMBER(SEARCH("shaft",$J186)),ISNUMBER(SEARCH("concreto",$F186))),"TUBO CRAVADO","")))</f>
        <v/>
      </c>
      <c r="T186">
        <f>IF($A186="","",TEXT($A186,"yyyymm")&amp;"|"&amp;$C186&amp;"|"&amp;$F186&amp;"|"&amp;$N186&amp;"|"&amp;$R186)</f>
        <v/>
      </c>
    </row>
    <row r="187" ht="11.55" customHeight="1">
      <c r="A187" s="10" t="n">
        <v>46008</v>
      </c>
      <c r="B187" s="7" t="inlineStr">
        <is>
          <t>Quarta</t>
        </is>
      </c>
      <c r="C187" s="7" t="inlineStr">
        <is>
          <t>CT Lourdes</t>
        </is>
      </c>
      <c r="D187" s="7" t="n"/>
      <c r="E187" s="7" t="inlineStr">
        <is>
          <t>Fabrício</t>
        </is>
      </c>
      <c r="F187" s="13" t="inlineStr">
        <is>
          <t>Apoio HDD entre PVs 12 ao 13</t>
        </is>
      </c>
      <c r="G187" s="7" t="inlineStr">
        <is>
          <t>12</t>
        </is>
      </c>
      <c r="H187" s="7" t="n"/>
      <c r="I187" s="7" t="inlineStr">
        <is>
          <t>12</t>
        </is>
      </c>
      <c r="J187" s="7" t="inlineStr">
        <is>
          <t>Apoio HDD</t>
        </is>
      </c>
      <c r="K187" s="7" t="inlineStr">
        <is>
          <t>Planejamento</t>
        </is>
      </c>
      <c r="L187" s="16" t="inlineStr">
        <is>
          <t>PDS-dezembro(1).docx</t>
        </is>
      </c>
      <c r="M187">
        <f>IF($A187="","",TEXT($A187,"mmmm/yyyy"))</f>
        <v/>
      </c>
      <c r="P187">
        <f>IFERROR(_xludf.XLOOKUP($N187,Base_Enderecos!$A:$A,Base_Enderecos!$B:$B,""),"")</f>
        <v/>
      </c>
      <c r="Q187">
        <f>IFERROR(_xludf.XLOOKUP($N187,Base_Enderecos!$A:$A,Base_Enderecos!$C:$C,""),"")</f>
        <v/>
      </c>
      <c r="R187">
        <f>IF(OR(ISNUMBER(SEARCH("HDD",$F187)),ISNUMBER(SEARCH("MND",$F187)),ISNUMBER(SEARCH("PEAD",$F187)),ISNUMBER(SEARCH("Puxe",$J187)),ISNUMBER(SEARCH("Apoio HDD",$F187))),"MND",IF(OR(ISNUMBER(SEARCH("VCA",$F187)),ISNUMBER(SEARCH("PVC",$F187)),ISNUMBER(SEARCH("vca",$J187)),ISNUMBER(SEARCH("Transformação",$J187))),"VCA",IF(OR(ISNUMBER(SEARCH("crava",$F187)),ISNUMBER(SEARCH("tubo cravado",$F187)),ISNUMBER(SEARCH("shaft",$J187)),ISNUMBER(SEARCH("concreto",$F187))),"TUBO CRAVADO","")))</f>
        <v/>
      </c>
      <c r="T187">
        <f>IF($A187="","",TEXT($A187,"yyyymm")&amp;"|"&amp;$C187&amp;"|"&amp;$F187&amp;"|"&amp;$N187&amp;"|"&amp;$R187)</f>
        <v/>
      </c>
    </row>
    <row r="188" ht="11.55" customHeight="1">
      <c r="A188" s="10" t="n">
        <v>46008</v>
      </c>
      <c r="B188" s="7" t="inlineStr">
        <is>
          <t>Quarta</t>
        </is>
      </c>
      <c r="C188" s="7" t="inlineStr">
        <is>
          <t>CT Lourdes</t>
        </is>
      </c>
      <c r="D188" s="7" t="n"/>
      <c r="E188" s="7" t="inlineStr">
        <is>
          <t>LS</t>
        </is>
      </c>
      <c r="F188" s="13" t="inlineStr">
        <is>
          <t>Ajuste e limpeza PV 19</t>
        </is>
      </c>
      <c r="G188" s="7" t="inlineStr">
        <is>
          <t>19</t>
        </is>
      </c>
      <c r="H188" s="7" t="n"/>
      <c r="I188" s="7" t="inlineStr">
        <is>
          <t>19</t>
        </is>
      </c>
      <c r="J188" s="7" t="inlineStr">
        <is>
          <t>Limpeza</t>
        </is>
      </c>
      <c r="K188" s="7" t="inlineStr">
        <is>
          <t>Planejamento</t>
        </is>
      </c>
      <c r="L188" s="16" t="inlineStr">
        <is>
          <t>PDS-dezembro(1).docx</t>
        </is>
      </c>
      <c r="M188">
        <f>IF($A188="","",TEXT($A188,"mmmm/yyyy"))</f>
        <v/>
      </c>
      <c r="P188">
        <f>IFERROR(_xludf.XLOOKUP($N188,Base_Enderecos!$A:$A,Base_Enderecos!$B:$B,""),"")</f>
        <v/>
      </c>
      <c r="Q188">
        <f>IFERROR(_xludf.XLOOKUP($N188,Base_Enderecos!$A:$A,Base_Enderecos!$C:$C,""),"")</f>
        <v/>
      </c>
      <c r="R188">
        <f>IF(OR(ISNUMBER(SEARCH("HDD",$F188)),ISNUMBER(SEARCH("MND",$F188)),ISNUMBER(SEARCH("PEAD",$F188)),ISNUMBER(SEARCH("Puxe",$J188)),ISNUMBER(SEARCH("Apoio HDD",$F188))),"MND",IF(OR(ISNUMBER(SEARCH("VCA",$F188)),ISNUMBER(SEARCH("PVC",$F188)),ISNUMBER(SEARCH("vca",$J188)),ISNUMBER(SEARCH("Transformação",$J188))),"VCA",IF(OR(ISNUMBER(SEARCH("crava",$F188)),ISNUMBER(SEARCH("tubo cravado",$F188)),ISNUMBER(SEARCH("shaft",$J188)),ISNUMBER(SEARCH("concreto",$F188))),"TUBO CRAVADO","")))</f>
        <v/>
      </c>
      <c r="T188">
        <f>IF($A188="","",TEXT($A188,"yyyymm")&amp;"|"&amp;$C188&amp;"|"&amp;$F188&amp;"|"&amp;$N188&amp;"|"&amp;$R188)</f>
        <v/>
      </c>
    </row>
    <row r="189" ht="11.55" customHeight="1">
      <c r="A189" s="10" t="n">
        <v>46008</v>
      </c>
      <c r="B189" s="7" t="inlineStr">
        <is>
          <t>Quarta</t>
        </is>
      </c>
      <c r="C189" s="7" t="inlineStr">
        <is>
          <t>CT Miriam</t>
        </is>
      </c>
      <c r="D189" s="7" t="n"/>
      <c r="E189" s="7" t="inlineStr">
        <is>
          <t>Piso (Edson)</t>
        </is>
      </c>
      <c r="F189" s="13" t="inlineStr">
        <is>
          <t>Reparos passeio, guias e sarjeta entre PV 57</t>
        </is>
      </c>
      <c r="G189" s="7" t="inlineStr">
        <is>
          <t>57</t>
        </is>
      </c>
      <c r="H189" s="7" t="n"/>
      <c r="I189" s="7" t="inlineStr">
        <is>
          <t>57</t>
        </is>
      </c>
      <c r="J189" s="7" t="inlineStr">
        <is>
          <t>Reparo</t>
        </is>
      </c>
      <c r="K189" s="7" t="inlineStr">
        <is>
          <t>Planejamento</t>
        </is>
      </c>
      <c r="L189" s="16" t="inlineStr">
        <is>
          <t>PDS-dezembro(1).docx</t>
        </is>
      </c>
      <c r="M189">
        <f>IF($A189="","",TEXT($A189,"mmmm/yyyy"))</f>
        <v/>
      </c>
      <c r="P189">
        <f>IFERROR(_xludf.XLOOKUP($N189,Base_Enderecos!$A:$A,Base_Enderecos!$B:$B,""),"")</f>
        <v/>
      </c>
      <c r="Q189">
        <f>IFERROR(_xludf.XLOOKUP($N189,Base_Enderecos!$A:$A,Base_Enderecos!$C:$C,""),"")</f>
        <v/>
      </c>
      <c r="R189">
        <f>IF(OR(ISNUMBER(SEARCH("HDD",$F189)),ISNUMBER(SEARCH("MND",$F189)),ISNUMBER(SEARCH("PEAD",$F189)),ISNUMBER(SEARCH("Puxe",$J189)),ISNUMBER(SEARCH("Apoio HDD",$F189))),"MND",IF(OR(ISNUMBER(SEARCH("VCA",$F189)),ISNUMBER(SEARCH("PVC",$F189)),ISNUMBER(SEARCH("vca",$J189)),ISNUMBER(SEARCH("Transformação",$J189))),"VCA",IF(OR(ISNUMBER(SEARCH("crava",$F189)),ISNUMBER(SEARCH("tubo cravado",$F189)),ISNUMBER(SEARCH("shaft",$J189)),ISNUMBER(SEARCH("concreto",$F189))),"TUBO CRAVADO","")))</f>
        <v/>
      </c>
      <c r="T189">
        <f>IF($A189="","",TEXT($A189,"yyyymm")&amp;"|"&amp;$C189&amp;"|"&amp;$F189&amp;"|"&amp;$N189&amp;"|"&amp;$R189)</f>
        <v/>
      </c>
    </row>
    <row r="190" ht="11.55" customHeight="1">
      <c r="A190" s="10" t="n">
        <v>46008</v>
      </c>
      <c r="B190" s="7" t="inlineStr">
        <is>
          <t>Quarta</t>
        </is>
      </c>
      <c r="C190" s="7" t="inlineStr">
        <is>
          <t>Vacal</t>
        </is>
      </c>
      <c r="D190" s="7" t="n"/>
      <c r="E190" s="7" t="inlineStr">
        <is>
          <t>Lourdes</t>
        </is>
      </c>
      <c r="F190" s="13" t="inlineStr">
        <is>
          <t>Apoio Vacal</t>
        </is>
      </c>
      <c r="G190" s="7" t="n"/>
      <c r="H190" s="7" t="n"/>
      <c r="I190" s="7" t="n"/>
      <c r="J190" s="7" t="inlineStr">
        <is>
          <t>Vacal</t>
        </is>
      </c>
      <c r="K190" s="7" t="inlineStr">
        <is>
          <t>Apoio</t>
        </is>
      </c>
      <c r="L190" s="16" t="inlineStr">
        <is>
          <t>PDS-dezembro(1).docx</t>
        </is>
      </c>
      <c r="M190">
        <f>IF($A190="","",TEXT($A190,"mmmm/yyyy"))</f>
        <v/>
      </c>
      <c r="P190">
        <f>IFERROR(_xludf.XLOOKUP($N190,Base_Enderecos!$A:$A,Base_Enderecos!$B:$B,""),"")</f>
        <v/>
      </c>
      <c r="Q190">
        <f>IFERROR(_xludf.XLOOKUP($N190,Base_Enderecos!$A:$A,Base_Enderecos!$C:$C,""),"")</f>
        <v/>
      </c>
      <c r="R190">
        <f>IF(OR(ISNUMBER(SEARCH("HDD",$F190)),ISNUMBER(SEARCH("MND",$F190)),ISNUMBER(SEARCH("PEAD",$F190)),ISNUMBER(SEARCH("Puxe",$J190)),ISNUMBER(SEARCH("Apoio HDD",$F190))),"MND",IF(OR(ISNUMBER(SEARCH("VCA",$F190)),ISNUMBER(SEARCH("PVC",$F190)),ISNUMBER(SEARCH("vca",$J190)),ISNUMBER(SEARCH("Transformação",$J190))),"VCA",IF(OR(ISNUMBER(SEARCH("crava",$F190)),ISNUMBER(SEARCH("tubo cravado",$F190)),ISNUMBER(SEARCH("shaft",$J190)),ISNUMBER(SEARCH("concreto",$F190))),"TUBO CRAVADO","")))</f>
        <v/>
      </c>
      <c r="T190">
        <f>IF($A190="","",TEXT($A190,"yyyymm")&amp;"|"&amp;$C190&amp;"|"&amp;$F190&amp;"|"&amp;$N190&amp;"|"&amp;$R190)</f>
        <v/>
      </c>
    </row>
    <row r="191" ht="11.55" customHeight="1">
      <c r="A191" s="10" t="n">
        <v>46008</v>
      </c>
      <c r="B191" s="7" t="inlineStr">
        <is>
          <t>Quarta</t>
        </is>
      </c>
      <c r="C191" s="7" t="inlineStr">
        <is>
          <t>Vacal</t>
        </is>
      </c>
      <c r="D191" s="7" t="n"/>
      <c r="E191" s="7" t="inlineStr">
        <is>
          <t>Lourdes</t>
        </is>
      </c>
      <c r="F191" s="13" t="inlineStr">
        <is>
          <t>Apoio Vacal</t>
        </is>
      </c>
      <c r="G191" s="7" t="n"/>
      <c r="H191" s="7" t="n"/>
      <c r="I191" s="7" t="n"/>
      <c r="J191" s="7" t="inlineStr">
        <is>
          <t>Vacal</t>
        </is>
      </c>
      <c r="K191" s="7" t="inlineStr">
        <is>
          <t>Apoio</t>
        </is>
      </c>
      <c r="L191" s="16" t="inlineStr">
        <is>
          <t>PDS-dezembro(1).docx</t>
        </is>
      </c>
      <c r="M191">
        <f>IF($A191="","",TEXT($A191,"mmmm/yyyy"))</f>
        <v/>
      </c>
      <c r="P191">
        <f>IFERROR(_xludf.XLOOKUP($N191,Base_Enderecos!$A:$A,Base_Enderecos!$B:$B,""),"")</f>
        <v/>
      </c>
      <c r="Q191">
        <f>IFERROR(_xludf.XLOOKUP($N191,Base_Enderecos!$A:$A,Base_Enderecos!$C:$C,""),"")</f>
        <v/>
      </c>
      <c r="R191">
        <f>IF(OR(ISNUMBER(SEARCH("HDD",$F191)),ISNUMBER(SEARCH("MND",$F191)),ISNUMBER(SEARCH("PEAD",$F191)),ISNUMBER(SEARCH("Puxe",$J191)),ISNUMBER(SEARCH("Apoio HDD",$F191))),"MND",IF(OR(ISNUMBER(SEARCH("VCA",$F191)),ISNUMBER(SEARCH("PVC",$F191)),ISNUMBER(SEARCH("vca",$J191)),ISNUMBER(SEARCH("Transformação",$J191))),"VCA",IF(OR(ISNUMBER(SEARCH("crava",$F191)),ISNUMBER(SEARCH("tubo cravado",$F191)),ISNUMBER(SEARCH("shaft",$J191)),ISNUMBER(SEARCH("concreto",$F191))),"TUBO CRAVADO","")))</f>
        <v/>
      </c>
      <c r="T191">
        <f>IF($A191="","",TEXT($A191,"yyyymm")&amp;"|"&amp;$C191&amp;"|"&amp;$F191&amp;"|"&amp;$N191&amp;"|"&amp;$R191)</f>
        <v/>
      </c>
    </row>
    <row r="192" ht="11.55" customHeight="1">
      <c r="A192" s="10" t="n">
        <v>46008</v>
      </c>
      <c r="B192" s="7" t="inlineStr">
        <is>
          <t>Quarta</t>
        </is>
      </c>
      <c r="C192" s="7" t="inlineStr">
        <is>
          <t>Vacal</t>
        </is>
      </c>
      <c r="D192" s="7" t="n"/>
      <c r="E192" s="7" t="n"/>
      <c r="F192" s="13" t="inlineStr">
        <is>
          <t>Apoio Vacal</t>
        </is>
      </c>
      <c r="G192" s="7" t="n"/>
      <c r="H192" s="7" t="n"/>
      <c r="I192" s="7" t="n"/>
      <c r="J192" s="7" t="inlineStr">
        <is>
          <t>Vacal</t>
        </is>
      </c>
      <c r="K192" s="7" t="inlineStr">
        <is>
          <t>Apoio</t>
        </is>
      </c>
      <c r="L192" s="16" t="inlineStr">
        <is>
          <t>PDS-dezembro(1).docx</t>
        </is>
      </c>
      <c r="M192">
        <f>IF($A192="","",TEXT($A192,"mmmm/yyyy"))</f>
        <v/>
      </c>
      <c r="P192">
        <f>IFERROR(_xludf.XLOOKUP($N192,Base_Enderecos!$A:$A,Base_Enderecos!$B:$B,""),"")</f>
        <v/>
      </c>
      <c r="Q192">
        <f>IFERROR(_xludf.XLOOKUP($N192,Base_Enderecos!$A:$A,Base_Enderecos!$C:$C,""),"")</f>
        <v/>
      </c>
      <c r="R192">
        <f>IF(OR(ISNUMBER(SEARCH("HDD",$F192)),ISNUMBER(SEARCH("MND",$F192)),ISNUMBER(SEARCH("PEAD",$F192)),ISNUMBER(SEARCH("Puxe",$J192)),ISNUMBER(SEARCH("Apoio HDD",$F192))),"MND",IF(OR(ISNUMBER(SEARCH("VCA",$F192)),ISNUMBER(SEARCH("PVC",$F192)),ISNUMBER(SEARCH("vca",$J192)),ISNUMBER(SEARCH("Transformação",$J192))),"VCA",IF(OR(ISNUMBER(SEARCH("crava",$F192)),ISNUMBER(SEARCH("tubo cravado",$F192)),ISNUMBER(SEARCH("shaft",$J192)),ISNUMBER(SEARCH("concreto",$F192))),"TUBO CRAVADO","")))</f>
        <v/>
      </c>
      <c r="T192">
        <f>IF($A192="","",TEXT($A192,"yyyymm")&amp;"|"&amp;$C192&amp;"|"&amp;$F192&amp;"|"&amp;$N192&amp;"|"&amp;$R192)</f>
        <v/>
      </c>
    </row>
    <row r="193" ht="11.55" customHeight="1">
      <c r="A193" s="10" t="n">
        <v>46008</v>
      </c>
      <c r="B193" s="7" t="inlineStr">
        <is>
          <t>Quarta</t>
        </is>
      </c>
      <c r="C193" s="7" t="inlineStr">
        <is>
          <t>Guindauto</t>
        </is>
      </c>
      <c r="D193" s="7" t="n"/>
      <c r="E193" s="7" t="inlineStr">
        <is>
          <t>Rodrigo apoio as equipes</t>
        </is>
      </c>
      <c r="F193" s="13" t="inlineStr">
        <is>
          <t>Rodrigo apoio as equipes</t>
        </is>
      </c>
      <c r="G193" s="7" t="n"/>
      <c r="H193" s="7" t="n"/>
      <c r="I193" s="7" t="n"/>
      <c r="J193" s="7" t="inlineStr">
        <is>
          <t>Guindauto</t>
        </is>
      </c>
      <c r="K193" s="7" t="inlineStr">
        <is>
          <t>Apoio</t>
        </is>
      </c>
      <c r="L193" s="16" t="inlineStr">
        <is>
          <t>PDS-dezembro(1).docx</t>
        </is>
      </c>
      <c r="M193">
        <f>IF($A193="","",TEXT($A193,"mmmm/yyyy"))</f>
        <v/>
      </c>
      <c r="P193">
        <f>IFERROR(_xludf.XLOOKUP($N193,Base_Enderecos!$A:$A,Base_Enderecos!$B:$B,""),"")</f>
        <v/>
      </c>
      <c r="Q193">
        <f>IFERROR(_xludf.XLOOKUP($N193,Base_Enderecos!$A:$A,Base_Enderecos!$C:$C,""),"")</f>
        <v/>
      </c>
      <c r="R193">
        <f>IF(OR(ISNUMBER(SEARCH("HDD",$F193)),ISNUMBER(SEARCH("MND",$F193)),ISNUMBER(SEARCH("PEAD",$F193)),ISNUMBER(SEARCH("Puxe",$J193)),ISNUMBER(SEARCH("Apoio HDD",$F193))),"MND",IF(OR(ISNUMBER(SEARCH("VCA",$F193)),ISNUMBER(SEARCH("PVC",$F193)),ISNUMBER(SEARCH("vca",$J193)),ISNUMBER(SEARCH("Transformação",$J193))),"VCA",IF(OR(ISNUMBER(SEARCH("crava",$F193)),ISNUMBER(SEARCH("tubo cravado",$F193)),ISNUMBER(SEARCH("shaft",$J193)),ISNUMBER(SEARCH("concreto",$F193))),"TUBO CRAVADO","")))</f>
        <v/>
      </c>
      <c r="T193">
        <f>IF($A193="","",TEXT($A193,"yyyymm")&amp;"|"&amp;$C193&amp;"|"&amp;$F193&amp;"|"&amp;$N193&amp;"|"&amp;$R193)</f>
        <v/>
      </c>
    </row>
    <row r="194" ht="11.55" customHeight="1">
      <c r="A194" s="10" t="n">
        <v>46008</v>
      </c>
      <c r="B194" s="7" t="inlineStr">
        <is>
          <t>Quarta</t>
        </is>
      </c>
      <c r="C194" s="7" t="inlineStr">
        <is>
          <t>Guindauto</t>
        </is>
      </c>
      <c r="D194" s="7" t="n"/>
      <c r="E194" s="7" t="inlineStr">
        <is>
          <t>Marcio apoio as equipes.</t>
        </is>
      </c>
      <c r="F194" s="13" t="inlineStr">
        <is>
          <t>Marcio apoio as equipes.</t>
        </is>
      </c>
      <c r="G194" s="7" t="n"/>
      <c r="H194" s="7" t="n"/>
      <c r="I194" s="7" t="n"/>
      <c r="J194" s="7" t="inlineStr">
        <is>
          <t>Guindauto</t>
        </is>
      </c>
      <c r="K194" s="7" t="inlineStr">
        <is>
          <t>Apoio</t>
        </is>
      </c>
      <c r="L194" s="16" t="inlineStr">
        <is>
          <t>PDS-dezembro(1).docx</t>
        </is>
      </c>
      <c r="M194">
        <f>IF($A194="","",TEXT($A194,"mmmm/yyyy"))</f>
        <v/>
      </c>
      <c r="P194">
        <f>IFERROR(_xludf.XLOOKUP($N194,Base_Enderecos!$A:$A,Base_Enderecos!$B:$B,""),"")</f>
        <v/>
      </c>
      <c r="Q194">
        <f>IFERROR(_xludf.XLOOKUP($N194,Base_Enderecos!$A:$A,Base_Enderecos!$C:$C,""),"")</f>
        <v/>
      </c>
      <c r="R194">
        <f>IF(OR(ISNUMBER(SEARCH("HDD",$F194)),ISNUMBER(SEARCH("MND",$F194)),ISNUMBER(SEARCH("PEAD",$F194)),ISNUMBER(SEARCH("Puxe",$J194)),ISNUMBER(SEARCH("Apoio HDD",$F194))),"MND",IF(OR(ISNUMBER(SEARCH("VCA",$F194)),ISNUMBER(SEARCH("PVC",$F194)),ISNUMBER(SEARCH("vca",$J194)),ISNUMBER(SEARCH("Transformação",$J194))),"VCA",IF(OR(ISNUMBER(SEARCH("crava",$F194)),ISNUMBER(SEARCH("tubo cravado",$F194)),ISNUMBER(SEARCH("shaft",$J194)),ISNUMBER(SEARCH("concreto",$F194))),"TUBO CRAVADO","")))</f>
        <v/>
      </c>
      <c r="T194">
        <f>IF($A194="","",TEXT($A194,"yyyymm")&amp;"|"&amp;$C194&amp;"|"&amp;$F194&amp;"|"&amp;$N194&amp;"|"&amp;$R194)</f>
        <v/>
      </c>
    </row>
    <row r="195" ht="11.55" customHeight="1">
      <c r="A195" s="10" t="n">
        <v>46009</v>
      </c>
      <c r="B195" s="7" t="inlineStr">
        <is>
          <t>Quinta</t>
        </is>
      </c>
      <c r="C195" s="7" t="inlineStr">
        <is>
          <t>CT *Lajeado</t>
        </is>
      </c>
      <c r="D195" s="7" t="n"/>
      <c r="E195" s="7" t="inlineStr">
        <is>
          <t>Higor</t>
        </is>
      </c>
      <c r="F195" s="13" t="inlineStr">
        <is>
          <t>Acabamentos gerais nos PVs</t>
        </is>
      </c>
      <c r="G195" s="7" t="n"/>
      <c r="H195" s="7" t="n"/>
      <c r="I195" s="7" t="n"/>
      <c r="J195" s="7" t="inlineStr">
        <is>
          <t>Acabamento</t>
        </is>
      </c>
      <c r="K195" s="7" t="inlineStr">
        <is>
          <t>Planejamento</t>
        </is>
      </c>
      <c r="L195" s="16" t="inlineStr">
        <is>
          <t>PDS-dezembro(1).docx</t>
        </is>
      </c>
      <c r="M195">
        <f>IF($A195="","",TEXT($A195,"mmmm/yyyy"))</f>
        <v/>
      </c>
      <c r="P195">
        <f>IFERROR(_xludf.XLOOKUP($N195,Base_Enderecos!$A:$A,Base_Enderecos!$B:$B,""),"")</f>
        <v/>
      </c>
      <c r="Q195">
        <f>IFERROR(_xludf.XLOOKUP($N195,Base_Enderecos!$A:$A,Base_Enderecos!$C:$C,""),"")</f>
        <v/>
      </c>
      <c r="R195">
        <f>IF(OR(ISNUMBER(SEARCH("HDD",$F195)),ISNUMBER(SEARCH("MND",$F195)),ISNUMBER(SEARCH("PEAD",$F195)),ISNUMBER(SEARCH("Puxe",$J195)),ISNUMBER(SEARCH("Apoio HDD",$F195))),"MND",IF(OR(ISNUMBER(SEARCH("VCA",$F195)),ISNUMBER(SEARCH("PVC",$F195)),ISNUMBER(SEARCH("vca",$J195)),ISNUMBER(SEARCH("Transformação",$J195))),"VCA",IF(OR(ISNUMBER(SEARCH("crava",$F195)),ISNUMBER(SEARCH("tubo cravado",$F195)),ISNUMBER(SEARCH("shaft",$J195)),ISNUMBER(SEARCH("concreto",$F195))),"TUBO CRAVADO","")))</f>
        <v/>
      </c>
      <c r="T195">
        <f>IF($A195="","",TEXT($A195,"yyyymm")&amp;"|"&amp;$C195&amp;"|"&amp;$F195&amp;"|"&amp;$N195&amp;"|"&amp;$R195)</f>
        <v/>
      </c>
    </row>
    <row r="196" ht="11.55" customHeight="1">
      <c r="A196" s="10" t="n">
        <v>46009</v>
      </c>
      <c r="B196" s="7" t="inlineStr">
        <is>
          <t>Quinta</t>
        </is>
      </c>
      <c r="C196" s="7" t="inlineStr">
        <is>
          <t>CT *Lajeado</t>
        </is>
      </c>
      <c r="D196" s="7" t="n"/>
      <c r="E196" s="7" t="inlineStr">
        <is>
          <t>Cesar</t>
        </is>
      </c>
      <c r="F196" s="13" t="inlineStr">
        <is>
          <t>Transformação PV 19</t>
        </is>
      </c>
      <c r="G196" s="7" t="inlineStr">
        <is>
          <t>19</t>
        </is>
      </c>
      <c r="H196" s="7" t="n"/>
      <c r="I196" s="7" t="inlineStr">
        <is>
          <t>19</t>
        </is>
      </c>
      <c r="J196" s="7" t="inlineStr">
        <is>
          <t>Transformação</t>
        </is>
      </c>
      <c r="K196" s="7" t="inlineStr">
        <is>
          <t>Planejamento</t>
        </is>
      </c>
      <c r="L196" s="16" t="inlineStr">
        <is>
          <t>PDS-dezembro(1).docx</t>
        </is>
      </c>
      <c r="M196">
        <f>IF($A196="","",TEXT($A196,"mmmm/yyyy"))</f>
        <v/>
      </c>
      <c r="P196">
        <f>IFERROR(_xludf.XLOOKUP($N196,Base_Enderecos!$A:$A,Base_Enderecos!$B:$B,""),"")</f>
        <v/>
      </c>
      <c r="Q196">
        <f>IFERROR(_xludf.XLOOKUP($N196,Base_Enderecos!$A:$A,Base_Enderecos!$C:$C,""),"")</f>
        <v/>
      </c>
      <c r="R196">
        <f>IF(OR(ISNUMBER(SEARCH("HDD",$F196)),ISNUMBER(SEARCH("MND",$F196)),ISNUMBER(SEARCH("PEAD",$F196)),ISNUMBER(SEARCH("Puxe",$J196)),ISNUMBER(SEARCH("Apoio HDD",$F196))),"MND",IF(OR(ISNUMBER(SEARCH("VCA",$F196)),ISNUMBER(SEARCH("PVC",$F196)),ISNUMBER(SEARCH("vca",$J196)),ISNUMBER(SEARCH("Transformação",$J196))),"VCA",IF(OR(ISNUMBER(SEARCH("crava",$F196)),ISNUMBER(SEARCH("tubo cravado",$F196)),ISNUMBER(SEARCH("shaft",$J196)),ISNUMBER(SEARCH("concreto",$F196))),"TUBO CRAVADO","")))</f>
        <v/>
      </c>
      <c r="T196">
        <f>IF($A196="","",TEXT($A196,"yyyymm")&amp;"|"&amp;$C196&amp;"|"&amp;$F196&amp;"|"&amp;$N196&amp;"|"&amp;$R196)</f>
        <v/>
      </c>
    </row>
    <row r="197" ht="11.55" customHeight="1">
      <c r="A197" s="10" t="n">
        <v>46009</v>
      </c>
      <c r="B197" s="7" t="inlineStr">
        <is>
          <t>Quinta</t>
        </is>
      </c>
      <c r="C197" s="7" t="inlineStr">
        <is>
          <t>CT *Lajeado</t>
        </is>
      </c>
      <c r="D197" s="7" t="n"/>
      <c r="E197" s="7" t="inlineStr">
        <is>
          <t>Edivando</t>
        </is>
      </c>
      <c r="F197" s="13" t="inlineStr">
        <is>
          <t>Transformação PV 16</t>
        </is>
      </c>
      <c r="G197" s="7" t="inlineStr">
        <is>
          <t>16</t>
        </is>
      </c>
      <c r="H197" s="7" t="n"/>
      <c r="I197" s="7" t="inlineStr">
        <is>
          <t>16</t>
        </is>
      </c>
      <c r="J197" s="7" t="inlineStr">
        <is>
          <t>Transformação</t>
        </is>
      </c>
      <c r="K197" s="7" t="inlineStr">
        <is>
          <t>Planejamento</t>
        </is>
      </c>
      <c r="L197" s="16" t="inlineStr">
        <is>
          <t>PDS-dezembro(1).docx</t>
        </is>
      </c>
      <c r="M197">
        <f>IF($A197="","",TEXT($A197,"mmmm/yyyy"))</f>
        <v/>
      </c>
      <c r="P197">
        <f>IFERROR(_xludf.XLOOKUP($N197,Base_Enderecos!$A:$A,Base_Enderecos!$B:$B,""),"")</f>
        <v/>
      </c>
      <c r="Q197">
        <f>IFERROR(_xludf.XLOOKUP($N197,Base_Enderecos!$A:$A,Base_Enderecos!$C:$C,""),"")</f>
        <v/>
      </c>
      <c r="R197">
        <f>IF(OR(ISNUMBER(SEARCH("HDD",$F197)),ISNUMBER(SEARCH("MND",$F197)),ISNUMBER(SEARCH("PEAD",$F197)),ISNUMBER(SEARCH("Puxe",$J197)),ISNUMBER(SEARCH("Apoio HDD",$F197))),"MND",IF(OR(ISNUMBER(SEARCH("VCA",$F197)),ISNUMBER(SEARCH("PVC",$F197)),ISNUMBER(SEARCH("vca",$J197)),ISNUMBER(SEARCH("Transformação",$J197))),"VCA",IF(OR(ISNUMBER(SEARCH("crava",$F197)),ISNUMBER(SEARCH("tubo cravado",$F197)),ISNUMBER(SEARCH("shaft",$J197)),ISNUMBER(SEARCH("concreto",$F197))),"TUBO CRAVADO","")))</f>
        <v/>
      </c>
      <c r="T197">
        <f>IF($A197="","",TEXT($A197,"yyyymm")&amp;"|"&amp;$C197&amp;"|"&amp;$F197&amp;"|"&amp;$N197&amp;"|"&amp;$R197)</f>
        <v/>
      </c>
    </row>
    <row r="198" ht="11.55" customHeight="1">
      <c r="A198" s="10" t="n">
        <v>46009</v>
      </c>
      <c r="B198" s="7" t="inlineStr">
        <is>
          <t>Quinta</t>
        </is>
      </c>
      <c r="C198" s="7" t="inlineStr">
        <is>
          <t>CT *Lajeado</t>
        </is>
      </c>
      <c r="D198" s="7" t="n"/>
      <c r="E198" s="7" t="inlineStr">
        <is>
          <t>Valter</t>
        </is>
      </c>
      <c r="F198" s="13" t="inlineStr">
        <is>
          <t>Transformação PV 18</t>
        </is>
      </c>
      <c r="G198" s="7" t="inlineStr">
        <is>
          <t>18</t>
        </is>
      </c>
      <c r="H198" s="7" t="n"/>
      <c r="I198" s="7" t="inlineStr">
        <is>
          <t>18</t>
        </is>
      </c>
      <c r="J198" s="7" t="inlineStr">
        <is>
          <t>Transformação</t>
        </is>
      </c>
      <c r="K198" s="7" t="inlineStr">
        <is>
          <t>Planejamento</t>
        </is>
      </c>
      <c r="L198" s="16" t="inlineStr">
        <is>
          <t>PDS-dezembro(1).docx</t>
        </is>
      </c>
      <c r="M198">
        <f>IF($A198="","",TEXT($A198,"mmmm/yyyy"))</f>
        <v/>
      </c>
      <c r="P198">
        <f>IFERROR(_xludf.XLOOKUP($N198,Base_Enderecos!$A:$A,Base_Enderecos!$B:$B,""),"")</f>
        <v/>
      </c>
      <c r="Q198">
        <f>IFERROR(_xludf.XLOOKUP($N198,Base_Enderecos!$A:$A,Base_Enderecos!$C:$C,""),"")</f>
        <v/>
      </c>
      <c r="R198">
        <f>IF(OR(ISNUMBER(SEARCH("HDD",$F198)),ISNUMBER(SEARCH("MND",$F198)),ISNUMBER(SEARCH("PEAD",$F198)),ISNUMBER(SEARCH("Puxe",$J198)),ISNUMBER(SEARCH("Apoio HDD",$F198))),"MND",IF(OR(ISNUMBER(SEARCH("VCA",$F198)),ISNUMBER(SEARCH("PVC",$F198)),ISNUMBER(SEARCH("vca",$J198)),ISNUMBER(SEARCH("Transformação",$J198))),"VCA",IF(OR(ISNUMBER(SEARCH("crava",$F198)),ISNUMBER(SEARCH("tubo cravado",$F198)),ISNUMBER(SEARCH("shaft",$J198)),ISNUMBER(SEARCH("concreto",$F198))),"TUBO CRAVADO","")))</f>
        <v/>
      </c>
      <c r="T198">
        <f>IF($A198="","",TEXT($A198,"yyyymm")&amp;"|"&amp;$C198&amp;"|"&amp;$F198&amp;"|"&amp;$N198&amp;"|"&amp;$R198)</f>
        <v/>
      </c>
    </row>
    <row r="199" ht="11.55" customHeight="1">
      <c r="A199" s="10" t="n">
        <v>46009</v>
      </c>
      <c r="B199" s="7" t="inlineStr">
        <is>
          <t>Quinta</t>
        </is>
      </c>
      <c r="C199" s="7" t="inlineStr">
        <is>
          <t>CT *Lajeado</t>
        </is>
      </c>
      <c r="D199" s="7" t="n"/>
      <c r="E199" s="7" t="inlineStr">
        <is>
          <t>Paulo</t>
        </is>
      </c>
      <c r="F199" s="13" t="inlineStr">
        <is>
          <t>Transformação PV 19.1</t>
        </is>
      </c>
      <c r="G199" s="7" t="inlineStr">
        <is>
          <t>19.1</t>
        </is>
      </c>
      <c r="H199" s="7" t="n"/>
      <c r="I199" s="7" t="inlineStr">
        <is>
          <t>19.1</t>
        </is>
      </c>
      <c r="J199" s="7" t="inlineStr">
        <is>
          <t>Transformação</t>
        </is>
      </c>
      <c r="K199" s="7" t="inlineStr">
        <is>
          <t>Planejamento</t>
        </is>
      </c>
      <c r="L199" s="16" t="inlineStr">
        <is>
          <t>PDS-dezembro(1).docx</t>
        </is>
      </c>
      <c r="M199">
        <f>IF($A199="","",TEXT($A199,"mmmm/yyyy"))</f>
        <v/>
      </c>
      <c r="P199">
        <f>IFERROR(_xludf.XLOOKUP($N199,Base_Enderecos!$A:$A,Base_Enderecos!$B:$B,""),"")</f>
        <v/>
      </c>
      <c r="Q199">
        <f>IFERROR(_xludf.XLOOKUP($N199,Base_Enderecos!$A:$A,Base_Enderecos!$C:$C,""),"")</f>
        <v/>
      </c>
      <c r="R199">
        <f>IF(OR(ISNUMBER(SEARCH("HDD",$F199)),ISNUMBER(SEARCH("MND",$F199)),ISNUMBER(SEARCH("PEAD",$F199)),ISNUMBER(SEARCH("Puxe",$J199)),ISNUMBER(SEARCH("Apoio HDD",$F199))),"MND",IF(OR(ISNUMBER(SEARCH("VCA",$F199)),ISNUMBER(SEARCH("PVC",$F199)),ISNUMBER(SEARCH("vca",$J199)),ISNUMBER(SEARCH("Transformação",$J199))),"VCA",IF(OR(ISNUMBER(SEARCH("crava",$F199)),ISNUMBER(SEARCH("tubo cravado",$F199)),ISNUMBER(SEARCH("shaft",$J199)),ISNUMBER(SEARCH("concreto",$F199))),"TUBO CRAVADO","")))</f>
        <v/>
      </c>
      <c r="T199">
        <f>IF($A199="","",TEXT($A199,"yyyymm")&amp;"|"&amp;$C199&amp;"|"&amp;$F199&amp;"|"&amp;$N199&amp;"|"&amp;$R199)</f>
        <v/>
      </c>
    </row>
    <row r="200" ht="11.55" customHeight="1">
      <c r="A200" s="10" t="n">
        <v>46009</v>
      </c>
      <c r="B200" s="7" t="inlineStr">
        <is>
          <t>Quinta</t>
        </is>
      </c>
      <c r="C200" s="7" t="inlineStr">
        <is>
          <t>CT Mar de Coral</t>
        </is>
      </c>
      <c r="D200" s="7" t="n"/>
      <c r="E200" s="7" t="inlineStr">
        <is>
          <t>Nova Construção</t>
        </is>
      </c>
      <c r="F200" s="13" t="inlineStr">
        <is>
          <t>Escavação mecânica e montagem armco PV 03</t>
        </is>
      </c>
      <c r="G200" s="7" t="inlineStr">
        <is>
          <t>03</t>
        </is>
      </c>
      <c r="H200" s="7" t="n"/>
      <c r="I200" s="7" t="inlineStr">
        <is>
          <t>03</t>
        </is>
      </c>
      <c r="J200" s="7" t="inlineStr">
        <is>
          <t>Escavação</t>
        </is>
      </c>
      <c r="K200" s="7" t="inlineStr">
        <is>
          <t>Planejamento</t>
        </is>
      </c>
      <c r="L200" s="16" t="inlineStr">
        <is>
          <t>PDS-dezembro(1).docx</t>
        </is>
      </c>
      <c r="M200">
        <f>IF($A200="","",TEXT($A200,"mmmm/yyyy"))</f>
        <v/>
      </c>
      <c r="P200">
        <f>IFERROR(_xludf.XLOOKUP($N200,Base_Enderecos!$A:$A,Base_Enderecos!$B:$B,""),"")</f>
        <v/>
      </c>
      <c r="Q200">
        <f>IFERROR(_xludf.XLOOKUP($N200,Base_Enderecos!$A:$A,Base_Enderecos!$C:$C,""),"")</f>
        <v/>
      </c>
      <c r="R200">
        <f>IF(OR(ISNUMBER(SEARCH("HDD",$F200)),ISNUMBER(SEARCH("MND",$F200)),ISNUMBER(SEARCH("PEAD",$F200)),ISNUMBER(SEARCH("Puxe",$J200)),ISNUMBER(SEARCH("Apoio HDD",$F200))),"MND",IF(OR(ISNUMBER(SEARCH("VCA",$F200)),ISNUMBER(SEARCH("PVC",$F200)),ISNUMBER(SEARCH("vca",$J200)),ISNUMBER(SEARCH("Transformação",$J200))),"VCA",IF(OR(ISNUMBER(SEARCH("crava",$F200)),ISNUMBER(SEARCH("tubo cravado",$F200)),ISNUMBER(SEARCH("shaft",$J200)),ISNUMBER(SEARCH("concreto",$F200))),"TUBO CRAVADO","")))</f>
        <v/>
      </c>
      <c r="T200">
        <f>IF($A200="","",TEXT($A200,"yyyymm")&amp;"|"&amp;$C200&amp;"|"&amp;$F200&amp;"|"&amp;$N200&amp;"|"&amp;$R200)</f>
        <v/>
      </c>
    </row>
    <row r="201" ht="11.55" customHeight="1">
      <c r="A201" s="10" t="n">
        <v>46009</v>
      </c>
      <c r="B201" s="7" t="inlineStr">
        <is>
          <t>Quinta</t>
        </is>
      </c>
      <c r="C201" s="7" t="inlineStr">
        <is>
          <t>CT Lourdes</t>
        </is>
      </c>
      <c r="D201" s="7" t="n"/>
      <c r="E201" s="7" t="inlineStr">
        <is>
          <t>Marcelo</t>
        </is>
      </c>
      <c r="F201" s="13" t="inlineStr">
        <is>
          <t>Transformação PV 21</t>
        </is>
      </c>
      <c r="G201" s="7" t="inlineStr">
        <is>
          <t>21</t>
        </is>
      </c>
      <c r="H201" s="7" t="n"/>
      <c r="I201" s="7" t="inlineStr">
        <is>
          <t>21</t>
        </is>
      </c>
      <c r="J201" s="7" t="inlineStr">
        <is>
          <t>Transformação</t>
        </is>
      </c>
      <c r="K201" s="7" t="inlineStr">
        <is>
          <t>Planejamento</t>
        </is>
      </c>
      <c r="L201" s="16" t="inlineStr">
        <is>
          <t>PDS-dezembro(1).docx</t>
        </is>
      </c>
      <c r="M201">
        <f>IF($A201="","",TEXT($A201,"mmmm/yyyy"))</f>
        <v/>
      </c>
      <c r="P201">
        <f>IFERROR(_xludf.XLOOKUP($N201,Base_Enderecos!$A:$A,Base_Enderecos!$B:$B,""),"")</f>
        <v/>
      </c>
      <c r="Q201">
        <f>IFERROR(_xludf.XLOOKUP($N201,Base_Enderecos!$A:$A,Base_Enderecos!$C:$C,""),"")</f>
        <v/>
      </c>
      <c r="R201">
        <f>IF(OR(ISNUMBER(SEARCH("HDD",$F201)),ISNUMBER(SEARCH("MND",$F201)),ISNUMBER(SEARCH("PEAD",$F201)),ISNUMBER(SEARCH("Puxe",$J201)),ISNUMBER(SEARCH("Apoio HDD",$F201))),"MND",IF(OR(ISNUMBER(SEARCH("VCA",$F201)),ISNUMBER(SEARCH("PVC",$F201)),ISNUMBER(SEARCH("vca",$J201)),ISNUMBER(SEARCH("Transformação",$J201))),"VCA",IF(OR(ISNUMBER(SEARCH("crava",$F201)),ISNUMBER(SEARCH("tubo cravado",$F201)),ISNUMBER(SEARCH("shaft",$J201)),ISNUMBER(SEARCH("concreto",$F201))),"TUBO CRAVADO","")))</f>
        <v/>
      </c>
      <c r="T201">
        <f>IF($A201="","",TEXT($A201,"yyyymm")&amp;"|"&amp;$C201&amp;"|"&amp;$F201&amp;"|"&amp;$N201&amp;"|"&amp;$R201)</f>
        <v/>
      </c>
    </row>
    <row r="202" ht="11.55" customHeight="1">
      <c r="A202" s="10" t="n">
        <v>46009</v>
      </c>
      <c r="B202" s="7" t="inlineStr">
        <is>
          <t>Quinta</t>
        </is>
      </c>
      <c r="C202" s="7" t="inlineStr">
        <is>
          <t>CT Lourdes</t>
        </is>
      </c>
      <c r="D202" s="7" t="n"/>
      <c r="E202" s="7" t="inlineStr">
        <is>
          <t>WJ (Alex)</t>
        </is>
      </c>
      <c r="F202" s="13" t="inlineStr">
        <is>
          <t>Máquina em manutenção</t>
        </is>
      </c>
      <c r="G202" s="7" t="n"/>
      <c r="H202" s="7" t="n"/>
      <c r="I202" s="7" t="n"/>
      <c r="J202" s="7" t="n"/>
      <c r="K202" s="7" t="inlineStr">
        <is>
          <t>Planejamento</t>
        </is>
      </c>
      <c r="L202" s="16" t="inlineStr">
        <is>
          <t>PDS-dezembro(1).docx</t>
        </is>
      </c>
      <c r="M202">
        <f>IF($A202="","",TEXT($A202,"mmmm/yyyy"))</f>
        <v/>
      </c>
      <c r="P202">
        <f>IFERROR(_xludf.XLOOKUP($N202,Base_Enderecos!$A:$A,Base_Enderecos!$B:$B,""),"")</f>
        <v/>
      </c>
      <c r="Q202">
        <f>IFERROR(_xludf.XLOOKUP($N202,Base_Enderecos!$A:$A,Base_Enderecos!$C:$C,""),"")</f>
        <v/>
      </c>
      <c r="R202">
        <f>IF(OR(ISNUMBER(SEARCH("HDD",$F202)),ISNUMBER(SEARCH("MND",$F202)),ISNUMBER(SEARCH("PEAD",$F202)),ISNUMBER(SEARCH("Puxe",$J202)),ISNUMBER(SEARCH("Apoio HDD",$F202))),"MND",IF(OR(ISNUMBER(SEARCH("VCA",$F202)),ISNUMBER(SEARCH("PVC",$F202)),ISNUMBER(SEARCH("vca",$J202)),ISNUMBER(SEARCH("Transformação",$J202))),"VCA",IF(OR(ISNUMBER(SEARCH("crava",$F202)),ISNUMBER(SEARCH("tubo cravado",$F202)),ISNUMBER(SEARCH("shaft",$J202)),ISNUMBER(SEARCH("concreto",$F202))),"TUBO CRAVADO","")))</f>
        <v/>
      </c>
      <c r="T202">
        <f>IF($A202="","",TEXT($A202,"yyyymm")&amp;"|"&amp;$C202&amp;"|"&amp;$F202&amp;"|"&amp;$N202&amp;"|"&amp;$R202)</f>
        <v/>
      </c>
    </row>
    <row r="203" ht="11.55" customHeight="1">
      <c r="A203" s="10" t="n">
        <v>46009</v>
      </c>
      <c r="B203" s="7" t="inlineStr">
        <is>
          <t>Quinta</t>
        </is>
      </c>
      <c r="C203" s="7" t="inlineStr">
        <is>
          <t>CT Lourdes</t>
        </is>
      </c>
      <c r="D203" s="7" t="n"/>
      <c r="E203" s="7" t="inlineStr">
        <is>
          <t>WJ (Edson)</t>
        </is>
      </c>
      <c r="F203" s="13" t="inlineStr">
        <is>
          <t>Execução furo piloto entre PVs 18 ao 19</t>
        </is>
      </c>
      <c r="G203" s="7" t="inlineStr">
        <is>
          <t>18</t>
        </is>
      </c>
      <c r="H203" s="7" t="n"/>
      <c r="I203" s="7" t="inlineStr">
        <is>
          <t>18</t>
        </is>
      </c>
      <c r="J203" s="7" t="inlineStr">
        <is>
          <t>Furo piloto</t>
        </is>
      </c>
      <c r="K203" s="7" t="inlineStr">
        <is>
          <t>Planejamento</t>
        </is>
      </c>
      <c r="L203" s="16" t="inlineStr">
        <is>
          <t>PDS-dezembro(1).docx</t>
        </is>
      </c>
      <c r="M203">
        <f>IF($A203="","",TEXT($A203,"mmmm/yyyy"))</f>
        <v/>
      </c>
      <c r="P203">
        <f>IFERROR(_xludf.XLOOKUP($N203,Base_Enderecos!$A:$A,Base_Enderecos!$B:$B,""),"")</f>
        <v/>
      </c>
      <c r="Q203">
        <f>IFERROR(_xludf.XLOOKUP($N203,Base_Enderecos!$A:$A,Base_Enderecos!$C:$C,""),"")</f>
        <v/>
      </c>
      <c r="R203">
        <f>IF(OR(ISNUMBER(SEARCH("HDD",$F203)),ISNUMBER(SEARCH("MND",$F203)),ISNUMBER(SEARCH("PEAD",$F203)),ISNUMBER(SEARCH("Puxe",$J203)),ISNUMBER(SEARCH("Apoio HDD",$F203))),"MND",IF(OR(ISNUMBER(SEARCH("VCA",$F203)),ISNUMBER(SEARCH("PVC",$F203)),ISNUMBER(SEARCH("vca",$J203)),ISNUMBER(SEARCH("Transformação",$J203))),"VCA",IF(OR(ISNUMBER(SEARCH("crava",$F203)),ISNUMBER(SEARCH("tubo cravado",$F203)),ISNUMBER(SEARCH("shaft",$J203)),ISNUMBER(SEARCH("concreto",$F203))),"TUBO CRAVADO","")))</f>
        <v/>
      </c>
      <c r="T203">
        <f>IF($A203="","",TEXT($A203,"yyyymm")&amp;"|"&amp;$C203&amp;"|"&amp;$F203&amp;"|"&amp;$N203&amp;"|"&amp;$R203)</f>
        <v/>
      </c>
    </row>
    <row r="204" ht="11.55" customHeight="1">
      <c r="A204" s="10" t="n">
        <v>46009</v>
      </c>
      <c r="B204" s="7" t="inlineStr">
        <is>
          <t>Quinta</t>
        </is>
      </c>
      <c r="C204" s="7" t="inlineStr">
        <is>
          <t>CT Lourdes</t>
        </is>
      </c>
      <c r="D204" s="7" t="n"/>
      <c r="E204" s="7" t="inlineStr">
        <is>
          <t>Natalino</t>
        </is>
      </c>
      <c r="F204" s="13" t="inlineStr">
        <is>
          <t>Apoio HDD entre PVs 18 ao 19</t>
        </is>
      </c>
      <c r="G204" s="7" t="inlineStr">
        <is>
          <t>18</t>
        </is>
      </c>
      <c r="H204" s="7" t="n"/>
      <c r="I204" s="7" t="inlineStr">
        <is>
          <t>18</t>
        </is>
      </c>
      <c r="J204" s="7" t="inlineStr">
        <is>
          <t>Apoio HDD</t>
        </is>
      </c>
      <c r="K204" s="7" t="inlineStr">
        <is>
          <t>Planejamento</t>
        </is>
      </c>
      <c r="L204" s="16" t="inlineStr">
        <is>
          <t>PDS-dezembro(1).docx</t>
        </is>
      </c>
      <c r="M204">
        <f>IF($A204="","",TEXT($A204,"mmmm/yyyy"))</f>
        <v/>
      </c>
      <c r="P204">
        <f>IFERROR(_xludf.XLOOKUP($N204,Base_Enderecos!$A:$A,Base_Enderecos!$B:$B,""),"")</f>
        <v/>
      </c>
      <c r="Q204">
        <f>IFERROR(_xludf.XLOOKUP($N204,Base_Enderecos!$A:$A,Base_Enderecos!$C:$C,""),"")</f>
        <v/>
      </c>
      <c r="R204">
        <f>IF(OR(ISNUMBER(SEARCH("HDD",$F204)),ISNUMBER(SEARCH("MND",$F204)),ISNUMBER(SEARCH("PEAD",$F204)),ISNUMBER(SEARCH("Puxe",$J204)),ISNUMBER(SEARCH("Apoio HDD",$F204))),"MND",IF(OR(ISNUMBER(SEARCH("VCA",$F204)),ISNUMBER(SEARCH("PVC",$F204)),ISNUMBER(SEARCH("vca",$J204)),ISNUMBER(SEARCH("Transformação",$J204))),"VCA",IF(OR(ISNUMBER(SEARCH("crava",$F204)),ISNUMBER(SEARCH("tubo cravado",$F204)),ISNUMBER(SEARCH("shaft",$J204)),ISNUMBER(SEARCH("concreto",$F204))),"TUBO CRAVADO","")))</f>
        <v/>
      </c>
      <c r="T204">
        <f>IF($A204="","",TEXT($A204,"yyyymm")&amp;"|"&amp;$C204&amp;"|"&amp;$F204&amp;"|"&amp;$N204&amp;"|"&amp;$R204)</f>
        <v/>
      </c>
    </row>
    <row r="205" ht="11.55" customHeight="1">
      <c r="A205" s="10" t="n">
        <v>46009</v>
      </c>
      <c r="B205" s="7" t="inlineStr">
        <is>
          <t>Quinta</t>
        </is>
      </c>
      <c r="C205" s="7" t="inlineStr">
        <is>
          <t>CT Lourdes</t>
        </is>
      </c>
      <c r="D205" s="7" t="n"/>
      <c r="E205" s="7" t="inlineStr">
        <is>
          <t>Work Drill (Bruno)</t>
        </is>
      </c>
      <c r="F205" s="13" t="inlineStr">
        <is>
          <t>Execução furo piloto entre PVs 12 ao 13</t>
        </is>
      </c>
      <c r="G205" s="7" t="inlineStr">
        <is>
          <t>12</t>
        </is>
      </c>
      <c r="H205" s="7" t="n"/>
      <c r="I205" s="7" t="inlineStr">
        <is>
          <t>12</t>
        </is>
      </c>
      <c r="J205" s="7" t="inlineStr">
        <is>
          <t>Furo piloto</t>
        </is>
      </c>
      <c r="K205" s="7" t="inlineStr">
        <is>
          <t>Planejamento</t>
        </is>
      </c>
      <c r="L205" s="16" t="inlineStr">
        <is>
          <t>PDS-dezembro(1).docx</t>
        </is>
      </c>
      <c r="M205">
        <f>IF($A205="","",TEXT($A205,"mmmm/yyyy"))</f>
        <v/>
      </c>
      <c r="P205">
        <f>IFERROR(_xludf.XLOOKUP($N205,Base_Enderecos!$A:$A,Base_Enderecos!$B:$B,""),"")</f>
        <v/>
      </c>
      <c r="Q205">
        <f>IFERROR(_xludf.XLOOKUP($N205,Base_Enderecos!$A:$A,Base_Enderecos!$C:$C,""),"")</f>
        <v/>
      </c>
      <c r="R205">
        <f>IF(OR(ISNUMBER(SEARCH("HDD",$F205)),ISNUMBER(SEARCH("MND",$F205)),ISNUMBER(SEARCH("PEAD",$F205)),ISNUMBER(SEARCH("Puxe",$J205)),ISNUMBER(SEARCH("Apoio HDD",$F205))),"MND",IF(OR(ISNUMBER(SEARCH("VCA",$F205)),ISNUMBER(SEARCH("PVC",$F205)),ISNUMBER(SEARCH("vca",$J205)),ISNUMBER(SEARCH("Transformação",$J205))),"VCA",IF(OR(ISNUMBER(SEARCH("crava",$F205)),ISNUMBER(SEARCH("tubo cravado",$F205)),ISNUMBER(SEARCH("shaft",$J205)),ISNUMBER(SEARCH("concreto",$F205))),"TUBO CRAVADO","")))</f>
        <v/>
      </c>
      <c r="T205">
        <f>IF($A205="","",TEXT($A205,"yyyymm")&amp;"|"&amp;$C205&amp;"|"&amp;$F205&amp;"|"&amp;$N205&amp;"|"&amp;$R205)</f>
        <v/>
      </c>
    </row>
    <row r="206" ht="11.55" customHeight="1">
      <c r="A206" s="10" t="n">
        <v>46009</v>
      </c>
      <c r="B206" s="7" t="inlineStr">
        <is>
          <t>Quinta</t>
        </is>
      </c>
      <c r="C206" s="7" t="inlineStr">
        <is>
          <t>CT Lourdes</t>
        </is>
      </c>
      <c r="D206" s="7" t="n"/>
      <c r="E206" s="7" t="inlineStr">
        <is>
          <t>Fabrício</t>
        </is>
      </c>
      <c r="F206" s="13" t="inlineStr">
        <is>
          <t>Apoio HDD entre PVs 12 ao 13</t>
        </is>
      </c>
      <c r="G206" s="7" t="inlineStr">
        <is>
          <t>12</t>
        </is>
      </c>
      <c r="H206" s="7" t="n"/>
      <c r="I206" s="7" t="inlineStr">
        <is>
          <t>12</t>
        </is>
      </c>
      <c r="J206" s="7" t="inlineStr">
        <is>
          <t>Apoio HDD</t>
        </is>
      </c>
      <c r="K206" s="7" t="inlineStr">
        <is>
          <t>Planejamento</t>
        </is>
      </c>
      <c r="L206" s="16" t="inlineStr">
        <is>
          <t>PDS-dezembro(1).docx</t>
        </is>
      </c>
      <c r="M206">
        <f>IF($A206="","",TEXT($A206,"mmmm/yyyy"))</f>
        <v/>
      </c>
      <c r="P206">
        <f>IFERROR(_xludf.XLOOKUP($N206,Base_Enderecos!$A:$A,Base_Enderecos!$B:$B,""),"")</f>
        <v/>
      </c>
      <c r="Q206">
        <f>IFERROR(_xludf.XLOOKUP($N206,Base_Enderecos!$A:$A,Base_Enderecos!$C:$C,""),"")</f>
        <v/>
      </c>
      <c r="R206">
        <f>IF(OR(ISNUMBER(SEARCH("HDD",$F206)),ISNUMBER(SEARCH("MND",$F206)),ISNUMBER(SEARCH("PEAD",$F206)),ISNUMBER(SEARCH("Puxe",$J206)),ISNUMBER(SEARCH("Apoio HDD",$F206))),"MND",IF(OR(ISNUMBER(SEARCH("VCA",$F206)),ISNUMBER(SEARCH("PVC",$F206)),ISNUMBER(SEARCH("vca",$J206)),ISNUMBER(SEARCH("Transformação",$J206))),"VCA",IF(OR(ISNUMBER(SEARCH("crava",$F206)),ISNUMBER(SEARCH("tubo cravado",$F206)),ISNUMBER(SEARCH("shaft",$J206)),ISNUMBER(SEARCH("concreto",$F206))),"TUBO CRAVADO","")))</f>
        <v/>
      </c>
      <c r="T206">
        <f>IF($A206="","",TEXT($A206,"yyyymm")&amp;"|"&amp;$C206&amp;"|"&amp;$F206&amp;"|"&amp;$N206&amp;"|"&amp;$R206)</f>
        <v/>
      </c>
    </row>
    <row r="207" ht="11.55" customHeight="1">
      <c r="A207" s="10" t="n">
        <v>46009</v>
      </c>
      <c r="B207" s="7" t="inlineStr">
        <is>
          <t>Quinta</t>
        </is>
      </c>
      <c r="C207" s="7" t="inlineStr">
        <is>
          <t>CT Lourdes</t>
        </is>
      </c>
      <c r="D207" s="7" t="n"/>
      <c r="E207" s="7" t="inlineStr">
        <is>
          <t>LS</t>
        </is>
      </c>
      <c r="F207" s="13" t="inlineStr">
        <is>
          <t>Ajuste e limpeza PV 19</t>
        </is>
      </c>
      <c r="G207" s="7" t="inlineStr">
        <is>
          <t>19</t>
        </is>
      </c>
      <c r="H207" s="7" t="n"/>
      <c r="I207" s="7" t="inlineStr">
        <is>
          <t>19</t>
        </is>
      </c>
      <c r="J207" s="7" t="inlineStr">
        <is>
          <t>Limpeza</t>
        </is>
      </c>
      <c r="K207" s="7" t="inlineStr">
        <is>
          <t>Planejamento</t>
        </is>
      </c>
      <c r="L207" s="16" t="inlineStr">
        <is>
          <t>PDS-dezembro(1).docx</t>
        </is>
      </c>
      <c r="M207">
        <f>IF($A207="","",TEXT($A207,"mmmm/yyyy"))</f>
        <v/>
      </c>
      <c r="P207">
        <f>IFERROR(_xludf.XLOOKUP($N207,Base_Enderecos!$A:$A,Base_Enderecos!$B:$B,""),"")</f>
        <v/>
      </c>
      <c r="Q207">
        <f>IFERROR(_xludf.XLOOKUP($N207,Base_Enderecos!$A:$A,Base_Enderecos!$C:$C,""),"")</f>
        <v/>
      </c>
      <c r="R207">
        <f>IF(OR(ISNUMBER(SEARCH("HDD",$F207)),ISNUMBER(SEARCH("MND",$F207)),ISNUMBER(SEARCH("PEAD",$F207)),ISNUMBER(SEARCH("Puxe",$J207)),ISNUMBER(SEARCH("Apoio HDD",$F207))),"MND",IF(OR(ISNUMBER(SEARCH("VCA",$F207)),ISNUMBER(SEARCH("PVC",$F207)),ISNUMBER(SEARCH("vca",$J207)),ISNUMBER(SEARCH("Transformação",$J207))),"VCA",IF(OR(ISNUMBER(SEARCH("crava",$F207)),ISNUMBER(SEARCH("tubo cravado",$F207)),ISNUMBER(SEARCH("shaft",$J207)),ISNUMBER(SEARCH("concreto",$F207))),"TUBO CRAVADO","")))</f>
        <v/>
      </c>
      <c r="T207">
        <f>IF($A207="","",TEXT($A207,"yyyymm")&amp;"|"&amp;$C207&amp;"|"&amp;$F207&amp;"|"&amp;$N207&amp;"|"&amp;$R207)</f>
        <v/>
      </c>
    </row>
    <row r="208" ht="11.55" customHeight="1">
      <c r="A208" s="10" t="n">
        <v>46009</v>
      </c>
      <c r="B208" s="7" t="inlineStr">
        <is>
          <t>Quinta</t>
        </is>
      </c>
      <c r="C208" s="7" t="inlineStr">
        <is>
          <t>CT Miriam</t>
        </is>
      </c>
      <c r="D208" s="7" t="n"/>
      <c r="E208" s="7" t="inlineStr">
        <is>
          <t>Marcio</t>
        </is>
      </c>
      <c r="F208" s="13" t="inlineStr">
        <is>
          <t>Reparos PV 21 e PV 02 do Lourdes</t>
        </is>
      </c>
      <c r="G208" s="7" t="inlineStr">
        <is>
          <t>21</t>
        </is>
      </c>
      <c r="H208" s="7" t="inlineStr">
        <is>
          <t>02</t>
        </is>
      </c>
      <c r="I208" s="7" t="inlineStr">
        <is>
          <t>21, 02</t>
        </is>
      </c>
      <c r="J208" s="7" t="inlineStr">
        <is>
          <t>Reparo</t>
        </is>
      </c>
      <c r="K208" s="7" t="inlineStr">
        <is>
          <t>Planejamento</t>
        </is>
      </c>
      <c r="L208" s="16" t="inlineStr">
        <is>
          <t>PDS-dezembro(1).docx</t>
        </is>
      </c>
      <c r="M208">
        <f>IF($A208="","",TEXT($A208,"mmmm/yyyy"))</f>
        <v/>
      </c>
      <c r="P208">
        <f>IFERROR(_xludf.XLOOKUP($N208,Base_Enderecos!$A:$A,Base_Enderecos!$B:$B,""),"")</f>
        <v/>
      </c>
      <c r="Q208">
        <f>IFERROR(_xludf.XLOOKUP($N208,Base_Enderecos!$A:$A,Base_Enderecos!$C:$C,""),"")</f>
        <v/>
      </c>
      <c r="R208">
        <f>IF(OR(ISNUMBER(SEARCH("HDD",$F208)),ISNUMBER(SEARCH("MND",$F208)),ISNUMBER(SEARCH("PEAD",$F208)),ISNUMBER(SEARCH("Puxe",$J208)),ISNUMBER(SEARCH("Apoio HDD",$F208))),"MND",IF(OR(ISNUMBER(SEARCH("VCA",$F208)),ISNUMBER(SEARCH("PVC",$F208)),ISNUMBER(SEARCH("vca",$J208)),ISNUMBER(SEARCH("Transformação",$J208))),"VCA",IF(OR(ISNUMBER(SEARCH("crava",$F208)),ISNUMBER(SEARCH("tubo cravado",$F208)),ISNUMBER(SEARCH("shaft",$J208)),ISNUMBER(SEARCH("concreto",$F208))),"TUBO CRAVADO","")))</f>
        <v/>
      </c>
      <c r="T208">
        <f>IF($A208="","",TEXT($A208,"yyyymm")&amp;"|"&amp;$C208&amp;"|"&amp;$F208&amp;"|"&amp;$N208&amp;"|"&amp;$R208)</f>
        <v/>
      </c>
    </row>
    <row r="209" ht="11.55" customHeight="1">
      <c r="A209" s="10" t="n">
        <v>46009</v>
      </c>
      <c r="B209" s="7" t="inlineStr">
        <is>
          <t>Quinta</t>
        </is>
      </c>
      <c r="C209" s="7" t="inlineStr">
        <is>
          <t>CT Miriam</t>
        </is>
      </c>
      <c r="D209" s="7" t="n"/>
      <c r="E209" s="7" t="inlineStr">
        <is>
          <t>Piso (Edson)</t>
        </is>
      </c>
      <c r="F209" s="13" t="inlineStr">
        <is>
          <t>Reparos passeio, guias e sarjeta entre PV 57</t>
        </is>
      </c>
      <c r="G209" s="7" t="inlineStr">
        <is>
          <t>57</t>
        </is>
      </c>
      <c r="H209" s="7" t="n"/>
      <c r="I209" s="7" t="inlineStr">
        <is>
          <t>57</t>
        </is>
      </c>
      <c r="J209" s="7" t="inlineStr">
        <is>
          <t>Reparo</t>
        </is>
      </c>
      <c r="K209" s="7" t="inlineStr">
        <is>
          <t>Planejamento</t>
        </is>
      </c>
      <c r="L209" s="16" t="inlineStr">
        <is>
          <t>PDS-dezembro(1).docx</t>
        </is>
      </c>
      <c r="M209">
        <f>IF($A209="","",TEXT($A209,"mmmm/yyyy"))</f>
        <v/>
      </c>
      <c r="P209">
        <f>IFERROR(_xludf.XLOOKUP($N209,Base_Enderecos!$A:$A,Base_Enderecos!$B:$B,""),"")</f>
        <v/>
      </c>
      <c r="Q209">
        <f>IFERROR(_xludf.XLOOKUP($N209,Base_Enderecos!$A:$A,Base_Enderecos!$C:$C,""),"")</f>
        <v/>
      </c>
      <c r="R209">
        <f>IF(OR(ISNUMBER(SEARCH("HDD",$F209)),ISNUMBER(SEARCH("MND",$F209)),ISNUMBER(SEARCH("PEAD",$F209)),ISNUMBER(SEARCH("Puxe",$J209)),ISNUMBER(SEARCH("Apoio HDD",$F209))),"MND",IF(OR(ISNUMBER(SEARCH("VCA",$F209)),ISNUMBER(SEARCH("PVC",$F209)),ISNUMBER(SEARCH("vca",$J209)),ISNUMBER(SEARCH("Transformação",$J209))),"VCA",IF(OR(ISNUMBER(SEARCH("crava",$F209)),ISNUMBER(SEARCH("tubo cravado",$F209)),ISNUMBER(SEARCH("shaft",$J209)),ISNUMBER(SEARCH("concreto",$F209))),"TUBO CRAVADO","")))</f>
        <v/>
      </c>
      <c r="T209">
        <f>IF($A209="","",TEXT($A209,"yyyymm")&amp;"|"&amp;$C209&amp;"|"&amp;$F209&amp;"|"&amp;$N209&amp;"|"&amp;$R209)</f>
        <v/>
      </c>
    </row>
    <row r="210" ht="11.55" customHeight="1">
      <c r="A210" s="10" t="n">
        <v>46009</v>
      </c>
      <c r="B210" s="7" t="inlineStr">
        <is>
          <t>Quinta</t>
        </is>
      </c>
      <c r="C210" s="7" t="inlineStr">
        <is>
          <t>Vacal</t>
        </is>
      </c>
      <c r="D210" s="7" t="n"/>
      <c r="E210" s="7" t="inlineStr">
        <is>
          <t>Lourdes</t>
        </is>
      </c>
      <c r="F210" s="13" t="inlineStr">
        <is>
          <t>Apoio Vacal</t>
        </is>
      </c>
      <c r="G210" s="7" t="n"/>
      <c r="H210" s="7" t="n"/>
      <c r="I210" s="7" t="n"/>
      <c r="J210" s="7" t="inlineStr">
        <is>
          <t>Vacal</t>
        </is>
      </c>
      <c r="K210" s="7" t="inlineStr">
        <is>
          <t>Apoio</t>
        </is>
      </c>
      <c r="L210" s="16" t="inlineStr">
        <is>
          <t>PDS-dezembro(1).docx</t>
        </is>
      </c>
      <c r="M210">
        <f>IF($A210="","",TEXT($A210,"mmmm/yyyy"))</f>
        <v/>
      </c>
      <c r="P210">
        <f>IFERROR(_xludf.XLOOKUP($N210,Base_Enderecos!$A:$A,Base_Enderecos!$B:$B,""),"")</f>
        <v/>
      </c>
      <c r="Q210">
        <f>IFERROR(_xludf.XLOOKUP($N210,Base_Enderecos!$A:$A,Base_Enderecos!$C:$C,""),"")</f>
        <v/>
      </c>
      <c r="R210">
        <f>IF(OR(ISNUMBER(SEARCH("HDD",$F210)),ISNUMBER(SEARCH("MND",$F210)),ISNUMBER(SEARCH("PEAD",$F210)),ISNUMBER(SEARCH("Puxe",$J210)),ISNUMBER(SEARCH("Apoio HDD",$F210))),"MND",IF(OR(ISNUMBER(SEARCH("VCA",$F210)),ISNUMBER(SEARCH("PVC",$F210)),ISNUMBER(SEARCH("vca",$J210)),ISNUMBER(SEARCH("Transformação",$J210))),"VCA",IF(OR(ISNUMBER(SEARCH("crava",$F210)),ISNUMBER(SEARCH("tubo cravado",$F210)),ISNUMBER(SEARCH("shaft",$J210)),ISNUMBER(SEARCH("concreto",$F210))),"TUBO CRAVADO","")))</f>
        <v/>
      </c>
      <c r="T210">
        <f>IF($A210="","",TEXT($A210,"yyyymm")&amp;"|"&amp;$C210&amp;"|"&amp;$F210&amp;"|"&amp;$N210&amp;"|"&amp;$R210)</f>
        <v/>
      </c>
    </row>
    <row r="211" ht="11.55" customHeight="1">
      <c r="A211" s="10" t="n">
        <v>46009</v>
      </c>
      <c r="B211" s="7" t="inlineStr">
        <is>
          <t>Quinta</t>
        </is>
      </c>
      <c r="C211" s="7" t="inlineStr">
        <is>
          <t>Vacal</t>
        </is>
      </c>
      <c r="D211" s="7" t="n"/>
      <c r="E211" s="7" t="inlineStr">
        <is>
          <t>Lourdes</t>
        </is>
      </c>
      <c r="F211" s="13" t="inlineStr">
        <is>
          <t>Apoio Vacal</t>
        </is>
      </c>
      <c r="G211" s="7" t="n"/>
      <c r="H211" s="7" t="n"/>
      <c r="I211" s="7" t="n"/>
      <c r="J211" s="7" t="inlineStr">
        <is>
          <t>Vacal</t>
        </is>
      </c>
      <c r="K211" s="7" t="inlineStr">
        <is>
          <t>Apoio</t>
        </is>
      </c>
      <c r="L211" s="16" t="inlineStr">
        <is>
          <t>PDS-dezembro(1).docx</t>
        </is>
      </c>
      <c r="M211">
        <f>IF($A211="","",TEXT($A211,"mmmm/yyyy"))</f>
        <v/>
      </c>
      <c r="P211">
        <f>IFERROR(_xludf.XLOOKUP($N211,Base_Enderecos!$A:$A,Base_Enderecos!$B:$B,""),"")</f>
        <v/>
      </c>
      <c r="Q211">
        <f>IFERROR(_xludf.XLOOKUP($N211,Base_Enderecos!$A:$A,Base_Enderecos!$C:$C,""),"")</f>
        <v/>
      </c>
      <c r="R211">
        <f>IF(OR(ISNUMBER(SEARCH("HDD",$F211)),ISNUMBER(SEARCH("MND",$F211)),ISNUMBER(SEARCH("PEAD",$F211)),ISNUMBER(SEARCH("Puxe",$J211)),ISNUMBER(SEARCH("Apoio HDD",$F211))),"MND",IF(OR(ISNUMBER(SEARCH("VCA",$F211)),ISNUMBER(SEARCH("PVC",$F211)),ISNUMBER(SEARCH("vca",$J211)),ISNUMBER(SEARCH("Transformação",$J211))),"VCA",IF(OR(ISNUMBER(SEARCH("crava",$F211)),ISNUMBER(SEARCH("tubo cravado",$F211)),ISNUMBER(SEARCH("shaft",$J211)),ISNUMBER(SEARCH("concreto",$F211))),"TUBO CRAVADO","")))</f>
        <v/>
      </c>
      <c r="T211">
        <f>IF($A211="","",TEXT($A211,"yyyymm")&amp;"|"&amp;$C211&amp;"|"&amp;$F211&amp;"|"&amp;$N211&amp;"|"&amp;$R211)</f>
        <v/>
      </c>
    </row>
    <row r="212" ht="11.55" customHeight="1">
      <c r="A212" s="10" t="n">
        <v>46009</v>
      </c>
      <c r="B212" s="7" t="inlineStr">
        <is>
          <t>Quinta</t>
        </is>
      </c>
      <c r="C212" s="7" t="inlineStr">
        <is>
          <t>Vacal</t>
        </is>
      </c>
      <c r="D212" s="7" t="n"/>
      <c r="E212" s="7" t="inlineStr">
        <is>
          <t>Lourdes</t>
        </is>
      </c>
      <c r="F212" s="13" t="inlineStr">
        <is>
          <t>Apoio Vacal</t>
        </is>
      </c>
      <c r="G212" s="7" t="n"/>
      <c r="H212" s="7" t="n"/>
      <c r="I212" s="7" t="n"/>
      <c r="J212" s="7" t="inlineStr">
        <is>
          <t>Vacal</t>
        </is>
      </c>
      <c r="K212" s="7" t="inlineStr">
        <is>
          <t>Apoio</t>
        </is>
      </c>
      <c r="L212" s="16" t="inlineStr">
        <is>
          <t>PDS-dezembro(1).docx</t>
        </is>
      </c>
      <c r="M212">
        <f>IF($A212="","",TEXT($A212,"mmmm/yyyy"))</f>
        <v/>
      </c>
      <c r="P212">
        <f>IFERROR(_xludf.XLOOKUP($N212,Base_Enderecos!$A:$A,Base_Enderecos!$B:$B,""),"")</f>
        <v/>
      </c>
      <c r="Q212">
        <f>IFERROR(_xludf.XLOOKUP($N212,Base_Enderecos!$A:$A,Base_Enderecos!$C:$C,""),"")</f>
        <v/>
      </c>
      <c r="R212">
        <f>IF(OR(ISNUMBER(SEARCH("HDD",$F212)),ISNUMBER(SEARCH("MND",$F212)),ISNUMBER(SEARCH("PEAD",$F212)),ISNUMBER(SEARCH("Puxe",$J212)),ISNUMBER(SEARCH("Apoio HDD",$F212))),"MND",IF(OR(ISNUMBER(SEARCH("VCA",$F212)),ISNUMBER(SEARCH("PVC",$F212)),ISNUMBER(SEARCH("vca",$J212)),ISNUMBER(SEARCH("Transformação",$J212))),"VCA",IF(OR(ISNUMBER(SEARCH("crava",$F212)),ISNUMBER(SEARCH("tubo cravado",$F212)),ISNUMBER(SEARCH("shaft",$J212)),ISNUMBER(SEARCH("concreto",$F212))),"TUBO CRAVADO","")))</f>
        <v/>
      </c>
      <c r="T212">
        <f>IF($A212="","",TEXT($A212,"yyyymm")&amp;"|"&amp;$C212&amp;"|"&amp;$F212&amp;"|"&amp;$N212&amp;"|"&amp;$R212)</f>
        <v/>
      </c>
    </row>
    <row r="213" ht="11.55" customHeight="1">
      <c r="A213" s="10" t="n">
        <v>46009</v>
      </c>
      <c r="B213" s="7" t="inlineStr">
        <is>
          <t>Quinta</t>
        </is>
      </c>
      <c r="C213" s="7" t="inlineStr">
        <is>
          <t>Vacal</t>
        </is>
      </c>
      <c r="D213" s="7" t="n"/>
      <c r="E213" s="7" t="inlineStr">
        <is>
          <t>Miriam</t>
        </is>
      </c>
      <c r="F213" s="13" t="inlineStr">
        <is>
          <t>Apoio Vacal</t>
        </is>
      </c>
      <c r="G213" s="7" t="n"/>
      <c r="H213" s="7" t="n"/>
      <c r="I213" s="7" t="n"/>
      <c r="J213" s="7" t="inlineStr">
        <is>
          <t>Vacal</t>
        </is>
      </c>
      <c r="K213" s="7" t="inlineStr">
        <is>
          <t>Apoio</t>
        </is>
      </c>
      <c r="L213" s="16" t="inlineStr">
        <is>
          <t>PDS-dezembro(1).docx</t>
        </is>
      </c>
      <c r="M213">
        <f>IF($A213="","",TEXT($A213,"mmmm/yyyy"))</f>
        <v/>
      </c>
      <c r="P213">
        <f>IFERROR(_xludf.XLOOKUP($N213,Base_Enderecos!$A:$A,Base_Enderecos!$B:$B,""),"")</f>
        <v/>
      </c>
      <c r="Q213">
        <f>IFERROR(_xludf.XLOOKUP($N213,Base_Enderecos!$A:$A,Base_Enderecos!$C:$C,""),"")</f>
        <v/>
      </c>
      <c r="R213">
        <f>IF(OR(ISNUMBER(SEARCH("HDD",$F213)),ISNUMBER(SEARCH("MND",$F213)),ISNUMBER(SEARCH("PEAD",$F213)),ISNUMBER(SEARCH("Puxe",$J213)),ISNUMBER(SEARCH("Apoio HDD",$F213))),"MND",IF(OR(ISNUMBER(SEARCH("VCA",$F213)),ISNUMBER(SEARCH("PVC",$F213)),ISNUMBER(SEARCH("vca",$J213)),ISNUMBER(SEARCH("Transformação",$J213))),"VCA",IF(OR(ISNUMBER(SEARCH("crava",$F213)),ISNUMBER(SEARCH("tubo cravado",$F213)),ISNUMBER(SEARCH("shaft",$J213)),ISNUMBER(SEARCH("concreto",$F213))),"TUBO CRAVADO","")))</f>
        <v/>
      </c>
      <c r="T213">
        <f>IF($A213="","",TEXT($A213,"yyyymm")&amp;"|"&amp;$C213&amp;"|"&amp;$F213&amp;"|"&amp;$N213&amp;"|"&amp;$R213)</f>
        <v/>
      </c>
    </row>
    <row r="214" ht="11.55" customHeight="1">
      <c r="A214" s="10" t="n">
        <v>46009</v>
      </c>
      <c r="B214" s="7" t="inlineStr">
        <is>
          <t>Quinta</t>
        </is>
      </c>
      <c r="C214" s="7" t="inlineStr">
        <is>
          <t>Guindauto</t>
        </is>
      </c>
      <c r="D214" s="7" t="n"/>
      <c r="E214" s="7" t="inlineStr">
        <is>
          <t>Rodrigo apoio as equipes</t>
        </is>
      </c>
      <c r="F214" s="13" t="inlineStr">
        <is>
          <t>Rodrigo apoio as equipes</t>
        </is>
      </c>
      <c r="G214" s="7" t="n"/>
      <c r="H214" s="7" t="n"/>
      <c r="I214" s="7" t="n"/>
      <c r="J214" s="7" t="inlineStr">
        <is>
          <t>Guindauto</t>
        </is>
      </c>
      <c r="K214" s="7" t="inlineStr">
        <is>
          <t>Apoio</t>
        </is>
      </c>
      <c r="L214" s="16" t="inlineStr">
        <is>
          <t>PDS-dezembro(1).docx</t>
        </is>
      </c>
      <c r="M214">
        <f>IF($A214="","",TEXT($A214,"mmmm/yyyy"))</f>
        <v/>
      </c>
      <c r="P214">
        <f>IFERROR(_xludf.XLOOKUP($N214,Base_Enderecos!$A:$A,Base_Enderecos!$B:$B,""),"")</f>
        <v/>
      </c>
      <c r="Q214">
        <f>IFERROR(_xludf.XLOOKUP($N214,Base_Enderecos!$A:$A,Base_Enderecos!$C:$C,""),"")</f>
        <v/>
      </c>
      <c r="R214">
        <f>IF(OR(ISNUMBER(SEARCH("HDD",$F214)),ISNUMBER(SEARCH("MND",$F214)),ISNUMBER(SEARCH("PEAD",$F214)),ISNUMBER(SEARCH("Puxe",$J214)),ISNUMBER(SEARCH("Apoio HDD",$F214))),"MND",IF(OR(ISNUMBER(SEARCH("VCA",$F214)),ISNUMBER(SEARCH("PVC",$F214)),ISNUMBER(SEARCH("vca",$J214)),ISNUMBER(SEARCH("Transformação",$J214))),"VCA",IF(OR(ISNUMBER(SEARCH("crava",$F214)),ISNUMBER(SEARCH("tubo cravado",$F214)),ISNUMBER(SEARCH("shaft",$J214)),ISNUMBER(SEARCH("concreto",$F214))),"TUBO CRAVADO","")))</f>
        <v/>
      </c>
      <c r="T214">
        <f>IF($A214="","",TEXT($A214,"yyyymm")&amp;"|"&amp;$C214&amp;"|"&amp;$F214&amp;"|"&amp;$N214&amp;"|"&amp;$R214)</f>
        <v/>
      </c>
    </row>
    <row r="215" ht="11.55" customHeight="1">
      <c r="A215" s="10" t="n">
        <v>46009</v>
      </c>
      <c r="B215" s="7" t="inlineStr">
        <is>
          <t>Quinta</t>
        </is>
      </c>
      <c r="C215" s="7" t="inlineStr">
        <is>
          <t>Guindauto</t>
        </is>
      </c>
      <c r="D215" s="7" t="n"/>
      <c r="E215" s="7" t="inlineStr">
        <is>
          <t>Marcio apoio as equipes.</t>
        </is>
      </c>
      <c r="F215" s="13" t="inlineStr">
        <is>
          <t>Marcio apoio as equipes.</t>
        </is>
      </c>
      <c r="G215" s="7" t="n"/>
      <c r="H215" s="7" t="n"/>
      <c r="I215" s="7" t="n"/>
      <c r="J215" s="7" t="inlineStr">
        <is>
          <t>Guindauto</t>
        </is>
      </c>
      <c r="K215" s="7" t="inlineStr">
        <is>
          <t>Apoio</t>
        </is>
      </c>
      <c r="L215" s="16" t="inlineStr">
        <is>
          <t>PDS-dezembro(1).docx</t>
        </is>
      </c>
      <c r="M215">
        <f>IF($A215="","",TEXT($A215,"mmmm/yyyy"))</f>
        <v/>
      </c>
      <c r="P215">
        <f>IFERROR(_xludf.XLOOKUP($N215,Base_Enderecos!$A:$A,Base_Enderecos!$B:$B,""),"")</f>
        <v/>
      </c>
      <c r="Q215">
        <f>IFERROR(_xludf.XLOOKUP($N215,Base_Enderecos!$A:$A,Base_Enderecos!$C:$C,""),"")</f>
        <v/>
      </c>
      <c r="R215">
        <f>IF(OR(ISNUMBER(SEARCH("HDD",$F215)),ISNUMBER(SEARCH("MND",$F215)),ISNUMBER(SEARCH("PEAD",$F215)),ISNUMBER(SEARCH("Puxe",$J215)),ISNUMBER(SEARCH("Apoio HDD",$F215))),"MND",IF(OR(ISNUMBER(SEARCH("VCA",$F215)),ISNUMBER(SEARCH("PVC",$F215)),ISNUMBER(SEARCH("vca",$J215)),ISNUMBER(SEARCH("Transformação",$J215))),"VCA",IF(OR(ISNUMBER(SEARCH("crava",$F215)),ISNUMBER(SEARCH("tubo cravado",$F215)),ISNUMBER(SEARCH("shaft",$J215)),ISNUMBER(SEARCH("concreto",$F215))),"TUBO CRAVADO","")))</f>
        <v/>
      </c>
      <c r="T215">
        <f>IF($A215="","",TEXT($A215,"yyyymm")&amp;"|"&amp;$C215&amp;"|"&amp;$F215&amp;"|"&amp;$N215&amp;"|"&amp;$R215)</f>
        <v/>
      </c>
    </row>
    <row r="216" ht="11.55" customHeight="1">
      <c r="A216" s="10" t="n">
        <v>46013</v>
      </c>
      <c r="B216" s="7" t="inlineStr">
        <is>
          <t>Segunda</t>
        </is>
      </c>
      <c r="C216" s="7" t="inlineStr">
        <is>
          <t>CT *Lajeado</t>
        </is>
      </c>
      <c r="D216" s="7" t="n"/>
      <c r="E216" s="7" t="inlineStr">
        <is>
          <t>Cesar</t>
        </is>
      </c>
      <c r="F216" s="13" t="inlineStr">
        <is>
          <t>Transformação PV 19</t>
        </is>
      </c>
      <c r="G216" s="7" t="inlineStr">
        <is>
          <t>19</t>
        </is>
      </c>
      <c r="H216" s="7" t="n"/>
      <c r="I216" s="7" t="inlineStr">
        <is>
          <t>19</t>
        </is>
      </c>
      <c r="J216" s="7" t="inlineStr">
        <is>
          <t>Transformação</t>
        </is>
      </c>
      <c r="K216" s="7" t="inlineStr">
        <is>
          <t>Planejamento</t>
        </is>
      </c>
      <c r="L216" s="16" t="inlineStr">
        <is>
          <t>PDS-dezembro(1).docx</t>
        </is>
      </c>
      <c r="M216">
        <f>IF($A216="","",TEXT($A216,"mmmm/yyyy"))</f>
        <v/>
      </c>
      <c r="P216">
        <f>IFERROR(_xludf.XLOOKUP($N216,Base_Enderecos!$A:$A,Base_Enderecos!$B:$B,""),"")</f>
        <v/>
      </c>
      <c r="Q216">
        <f>IFERROR(_xludf.XLOOKUP($N216,Base_Enderecos!$A:$A,Base_Enderecos!$C:$C,""),"")</f>
        <v/>
      </c>
      <c r="R216">
        <f>IF(OR(ISNUMBER(SEARCH("HDD",$F216)),ISNUMBER(SEARCH("MND",$F216)),ISNUMBER(SEARCH("PEAD",$F216)),ISNUMBER(SEARCH("Puxe",$J216)),ISNUMBER(SEARCH("Apoio HDD",$F216))),"MND",IF(OR(ISNUMBER(SEARCH("VCA",$F216)),ISNUMBER(SEARCH("PVC",$F216)),ISNUMBER(SEARCH("vca",$J216)),ISNUMBER(SEARCH("Transformação",$J216))),"VCA",IF(OR(ISNUMBER(SEARCH("crava",$F216)),ISNUMBER(SEARCH("tubo cravado",$F216)),ISNUMBER(SEARCH("shaft",$J216)),ISNUMBER(SEARCH("concreto",$F216))),"TUBO CRAVADO","")))</f>
        <v/>
      </c>
      <c r="T216">
        <f>IF($A216="","",TEXT($A216,"yyyymm")&amp;"|"&amp;$C216&amp;"|"&amp;$F216&amp;"|"&amp;$N216&amp;"|"&amp;$R216)</f>
        <v/>
      </c>
    </row>
    <row r="217" ht="11.55" customHeight="1">
      <c r="A217" s="10" t="n">
        <v>46013</v>
      </c>
      <c r="B217" s="7" t="inlineStr">
        <is>
          <t>Segunda</t>
        </is>
      </c>
      <c r="C217" s="7" t="inlineStr">
        <is>
          <t>CT *Lajeado</t>
        </is>
      </c>
      <c r="D217" s="7" t="n"/>
      <c r="E217" s="7" t="inlineStr">
        <is>
          <t>Edivando</t>
        </is>
      </c>
      <c r="F217" s="13" t="inlineStr">
        <is>
          <t>Transformação PV 16</t>
        </is>
      </c>
      <c r="G217" s="7" t="inlineStr">
        <is>
          <t>16</t>
        </is>
      </c>
      <c r="H217" s="7" t="n"/>
      <c r="I217" s="7" t="inlineStr">
        <is>
          <t>16</t>
        </is>
      </c>
      <c r="J217" s="7" t="inlineStr">
        <is>
          <t>Transformação</t>
        </is>
      </c>
      <c r="K217" s="7" t="inlineStr">
        <is>
          <t>Planejamento</t>
        </is>
      </c>
      <c r="L217" s="16" t="inlineStr">
        <is>
          <t>PDS-dezembro(1).docx</t>
        </is>
      </c>
      <c r="M217">
        <f>IF($A217="","",TEXT($A217,"mmmm/yyyy"))</f>
        <v/>
      </c>
      <c r="P217">
        <f>IFERROR(_xludf.XLOOKUP($N217,Base_Enderecos!$A:$A,Base_Enderecos!$B:$B,""),"")</f>
        <v/>
      </c>
      <c r="Q217">
        <f>IFERROR(_xludf.XLOOKUP($N217,Base_Enderecos!$A:$A,Base_Enderecos!$C:$C,""),"")</f>
        <v/>
      </c>
      <c r="R217">
        <f>IF(OR(ISNUMBER(SEARCH("HDD",$F217)),ISNUMBER(SEARCH("MND",$F217)),ISNUMBER(SEARCH("PEAD",$F217)),ISNUMBER(SEARCH("Puxe",$J217)),ISNUMBER(SEARCH("Apoio HDD",$F217))),"MND",IF(OR(ISNUMBER(SEARCH("VCA",$F217)),ISNUMBER(SEARCH("PVC",$F217)),ISNUMBER(SEARCH("vca",$J217)),ISNUMBER(SEARCH("Transformação",$J217))),"VCA",IF(OR(ISNUMBER(SEARCH("crava",$F217)),ISNUMBER(SEARCH("tubo cravado",$F217)),ISNUMBER(SEARCH("shaft",$J217)),ISNUMBER(SEARCH("concreto",$F217))),"TUBO CRAVADO","")))</f>
        <v/>
      </c>
      <c r="T217">
        <f>IF($A217="","",TEXT($A217,"yyyymm")&amp;"|"&amp;$C217&amp;"|"&amp;$F217&amp;"|"&amp;$N217&amp;"|"&amp;$R217)</f>
        <v/>
      </c>
    </row>
    <row r="218" ht="11.55" customHeight="1">
      <c r="A218" s="10" t="n">
        <v>46013</v>
      </c>
      <c r="B218" s="7" t="inlineStr">
        <is>
          <t>Segunda</t>
        </is>
      </c>
      <c r="C218" s="7" t="inlineStr">
        <is>
          <t>CT *Lajeado</t>
        </is>
      </c>
      <c r="D218" s="7" t="n"/>
      <c r="E218" s="7" t="inlineStr">
        <is>
          <t>Valter</t>
        </is>
      </c>
      <c r="F218" s="13" t="inlineStr">
        <is>
          <t>Acabamentos geral e lavagem da rede</t>
        </is>
      </c>
      <c r="G218" s="7" t="n"/>
      <c r="H218" s="7" t="n"/>
      <c r="I218" s="7" t="n"/>
      <c r="J218" s="7" t="inlineStr">
        <is>
          <t>Acabamento</t>
        </is>
      </c>
      <c r="K218" s="7" t="inlineStr">
        <is>
          <t>Planejamento</t>
        </is>
      </c>
      <c r="L218" s="16" t="inlineStr">
        <is>
          <t>PDS-dezembro(1).docx</t>
        </is>
      </c>
      <c r="M218">
        <f>IF($A218="","",TEXT($A218,"mmmm/yyyy"))</f>
        <v/>
      </c>
      <c r="P218">
        <f>IFERROR(_xludf.XLOOKUP($N218,Base_Enderecos!$A:$A,Base_Enderecos!$B:$B,""),"")</f>
        <v/>
      </c>
      <c r="Q218">
        <f>IFERROR(_xludf.XLOOKUP($N218,Base_Enderecos!$A:$A,Base_Enderecos!$C:$C,""),"")</f>
        <v/>
      </c>
      <c r="R218">
        <f>IF(OR(ISNUMBER(SEARCH("HDD",$F218)),ISNUMBER(SEARCH("MND",$F218)),ISNUMBER(SEARCH("PEAD",$F218)),ISNUMBER(SEARCH("Puxe",$J218)),ISNUMBER(SEARCH("Apoio HDD",$F218))),"MND",IF(OR(ISNUMBER(SEARCH("VCA",$F218)),ISNUMBER(SEARCH("PVC",$F218)),ISNUMBER(SEARCH("vca",$J218)),ISNUMBER(SEARCH("Transformação",$J218))),"VCA",IF(OR(ISNUMBER(SEARCH("crava",$F218)),ISNUMBER(SEARCH("tubo cravado",$F218)),ISNUMBER(SEARCH("shaft",$J218)),ISNUMBER(SEARCH("concreto",$F218))),"TUBO CRAVADO","")))</f>
        <v/>
      </c>
      <c r="T218">
        <f>IF($A218="","",TEXT($A218,"yyyymm")&amp;"|"&amp;$C218&amp;"|"&amp;$F218&amp;"|"&amp;$N218&amp;"|"&amp;$R218)</f>
        <v/>
      </c>
    </row>
    <row r="219" ht="11.55" customHeight="1">
      <c r="A219" s="10" t="n">
        <v>46013</v>
      </c>
      <c r="B219" s="7" t="inlineStr">
        <is>
          <t>Segunda</t>
        </is>
      </c>
      <c r="C219" s="7" t="inlineStr">
        <is>
          <t>CT *Lajeado</t>
        </is>
      </c>
      <c r="D219" s="7" t="n"/>
      <c r="E219" s="7" t="inlineStr">
        <is>
          <t>Paulo</t>
        </is>
      </c>
      <c r="F219" s="13" t="inlineStr">
        <is>
          <t>Transformação PV 19.1</t>
        </is>
      </c>
      <c r="G219" s="7" t="inlineStr">
        <is>
          <t>19.1</t>
        </is>
      </c>
      <c r="H219" s="7" t="n"/>
      <c r="I219" s="7" t="inlineStr">
        <is>
          <t>19.1</t>
        </is>
      </c>
      <c r="J219" s="7" t="inlineStr">
        <is>
          <t>Transformação</t>
        </is>
      </c>
      <c r="K219" s="7" t="inlineStr">
        <is>
          <t>Planejamento</t>
        </is>
      </c>
      <c r="L219" s="16" t="inlineStr">
        <is>
          <t>PDS-dezembro(1).docx</t>
        </is>
      </c>
      <c r="M219">
        <f>IF($A219="","",TEXT($A219,"mmmm/yyyy"))</f>
        <v/>
      </c>
      <c r="P219">
        <f>IFERROR(_xludf.XLOOKUP($N219,Base_Enderecos!$A:$A,Base_Enderecos!$B:$B,""),"")</f>
        <v/>
      </c>
      <c r="Q219">
        <f>IFERROR(_xludf.XLOOKUP($N219,Base_Enderecos!$A:$A,Base_Enderecos!$C:$C,""),"")</f>
        <v/>
      </c>
      <c r="R219">
        <f>IF(OR(ISNUMBER(SEARCH("HDD",$F219)),ISNUMBER(SEARCH("MND",$F219)),ISNUMBER(SEARCH("PEAD",$F219)),ISNUMBER(SEARCH("Puxe",$J219)),ISNUMBER(SEARCH("Apoio HDD",$F219))),"MND",IF(OR(ISNUMBER(SEARCH("VCA",$F219)),ISNUMBER(SEARCH("PVC",$F219)),ISNUMBER(SEARCH("vca",$J219)),ISNUMBER(SEARCH("Transformação",$J219))),"VCA",IF(OR(ISNUMBER(SEARCH("crava",$F219)),ISNUMBER(SEARCH("tubo cravado",$F219)),ISNUMBER(SEARCH("shaft",$J219)),ISNUMBER(SEARCH("concreto",$F219))),"TUBO CRAVADO","")))</f>
        <v/>
      </c>
      <c r="T219">
        <f>IF($A219="","",TEXT($A219,"yyyymm")&amp;"|"&amp;$C219&amp;"|"&amp;$F219&amp;"|"&amp;$N219&amp;"|"&amp;$R219)</f>
        <v/>
      </c>
    </row>
    <row r="220" ht="11.55" customHeight="1">
      <c r="A220" s="10" t="n">
        <v>46013</v>
      </c>
      <c r="B220" s="7" t="inlineStr">
        <is>
          <t>Segunda</t>
        </is>
      </c>
      <c r="C220" s="7" t="inlineStr">
        <is>
          <t>CT Mar de Coral</t>
        </is>
      </c>
      <c r="D220" s="7" t="n"/>
      <c r="E220" s="7" t="inlineStr">
        <is>
          <t>Nova Construção</t>
        </is>
      </c>
      <c r="F220" s="13" t="inlineStr">
        <is>
          <t>Folga</t>
        </is>
      </c>
      <c r="G220" s="7" t="n"/>
      <c r="H220" s="7" t="n"/>
      <c r="I220" s="7" t="n"/>
      <c r="J220" s="7" t="n"/>
      <c r="K220" s="7" t="inlineStr">
        <is>
          <t>Planejamento</t>
        </is>
      </c>
      <c r="L220" s="16" t="inlineStr">
        <is>
          <t>PDS-dezembro(1).docx</t>
        </is>
      </c>
      <c r="M220">
        <f>IF($A220="","",TEXT($A220,"mmmm/yyyy"))</f>
        <v/>
      </c>
      <c r="P220">
        <f>IFERROR(_xludf.XLOOKUP($N220,Base_Enderecos!$A:$A,Base_Enderecos!$B:$B,""),"")</f>
        <v/>
      </c>
      <c r="Q220">
        <f>IFERROR(_xludf.XLOOKUP($N220,Base_Enderecos!$A:$A,Base_Enderecos!$C:$C,""),"")</f>
        <v/>
      </c>
      <c r="R220">
        <f>IF(OR(ISNUMBER(SEARCH("HDD",$F220)),ISNUMBER(SEARCH("MND",$F220)),ISNUMBER(SEARCH("PEAD",$F220)),ISNUMBER(SEARCH("Puxe",$J220)),ISNUMBER(SEARCH("Apoio HDD",$F220))),"MND",IF(OR(ISNUMBER(SEARCH("VCA",$F220)),ISNUMBER(SEARCH("PVC",$F220)),ISNUMBER(SEARCH("vca",$J220)),ISNUMBER(SEARCH("Transformação",$J220))),"VCA",IF(OR(ISNUMBER(SEARCH("crava",$F220)),ISNUMBER(SEARCH("tubo cravado",$F220)),ISNUMBER(SEARCH("shaft",$J220)),ISNUMBER(SEARCH("concreto",$F220))),"TUBO CRAVADO","")))</f>
        <v/>
      </c>
      <c r="T220">
        <f>IF($A220="","",TEXT($A220,"yyyymm")&amp;"|"&amp;$C220&amp;"|"&amp;$F220&amp;"|"&amp;$N220&amp;"|"&amp;$R220)</f>
        <v/>
      </c>
    </row>
    <row r="221" ht="11.55" customHeight="1">
      <c r="A221" s="10" t="n">
        <v>46013</v>
      </c>
      <c r="B221" s="7" t="inlineStr">
        <is>
          <t>Segunda</t>
        </is>
      </c>
      <c r="C221" s="7" t="inlineStr">
        <is>
          <t>CT Lourdes</t>
        </is>
      </c>
      <c r="D221" s="7" t="n"/>
      <c r="E221" s="7" t="inlineStr">
        <is>
          <t>Higor</t>
        </is>
      </c>
      <c r="F221" s="13" t="inlineStr">
        <is>
          <t>Transformação PV 10</t>
        </is>
      </c>
      <c r="G221" s="7" t="inlineStr">
        <is>
          <t>10</t>
        </is>
      </c>
      <c r="H221" s="7" t="n"/>
      <c r="I221" s="7" t="inlineStr">
        <is>
          <t>10</t>
        </is>
      </c>
      <c r="J221" s="7" t="inlineStr">
        <is>
          <t>Transformação</t>
        </is>
      </c>
      <c r="K221" s="7" t="inlineStr">
        <is>
          <t>Planejamento</t>
        </is>
      </c>
      <c r="L221" s="16" t="inlineStr">
        <is>
          <t>PDS-dezembro(1).docx</t>
        </is>
      </c>
      <c r="M221">
        <f>IF($A221="","",TEXT($A221,"mmmm/yyyy"))</f>
        <v/>
      </c>
      <c r="P221">
        <f>IFERROR(_xludf.XLOOKUP($N221,Base_Enderecos!$A:$A,Base_Enderecos!$B:$B,""),"")</f>
        <v/>
      </c>
      <c r="Q221">
        <f>IFERROR(_xludf.XLOOKUP($N221,Base_Enderecos!$A:$A,Base_Enderecos!$C:$C,""),"")</f>
        <v/>
      </c>
      <c r="R221">
        <f>IF(OR(ISNUMBER(SEARCH("HDD",$F221)),ISNUMBER(SEARCH("MND",$F221)),ISNUMBER(SEARCH("PEAD",$F221)),ISNUMBER(SEARCH("Puxe",$J221)),ISNUMBER(SEARCH("Apoio HDD",$F221))),"MND",IF(OR(ISNUMBER(SEARCH("VCA",$F221)),ISNUMBER(SEARCH("PVC",$F221)),ISNUMBER(SEARCH("vca",$J221)),ISNUMBER(SEARCH("Transformação",$J221))),"VCA",IF(OR(ISNUMBER(SEARCH("crava",$F221)),ISNUMBER(SEARCH("tubo cravado",$F221)),ISNUMBER(SEARCH("shaft",$J221)),ISNUMBER(SEARCH("concreto",$F221))),"TUBO CRAVADO","")))</f>
        <v/>
      </c>
      <c r="T221">
        <f>IF($A221="","",TEXT($A221,"yyyymm")&amp;"|"&amp;$C221&amp;"|"&amp;$F221&amp;"|"&amp;$N221&amp;"|"&amp;$R221)</f>
        <v/>
      </c>
    </row>
    <row r="222" ht="11.55" customHeight="1">
      <c r="A222" s="10" t="n">
        <v>46013</v>
      </c>
      <c r="B222" s="7" t="inlineStr">
        <is>
          <t>Segunda</t>
        </is>
      </c>
      <c r="C222" s="7" t="inlineStr">
        <is>
          <t>CT Lourdes</t>
        </is>
      </c>
      <c r="D222" s="7" t="n"/>
      <c r="E222" s="7" t="inlineStr">
        <is>
          <t>Marcelo</t>
        </is>
      </c>
      <c r="F222" s="13" t="inlineStr">
        <is>
          <t>Transformação PV</t>
        </is>
      </c>
      <c r="G222" s="7" t="n"/>
      <c r="H222" s="7" t="n"/>
      <c r="I222" s="7" t="n"/>
      <c r="J222" s="7" t="inlineStr">
        <is>
          <t>Transformação</t>
        </is>
      </c>
      <c r="K222" s="7" t="inlineStr">
        <is>
          <t>Planejamento</t>
        </is>
      </c>
      <c r="L222" s="16" t="inlineStr">
        <is>
          <t>PDS-dezembro(1).docx</t>
        </is>
      </c>
      <c r="M222">
        <f>IF($A222="","",TEXT($A222,"mmmm/yyyy"))</f>
        <v/>
      </c>
      <c r="P222">
        <f>IFERROR(_xludf.XLOOKUP($N222,Base_Enderecos!$A:$A,Base_Enderecos!$B:$B,""),"")</f>
        <v/>
      </c>
      <c r="Q222">
        <f>IFERROR(_xludf.XLOOKUP($N222,Base_Enderecos!$A:$A,Base_Enderecos!$C:$C,""),"")</f>
        <v/>
      </c>
      <c r="R222">
        <f>IF(OR(ISNUMBER(SEARCH("HDD",$F222)),ISNUMBER(SEARCH("MND",$F222)),ISNUMBER(SEARCH("PEAD",$F222)),ISNUMBER(SEARCH("Puxe",$J222)),ISNUMBER(SEARCH("Apoio HDD",$F222))),"MND",IF(OR(ISNUMBER(SEARCH("VCA",$F222)),ISNUMBER(SEARCH("PVC",$F222)),ISNUMBER(SEARCH("vca",$J222)),ISNUMBER(SEARCH("Transformação",$J222))),"VCA",IF(OR(ISNUMBER(SEARCH("crava",$F222)),ISNUMBER(SEARCH("tubo cravado",$F222)),ISNUMBER(SEARCH("shaft",$J222)),ISNUMBER(SEARCH("concreto",$F222))),"TUBO CRAVADO","")))</f>
        <v/>
      </c>
      <c r="T222">
        <f>IF($A222="","",TEXT($A222,"yyyymm")&amp;"|"&amp;$C222&amp;"|"&amp;$F222&amp;"|"&amp;$N222&amp;"|"&amp;$R222)</f>
        <v/>
      </c>
    </row>
    <row r="223" ht="11.55" customHeight="1">
      <c r="A223" s="10" t="n">
        <v>46013</v>
      </c>
      <c r="B223" s="7" t="inlineStr">
        <is>
          <t>Segunda</t>
        </is>
      </c>
      <c r="C223" s="7" t="inlineStr">
        <is>
          <t>CT Lourdes</t>
        </is>
      </c>
      <c r="D223" s="7" t="n"/>
      <c r="E223" s="7" t="inlineStr">
        <is>
          <t>Márcio</t>
        </is>
      </c>
      <c r="F223" s="13" t="inlineStr">
        <is>
          <t>Preparação de base PV18</t>
        </is>
      </c>
      <c r="G223" s="7" t="inlineStr">
        <is>
          <t>18</t>
        </is>
      </c>
      <c r="H223" s="7" t="n"/>
      <c r="I223" s="7" t="inlineStr">
        <is>
          <t>18</t>
        </is>
      </c>
      <c r="J223" s="7" t="n"/>
      <c r="K223" s="7" t="inlineStr">
        <is>
          <t>Planejamento</t>
        </is>
      </c>
      <c r="L223" s="16" t="inlineStr">
        <is>
          <t>PDS-dezembro(1).docx</t>
        </is>
      </c>
      <c r="M223">
        <f>IF($A223="","",TEXT($A223,"mmmm/yyyy"))</f>
        <v/>
      </c>
      <c r="P223">
        <f>IFERROR(_xludf.XLOOKUP($N223,Base_Enderecos!$A:$A,Base_Enderecos!$B:$B,""),"")</f>
        <v/>
      </c>
      <c r="Q223">
        <f>IFERROR(_xludf.XLOOKUP($N223,Base_Enderecos!$A:$A,Base_Enderecos!$C:$C,""),"")</f>
        <v/>
      </c>
      <c r="R223">
        <f>IF(OR(ISNUMBER(SEARCH("HDD",$F223)),ISNUMBER(SEARCH("MND",$F223)),ISNUMBER(SEARCH("PEAD",$F223)),ISNUMBER(SEARCH("Puxe",$J223)),ISNUMBER(SEARCH("Apoio HDD",$F223))),"MND",IF(OR(ISNUMBER(SEARCH("VCA",$F223)),ISNUMBER(SEARCH("PVC",$F223)),ISNUMBER(SEARCH("vca",$J223)),ISNUMBER(SEARCH("Transformação",$J223))),"VCA",IF(OR(ISNUMBER(SEARCH("crava",$F223)),ISNUMBER(SEARCH("tubo cravado",$F223)),ISNUMBER(SEARCH("shaft",$J223)),ISNUMBER(SEARCH("concreto",$F223))),"TUBO CRAVADO","")))</f>
        <v/>
      </c>
      <c r="T223">
        <f>IF($A223="","",TEXT($A223,"yyyymm")&amp;"|"&amp;$C223&amp;"|"&amp;$F223&amp;"|"&amp;$N223&amp;"|"&amp;$R223)</f>
        <v/>
      </c>
    </row>
    <row r="224" ht="11.55" customHeight="1">
      <c r="A224" s="10" t="n">
        <v>46013</v>
      </c>
      <c r="B224" s="7" t="inlineStr">
        <is>
          <t>Segunda</t>
        </is>
      </c>
      <c r="C224" s="7" t="inlineStr">
        <is>
          <t>CT Lourdes</t>
        </is>
      </c>
      <c r="D224" s="7" t="n"/>
      <c r="E224" s="7" t="inlineStr">
        <is>
          <t>WJ (Edson)</t>
        </is>
      </c>
      <c r="F224" s="13" t="inlineStr">
        <is>
          <t>Execução passagem tubo entre PVs 18 ao 19</t>
        </is>
      </c>
      <c r="G224" s="7" t="inlineStr">
        <is>
          <t>18</t>
        </is>
      </c>
      <c r="H224" s="7" t="n"/>
      <c r="I224" s="7" t="inlineStr">
        <is>
          <t>18</t>
        </is>
      </c>
      <c r="J224" s="7" t="n"/>
      <c r="K224" s="7" t="inlineStr">
        <is>
          <t>Planejamento</t>
        </is>
      </c>
      <c r="L224" s="16" t="inlineStr">
        <is>
          <t>PDS-dezembro(1).docx</t>
        </is>
      </c>
      <c r="M224">
        <f>IF($A224="","",TEXT($A224,"mmmm/yyyy"))</f>
        <v/>
      </c>
      <c r="P224">
        <f>IFERROR(_xludf.XLOOKUP($N224,Base_Enderecos!$A:$A,Base_Enderecos!$B:$B,""),"")</f>
        <v/>
      </c>
      <c r="Q224">
        <f>IFERROR(_xludf.XLOOKUP($N224,Base_Enderecos!$A:$A,Base_Enderecos!$C:$C,""),"")</f>
        <v/>
      </c>
      <c r="R224">
        <f>IF(OR(ISNUMBER(SEARCH("HDD",$F224)),ISNUMBER(SEARCH("MND",$F224)),ISNUMBER(SEARCH("PEAD",$F224)),ISNUMBER(SEARCH("Puxe",$J224)),ISNUMBER(SEARCH("Apoio HDD",$F224))),"MND",IF(OR(ISNUMBER(SEARCH("VCA",$F224)),ISNUMBER(SEARCH("PVC",$F224)),ISNUMBER(SEARCH("vca",$J224)),ISNUMBER(SEARCH("Transformação",$J224))),"VCA",IF(OR(ISNUMBER(SEARCH("crava",$F224)),ISNUMBER(SEARCH("tubo cravado",$F224)),ISNUMBER(SEARCH("shaft",$J224)),ISNUMBER(SEARCH("concreto",$F224))),"TUBO CRAVADO","")))</f>
        <v/>
      </c>
      <c r="T224">
        <f>IF($A224="","",TEXT($A224,"yyyymm")&amp;"|"&amp;$C224&amp;"|"&amp;$F224&amp;"|"&amp;$N224&amp;"|"&amp;$R224)</f>
        <v/>
      </c>
    </row>
    <row r="225" ht="11.55" customHeight="1">
      <c r="A225" s="10" t="n">
        <v>46013</v>
      </c>
      <c r="B225" s="7" t="inlineStr">
        <is>
          <t>Segunda</t>
        </is>
      </c>
      <c r="C225" s="7" t="inlineStr">
        <is>
          <t>CT Lourdes</t>
        </is>
      </c>
      <c r="D225" s="7" t="n"/>
      <c r="E225" s="7" t="inlineStr">
        <is>
          <t>Natalino</t>
        </is>
      </c>
      <c r="F225" s="13" t="inlineStr">
        <is>
          <t>Apoio HDD entre PVs 18 ao 19</t>
        </is>
      </c>
      <c r="G225" s="7" t="inlineStr">
        <is>
          <t>18</t>
        </is>
      </c>
      <c r="H225" s="7" t="n"/>
      <c r="I225" s="7" t="inlineStr">
        <is>
          <t>18</t>
        </is>
      </c>
      <c r="J225" s="7" t="inlineStr">
        <is>
          <t>Apoio HDD</t>
        </is>
      </c>
      <c r="K225" s="7" t="inlineStr">
        <is>
          <t>Planejamento</t>
        </is>
      </c>
      <c r="L225" s="16" t="inlineStr">
        <is>
          <t>PDS-dezembro(1).docx</t>
        </is>
      </c>
      <c r="M225">
        <f>IF($A225="","",TEXT($A225,"mmmm/yyyy"))</f>
        <v/>
      </c>
      <c r="P225">
        <f>IFERROR(_xludf.XLOOKUP($N225,Base_Enderecos!$A:$A,Base_Enderecos!$B:$B,""),"")</f>
        <v/>
      </c>
      <c r="Q225">
        <f>IFERROR(_xludf.XLOOKUP($N225,Base_Enderecos!$A:$A,Base_Enderecos!$C:$C,""),"")</f>
        <v/>
      </c>
      <c r="R225">
        <f>IF(OR(ISNUMBER(SEARCH("HDD",$F225)),ISNUMBER(SEARCH("MND",$F225)),ISNUMBER(SEARCH("PEAD",$F225)),ISNUMBER(SEARCH("Puxe",$J225)),ISNUMBER(SEARCH("Apoio HDD",$F225))),"MND",IF(OR(ISNUMBER(SEARCH("VCA",$F225)),ISNUMBER(SEARCH("PVC",$F225)),ISNUMBER(SEARCH("vca",$J225)),ISNUMBER(SEARCH("Transformação",$J225))),"VCA",IF(OR(ISNUMBER(SEARCH("crava",$F225)),ISNUMBER(SEARCH("tubo cravado",$F225)),ISNUMBER(SEARCH("shaft",$J225)),ISNUMBER(SEARCH("concreto",$F225))),"TUBO CRAVADO","")))</f>
        <v/>
      </c>
      <c r="T225">
        <f>IF($A225="","",TEXT($A225,"yyyymm")&amp;"|"&amp;$C225&amp;"|"&amp;$F225&amp;"|"&amp;$N225&amp;"|"&amp;$R225)</f>
        <v/>
      </c>
    </row>
    <row r="226" ht="11.55" customHeight="1">
      <c r="A226" s="10" t="n">
        <v>46013</v>
      </c>
      <c r="B226" s="7" t="inlineStr">
        <is>
          <t>Segunda</t>
        </is>
      </c>
      <c r="C226" s="7" t="inlineStr">
        <is>
          <t>CT Lourdes</t>
        </is>
      </c>
      <c r="D226" s="7" t="n"/>
      <c r="E226" s="7" t="inlineStr">
        <is>
          <t>Work Drill (Bruno)</t>
        </is>
      </c>
      <c r="F226" s="13" t="inlineStr">
        <is>
          <t>Execução furo piloto entre PVs 13 ao 14</t>
        </is>
      </c>
      <c r="G226" s="7" t="inlineStr">
        <is>
          <t>13</t>
        </is>
      </c>
      <c r="H226" s="7" t="n"/>
      <c r="I226" s="7" t="inlineStr">
        <is>
          <t>13</t>
        </is>
      </c>
      <c r="J226" s="7" t="inlineStr">
        <is>
          <t>Furo piloto</t>
        </is>
      </c>
      <c r="K226" s="7" t="inlineStr">
        <is>
          <t>Planejamento</t>
        </is>
      </c>
      <c r="L226" s="16" t="inlineStr">
        <is>
          <t>PDS-dezembro(1).docx</t>
        </is>
      </c>
      <c r="M226">
        <f>IF($A226="","",TEXT($A226,"mmmm/yyyy"))</f>
        <v/>
      </c>
      <c r="P226">
        <f>IFERROR(_xludf.XLOOKUP($N226,Base_Enderecos!$A:$A,Base_Enderecos!$B:$B,""),"")</f>
        <v/>
      </c>
      <c r="Q226">
        <f>IFERROR(_xludf.XLOOKUP($N226,Base_Enderecos!$A:$A,Base_Enderecos!$C:$C,""),"")</f>
        <v/>
      </c>
      <c r="R226">
        <f>IF(OR(ISNUMBER(SEARCH("HDD",$F226)),ISNUMBER(SEARCH("MND",$F226)),ISNUMBER(SEARCH("PEAD",$F226)),ISNUMBER(SEARCH("Puxe",$J226)),ISNUMBER(SEARCH("Apoio HDD",$F226))),"MND",IF(OR(ISNUMBER(SEARCH("VCA",$F226)),ISNUMBER(SEARCH("PVC",$F226)),ISNUMBER(SEARCH("vca",$J226)),ISNUMBER(SEARCH("Transformação",$J226))),"VCA",IF(OR(ISNUMBER(SEARCH("crava",$F226)),ISNUMBER(SEARCH("tubo cravado",$F226)),ISNUMBER(SEARCH("shaft",$J226)),ISNUMBER(SEARCH("concreto",$F226))),"TUBO CRAVADO","")))</f>
        <v/>
      </c>
      <c r="T226">
        <f>IF($A226="","",TEXT($A226,"yyyymm")&amp;"|"&amp;$C226&amp;"|"&amp;$F226&amp;"|"&amp;$N226&amp;"|"&amp;$R226)</f>
        <v/>
      </c>
    </row>
    <row r="227" ht="11.55" customHeight="1">
      <c r="A227" s="10" t="n">
        <v>46013</v>
      </c>
      <c r="B227" s="7" t="inlineStr">
        <is>
          <t>Segunda</t>
        </is>
      </c>
      <c r="C227" s="7" t="inlineStr">
        <is>
          <t>CT Lourdes</t>
        </is>
      </c>
      <c r="D227" s="7" t="n"/>
      <c r="E227" s="7" t="inlineStr">
        <is>
          <t>Fabrício</t>
        </is>
      </c>
      <c r="F227" s="13" t="inlineStr">
        <is>
          <t>Apoio HDD entre PVs 13 ao 14</t>
        </is>
      </c>
      <c r="G227" s="7" t="inlineStr">
        <is>
          <t>13</t>
        </is>
      </c>
      <c r="H227" s="7" t="n"/>
      <c r="I227" s="7" t="inlineStr">
        <is>
          <t>13</t>
        </is>
      </c>
      <c r="J227" s="7" t="inlineStr">
        <is>
          <t>Apoio HDD</t>
        </is>
      </c>
      <c r="K227" s="7" t="inlineStr">
        <is>
          <t>Planejamento</t>
        </is>
      </c>
      <c r="L227" s="16" t="inlineStr">
        <is>
          <t>PDS-dezembro(1).docx</t>
        </is>
      </c>
      <c r="M227">
        <f>IF($A227="","",TEXT($A227,"mmmm/yyyy"))</f>
        <v/>
      </c>
      <c r="P227">
        <f>IFERROR(_xludf.XLOOKUP($N227,Base_Enderecos!$A:$A,Base_Enderecos!$B:$B,""),"")</f>
        <v/>
      </c>
      <c r="Q227">
        <f>IFERROR(_xludf.XLOOKUP($N227,Base_Enderecos!$A:$A,Base_Enderecos!$C:$C,""),"")</f>
        <v/>
      </c>
      <c r="R227">
        <f>IF(OR(ISNUMBER(SEARCH("HDD",$F227)),ISNUMBER(SEARCH("MND",$F227)),ISNUMBER(SEARCH("PEAD",$F227)),ISNUMBER(SEARCH("Puxe",$J227)),ISNUMBER(SEARCH("Apoio HDD",$F227))),"MND",IF(OR(ISNUMBER(SEARCH("VCA",$F227)),ISNUMBER(SEARCH("PVC",$F227)),ISNUMBER(SEARCH("vca",$J227)),ISNUMBER(SEARCH("Transformação",$J227))),"VCA",IF(OR(ISNUMBER(SEARCH("crava",$F227)),ISNUMBER(SEARCH("tubo cravado",$F227)),ISNUMBER(SEARCH("shaft",$J227)),ISNUMBER(SEARCH("concreto",$F227))),"TUBO CRAVADO","")))</f>
        <v/>
      </c>
      <c r="T227">
        <f>IF($A227="","",TEXT($A227,"yyyymm")&amp;"|"&amp;$C227&amp;"|"&amp;$F227&amp;"|"&amp;$N227&amp;"|"&amp;$R227)</f>
        <v/>
      </c>
    </row>
    <row r="228" ht="11.55" customHeight="1">
      <c r="A228" s="10" t="n">
        <v>46013</v>
      </c>
      <c r="B228" s="7" t="inlineStr">
        <is>
          <t>Segunda</t>
        </is>
      </c>
      <c r="C228" s="7" t="inlineStr">
        <is>
          <t>CT Lourdes</t>
        </is>
      </c>
      <c r="D228" s="7" t="n"/>
      <c r="E228" s="7" t="inlineStr">
        <is>
          <t>LS</t>
        </is>
      </c>
      <c r="F228" s="13" t="inlineStr">
        <is>
          <t>Ajuste e limpeza PV 19</t>
        </is>
      </c>
      <c r="G228" s="7" t="inlineStr">
        <is>
          <t>19</t>
        </is>
      </c>
      <c r="H228" s="7" t="n"/>
      <c r="I228" s="7" t="inlineStr">
        <is>
          <t>19</t>
        </is>
      </c>
      <c r="J228" s="7" t="inlineStr">
        <is>
          <t>Limpeza</t>
        </is>
      </c>
      <c r="K228" s="7" t="inlineStr">
        <is>
          <t>Planejamento</t>
        </is>
      </c>
      <c r="L228" s="16" t="inlineStr">
        <is>
          <t>PDS-dezembro(1).docx</t>
        </is>
      </c>
      <c r="M228">
        <f>IF($A228="","",TEXT($A228,"mmmm/yyyy"))</f>
        <v/>
      </c>
      <c r="P228">
        <f>IFERROR(_xludf.XLOOKUP($N228,Base_Enderecos!$A:$A,Base_Enderecos!$B:$B,""),"")</f>
        <v/>
      </c>
      <c r="Q228">
        <f>IFERROR(_xludf.XLOOKUP($N228,Base_Enderecos!$A:$A,Base_Enderecos!$C:$C,""),"")</f>
        <v/>
      </c>
      <c r="R228">
        <f>IF(OR(ISNUMBER(SEARCH("HDD",$F228)),ISNUMBER(SEARCH("MND",$F228)),ISNUMBER(SEARCH("PEAD",$F228)),ISNUMBER(SEARCH("Puxe",$J228)),ISNUMBER(SEARCH("Apoio HDD",$F228))),"MND",IF(OR(ISNUMBER(SEARCH("VCA",$F228)),ISNUMBER(SEARCH("PVC",$F228)),ISNUMBER(SEARCH("vca",$J228)),ISNUMBER(SEARCH("Transformação",$J228))),"VCA",IF(OR(ISNUMBER(SEARCH("crava",$F228)),ISNUMBER(SEARCH("tubo cravado",$F228)),ISNUMBER(SEARCH("shaft",$J228)),ISNUMBER(SEARCH("concreto",$F228))),"TUBO CRAVADO","")))</f>
        <v/>
      </c>
      <c r="T228">
        <f>IF($A228="","",TEXT($A228,"yyyymm")&amp;"|"&amp;$C228&amp;"|"&amp;$F228&amp;"|"&amp;$N228&amp;"|"&amp;$R228)</f>
        <v/>
      </c>
    </row>
    <row r="229" ht="11.55" customHeight="1">
      <c r="A229" s="10" t="n">
        <v>46013</v>
      </c>
      <c r="B229" s="7" t="inlineStr">
        <is>
          <t>Segunda</t>
        </is>
      </c>
      <c r="C229" s="7" t="inlineStr">
        <is>
          <t>Vacal</t>
        </is>
      </c>
      <c r="D229" s="7" t="n"/>
      <c r="E229" s="7" t="inlineStr">
        <is>
          <t>Lourdes</t>
        </is>
      </c>
      <c r="F229" s="13" t="inlineStr">
        <is>
          <t>Apoio Vacal</t>
        </is>
      </c>
      <c r="G229" s="7" t="n"/>
      <c r="H229" s="7" t="n"/>
      <c r="I229" s="7" t="n"/>
      <c r="J229" s="7" t="inlineStr">
        <is>
          <t>Vacal</t>
        </is>
      </c>
      <c r="K229" s="7" t="inlineStr">
        <is>
          <t>Apoio</t>
        </is>
      </c>
      <c r="L229" s="16" t="inlineStr">
        <is>
          <t>PDS-dezembro(1).docx</t>
        </is>
      </c>
      <c r="M229">
        <f>IF($A229="","",TEXT($A229,"mmmm/yyyy"))</f>
        <v/>
      </c>
      <c r="P229">
        <f>IFERROR(_xludf.XLOOKUP($N229,Base_Enderecos!$A:$A,Base_Enderecos!$B:$B,""),"")</f>
        <v/>
      </c>
      <c r="Q229">
        <f>IFERROR(_xludf.XLOOKUP($N229,Base_Enderecos!$A:$A,Base_Enderecos!$C:$C,""),"")</f>
        <v/>
      </c>
      <c r="R229">
        <f>IF(OR(ISNUMBER(SEARCH("HDD",$F229)),ISNUMBER(SEARCH("MND",$F229)),ISNUMBER(SEARCH("PEAD",$F229)),ISNUMBER(SEARCH("Puxe",$J229)),ISNUMBER(SEARCH("Apoio HDD",$F229))),"MND",IF(OR(ISNUMBER(SEARCH("VCA",$F229)),ISNUMBER(SEARCH("PVC",$F229)),ISNUMBER(SEARCH("vca",$J229)),ISNUMBER(SEARCH("Transformação",$J229))),"VCA",IF(OR(ISNUMBER(SEARCH("crava",$F229)),ISNUMBER(SEARCH("tubo cravado",$F229)),ISNUMBER(SEARCH("shaft",$J229)),ISNUMBER(SEARCH("concreto",$F229))),"TUBO CRAVADO","")))</f>
        <v/>
      </c>
      <c r="T229">
        <f>IF($A229="","",TEXT($A229,"yyyymm")&amp;"|"&amp;$C229&amp;"|"&amp;$F229&amp;"|"&amp;$N229&amp;"|"&amp;$R229)</f>
        <v/>
      </c>
    </row>
    <row r="230" ht="11.55" customHeight="1">
      <c r="A230" s="10" t="n">
        <v>46013</v>
      </c>
      <c r="B230" s="7" t="inlineStr">
        <is>
          <t>Segunda</t>
        </is>
      </c>
      <c r="C230" s="7" t="inlineStr">
        <is>
          <t>Vacal</t>
        </is>
      </c>
      <c r="D230" s="7" t="n"/>
      <c r="E230" s="7" t="inlineStr">
        <is>
          <t>Lourdes</t>
        </is>
      </c>
      <c r="F230" s="13" t="inlineStr">
        <is>
          <t>Apoio Vacal</t>
        </is>
      </c>
      <c r="G230" s="7" t="n"/>
      <c r="H230" s="7" t="n"/>
      <c r="I230" s="7" t="n"/>
      <c r="J230" s="7" t="inlineStr">
        <is>
          <t>Vacal</t>
        </is>
      </c>
      <c r="K230" s="7" t="inlineStr">
        <is>
          <t>Apoio</t>
        </is>
      </c>
      <c r="L230" s="16" t="inlineStr">
        <is>
          <t>PDS-dezembro(1).docx</t>
        </is>
      </c>
      <c r="M230">
        <f>IF($A230="","",TEXT($A230,"mmmm/yyyy"))</f>
        <v/>
      </c>
      <c r="P230">
        <f>IFERROR(_xludf.XLOOKUP($N230,Base_Enderecos!$A:$A,Base_Enderecos!$B:$B,""),"")</f>
        <v/>
      </c>
      <c r="Q230">
        <f>IFERROR(_xludf.XLOOKUP($N230,Base_Enderecos!$A:$A,Base_Enderecos!$C:$C,""),"")</f>
        <v/>
      </c>
      <c r="R230">
        <f>IF(OR(ISNUMBER(SEARCH("HDD",$F230)),ISNUMBER(SEARCH("MND",$F230)),ISNUMBER(SEARCH("PEAD",$F230)),ISNUMBER(SEARCH("Puxe",$J230)),ISNUMBER(SEARCH("Apoio HDD",$F230))),"MND",IF(OR(ISNUMBER(SEARCH("VCA",$F230)),ISNUMBER(SEARCH("PVC",$F230)),ISNUMBER(SEARCH("vca",$J230)),ISNUMBER(SEARCH("Transformação",$J230))),"VCA",IF(OR(ISNUMBER(SEARCH("crava",$F230)),ISNUMBER(SEARCH("tubo cravado",$F230)),ISNUMBER(SEARCH("shaft",$J230)),ISNUMBER(SEARCH("concreto",$F230))),"TUBO CRAVADO","")))</f>
        <v/>
      </c>
      <c r="T230">
        <f>IF($A230="","",TEXT($A230,"yyyymm")&amp;"|"&amp;$C230&amp;"|"&amp;$F230&amp;"|"&amp;$N230&amp;"|"&amp;$R230)</f>
        <v/>
      </c>
    </row>
    <row r="231" ht="11.55" customHeight="1">
      <c r="A231" s="10" t="n">
        <v>46013</v>
      </c>
      <c r="B231" s="7" t="inlineStr">
        <is>
          <t>Segunda</t>
        </is>
      </c>
      <c r="C231" s="7" t="inlineStr">
        <is>
          <t>Vacal</t>
        </is>
      </c>
      <c r="D231" s="7" t="n"/>
      <c r="E231" s="7" t="inlineStr">
        <is>
          <t>Lourdes</t>
        </is>
      </c>
      <c r="F231" s="13" t="inlineStr">
        <is>
          <t>Apoio Vacal</t>
        </is>
      </c>
      <c r="G231" s="7" t="n"/>
      <c r="H231" s="7" t="n"/>
      <c r="I231" s="7" t="n"/>
      <c r="J231" s="7" t="inlineStr">
        <is>
          <t>Vacal</t>
        </is>
      </c>
      <c r="K231" s="7" t="inlineStr">
        <is>
          <t>Apoio</t>
        </is>
      </c>
      <c r="L231" s="16" t="inlineStr">
        <is>
          <t>PDS-dezembro(1).docx</t>
        </is>
      </c>
      <c r="M231">
        <f>IF($A231="","",TEXT($A231,"mmmm/yyyy"))</f>
        <v/>
      </c>
      <c r="P231">
        <f>IFERROR(_xludf.XLOOKUP($N231,Base_Enderecos!$A:$A,Base_Enderecos!$B:$B,""),"")</f>
        <v/>
      </c>
      <c r="Q231">
        <f>IFERROR(_xludf.XLOOKUP($N231,Base_Enderecos!$A:$A,Base_Enderecos!$C:$C,""),"")</f>
        <v/>
      </c>
      <c r="R231">
        <f>IF(OR(ISNUMBER(SEARCH("HDD",$F231)),ISNUMBER(SEARCH("MND",$F231)),ISNUMBER(SEARCH("PEAD",$F231)),ISNUMBER(SEARCH("Puxe",$J231)),ISNUMBER(SEARCH("Apoio HDD",$F231))),"MND",IF(OR(ISNUMBER(SEARCH("VCA",$F231)),ISNUMBER(SEARCH("PVC",$F231)),ISNUMBER(SEARCH("vca",$J231)),ISNUMBER(SEARCH("Transformação",$J231))),"VCA",IF(OR(ISNUMBER(SEARCH("crava",$F231)),ISNUMBER(SEARCH("tubo cravado",$F231)),ISNUMBER(SEARCH("shaft",$J231)),ISNUMBER(SEARCH("concreto",$F231))),"TUBO CRAVADO","")))</f>
        <v/>
      </c>
      <c r="T231">
        <f>IF($A231="","",TEXT($A231,"yyyymm")&amp;"|"&amp;$C231&amp;"|"&amp;$F231&amp;"|"&amp;$N231&amp;"|"&amp;$R231)</f>
        <v/>
      </c>
    </row>
    <row r="232" ht="11.55" customHeight="1">
      <c r="A232" s="10" t="n">
        <v>46013</v>
      </c>
      <c r="B232" s="7" t="inlineStr">
        <is>
          <t>Segunda</t>
        </is>
      </c>
      <c r="C232" s="7" t="inlineStr">
        <is>
          <t>Vacal</t>
        </is>
      </c>
      <c r="D232" s="7" t="n"/>
      <c r="E232" s="7" t="inlineStr">
        <is>
          <t>Lajeado</t>
        </is>
      </c>
      <c r="F232" s="13" t="inlineStr">
        <is>
          <t>Apoio Vacal</t>
        </is>
      </c>
      <c r="G232" s="7" t="n"/>
      <c r="H232" s="7" t="n"/>
      <c r="I232" s="7" t="n"/>
      <c r="J232" s="7" t="inlineStr">
        <is>
          <t>Vacal</t>
        </is>
      </c>
      <c r="K232" s="7" t="inlineStr">
        <is>
          <t>Apoio</t>
        </is>
      </c>
      <c r="L232" s="16" t="inlineStr">
        <is>
          <t>PDS-dezembro(1).docx</t>
        </is>
      </c>
      <c r="M232">
        <f>IF($A232="","",TEXT($A232,"mmmm/yyyy"))</f>
        <v/>
      </c>
      <c r="P232">
        <f>IFERROR(_xludf.XLOOKUP($N232,Base_Enderecos!$A:$A,Base_Enderecos!$B:$B,""),"")</f>
        <v/>
      </c>
      <c r="Q232">
        <f>IFERROR(_xludf.XLOOKUP($N232,Base_Enderecos!$A:$A,Base_Enderecos!$C:$C,""),"")</f>
        <v/>
      </c>
      <c r="R232">
        <f>IF(OR(ISNUMBER(SEARCH("HDD",$F232)),ISNUMBER(SEARCH("MND",$F232)),ISNUMBER(SEARCH("PEAD",$F232)),ISNUMBER(SEARCH("Puxe",$J232)),ISNUMBER(SEARCH("Apoio HDD",$F232))),"MND",IF(OR(ISNUMBER(SEARCH("VCA",$F232)),ISNUMBER(SEARCH("PVC",$F232)),ISNUMBER(SEARCH("vca",$J232)),ISNUMBER(SEARCH("Transformação",$J232))),"VCA",IF(OR(ISNUMBER(SEARCH("crava",$F232)),ISNUMBER(SEARCH("tubo cravado",$F232)),ISNUMBER(SEARCH("shaft",$J232)),ISNUMBER(SEARCH("concreto",$F232))),"TUBO CRAVADO","")))</f>
        <v/>
      </c>
      <c r="T232">
        <f>IF($A232="","",TEXT($A232,"yyyymm")&amp;"|"&amp;$C232&amp;"|"&amp;$F232&amp;"|"&amp;$N232&amp;"|"&amp;$R232)</f>
        <v/>
      </c>
    </row>
    <row r="233" ht="11.55" customHeight="1">
      <c r="A233" s="10" t="n">
        <v>46013</v>
      </c>
      <c r="B233" s="7" t="inlineStr">
        <is>
          <t>Segunda</t>
        </is>
      </c>
      <c r="C233" s="7" t="inlineStr">
        <is>
          <t>Guindauto</t>
        </is>
      </c>
      <c r="D233" s="7" t="n"/>
      <c r="E233" s="7" t="inlineStr">
        <is>
          <t>Rodrigo apoio as equipes</t>
        </is>
      </c>
      <c r="F233" s="13" t="inlineStr">
        <is>
          <t>Rodrigo apoio as equipes</t>
        </is>
      </c>
      <c r="G233" s="7" t="n"/>
      <c r="H233" s="7" t="n"/>
      <c r="I233" s="7" t="n"/>
      <c r="J233" s="7" t="inlineStr">
        <is>
          <t>Guindauto</t>
        </is>
      </c>
      <c r="K233" s="7" t="inlineStr">
        <is>
          <t>Apoio</t>
        </is>
      </c>
      <c r="L233" s="16" t="inlineStr">
        <is>
          <t>PDS-dezembro(1).docx</t>
        </is>
      </c>
      <c r="M233">
        <f>IF($A233="","",TEXT($A233,"mmmm/yyyy"))</f>
        <v/>
      </c>
      <c r="P233">
        <f>IFERROR(_xludf.XLOOKUP($N233,Base_Enderecos!$A:$A,Base_Enderecos!$B:$B,""),"")</f>
        <v/>
      </c>
      <c r="Q233">
        <f>IFERROR(_xludf.XLOOKUP($N233,Base_Enderecos!$A:$A,Base_Enderecos!$C:$C,""),"")</f>
        <v/>
      </c>
      <c r="R233">
        <f>IF(OR(ISNUMBER(SEARCH("HDD",$F233)),ISNUMBER(SEARCH("MND",$F233)),ISNUMBER(SEARCH("PEAD",$F233)),ISNUMBER(SEARCH("Puxe",$J233)),ISNUMBER(SEARCH("Apoio HDD",$F233))),"MND",IF(OR(ISNUMBER(SEARCH("VCA",$F233)),ISNUMBER(SEARCH("PVC",$F233)),ISNUMBER(SEARCH("vca",$J233)),ISNUMBER(SEARCH("Transformação",$J233))),"VCA",IF(OR(ISNUMBER(SEARCH("crava",$F233)),ISNUMBER(SEARCH("tubo cravado",$F233)),ISNUMBER(SEARCH("shaft",$J233)),ISNUMBER(SEARCH("concreto",$F233))),"TUBO CRAVADO","")))</f>
        <v/>
      </c>
      <c r="T233">
        <f>IF($A233="","",TEXT($A233,"yyyymm")&amp;"|"&amp;$C233&amp;"|"&amp;$F233&amp;"|"&amp;$N233&amp;"|"&amp;$R233)</f>
        <v/>
      </c>
    </row>
    <row r="234" ht="11.55" customHeight="1">
      <c r="A234" s="10" t="n">
        <v>46013</v>
      </c>
      <c r="B234" s="7" t="inlineStr">
        <is>
          <t>Segunda</t>
        </is>
      </c>
      <c r="C234" s="7" t="inlineStr">
        <is>
          <t>Guindauto</t>
        </is>
      </c>
      <c r="D234" s="7" t="n"/>
      <c r="E234" s="7" t="inlineStr">
        <is>
          <t>Marcio apoio as equipes.</t>
        </is>
      </c>
      <c r="F234" s="13" t="inlineStr">
        <is>
          <t>Marcio apoio as equipes.</t>
        </is>
      </c>
      <c r="G234" s="7" t="n"/>
      <c r="H234" s="7" t="n"/>
      <c r="I234" s="7" t="n"/>
      <c r="J234" s="7" t="inlineStr">
        <is>
          <t>Guindauto</t>
        </is>
      </c>
      <c r="K234" s="7" t="inlineStr">
        <is>
          <t>Apoio</t>
        </is>
      </c>
      <c r="L234" s="16" t="inlineStr">
        <is>
          <t>PDS-dezembro(1).docx</t>
        </is>
      </c>
      <c r="M234">
        <f>IF($A234="","",TEXT($A234,"mmmm/yyyy"))</f>
        <v/>
      </c>
      <c r="P234">
        <f>IFERROR(_xludf.XLOOKUP($N234,Base_Enderecos!$A:$A,Base_Enderecos!$B:$B,""),"")</f>
        <v/>
      </c>
      <c r="Q234">
        <f>IFERROR(_xludf.XLOOKUP($N234,Base_Enderecos!$A:$A,Base_Enderecos!$C:$C,""),"")</f>
        <v/>
      </c>
      <c r="R234">
        <f>IF(OR(ISNUMBER(SEARCH("HDD",$F234)),ISNUMBER(SEARCH("MND",$F234)),ISNUMBER(SEARCH("PEAD",$F234)),ISNUMBER(SEARCH("Puxe",$J234)),ISNUMBER(SEARCH("Apoio HDD",$F234))),"MND",IF(OR(ISNUMBER(SEARCH("VCA",$F234)),ISNUMBER(SEARCH("PVC",$F234)),ISNUMBER(SEARCH("vca",$J234)),ISNUMBER(SEARCH("Transformação",$J234))),"VCA",IF(OR(ISNUMBER(SEARCH("crava",$F234)),ISNUMBER(SEARCH("tubo cravado",$F234)),ISNUMBER(SEARCH("shaft",$J234)),ISNUMBER(SEARCH("concreto",$F234))),"TUBO CRAVADO","")))</f>
        <v/>
      </c>
      <c r="T234">
        <f>IF($A234="","",TEXT($A234,"yyyymm")&amp;"|"&amp;$C234&amp;"|"&amp;$F234&amp;"|"&amp;$N234&amp;"|"&amp;$R234)</f>
        <v/>
      </c>
    </row>
    <row r="235" ht="11.55" customHeight="1">
      <c r="A235" s="10" t="n">
        <v>46014</v>
      </c>
      <c r="B235" s="7" t="inlineStr">
        <is>
          <t>Terça</t>
        </is>
      </c>
      <c r="C235" s="7" t="inlineStr">
        <is>
          <t>CT *Lajeado</t>
        </is>
      </c>
      <c r="D235" s="7" t="n"/>
      <c r="E235" s="7" t="inlineStr">
        <is>
          <t>Edivando</t>
        </is>
      </c>
      <c r="F235" s="13" t="inlineStr">
        <is>
          <t>Transformação PV 16</t>
        </is>
      </c>
      <c r="G235" s="7" t="inlineStr">
        <is>
          <t>16</t>
        </is>
      </c>
      <c r="H235" s="7" t="n"/>
      <c r="I235" s="7" t="inlineStr">
        <is>
          <t>16</t>
        </is>
      </c>
      <c r="J235" s="7" t="inlineStr">
        <is>
          <t>Transformação</t>
        </is>
      </c>
      <c r="K235" s="7" t="inlineStr">
        <is>
          <t>Planejamento</t>
        </is>
      </c>
      <c r="L235" s="16" t="inlineStr">
        <is>
          <t>PDS-dezembro(1).docx</t>
        </is>
      </c>
      <c r="M235">
        <f>IF($A235="","",TEXT($A235,"mmmm/yyyy"))</f>
        <v/>
      </c>
      <c r="P235">
        <f>IFERROR(_xludf.XLOOKUP($N235,Base_Enderecos!$A:$A,Base_Enderecos!$B:$B,""),"")</f>
        <v/>
      </c>
      <c r="Q235">
        <f>IFERROR(_xludf.XLOOKUP($N235,Base_Enderecos!$A:$A,Base_Enderecos!$C:$C,""),"")</f>
        <v/>
      </c>
      <c r="R235">
        <f>IF(OR(ISNUMBER(SEARCH("HDD",$F235)),ISNUMBER(SEARCH("MND",$F235)),ISNUMBER(SEARCH("PEAD",$F235)),ISNUMBER(SEARCH("Puxe",$J235)),ISNUMBER(SEARCH("Apoio HDD",$F235))),"MND",IF(OR(ISNUMBER(SEARCH("VCA",$F235)),ISNUMBER(SEARCH("PVC",$F235)),ISNUMBER(SEARCH("vca",$J235)),ISNUMBER(SEARCH("Transformação",$J235))),"VCA",IF(OR(ISNUMBER(SEARCH("crava",$F235)),ISNUMBER(SEARCH("tubo cravado",$F235)),ISNUMBER(SEARCH("shaft",$J235)),ISNUMBER(SEARCH("concreto",$F235))),"TUBO CRAVADO","")))</f>
        <v/>
      </c>
      <c r="T235">
        <f>IF($A235="","",TEXT($A235,"yyyymm")&amp;"|"&amp;$C235&amp;"|"&amp;$F235&amp;"|"&amp;$N235&amp;"|"&amp;$R235)</f>
        <v/>
      </c>
    </row>
    <row r="236" ht="11.55" customHeight="1">
      <c r="A236" s="10" t="n">
        <v>46014</v>
      </c>
      <c r="B236" s="7" t="inlineStr">
        <is>
          <t>Terça</t>
        </is>
      </c>
      <c r="C236" s="7" t="inlineStr">
        <is>
          <t>CT *Lajeado</t>
        </is>
      </c>
      <c r="D236" s="7" t="n"/>
      <c r="E236" s="7" t="inlineStr">
        <is>
          <t>Valter</t>
        </is>
      </c>
      <c r="F236" s="13" t="inlineStr">
        <is>
          <t>Transformação PV19.1</t>
        </is>
      </c>
      <c r="G236" s="7" t="inlineStr">
        <is>
          <t>19.1</t>
        </is>
      </c>
      <c r="H236" s="7" t="n"/>
      <c r="I236" s="7" t="inlineStr">
        <is>
          <t>19.1</t>
        </is>
      </c>
      <c r="J236" s="7" t="inlineStr">
        <is>
          <t>Transformação</t>
        </is>
      </c>
      <c r="K236" s="7" t="inlineStr">
        <is>
          <t>Planejamento</t>
        </is>
      </c>
      <c r="L236" s="16" t="inlineStr">
        <is>
          <t>PDS-dezembro(1).docx</t>
        </is>
      </c>
      <c r="M236">
        <f>IF($A236="","",TEXT($A236,"mmmm/yyyy"))</f>
        <v/>
      </c>
      <c r="P236">
        <f>IFERROR(_xludf.XLOOKUP($N236,Base_Enderecos!$A:$A,Base_Enderecos!$B:$B,""),"")</f>
        <v/>
      </c>
      <c r="Q236">
        <f>IFERROR(_xludf.XLOOKUP($N236,Base_Enderecos!$A:$A,Base_Enderecos!$C:$C,""),"")</f>
        <v/>
      </c>
      <c r="R236">
        <f>IF(OR(ISNUMBER(SEARCH("HDD",$F236)),ISNUMBER(SEARCH("MND",$F236)),ISNUMBER(SEARCH("PEAD",$F236)),ISNUMBER(SEARCH("Puxe",$J236)),ISNUMBER(SEARCH("Apoio HDD",$F236))),"MND",IF(OR(ISNUMBER(SEARCH("VCA",$F236)),ISNUMBER(SEARCH("PVC",$F236)),ISNUMBER(SEARCH("vca",$J236)),ISNUMBER(SEARCH("Transformação",$J236))),"VCA",IF(OR(ISNUMBER(SEARCH("crava",$F236)),ISNUMBER(SEARCH("tubo cravado",$F236)),ISNUMBER(SEARCH("shaft",$J236)),ISNUMBER(SEARCH("concreto",$F236))),"TUBO CRAVADO","")))</f>
        <v/>
      </c>
      <c r="T236">
        <f>IF($A236="","",TEXT($A236,"yyyymm")&amp;"|"&amp;$C236&amp;"|"&amp;$F236&amp;"|"&amp;$N236&amp;"|"&amp;$R236)</f>
        <v/>
      </c>
    </row>
    <row r="237" ht="11.55" customHeight="1">
      <c r="A237" s="10" t="n">
        <v>46014</v>
      </c>
      <c r="B237" s="7" t="inlineStr">
        <is>
          <t>Terça</t>
        </is>
      </c>
      <c r="C237" s="7" t="inlineStr">
        <is>
          <t>CT Mar de Coral</t>
        </is>
      </c>
      <c r="D237" s="7" t="n"/>
      <c r="E237" s="7" t="inlineStr">
        <is>
          <t>Cesar</t>
        </is>
      </c>
      <c r="F237" s="13" t="inlineStr">
        <is>
          <t>Escavação mecânica e montagem armco PV 03</t>
        </is>
      </c>
      <c r="G237" s="7" t="inlineStr">
        <is>
          <t>03</t>
        </is>
      </c>
      <c r="H237" s="7" t="n"/>
      <c r="I237" s="7" t="inlineStr">
        <is>
          <t>03</t>
        </is>
      </c>
      <c r="J237" s="7" t="inlineStr">
        <is>
          <t>Escavação</t>
        </is>
      </c>
      <c r="K237" s="7" t="inlineStr">
        <is>
          <t>Planejamento</t>
        </is>
      </c>
      <c r="L237" s="16" t="inlineStr">
        <is>
          <t>PDS-dezembro(1).docx</t>
        </is>
      </c>
      <c r="M237">
        <f>IF($A237="","",TEXT($A237,"mmmm/yyyy"))</f>
        <v/>
      </c>
      <c r="P237">
        <f>IFERROR(_xludf.XLOOKUP($N237,Base_Enderecos!$A:$A,Base_Enderecos!$B:$B,""),"")</f>
        <v/>
      </c>
      <c r="Q237">
        <f>IFERROR(_xludf.XLOOKUP($N237,Base_Enderecos!$A:$A,Base_Enderecos!$C:$C,""),"")</f>
        <v/>
      </c>
      <c r="R237">
        <f>IF(OR(ISNUMBER(SEARCH("HDD",$F237)),ISNUMBER(SEARCH("MND",$F237)),ISNUMBER(SEARCH("PEAD",$F237)),ISNUMBER(SEARCH("Puxe",$J237)),ISNUMBER(SEARCH("Apoio HDD",$F237))),"MND",IF(OR(ISNUMBER(SEARCH("VCA",$F237)),ISNUMBER(SEARCH("PVC",$F237)),ISNUMBER(SEARCH("vca",$J237)),ISNUMBER(SEARCH("Transformação",$J237))),"VCA",IF(OR(ISNUMBER(SEARCH("crava",$F237)),ISNUMBER(SEARCH("tubo cravado",$F237)),ISNUMBER(SEARCH("shaft",$J237)),ISNUMBER(SEARCH("concreto",$F237))),"TUBO CRAVADO","")))</f>
        <v/>
      </c>
      <c r="T237">
        <f>IF($A237="","",TEXT($A237,"yyyymm")&amp;"|"&amp;$C237&amp;"|"&amp;$F237&amp;"|"&amp;$N237&amp;"|"&amp;$R237)</f>
        <v/>
      </c>
    </row>
    <row r="238" ht="11.55" customHeight="1">
      <c r="A238" s="10" t="n">
        <v>46014</v>
      </c>
      <c r="B238" s="7" t="inlineStr">
        <is>
          <t>Terça</t>
        </is>
      </c>
      <c r="C238" s="7" t="inlineStr">
        <is>
          <t>CT Mar de Coral</t>
        </is>
      </c>
      <c r="D238" s="7" t="n"/>
      <c r="E238" s="7" t="inlineStr">
        <is>
          <t>Márcio</t>
        </is>
      </c>
      <c r="F238" s="13" t="inlineStr">
        <is>
          <t>Escavação mecânica e montagem armco PV 04</t>
        </is>
      </c>
      <c r="G238" s="7" t="inlineStr">
        <is>
          <t>04</t>
        </is>
      </c>
      <c r="H238" s="7" t="n"/>
      <c r="I238" s="7" t="inlineStr">
        <is>
          <t>04</t>
        </is>
      </c>
      <c r="J238" s="7" t="inlineStr">
        <is>
          <t>Escavação</t>
        </is>
      </c>
      <c r="K238" s="7" t="inlineStr">
        <is>
          <t>Planejamento</t>
        </is>
      </c>
      <c r="L238" s="16" t="inlineStr">
        <is>
          <t>PDS-dezembro(1).docx</t>
        </is>
      </c>
      <c r="M238">
        <f>IF($A238="","",TEXT($A238,"mmmm/yyyy"))</f>
        <v/>
      </c>
      <c r="P238">
        <f>IFERROR(_xludf.XLOOKUP($N238,Base_Enderecos!$A:$A,Base_Enderecos!$B:$B,""),"")</f>
        <v/>
      </c>
      <c r="Q238">
        <f>IFERROR(_xludf.XLOOKUP($N238,Base_Enderecos!$A:$A,Base_Enderecos!$C:$C,""),"")</f>
        <v/>
      </c>
      <c r="R238">
        <f>IF(OR(ISNUMBER(SEARCH("HDD",$F238)),ISNUMBER(SEARCH("MND",$F238)),ISNUMBER(SEARCH("PEAD",$F238)),ISNUMBER(SEARCH("Puxe",$J238)),ISNUMBER(SEARCH("Apoio HDD",$F238))),"MND",IF(OR(ISNUMBER(SEARCH("VCA",$F238)),ISNUMBER(SEARCH("PVC",$F238)),ISNUMBER(SEARCH("vca",$J238)),ISNUMBER(SEARCH("Transformação",$J238))),"VCA",IF(OR(ISNUMBER(SEARCH("crava",$F238)),ISNUMBER(SEARCH("tubo cravado",$F238)),ISNUMBER(SEARCH("shaft",$J238)),ISNUMBER(SEARCH("concreto",$F238))),"TUBO CRAVADO","")))</f>
        <v/>
      </c>
      <c r="T238">
        <f>IF($A238="","",TEXT($A238,"yyyymm")&amp;"|"&amp;$C238&amp;"|"&amp;$F238&amp;"|"&amp;$N238&amp;"|"&amp;$R238)</f>
        <v/>
      </c>
    </row>
    <row r="239" ht="11.55" customHeight="1">
      <c r="A239" s="10" t="n">
        <v>46014</v>
      </c>
      <c r="B239" s="7" t="inlineStr">
        <is>
          <t>Terça</t>
        </is>
      </c>
      <c r="C239" s="7" t="inlineStr">
        <is>
          <t>CT Lourdes</t>
        </is>
      </c>
      <c r="D239" s="7" t="n"/>
      <c r="E239" s="7" t="inlineStr">
        <is>
          <t>Higor</t>
        </is>
      </c>
      <c r="F239" s="13" t="inlineStr">
        <is>
          <t>Transformação PV 10</t>
        </is>
      </c>
      <c r="G239" s="7" t="inlineStr">
        <is>
          <t>10</t>
        </is>
      </c>
      <c r="H239" s="7" t="n"/>
      <c r="I239" s="7" t="inlineStr">
        <is>
          <t>10</t>
        </is>
      </c>
      <c r="J239" s="7" t="inlineStr">
        <is>
          <t>Transformação</t>
        </is>
      </c>
      <c r="K239" s="7" t="inlineStr">
        <is>
          <t>Planejamento</t>
        </is>
      </c>
      <c r="L239" s="16" t="inlineStr">
        <is>
          <t>PDS-dezembro(1).docx</t>
        </is>
      </c>
      <c r="M239">
        <f>IF($A239="","",TEXT($A239,"mmmm/yyyy"))</f>
        <v/>
      </c>
      <c r="P239">
        <f>IFERROR(_xludf.XLOOKUP($N239,Base_Enderecos!$A:$A,Base_Enderecos!$B:$B,""),"")</f>
        <v/>
      </c>
      <c r="Q239">
        <f>IFERROR(_xludf.XLOOKUP($N239,Base_Enderecos!$A:$A,Base_Enderecos!$C:$C,""),"")</f>
        <v/>
      </c>
      <c r="R239">
        <f>IF(OR(ISNUMBER(SEARCH("HDD",$F239)),ISNUMBER(SEARCH("MND",$F239)),ISNUMBER(SEARCH("PEAD",$F239)),ISNUMBER(SEARCH("Puxe",$J239)),ISNUMBER(SEARCH("Apoio HDD",$F239))),"MND",IF(OR(ISNUMBER(SEARCH("VCA",$F239)),ISNUMBER(SEARCH("PVC",$F239)),ISNUMBER(SEARCH("vca",$J239)),ISNUMBER(SEARCH("Transformação",$J239))),"VCA",IF(OR(ISNUMBER(SEARCH("crava",$F239)),ISNUMBER(SEARCH("tubo cravado",$F239)),ISNUMBER(SEARCH("shaft",$J239)),ISNUMBER(SEARCH("concreto",$F239))),"TUBO CRAVADO","")))</f>
        <v/>
      </c>
      <c r="T239">
        <f>IF($A239="","",TEXT($A239,"yyyymm")&amp;"|"&amp;$C239&amp;"|"&amp;$F239&amp;"|"&amp;$N239&amp;"|"&amp;$R239)</f>
        <v/>
      </c>
    </row>
    <row r="240" ht="11.55" customHeight="1">
      <c r="A240" s="10" t="n">
        <v>46014</v>
      </c>
      <c r="B240" s="7" t="inlineStr">
        <is>
          <t>Terça</t>
        </is>
      </c>
      <c r="C240" s="7" t="inlineStr">
        <is>
          <t>CT Lourdes</t>
        </is>
      </c>
      <c r="D240" s="7" t="n"/>
      <c r="E240" s="7" t="inlineStr">
        <is>
          <t>Marcelo</t>
        </is>
      </c>
      <c r="F240" s="13" t="inlineStr">
        <is>
          <t>Transformação PV 21</t>
        </is>
      </c>
      <c r="G240" s="7" t="inlineStr">
        <is>
          <t>21</t>
        </is>
      </c>
      <c r="H240" s="7" t="n"/>
      <c r="I240" s="7" t="inlineStr">
        <is>
          <t>21</t>
        </is>
      </c>
      <c r="J240" s="7" t="inlineStr">
        <is>
          <t>Transformação</t>
        </is>
      </c>
      <c r="K240" s="7" t="inlineStr">
        <is>
          <t>Planejamento</t>
        </is>
      </c>
      <c r="L240" s="16" t="inlineStr">
        <is>
          <t>PDS-dezembro(1).docx</t>
        </is>
      </c>
      <c r="M240">
        <f>IF($A240="","",TEXT($A240,"mmmm/yyyy"))</f>
        <v/>
      </c>
      <c r="P240">
        <f>IFERROR(_xludf.XLOOKUP($N240,Base_Enderecos!$A:$A,Base_Enderecos!$B:$B,""),"")</f>
        <v/>
      </c>
      <c r="Q240">
        <f>IFERROR(_xludf.XLOOKUP($N240,Base_Enderecos!$A:$A,Base_Enderecos!$C:$C,""),"")</f>
        <v/>
      </c>
      <c r="R240">
        <f>IF(OR(ISNUMBER(SEARCH("HDD",$F240)),ISNUMBER(SEARCH("MND",$F240)),ISNUMBER(SEARCH("PEAD",$F240)),ISNUMBER(SEARCH("Puxe",$J240)),ISNUMBER(SEARCH("Apoio HDD",$F240))),"MND",IF(OR(ISNUMBER(SEARCH("VCA",$F240)),ISNUMBER(SEARCH("PVC",$F240)),ISNUMBER(SEARCH("vca",$J240)),ISNUMBER(SEARCH("Transformação",$J240))),"VCA",IF(OR(ISNUMBER(SEARCH("crava",$F240)),ISNUMBER(SEARCH("tubo cravado",$F240)),ISNUMBER(SEARCH("shaft",$J240)),ISNUMBER(SEARCH("concreto",$F240))),"TUBO CRAVADO","")))</f>
        <v/>
      </c>
      <c r="T240">
        <f>IF($A240="","",TEXT($A240,"yyyymm")&amp;"|"&amp;$C240&amp;"|"&amp;$F240&amp;"|"&amp;$N240&amp;"|"&amp;$R240)</f>
        <v/>
      </c>
    </row>
    <row r="241" ht="11.55" customHeight="1">
      <c r="A241" s="10" t="n">
        <v>46014</v>
      </c>
      <c r="B241" s="7" t="inlineStr">
        <is>
          <t>Terça</t>
        </is>
      </c>
      <c r="C241" s="7" t="inlineStr">
        <is>
          <t>CT Lourdes</t>
        </is>
      </c>
      <c r="D241" s="7" t="n"/>
      <c r="E241" s="7" t="inlineStr">
        <is>
          <t>WJ (Edson)</t>
        </is>
      </c>
      <c r="F241" s="13" t="inlineStr">
        <is>
          <t>Execução passagem tubo entre PVs 18 ao 19</t>
        </is>
      </c>
      <c r="G241" s="7" t="inlineStr">
        <is>
          <t>18</t>
        </is>
      </c>
      <c r="H241" s="7" t="n"/>
      <c r="I241" s="7" t="inlineStr">
        <is>
          <t>18</t>
        </is>
      </c>
      <c r="J241" s="7" t="n"/>
      <c r="K241" s="7" t="inlineStr">
        <is>
          <t>Planejamento</t>
        </is>
      </c>
      <c r="L241" s="16" t="inlineStr">
        <is>
          <t>PDS-dezembro(1).docx</t>
        </is>
      </c>
      <c r="M241">
        <f>IF($A241="","",TEXT($A241,"mmmm/yyyy"))</f>
        <v/>
      </c>
      <c r="P241">
        <f>IFERROR(_xludf.XLOOKUP($N241,Base_Enderecos!$A:$A,Base_Enderecos!$B:$B,""),"")</f>
        <v/>
      </c>
      <c r="Q241">
        <f>IFERROR(_xludf.XLOOKUP($N241,Base_Enderecos!$A:$A,Base_Enderecos!$C:$C,""),"")</f>
        <v/>
      </c>
      <c r="R241">
        <f>IF(OR(ISNUMBER(SEARCH("HDD",$F241)),ISNUMBER(SEARCH("MND",$F241)),ISNUMBER(SEARCH("PEAD",$F241)),ISNUMBER(SEARCH("Puxe",$J241)),ISNUMBER(SEARCH("Apoio HDD",$F241))),"MND",IF(OR(ISNUMBER(SEARCH("VCA",$F241)),ISNUMBER(SEARCH("PVC",$F241)),ISNUMBER(SEARCH("vca",$J241)),ISNUMBER(SEARCH("Transformação",$J241))),"VCA",IF(OR(ISNUMBER(SEARCH("crava",$F241)),ISNUMBER(SEARCH("tubo cravado",$F241)),ISNUMBER(SEARCH("shaft",$J241)),ISNUMBER(SEARCH("concreto",$F241))),"TUBO CRAVADO","")))</f>
        <v/>
      </c>
      <c r="T241">
        <f>IF($A241="","",TEXT($A241,"yyyymm")&amp;"|"&amp;$C241&amp;"|"&amp;$F241&amp;"|"&amp;$N241&amp;"|"&amp;$R241)</f>
        <v/>
      </c>
    </row>
    <row r="242" ht="11.55" customHeight="1">
      <c r="A242" s="10" t="n">
        <v>46014</v>
      </c>
      <c r="B242" s="7" t="inlineStr">
        <is>
          <t>Terça</t>
        </is>
      </c>
      <c r="C242" s="7" t="inlineStr">
        <is>
          <t>CT Lourdes</t>
        </is>
      </c>
      <c r="D242" s="7" t="n"/>
      <c r="E242" s="7" t="inlineStr">
        <is>
          <t>Natalino</t>
        </is>
      </c>
      <c r="F242" s="13" t="inlineStr">
        <is>
          <t>Apoio HDD entre PVs 18 ao 19</t>
        </is>
      </c>
      <c r="G242" s="7" t="inlineStr">
        <is>
          <t>18</t>
        </is>
      </c>
      <c r="H242" s="7" t="n"/>
      <c r="I242" s="7" t="inlineStr">
        <is>
          <t>18</t>
        </is>
      </c>
      <c r="J242" s="7" t="inlineStr">
        <is>
          <t>Apoio HDD</t>
        </is>
      </c>
      <c r="K242" s="7" t="inlineStr">
        <is>
          <t>Planejamento</t>
        </is>
      </c>
      <c r="L242" s="16" t="inlineStr">
        <is>
          <t>PDS-dezembro(1).docx</t>
        </is>
      </c>
      <c r="M242">
        <f>IF($A242="","",TEXT($A242,"mmmm/yyyy"))</f>
        <v/>
      </c>
      <c r="P242">
        <f>IFERROR(_xludf.XLOOKUP($N242,Base_Enderecos!$A:$A,Base_Enderecos!$B:$B,""),"")</f>
        <v/>
      </c>
      <c r="Q242">
        <f>IFERROR(_xludf.XLOOKUP($N242,Base_Enderecos!$A:$A,Base_Enderecos!$C:$C,""),"")</f>
        <v/>
      </c>
      <c r="R242">
        <f>IF(OR(ISNUMBER(SEARCH("HDD",$F242)),ISNUMBER(SEARCH("MND",$F242)),ISNUMBER(SEARCH("PEAD",$F242)),ISNUMBER(SEARCH("Puxe",$J242)),ISNUMBER(SEARCH("Apoio HDD",$F242))),"MND",IF(OR(ISNUMBER(SEARCH("VCA",$F242)),ISNUMBER(SEARCH("PVC",$F242)),ISNUMBER(SEARCH("vca",$J242)),ISNUMBER(SEARCH("Transformação",$J242))),"VCA",IF(OR(ISNUMBER(SEARCH("crava",$F242)),ISNUMBER(SEARCH("tubo cravado",$F242)),ISNUMBER(SEARCH("shaft",$J242)),ISNUMBER(SEARCH("concreto",$F242))),"TUBO CRAVADO","")))</f>
        <v/>
      </c>
      <c r="T242">
        <f>IF($A242="","",TEXT($A242,"yyyymm")&amp;"|"&amp;$C242&amp;"|"&amp;$F242&amp;"|"&amp;$N242&amp;"|"&amp;$R242)</f>
        <v/>
      </c>
    </row>
    <row r="243" ht="11.55" customHeight="1">
      <c r="A243" s="10" t="n">
        <v>46014</v>
      </c>
      <c r="B243" s="7" t="inlineStr">
        <is>
          <t>Terça</t>
        </is>
      </c>
      <c r="C243" s="7" t="inlineStr">
        <is>
          <t>CT Lourdes</t>
        </is>
      </c>
      <c r="D243" s="7" t="n"/>
      <c r="E243" s="7" t="inlineStr">
        <is>
          <t>Work Drill (Bruno)</t>
        </is>
      </c>
      <c r="F243" s="13" t="inlineStr">
        <is>
          <t>Execução puxar tubo entre PVs 12 ao 12.1</t>
        </is>
      </c>
      <c r="G243" s="7" t="inlineStr">
        <is>
          <t>12</t>
        </is>
      </c>
      <c r="H243" s="7" t="n"/>
      <c r="I243" s="7" t="inlineStr">
        <is>
          <t>12</t>
        </is>
      </c>
      <c r="J243" s="7" t="n"/>
      <c r="K243" s="7" t="inlineStr">
        <is>
          <t>Planejamento</t>
        </is>
      </c>
      <c r="L243" s="16" t="inlineStr">
        <is>
          <t>PDS-dezembro(1).docx</t>
        </is>
      </c>
      <c r="M243">
        <f>IF($A243="","",TEXT($A243,"mmmm/yyyy"))</f>
        <v/>
      </c>
      <c r="P243">
        <f>IFERROR(_xludf.XLOOKUP($N243,Base_Enderecos!$A:$A,Base_Enderecos!$B:$B,""),"")</f>
        <v/>
      </c>
      <c r="Q243">
        <f>IFERROR(_xludf.XLOOKUP($N243,Base_Enderecos!$A:$A,Base_Enderecos!$C:$C,""),"")</f>
        <v/>
      </c>
      <c r="R243">
        <f>IF(OR(ISNUMBER(SEARCH("HDD",$F243)),ISNUMBER(SEARCH("MND",$F243)),ISNUMBER(SEARCH("PEAD",$F243)),ISNUMBER(SEARCH("Puxe",$J243)),ISNUMBER(SEARCH("Apoio HDD",$F243))),"MND",IF(OR(ISNUMBER(SEARCH("VCA",$F243)),ISNUMBER(SEARCH("PVC",$F243)),ISNUMBER(SEARCH("vca",$J243)),ISNUMBER(SEARCH("Transformação",$J243))),"VCA",IF(OR(ISNUMBER(SEARCH("crava",$F243)),ISNUMBER(SEARCH("tubo cravado",$F243)),ISNUMBER(SEARCH("shaft",$J243)),ISNUMBER(SEARCH("concreto",$F243))),"TUBO CRAVADO","")))</f>
        <v/>
      </c>
      <c r="T243">
        <f>IF($A243="","",TEXT($A243,"yyyymm")&amp;"|"&amp;$C243&amp;"|"&amp;$F243&amp;"|"&amp;$N243&amp;"|"&amp;$R243)</f>
        <v/>
      </c>
    </row>
    <row r="244" ht="11.55" customHeight="1">
      <c r="A244" s="10" t="n">
        <v>46014</v>
      </c>
      <c r="B244" s="7" t="inlineStr">
        <is>
          <t>Terça</t>
        </is>
      </c>
      <c r="C244" s="7" t="inlineStr">
        <is>
          <t>CT Lourdes</t>
        </is>
      </c>
      <c r="D244" s="7" t="n"/>
      <c r="E244" s="7" t="inlineStr">
        <is>
          <t>Fabrício</t>
        </is>
      </c>
      <c r="F244" s="13" t="inlineStr">
        <is>
          <t>Apoio HDD entre PVs 12 ao 12.1</t>
        </is>
      </c>
      <c r="G244" s="7" t="inlineStr">
        <is>
          <t>12</t>
        </is>
      </c>
      <c r="H244" s="7" t="n"/>
      <c r="I244" s="7" t="inlineStr">
        <is>
          <t>12</t>
        </is>
      </c>
      <c r="J244" s="7" t="inlineStr">
        <is>
          <t>Apoio HDD</t>
        </is>
      </c>
      <c r="K244" s="7" t="inlineStr">
        <is>
          <t>Planejamento</t>
        </is>
      </c>
      <c r="L244" s="16" t="inlineStr">
        <is>
          <t>PDS-dezembro(1).docx</t>
        </is>
      </c>
      <c r="M244">
        <f>IF($A244="","",TEXT($A244,"mmmm/yyyy"))</f>
        <v/>
      </c>
      <c r="P244">
        <f>IFERROR(_xludf.XLOOKUP($N244,Base_Enderecos!$A:$A,Base_Enderecos!$B:$B,""),"")</f>
        <v/>
      </c>
      <c r="Q244">
        <f>IFERROR(_xludf.XLOOKUP($N244,Base_Enderecos!$A:$A,Base_Enderecos!$C:$C,""),"")</f>
        <v/>
      </c>
      <c r="R244">
        <f>IF(OR(ISNUMBER(SEARCH("HDD",$F244)),ISNUMBER(SEARCH("MND",$F244)),ISNUMBER(SEARCH("PEAD",$F244)),ISNUMBER(SEARCH("Puxe",$J244)),ISNUMBER(SEARCH("Apoio HDD",$F244))),"MND",IF(OR(ISNUMBER(SEARCH("VCA",$F244)),ISNUMBER(SEARCH("PVC",$F244)),ISNUMBER(SEARCH("vca",$J244)),ISNUMBER(SEARCH("Transformação",$J244))),"VCA",IF(OR(ISNUMBER(SEARCH("crava",$F244)),ISNUMBER(SEARCH("tubo cravado",$F244)),ISNUMBER(SEARCH("shaft",$J244)),ISNUMBER(SEARCH("concreto",$F244))),"TUBO CRAVADO","")))</f>
        <v/>
      </c>
      <c r="T244">
        <f>IF($A244="","",TEXT($A244,"yyyymm")&amp;"|"&amp;$C244&amp;"|"&amp;$F244&amp;"|"&amp;$N244&amp;"|"&amp;$R244)</f>
        <v/>
      </c>
    </row>
    <row r="245" ht="11.55" customHeight="1">
      <c r="A245" s="10" t="n">
        <v>46014</v>
      </c>
      <c r="B245" s="7" t="inlineStr">
        <is>
          <t>Terça</t>
        </is>
      </c>
      <c r="C245" s="7" t="inlineStr">
        <is>
          <t>CT Lourdes</t>
        </is>
      </c>
      <c r="D245" s="7" t="n"/>
      <c r="E245" s="7" t="inlineStr">
        <is>
          <t>LS</t>
        </is>
      </c>
      <c r="F245" s="13" t="inlineStr">
        <is>
          <t>Ajuste e limpeza PV 19</t>
        </is>
      </c>
      <c r="G245" s="7" t="inlineStr">
        <is>
          <t>19</t>
        </is>
      </c>
      <c r="H245" s="7" t="n"/>
      <c r="I245" s="7" t="inlineStr">
        <is>
          <t>19</t>
        </is>
      </c>
      <c r="J245" s="7" t="inlineStr">
        <is>
          <t>Limpeza</t>
        </is>
      </c>
      <c r="K245" s="7" t="inlineStr">
        <is>
          <t>Planejamento</t>
        </is>
      </c>
      <c r="L245" s="16" t="inlineStr">
        <is>
          <t>PDS-dezembro(1).docx</t>
        </is>
      </c>
      <c r="M245">
        <f>IF($A245="","",TEXT($A245,"mmmm/yyyy"))</f>
        <v/>
      </c>
      <c r="P245">
        <f>IFERROR(_xludf.XLOOKUP($N245,Base_Enderecos!$A:$A,Base_Enderecos!$B:$B,""),"")</f>
        <v/>
      </c>
      <c r="Q245">
        <f>IFERROR(_xludf.XLOOKUP($N245,Base_Enderecos!$A:$A,Base_Enderecos!$C:$C,""),"")</f>
        <v/>
      </c>
      <c r="R245">
        <f>IF(OR(ISNUMBER(SEARCH("HDD",$F245)),ISNUMBER(SEARCH("MND",$F245)),ISNUMBER(SEARCH("PEAD",$F245)),ISNUMBER(SEARCH("Puxe",$J245)),ISNUMBER(SEARCH("Apoio HDD",$F245))),"MND",IF(OR(ISNUMBER(SEARCH("VCA",$F245)),ISNUMBER(SEARCH("PVC",$F245)),ISNUMBER(SEARCH("vca",$J245)),ISNUMBER(SEARCH("Transformação",$J245))),"VCA",IF(OR(ISNUMBER(SEARCH("crava",$F245)),ISNUMBER(SEARCH("tubo cravado",$F245)),ISNUMBER(SEARCH("shaft",$J245)),ISNUMBER(SEARCH("concreto",$F245))),"TUBO CRAVADO","")))</f>
        <v/>
      </c>
      <c r="T245">
        <f>IF($A245="","",TEXT($A245,"yyyymm")&amp;"|"&amp;$C245&amp;"|"&amp;$F245&amp;"|"&amp;$N245&amp;"|"&amp;$R245)</f>
        <v/>
      </c>
    </row>
    <row r="246" ht="11.55" customHeight="1">
      <c r="A246" s="10" t="n">
        <v>46014</v>
      </c>
      <c r="B246" s="7" t="inlineStr">
        <is>
          <t>Terça</t>
        </is>
      </c>
      <c r="C246" s="7" t="inlineStr">
        <is>
          <t>Vacal</t>
        </is>
      </c>
      <c r="D246" s="7" t="n"/>
      <c r="E246" s="7" t="inlineStr">
        <is>
          <t>Lourdes</t>
        </is>
      </c>
      <c r="F246" s="13" t="inlineStr">
        <is>
          <t>Apoio Vacal</t>
        </is>
      </c>
      <c r="G246" s="7" t="n"/>
      <c r="H246" s="7" t="n"/>
      <c r="I246" s="7" t="n"/>
      <c r="J246" s="7" t="inlineStr">
        <is>
          <t>Vacal</t>
        </is>
      </c>
      <c r="K246" s="7" t="inlineStr">
        <is>
          <t>Apoio</t>
        </is>
      </c>
      <c r="L246" s="16" t="inlineStr">
        <is>
          <t>PDS-dezembro(1).docx</t>
        </is>
      </c>
      <c r="M246">
        <f>IF($A246="","",TEXT($A246,"mmmm/yyyy"))</f>
        <v/>
      </c>
      <c r="P246">
        <f>IFERROR(_xludf.XLOOKUP($N246,Base_Enderecos!$A:$A,Base_Enderecos!$B:$B,""),"")</f>
        <v/>
      </c>
      <c r="Q246">
        <f>IFERROR(_xludf.XLOOKUP($N246,Base_Enderecos!$A:$A,Base_Enderecos!$C:$C,""),"")</f>
        <v/>
      </c>
      <c r="R246">
        <f>IF(OR(ISNUMBER(SEARCH("HDD",$F246)),ISNUMBER(SEARCH("MND",$F246)),ISNUMBER(SEARCH("PEAD",$F246)),ISNUMBER(SEARCH("Puxe",$J246)),ISNUMBER(SEARCH("Apoio HDD",$F246))),"MND",IF(OR(ISNUMBER(SEARCH("VCA",$F246)),ISNUMBER(SEARCH("PVC",$F246)),ISNUMBER(SEARCH("vca",$J246)),ISNUMBER(SEARCH("Transformação",$J246))),"VCA",IF(OR(ISNUMBER(SEARCH("crava",$F246)),ISNUMBER(SEARCH("tubo cravado",$F246)),ISNUMBER(SEARCH("shaft",$J246)),ISNUMBER(SEARCH("concreto",$F246))),"TUBO CRAVADO","")))</f>
        <v/>
      </c>
      <c r="T246">
        <f>IF($A246="","",TEXT($A246,"yyyymm")&amp;"|"&amp;$C246&amp;"|"&amp;$F246&amp;"|"&amp;$N246&amp;"|"&amp;$R246)</f>
        <v/>
      </c>
    </row>
    <row r="247" ht="11.55" customHeight="1">
      <c r="A247" s="10" t="n">
        <v>46014</v>
      </c>
      <c r="B247" s="7" t="inlineStr">
        <is>
          <t>Terça</t>
        </is>
      </c>
      <c r="C247" s="7" t="inlineStr">
        <is>
          <t>Vacal</t>
        </is>
      </c>
      <c r="D247" s="7" t="n"/>
      <c r="E247" s="7" t="inlineStr">
        <is>
          <t>Lourdes</t>
        </is>
      </c>
      <c r="F247" s="13" t="inlineStr">
        <is>
          <t>Apoio Vacal</t>
        </is>
      </c>
      <c r="G247" s="7" t="n"/>
      <c r="H247" s="7" t="n"/>
      <c r="I247" s="7" t="n"/>
      <c r="J247" s="7" t="inlineStr">
        <is>
          <t>Vacal</t>
        </is>
      </c>
      <c r="K247" s="7" t="inlineStr">
        <is>
          <t>Apoio</t>
        </is>
      </c>
      <c r="L247" s="16" t="inlineStr">
        <is>
          <t>PDS-dezembro(1).docx</t>
        </is>
      </c>
      <c r="M247">
        <f>IF($A247="","",TEXT($A247,"mmmm/yyyy"))</f>
        <v/>
      </c>
      <c r="P247">
        <f>IFERROR(_xludf.XLOOKUP($N247,Base_Enderecos!$A:$A,Base_Enderecos!$B:$B,""),"")</f>
        <v/>
      </c>
      <c r="Q247">
        <f>IFERROR(_xludf.XLOOKUP($N247,Base_Enderecos!$A:$A,Base_Enderecos!$C:$C,""),"")</f>
        <v/>
      </c>
      <c r="R247">
        <f>IF(OR(ISNUMBER(SEARCH("HDD",$F247)),ISNUMBER(SEARCH("MND",$F247)),ISNUMBER(SEARCH("PEAD",$F247)),ISNUMBER(SEARCH("Puxe",$J247)),ISNUMBER(SEARCH("Apoio HDD",$F247))),"MND",IF(OR(ISNUMBER(SEARCH("VCA",$F247)),ISNUMBER(SEARCH("PVC",$F247)),ISNUMBER(SEARCH("vca",$J247)),ISNUMBER(SEARCH("Transformação",$J247))),"VCA",IF(OR(ISNUMBER(SEARCH("crava",$F247)),ISNUMBER(SEARCH("tubo cravado",$F247)),ISNUMBER(SEARCH("shaft",$J247)),ISNUMBER(SEARCH("concreto",$F247))),"TUBO CRAVADO","")))</f>
        <v/>
      </c>
      <c r="T247">
        <f>IF($A247="","",TEXT($A247,"yyyymm")&amp;"|"&amp;$C247&amp;"|"&amp;$F247&amp;"|"&amp;$N247&amp;"|"&amp;$R247)</f>
        <v/>
      </c>
    </row>
    <row r="248" ht="11.55" customHeight="1">
      <c r="A248" s="10" t="n">
        <v>46014</v>
      </c>
      <c r="B248" s="7" t="inlineStr">
        <is>
          <t>Terça</t>
        </is>
      </c>
      <c r="C248" s="7" t="inlineStr">
        <is>
          <t>Vacal</t>
        </is>
      </c>
      <c r="D248" s="7" t="n"/>
      <c r="E248" s="7" t="inlineStr">
        <is>
          <t>Lourdes</t>
        </is>
      </c>
      <c r="F248" s="13" t="inlineStr">
        <is>
          <t>Apoio Vacal</t>
        </is>
      </c>
      <c r="G248" s="7" t="n"/>
      <c r="H248" s="7" t="n"/>
      <c r="I248" s="7" t="n"/>
      <c r="J248" s="7" t="inlineStr">
        <is>
          <t>Vacal</t>
        </is>
      </c>
      <c r="K248" s="7" t="inlineStr">
        <is>
          <t>Apoio</t>
        </is>
      </c>
      <c r="L248" s="16" t="inlineStr">
        <is>
          <t>PDS-dezembro(1).docx</t>
        </is>
      </c>
      <c r="M248">
        <f>IF($A248="","",TEXT($A248,"mmmm/yyyy"))</f>
        <v/>
      </c>
      <c r="P248">
        <f>IFERROR(_xludf.XLOOKUP($N248,Base_Enderecos!$A:$A,Base_Enderecos!$B:$B,""),"")</f>
        <v/>
      </c>
      <c r="Q248">
        <f>IFERROR(_xludf.XLOOKUP($N248,Base_Enderecos!$A:$A,Base_Enderecos!$C:$C,""),"")</f>
        <v/>
      </c>
      <c r="R248">
        <f>IF(OR(ISNUMBER(SEARCH("HDD",$F248)),ISNUMBER(SEARCH("MND",$F248)),ISNUMBER(SEARCH("PEAD",$F248)),ISNUMBER(SEARCH("Puxe",$J248)),ISNUMBER(SEARCH("Apoio HDD",$F248))),"MND",IF(OR(ISNUMBER(SEARCH("VCA",$F248)),ISNUMBER(SEARCH("PVC",$F248)),ISNUMBER(SEARCH("vca",$J248)),ISNUMBER(SEARCH("Transformação",$J248))),"VCA",IF(OR(ISNUMBER(SEARCH("crava",$F248)),ISNUMBER(SEARCH("tubo cravado",$F248)),ISNUMBER(SEARCH("shaft",$J248)),ISNUMBER(SEARCH("concreto",$F248))),"TUBO CRAVADO","")))</f>
        <v/>
      </c>
      <c r="T248">
        <f>IF($A248="","",TEXT($A248,"yyyymm")&amp;"|"&amp;$C248&amp;"|"&amp;$F248&amp;"|"&amp;$N248&amp;"|"&amp;$R248)</f>
        <v/>
      </c>
    </row>
    <row r="249" ht="11.55" customHeight="1">
      <c r="A249" s="10" t="n">
        <v>46014</v>
      </c>
      <c r="B249" s="7" t="inlineStr">
        <is>
          <t>Terça</t>
        </is>
      </c>
      <c r="C249" s="7" t="inlineStr">
        <is>
          <t>Vacal</t>
        </is>
      </c>
      <c r="D249" s="7" t="n"/>
      <c r="E249" s="7" t="inlineStr">
        <is>
          <t>Lajeado</t>
        </is>
      </c>
      <c r="F249" s="13" t="inlineStr">
        <is>
          <t>Apoio Vacal</t>
        </is>
      </c>
      <c r="G249" s="7" t="n"/>
      <c r="H249" s="7" t="n"/>
      <c r="I249" s="7" t="n"/>
      <c r="J249" s="7" t="inlineStr">
        <is>
          <t>Vacal</t>
        </is>
      </c>
      <c r="K249" s="7" t="inlineStr">
        <is>
          <t>Apoio</t>
        </is>
      </c>
      <c r="L249" s="16" t="inlineStr">
        <is>
          <t>PDS-dezembro(1).docx</t>
        </is>
      </c>
      <c r="M249">
        <f>IF($A249="","",TEXT($A249,"mmmm/yyyy"))</f>
        <v/>
      </c>
      <c r="P249">
        <f>IFERROR(_xludf.XLOOKUP($N249,Base_Enderecos!$A:$A,Base_Enderecos!$B:$B,""),"")</f>
        <v/>
      </c>
      <c r="Q249">
        <f>IFERROR(_xludf.XLOOKUP($N249,Base_Enderecos!$A:$A,Base_Enderecos!$C:$C,""),"")</f>
        <v/>
      </c>
      <c r="R249">
        <f>IF(OR(ISNUMBER(SEARCH("HDD",$F249)),ISNUMBER(SEARCH("MND",$F249)),ISNUMBER(SEARCH("PEAD",$F249)),ISNUMBER(SEARCH("Puxe",$J249)),ISNUMBER(SEARCH("Apoio HDD",$F249))),"MND",IF(OR(ISNUMBER(SEARCH("VCA",$F249)),ISNUMBER(SEARCH("PVC",$F249)),ISNUMBER(SEARCH("vca",$J249)),ISNUMBER(SEARCH("Transformação",$J249))),"VCA",IF(OR(ISNUMBER(SEARCH("crava",$F249)),ISNUMBER(SEARCH("tubo cravado",$F249)),ISNUMBER(SEARCH("shaft",$J249)),ISNUMBER(SEARCH("concreto",$F249))),"TUBO CRAVADO","")))</f>
        <v/>
      </c>
      <c r="T249">
        <f>IF($A249="","",TEXT($A249,"yyyymm")&amp;"|"&amp;$C249&amp;"|"&amp;$F249&amp;"|"&amp;$N249&amp;"|"&amp;$R249)</f>
        <v/>
      </c>
    </row>
    <row r="250" ht="11.55" customHeight="1">
      <c r="A250" s="10" t="n">
        <v>46014</v>
      </c>
      <c r="B250" s="7" t="inlineStr">
        <is>
          <t>Terça</t>
        </is>
      </c>
      <c r="C250" s="7" t="inlineStr">
        <is>
          <t>CT Lourdes</t>
        </is>
      </c>
      <c r="D250" s="7" t="n"/>
      <c r="E250" s="7" t="inlineStr">
        <is>
          <t>Edson (Piso)</t>
        </is>
      </c>
      <c r="F250" s="13" t="inlineStr">
        <is>
          <t>Instalação Piso no CT Miriam e adequação sarjeta CT Bandeirantes</t>
        </is>
      </c>
      <c r="G250" s="7" t="n"/>
      <c r="H250" s="7" t="n"/>
      <c r="I250" s="7" t="n"/>
      <c r="J250" s="7" t="inlineStr">
        <is>
          <t>Adequação</t>
        </is>
      </c>
      <c r="K250" s="7" t="inlineStr">
        <is>
          <t>Planejamento</t>
        </is>
      </c>
      <c r="L250" s="16" t="inlineStr">
        <is>
          <t>PDS-dezembro(1).docx</t>
        </is>
      </c>
      <c r="M250">
        <f>IF($A250="","",TEXT($A250,"mmmm/yyyy"))</f>
        <v/>
      </c>
      <c r="P250">
        <f>IFERROR(_xludf.XLOOKUP($N250,Base_Enderecos!$A:$A,Base_Enderecos!$B:$B,""),"")</f>
        <v/>
      </c>
      <c r="Q250">
        <f>IFERROR(_xludf.XLOOKUP($N250,Base_Enderecos!$A:$A,Base_Enderecos!$C:$C,""),"")</f>
        <v/>
      </c>
      <c r="R250">
        <f>IF(OR(ISNUMBER(SEARCH("HDD",$F250)),ISNUMBER(SEARCH("MND",$F250)),ISNUMBER(SEARCH("PEAD",$F250)),ISNUMBER(SEARCH("Puxe",$J250)),ISNUMBER(SEARCH("Apoio HDD",$F250))),"MND",IF(OR(ISNUMBER(SEARCH("VCA",$F250)),ISNUMBER(SEARCH("PVC",$F250)),ISNUMBER(SEARCH("vca",$J250)),ISNUMBER(SEARCH("Transformação",$J250))),"VCA",IF(OR(ISNUMBER(SEARCH("crava",$F250)),ISNUMBER(SEARCH("tubo cravado",$F250)),ISNUMBER(SEARCH("shaft",$J250)),ISNUMBER(SEARCH("concreto",$F250))),"TUBO CRAVADO","")))</f>
        <v/>
      </c>
      <c r="T250">
        <f>IF($A250="","",TEXT($A250,"yyyymm")&amp;"|"&amp;$C250&amp;"|"&amp;$F250&amp;"|"&amp;$N250&amp;"|"&amp;$R250)</f>
        <v/>
      </c>
    </row>
    <row r="251" ht="11.55" customHeight="1">
      <c r="A251" s="10" t="n">
        <v>46014</v>
      </c>
      <c r="B251" s="7" t="inlineStr">
        <is>
          <t>Terça</t>
        </is>
      </c>
      <c r="C251" s="7" t="inlineStr">
        <is>
          <t>Guindauto</t>
        </is>
      </c>
      <c r="D251" s="7" t="n"/>
      <c r="E251" s="7" t="inlineStr">
        <is>
          <t>Rodrigo apoio as equipes</t>
        </is>
      </c>
      <c r="F251" s="13" t="inlineStr">
        <is>
          <t>Rodrigo apoio as equipes</t>
        </is>
      </c>
      <c r="G251" s="7" t="n"/>
      <c r="H251" s="7" t="n"/>
      <c r="I251" s="7" t="n"/>
      <c r="J251" s="7" t="inlineStr">
        <is>
          <t>Guindauto</t>
        </is>
      </c>
      <c r="K251" s="7" t="inlineStr">
        <is>
          <t>Apoio</t>
        </is>
      </c>
      <c r="L251" s="16" t="inlineStr">
        <is>
          <t>PDS-dezembro(1).docx</t>
        </is>
      </c>
      <c r="M251">
        <f>IF($A251="","",TEXT($A251,"mmmm/yyyy"))</f>
        <v/>
      </c>
      <c r="P251">
        <f>IFERROR(_xludf.XLOOKUP($N251,Base_Enderecos!$A:$A,Base_Enderecos!$B:$B,""),"")</f>
        <v/>
      </c>
      <c r="Q251">
        <f>IFERROR(_xludf.XLOOKUP($N251,Base_Enderecos!$A:$A,Base_Enderecos!$C:$C,""),"")</f>
        <v/>
      </c>
      <c r="R251">
        <f>IF(OR(ISNUMBER(SEARCH("HDD",$F251)),ISNUMBER(SEARCH("MND",$F251)),ISNUMBER(SEARCH("PEAD",$F251)),ISNUMBER(SEARCH("Puxe",$J251)),ISNUMBER(SEARCH("Apoio HDD",$F251))),"MND",IF(OR(ISNUMBER(SEARCH("VCA",$F251)),ISNUMBER(SEARCH("PVC",$F251)),ISNUMBER(SEARCH("vca",$J251)),ISNUMBER(SEARCH("Transformação",$J251))),"VCA",IF(OR(ISNUMBER(SEARCH("crava",$F251)),ISNUMBER(SEARCH("tubo cravado",$F251)),ISNUMBER(SEARCH("shaft",$J251)),ISNUMBER(SEARCH("concreto",$F251))),"TUBO CRAVADO","")))</f>
        <v/>
      </c>
      <c r="T251">
        <f>IF($A251="","",TEXT($A251,"yyyymm")&amp;"|"&amp;$C251&amp;"|"&amp;$F251&amp;"|"&amp;$N251&amp;"|"&amp;$R251)</f>
        <v/>
      </c>
    </row>
    <row r="252" ht="11.55" customHeight="1">
      <c r="A252" s="10" t="n">
        <v>46014</v>
      </c>
      <c r="B252" s="7" t="inlineStr">
        <is>
          <t>Terça</t>
        </is>
      </c>
      <c r="C252" s="7" t="inlineStr">
        <is>
          <t>Guindauto</t>
        </is>
      </c>
      <c r="D252" s="7" t="n"/>
      <c r="E252" s="7" t="inlineStr">
        <is>
          <t>Marcio apoio as equipes.</t>
        </is>
      </c>
      <c r="F252" s="13" t="inlineStr">
        <is>
          <t>Marcio apoio as equipes.</t>
        </is>
      </c>
      <c r="G252" s="7" t="n"/>
      <c r="H252" s="7" t="n"/>
      <c r="I252" s="7" t="n"/>
      <c r="J252" s="7" t="inlineStr">
        <is>
          <t>Guindauto</t>
        </is>
      </c>
      <c r="K252" s="7" t="inlineStr">
        <is>
          <t>Apoio</t>
        </is>
      </c>
      <c r="L252" s="16" t="inlineStr">
        <is>
          <t>PDS-dezembro(1).docx</t>
        </is>
      </c>
      <c r="M252">
        <f>IF($A252="","",TEXT($A252,"mmmm/yyyy"))</f>
        <v/>
      </c>
      <c r="P252">
        <f>IFERROR(_xludf.XLOOKUP($N252,Base_Enderecos!$A:$A,Base_Enderecos!$B:$B,""),"")</f>
        <v/>
      </c>
      <c r="Q252">
        <f>IFERROR(_xludf.XLOOKUP($N252,Base_Enderecos!$A:$A,Base_Enderecos!$C:$C,""),"")</f>
        <v/>
      </c>
      <c r="R252">
        <f>IF(OR(ISNUMBER(SEARCH("HDD",$F252)),ISNUMBER(SEARCH("MND",$F252)),ISNUMBER(SEARCH("PEAD",$F252)),ISNUMBER(SEARCH("Puxe",$J252)),ISNUMBER(SEARCH("Apoio HDD",$F252))),"MND",IF(OR(ISNUMBER(SEARCH("VCA",$F252)),ISNUMBER(SEARCH("PVC",$F252)),ISNUMBER(SEARCH("vca",$J252)),ISNUMBER(SEARCH("Transformação",$J252))),"VCA",IF(OR(ISNUMBER(SEARCH("crava",$F252)),ISNUMBER(SEARCH("tubo cravado",$F252)),ISNUMBER(SEARCH("shaft",$J252)),ISNUMBER(SEARCH("concreto",$F252))),"TUBO CRAVADO","")))</f>
        <v/>
      </c>
      <c r="T252">
        <f>IF($A252="","",TEXT($A252,"yyyymm")&amp;"|"&amp;$C252&amp;"|"&amp;$F252&amp;"|"&amp;$N252&amp;"|"&amp;$R252)</f>
        <v/>
      </c>
    </row>
    <row r="253" ht="11.55" customHeight="1">
      <c r="A253" s="10" t="n">
        <v>46028</v>
      </c>
      <c r="B253" s="7" t="inlineStr">
        <is>
          <t>Terça</t>
        </is>
      </c>
      <c r="C253" s="7" t="inlineStr">
        <is>
          <t>CT Benfica</t>
        </is>
      </c>
      <c r="D253" s="7" t="n"/>
      <c r="E253" s="7" t="inlineStr">
        <is>
          <t>Edson</t>
        </is>
      </c>
      <c r="F253" s="13" t="inlineStr">
        <is>
          <t>Reposição calçada entre PVs 10 ao 11</t>
        </is>
      </c>
      <c r="G253" s="7" t="inlineStr">
        <is>
          <t>10</t>
        </is>
      </c>
      <c r="H253" s="7" t="n"/>
      <c r="I253" s="7" t="inlineStr">
        <is>
          <t>10</t>
        </is>
      </c>
      <c r="J253" s="7" t="n"/>
      <c r="K253" s="7" t="inlineStr">
        <is>
          <t>Planejamento</t>
        </is>
      </c>
      <c r="L253" s="16" t="inlineStr">
        <is>
          <t>PDS-janeiro(1).docx</t>
        </is>
      </c>
      <c r="M253">
        <f>IF($A253="","",TEXT($A253,"mmmm/yyyy"))</f>
        <v/>
      </c>
      <c r="P253">
        <f>IFERROR(_xludf.XLOOKUP($N253,Base_Enderecos!$A:$A,Base_Enderecos!$B:$B,""),"")</f>
        <v/>
      </c>
      <c r="Q253">
        <f>IFERROR(_xludf.XLOOKUP($N253,Base_Enderecos!$A:$A,Base_Enderecos!$C:$C,""),"")</f>
        <v/>
      </c>
      <c r="R253">
        <f>IF(OR(ISNUMBER(SEARCH("HDD",$F253)),ISNUMBER(SEARCH("MND",$F253)),ISNUMBER(SEARCH("PEAD",$F253)),ISNUMBER(SEARCH("Puxe",$J253)),ISNUMBER(SEARCH("Apoio HDD",$F253))),"MND",IF(OR(ISNUMBER(SEARCH("VCA",$F253)),ISNUMBER(SEARCH("PVC",$F253)),ISNUMBER(SEARCH("vca",$J253)),ISNUMBER(SEARCH("Transformação",$J253))),"VCA",IF(OR(ISNUMBER(SEARCH("crava",$F253)),ISNUMBER(SEARCH("tubo cravado",$F253)),ISNUMBER(SEARCH("shaft",$J253)),ISNUMBER(SEARCH("concreto",$F253))),"TUBO CRAVADO","")))</f>
        <v/>
      </c>
      <c r="T253">
        <f>IF($A253="","",TEXT($A253,"yyyymm")&amp;"|"&amp;$C253&amp;"|"&amp;$F253&amp;"|"&amp;$N253&amp;"|"&amp;$R253)</f>
        <v/>
      </c>
    </row>
    <row r="254" ht="11.55" customHeight="1">
      <c r="A254" s="10" t="n">
        <v>46028</v>
      </c>
      <c r="B254" s="7" t="inlineStr">
        <is>
          <t>Terça</t>
        </is>
      </c>
      <c r="C254" s="7" t="inlineStr">
        <is>
          <t>CT Lourdes</t>
        </is>
      </c>
      <c r="D254" s="7" t="n"/>
      <c r="E254" s="7" t="inlineStr">
        <is>
          <t>Higor</t>
        </is>
      </c>
      <c r="F254" s="13" t="inlineStr">
        <is>
          <t>Acabamento PV 10 e sondagem PV 13</t>
        </is>
      </c>
      <c r="G254" s="7" t="inlineStr">
        <is>
          <t>10</t>
        </is>
      </c>
      <c r="H254" s="7" t="inlineStr">
        <is>
          <t>13</t>
        </is>
      </c>
      <c r="I254" s="7" t="inlineStr">
        <is>
          <t>10, 13</t>
        </is>
      </c>
      <c r="J254" s="7" t="inlineStr">
        <is>
          <t>Acabamento</t>
        </is>
      </c>
      <c r="K254" s="7" t="inlineStr">
        <is>
          <t>Planejamento</t>
        </is>
      </c>
      <c r="L254" s="16" t="inlineStr">
        <is>
          <t>PDS-janeiro(1).docx</t>
        </is>
      </c>
      <c r="M254">
        <f>IF($A254="","",TEXT($A254,"mmmm/yyyy"))</f>
        <v/>
      </c>
      <c r="P254">
        <f>IFERROR(_xludf.XLOOKUP($N254,Base_Enderecos!$A:$A,Base_Enderecos!$B:$B,""),"")</f>
        <v/>
      </c>
      <c r="Q254">
        <f>IFERROR(_xludf.XLOOKUP($N254,Base_Enderecos!$A:$A,Base_Enderecos!$C:$C,""),"")</f>
        <v/>
      </c>
      <c r="R254">
        <f>IF(OR(ISNUMBER(SEARCH("HDD",$F254)),ISNUMBER(SEARCH("MND",$F254)),ISNUMBER(SEARCH("PEAD",$F254)),ISNUMBER(SEARCH("Puxe",$J254)),ISNUMBER(SEARCH("Apoio HDD",$F254))),"MND",IF(OR(ISNUMBER(SEARCH("VCA",$F254)),ISNUMBER(SEARCH("PVC",$F254)),ISNUMBER(SEARCH("vca",$J254)),ISNUMBER(SEARCH("Transformação",$J254))),"VCA",IF(OR(ISNUMBER(SEARCH("crava",$F254)),ISNUMBER(SEARCH("tubo cravado",$F254)),ISNUMBER(SEARCH("shaft",$J254)),ISNUMBER(SEARCH("concreto",$F254))),"TUBO CRAVADO","")))</f>
        <v/>
      </c>
      <c r="T254">
        <f>IF($A254="","",TEXT($A254,"yyyymm")&amp;"|"&amp;$C254&amp;"|"&amp;$F254&amp;"|"&amp;$N254&amp;"|"&amp;$R254)</f>
        <v/>
      </c>
    </row>
    <row r="255" ht="11.55" customHeight="1">
      <c r="A255" s="10" t="n">
        <v>46028</v>
      </c>
      <c r="B255" s="7" t="inlineStr">
        <is>
          <t>Terça</t>
        </is>
      </c>
      <c r="C255" s="7" t="inlineStr">
        <is>
          <t>CT Mar de Coral</t>
        </is>
      </c>
      <c r="D255" s="7" t="n"/>
      <c r="E255" s="7" t="inlineStr">
        <is>
          <t>Valter</t>
        </is>
      </c>
      <c r="F255" s="13" t="inlineStr">
        <is>
          <t>Escavação mecânica e montagem armco PV 01</t>
        </is>
      </c>
      <c r="G255" s="7" t="inlineStr">
        <is>
          <t>01</t>
        </is>
      </c>
      <c r="H255" s="7" t="n"/>
      <c r="I255" s="7" t="inlineStr">
        <is>
          <t>01</t>
        </is>
      </c>
      <c r="J255" s="7" t="inlineStr">
        <is>
          <t>Escavação</t>
        </is>
      </c>
      <c r="K255" s="7" t="inlineStr">
        <is>
          <t>Planejamento</t>
        </is>
      </c>
      <c r="L255" s="16" t="inlineStr">
        <is>
          <t>PDS-janeiro(1).docx</t>
        </is>
      </c>
      <c r="M255">
        <f>IF($A255="","",TEXT($A255,"mmmm/yyyy"))</f>
        <v/>
      </c>
      <c r="P255">
        <f>IFERROR(_xludf.XLOOKUP($N255,Base_Enderecos!$A:$A,Base_Enderecos!$B:$B,""),"")</f>
        <v/>
      </c>
      <c r="Q255">
        <f>IFERROR(_xludf.XLOOKUP($N255,Base_Enderecos!$A:$A,Base_Enderecos!$C:$C,""),"")</f>
        <v/>
      </c>
      <c r="R255">
        <f>IF(OR(ISNUMBER(SEARCH("HDD",$F255)),ISNUMBER(SEARCH("MND",$F255)),ISNUMBER(SEARCH("PEAD",$F255)),ISNUMBER(SEARCH("Puxe",$J255)),ISNUMBER(SEARCH("Apoio HDD",$F255))),"MND",IF(OR(ISNUMBER(SEARCH("VCA",$F255)),ISNUMBER(SEARCH("PVC",$F255)),ISNUMBER(SEARCH("vca",$J255)),ISNUMBER(SEARCH("Transformação",$J255))),"VCA",IF(OR(ISNUMBER(SEARCH("crava",$F255)),ISNUMBER(SEARCH("tubo cravado",$F255)),ISNUMBER(SEARCH("shaft",$J255)),ISNUMBER(SEARCH("concreto",$F255))),"TUBO CRAVADO","")))</f>
        <v/>
      </c>
      <c r="T255">
        <f>IF($A255="","",TEXT($A255,"yyyymm")&amp;"|"&amp;$C255&amp;"|"&amp;$F255&amp;"|"&amp;$N255&amp;"|"&amp;$R255)</f>
        <v/>
      </c>
    </row>
    <row r="256" ht="11.55" customHeight="1">
      <c r="A256" s="10" t="n">
        <v>46028</v>
      </c>
      <c r="B256" s="7" t="inlineStr">
        <is>
          <t>Terça</t>
        </is>
      </c>
      <c r="C256" s="7" t="inlineStr">
        <is>
          <t>CT Mar de Coral</t>
        </is>
      </c>
      <c r="D256" s="7" t="n"/>
      <c r="E256" s="7" t="inlineStr">
        <is>
          <t>Cesar</t>
        </is>
      </c>
      <c r="F256" s="13" t="inlineStr">
        <is>
          <t>Escavação mecânica PV 03</t>
        </is>
      </c>
      <c r="G256" s="7" t="inlineStr">
        <is>
          <t>03</t>
        </is>
      </c>
      <c r="H256" s="7" t="n"/>
      <c r="I256" s="7" t="inlineStr">
        <is>
          <t>03</t>
        </is>
      </c>
      <c r="J256" s="7" t="inlineStr">
        <is>
          <t>Escavação</t>
        </is>
      </c>
      <c r="K256" s="7" t="inlineStr">
        <is>
          <t>Planejamento</t>
        </is>
      </c>
      <c r="L256" s="16" t="inlineStr">
        <is>
          <t>PDS-janeiro(1).docx</t>
        </is>
      </c>
      <c r="M256">
        <f>IF($A256="","",TEXT($A256,"mmmm/yyyy"))</f>
        <v/>
      </c>
      <c r="P256">
        <f>IFERROR(_xludf.XLOOKUP($N256,Base_Enderecos!$A:$A,Base_Enderecos!$B:$B,""),"")</f>
        <v/>
      </c>
      <c r="Q256">
        <f>IFERROR(_xludf.XLOOKUP($N256,Base_Enderecos!$A:$A,Base_Enderecos!$C:$C,""),"")</f>
        <v/>
      </c>
      <c r="R256">
        <f>IF(OR(ISNUMBER(SEARCH("HDD",$F256)),ISNUMBER(SEARCH("MND",$F256)),ISNUMBER(SEARCH("PEAD",$F256)),ISNUMBER(SEARCH("Puxe",$J256)),ISNUMBER(SEARCH("Apoio HDD",$F256))),"MND",IF(OR(ISNUMBER(SEARCH("VCA",$F256)),ISNUMBER(SEARCH("PVC",$F256)),ISNUMBER(SEARCH("vca",$J256)),ISNUMBER(SEARCH("Transformação",$J256))),"VCA",IF(OR(ISNUMBER(SEARCH("crava",$F256)),ISNUMBER(SEARCH("tubo cravado",$F256)),ISNUMBER(SEARCH("shaft",$J256)),ISNUMBER(SEARCH("concreto",$F256))),"TUBO CRAVADO","")))</f>
        <v/>
      </c>
      <c r="T256">
        <f>IF($A256="","",TEXT($A256,"yyyymm")&amp;"|"&amp;$C256&amp;"|"&amp;$F256&amp;"|"&amp;$N256&amp;"|"&amp;$R256)</f>
        <v/>
      </c>
    </row>
    <row r="257" ht="11.55" customHeight="1">
      <c r="A257" s="10" t="n">
        <v>46028</v>
      </c>
      <c r="B257" s="7" t="inlineStr">
        <is>
          <t>Terça</t>
        </is>
      </c>
      <c r="C257" s="7" t="inlineStr">
        <is>
          <t>CT Mar de Coral</t>
        </is>
      </c>
      <c r="D257" s="7" t="n"/>
      <c r="E257" s="7" t="inlineStr">
        <is>
          <t>Marcio</t>
        </is>
      </c>
      <c r="F257" s="13" t="inlineStr">
        <is>
          <t>Escavação mecânica e montagem armco PV 04</t>
        </is>
      </c>
      <c r="G257" s="7" t="inlineStr">
        <is>
          <t>04</t>
        </is>
      </c>
      <c r="H257" s="7" t="n"/>
      <c r="I257" s="7" t="inlineStr">
        <is>
          <t>04</t>
        </is>
      </c>
      <c r="J257" s="7" t="inlineStr">
        <is>
          <t>Escavação</t>
        </is>
      </c>
      <c r="K257" s="7" t="inlineStr">
        <is>
          <t>Planejamento</t>
        </is>
      </c>
      <c r="L257" s="16" t="inlineStr">
        <is>
          <t>PDS-janeiro(1).docx</t>
        </is>
      </c>
      <c r="M257">
        <f>IF($A257="","",TEXT($A257,"mmmm/yyyy"))</f>
        <v/>
      </c>
      <c r="P257">
        <f>IFERROR(_xludf.XLOOKUP($N257,Base_Enderecos!$A:$A,Base_Enderecos!$B:$B,""),"")</f>
        <v/>
      </c>
      <c r="Q257">
        <f>IFERROR(_xludf.XLOOKUP($N257,Base_Enderecos!$A:$A,Base_Enderecos!$C:$C,""),"")</f>
        <v/>
      </c>
      <c r="R257">
        <f>IF(OR(ISNUMBER(SEARCH("HDD",$F257)),ISNUMBER(SEARCH("MND",$F257)),ISNUMBER(SEARCH("PEAD",$F257)),ISNUMBER(SEARCH("Puxe",$J257)),ISNUMBER(SEARCH("Apoio HDD",$F257))),"MND",IF(OR(ISNUMBER(SEARCH("VCA",$F257)),ISNUMBER(SEARCH("PVC",$F257)),ISNUMBER(SEARCH("vca",$J257)),ISNUMBER(SEARCH("Transformação",$J257))),"VCA",IF(OR(ISNUMBER(SEARCH("crava",$F257)),ISNUMBER(SEARCH("tubo cravado",$F257)),ISNUMBER(SEARCH("shaft",$J257)),ISNUMBER(SEARCH("concreto",$F257))),"TUBO CRAVADO","")))</f>
        <v/>
      </c>
      <c r="T257">
        <f>IF($A257="","",TEXT($A257,"yyyymm")&amp;"|"&amp;$C257&amp;"|"&amp;$F257&amp;"|"&amp;$N257&amp;"|"&amp;$R257)</f>
        <v/>
      </c>
    </row>
    <row r="258" ht="11.55" customHeight="1">
      <c r="A258" s="10" t="n">
        <v>46028</v>
      </c>
      <c r="B258" s="7" t="inlineStr">
        <is>
          <t>Terça</t>
        </is>
      </c>
      <c r="C258" s="7" t="inlineStr">
        <is>
          <t>CT Mar de Coral</t>
        </is>
      </c>
      <c r="D258" s="7" t="n"/>
      <c r="E258" s="7" t="inlineStr">
        <is>
          <t>Paulo</t>
        </is>
      </c>
      <c r="F258" s="13" t="inlineStr">
        <is>
          <t>Escavação mecânica e montagem armco PV 05</t>
        </is>
      </c>
      <c r="G258" s="7" t="inlineStr">
        <is>
          <t>05</t>
        </is>
      </c>
      <c r="H258" s="7" t="n"/>
      <c r="I258" s="7" t="inlineStr">
        <is>
          <t>05</t>
        </is>
      </c>
      <c r="J258" s="7" t="inlineStr">
        <is>
          <t>Escavação</t>
        </is>
      </c>
      <c r="K258" s="7" t="inlineStr">
        <is>
          <t>Planejamento</t>
        </is>
      </c>
      <c r="L258" s="16" t="inlineStr">
        <is>
          <t>PDS-janeiro(1).docx</t>
        </is>
      </c>
      <c r="M258">
        <f>IF($A258="","",TEXT($A258,"mmmm/yyyy"))</f>
        <v/>
      </c>
      <c r="P258">
        <f>IFERROR(_xludf.XLOOKUP($N258,Base_Enderecos!$A:$A,Base_Enderecos!$B:$B,""),"")</f>
        <v/>
      </c>
      <c r="Q258">
        <f>IFERROR(_xludf.XLOOKUP($N258,Base_Enderecos!$A:$A,Base_Enderecos!$C:$C,""),"")</f>
        <v/>
      </c>
      <c r="R258">
        <f>IF(OR(ISNUMBER(SEARCH("HDD",$F258)),ISNUMBER(SEARCH("MND",$F258)),ISNUMBER(SEARCH("PEAD",$F258)),ISNUMBER(SEARCH("Puxe",$J258)),ISNUMBER(SEARCH("Apoio HDD",$F258))),"MND",IF(OR(ISNUMBER(SEARCH("VCA",$F258)),ISNUMBER(SEARCH("PVC",$F258)),ISNUMBER(SEARCH("vca",$J258)),ISNUMBER(SEARCH("Transformação",$J258))),"VCA",IF(OR(ISNUMBER(SEARCH("crava",$F258)),ISNUMBER(SEARCH("tubo cravado",$F258)),ISNUMBER(SEARCH("shaft",$J258)),ISNUMBER(SEARCH("concreto",$F258))),"TUBO CRAVADO","")))</f>
        <v/>
      </c>
      <c r="T258">
        <f>IF($A258="","",TEXT($A258,"yyyymm")&amp;"|"&amp;$C258&amp;"|"&amp;$F258&amp;"|"&amp;$N258&amp;"|"&amp;$R258)</f>
        <v/>
      </c>
    </row>
    <row r="259" ht="11.55" customHeight="1">
      <c r="A259" s="10" t="n">
        <v>46028</v>
      </c>
      <c r="B259" s="7" t="inlineStr">
        <is>
          <t>Terça</t>
        </is>
      </c>
      <c r="C259" s="7" t="inlineStr">
        <is>
          <t>CT Mar de Coral</t>
        </is>
      </c>
      <c r="D259" s="7" t="n"/>
      <c r="E259" s="7" t="inlineStr">
        <is>
          <t>Marcelo</t>
        </is>
      </c>
      <c r="F259" s="13" t="inlineStr">
        <is>
          <t>Transformação PV 5.01</t>
        </is>
      </c>
      <c r="G259" s="7" t="inlineStr">
        <is>
          <t>5.01</t>
        </is>
      </c>
      <c r="H259" s="7" t="n"/>
      <c r="I259" s="7" t="inlineStr">
        <is>
          <t>5.01</t>
        </is>
      </c>
      <c r="J259" s="7" t="inlineStr">
        <is>
          <t>Transformação</t>
        </is>
      </c>
      <c r="K259" s="7" t="inlineStr">
        <is>
          <t>Planejamento</t>
        </is>
      </c>
      <c r="L259" s="16" t="inlineStr">
        <is>
          <t>PDS-janeiro(1).docx</t>
        </is>
      </c>
      <c r="M259">
        <f>IF($A259="","",TEXT($A259,"mmmm/yyyy"))</f>
        <v/>
      </c>
      <c r="P259">
        <f>IFERROR(_xludf.XLOOKUP($N259,Base_Enderecos!$A:$A,Base_Enderecos!$B:$B,""),"")</f>
        <v/>
      </c>
      <c r="Q259">
        <f>IFERROR(_xludf.XLOOKUP($N259,Base_Enderecos!$A:$A,Base_Enderecos!$C:$C,""),"")</f>
        <v/>
      </c>
      <c r="R259">
        <f>IF(OR(ISNUMBER(SEARCH("HDD",$F259)),ISNUMBER(SEARCH("MND",$F259)),ISNUMBER(SEARCH("PEAD",$F259)),ISNUMBER(SEARCH("Puxe",$J259)),ISNUMBER(SEARCH("Apoio HDD",$F259))),"MND",IF(OR(ISNUMBER(SEARCH("VCA",$F259)),ISNUMBER(SEARCH("PVC",$F259)),ISNUMBER(SEARCH("vca",$J259)),ISNUMBER(SEARCH("Transformação",$J259))),"VCA",IF(OR(ISNUMBER(SEARCH("crava",$F259)),ISNUMBER(SEARCH("tubo cravado",$F259)),ISNUMBER(SEARCH("shaft",$J259)),ISNUMBER(SEARCH("concreto",$F259))),"TUBO CRAVADO","")))</f>
        <v/>
      </c>
      <c r="T259">
        <f>IF($A259="","",TEXT($A259,"yyyymm")&amp;"|"&amp;$C259&amp;"|"&amp;$F259&amp;"|"&amp;$N259&amp;"|"&amp;$R259)</f>
        <v/>
      </c>
    </row>
    <row r="260" ht="11.55" customHeight="1">
      <c r="A260" s="10" t="n">
        <v>46028</v>
      </c>
      <c r="B260" s="7" t="inlineStr">
        <is>
          <t>Terça</t>
        </is>
      </c>
      <c r="C260" s="7" t="inlineStr">
        <is>
          <t>CT Mar de Coral</t>
        </is>
      </c>
      <c r="D260" s="7" t="n"/>
      <c r="E260" s="7" t="inlineStr">
        <is>
          <t>Edivando</t>
        </is>
      </c>
      <c r="F260" s="13" t="inlineStr">
        <is>
          <t>Transformação PV 5.10</t>
        </is>
      </c>
      <c r="G260" s="7" t="inlineStr">
        <is>
          <t>5.10</t>
        </is>
      </c>
      <c r="H260" s="7" t="n"/>
      <c r="I260" s="7" t="inlineStr">
        <is>
          <t>5.10</t>
        </is>
      </c>
      <c r="J260" s="7" t="inlineStr">
        <is>
          <t>Transformação</t>
        </is>
      </c>
      <c r="K260" s="7" t="inlineStr">
        <is>
          <t>Planejamento</t>
        </is>
      </c>
      <c r="L260" s="16" t="inlineStr">
        <is>
          <t>PDS-janeiro(1).docx</t>
        </is>
      </c>
      <c r="M260">
        <f>IF($A260="","",TEXT($A260,"mmmm/yyyy"))</f>
        <v/>
      </c>
      <c r="P260">
        <f>IFERROR(_xludf.XLOOKUP($N260,Base_Enderecos!$A:$A,Base_Enderecos!$B:$B,""),"")</f>
        <v/>
      </c>
      <c r="Q260">
        <f>IFERROR(_xludf.XLOOKUP($N260,Base_Enderecos!$A:$A,Base_Enderecos!$C:$C,""),"")</f>
        <v/>
      </c>
      <c r="R260">
        <f>IF(OR(ISNUMBER(SEARCH("HDD",$F260)),ISNUMBER(SEARCH("MND",$F260)),ISNUMBER(SEARCH("PEAD",$F260)),ISNUMBER(SEARCH("Puxe",$J260)),ISNUMBER(SEARCH("Apoio HDD",$F260))),"MND",IF(OR(ISNUMBER(SEARCH("VCA",$F260)),ISNUMBER(SEARCH("PVC",$F260)),ISNUMBER(SEARCH("vca",$J260)),ISNUMBER(SEARCH("Transformação",$J260))),"VCA",IF(OR(ISNUMBER(SEARCH("crava",$F260)),ISNUMBER(SEARCH("tubo cravado",$F260)),ISNUMBER(SEARCH("shaft",$J260)),ISNUMBER(SEARCH("concreto",$F260))),"TUBO CRAVADO","")))</f>
        <v/>
      </c>
      <c r="T260">
        <f>IF($A260="","",TEXT($A260,"yyyymm")&amp;"|"&amp;$C260&amp;"|"&amp;$F260&amp;"|"&amp;$N260&amp;"|"&amp;$R260)</f>
        <v/>
      </c>
    </row>
    <row r="261" ht="11.55" customHeight="1">
      <c r="A261" s="10" t="n">
        <v>46028</v>
      </c>
      <c r="B261" s="7" t="inlineStr">
        <is>
          <t>Terça</t>
        </is>
      </c>
      <c r="C261" s="7" t="inlineStr">
        <is>
          <t>CT Mar de Coral</t>
        </is>
      </c>
      <c r="D261" s="7" t="n"/>
      <c r="E261" s="7" t="inlineStr">
        <is>
          <t>LS (Josivaldo)</t>
        </is>
      </c>
      <c r="F261" s="13" t="inlineStr">
        <is>
          <t>Escavação mecânica e montagem armco PV 08</t>
        </is>
      </c>
      <c r="G261" s="7" t="inlineStr">
        <is>
          <t>08</t>
        </is>
      </c>
      <c r="H261" s="7" t="n"/>
      <c r="I261" s="7" t="inlineStr">
        <is>
          <t>08</t>
        </is>
      </c>
      <c r="J261" s="7" t="inlineStr">
        <is>
          <t>Escavação</t>
        </is>
      </c>
      <c r="K261" s="7" t="inlineStr">
        <is>
          <t>Planejamento</t>
        </is>
      </c>
      <c r="L261" s="16" t="inlineStr">
        <is>
          <t>PDS-janeiro(1).docx</t>
        </is>
      </c>
      <c r="M261">
        <f>IF($A261="","",TEXT($A261,"mmmm/yyyy"))</f>
        <v/>
      </c>
      <c r="P261">
        <f>IFERROR(_xludf.XLOOKUP($N261,Base_Enderecos!$A:$A,Base_Enderecos!$B:$B,""),"")</f>
        <v/>
      </c>
      <c r="Q261">
        <f>IFERROR(_xludf.XLOOKUP($N261,Base_Enderecos!$A:$A,Base_Enderecos!$C:$C,""),"")</f>
        <v/>
      </c>
      <c r="R261">
        <f>IF(OR(ISNUMBER(SEARCH("HDD",$F261)),ISNUMBER(SEARCH("MND",$F261)),ISNUMBER(SEARCH("PEAD",$F261)),ISNUMBER(SEARCH("Puxe",$J261)),ISNUMBER(SEARCH("Apoio HDD",$F261))),"MND",IF(OR(ISNUMBER(SEARCH("VCA",$F261)),ISNUMBER(SEARCH("PVC",$F261)),ISNUMBER(SEARCH("vca",$J261)),ISNUMBER(SEARCH("Transformação",$J261))),"VCA",IF(OR(ISNUMBER(SEARCH("crava",$F261)),ISNUMBER(SEARCH("tubo cravado",$F261)),ISNUMBER(SEARCH("shaft",$J261)),ISNUMBER(SEARCH("concreto",$F261))),"TUBO CRAVADO","")))</f>
        <v/>
      </c>
      <c r="T261">
        <f>IF($A261="","",TEXT($A261,"yyyymm")&amp;"|"&amp;$C261&amp;"|"&amp;$F261&amp;"|"&amp;$N261&amp;"|"&amp;$R261)</f>
        <v/>
      </c>
    </row>
    <row r="262" ht="11.55" customHeight="1">
      <c r="A262" s="10" t="n">
        <v>46028</v>
      </c>
      <c r="B262" s="7" t="inlineStr">
        <is>
          <t>Terça</t>
        </is>
      </c>
      <c r="C262" s="7" t="inlineStr">
        <is>
          <t>CT Mar de Coral</t>
        </is>
      </c>
      <c r="D262" s="7" t="n"/>
      <c r="E262" s="7" t="inlineStr">
        <is>
          <t>LS (Alex)</t>
        </is>
      </c>
      <c r="F262" s="13" t="inlineStr">
        <is>
          <t>Escavação mecânica e montagem armco PV 09</t>
        </is>
      </c>
      <c r="G262" s="7" t="inlineStr">
        <is>
          <t>09</t>
        </is>
      </c>
      <c r="H262" s="7" t="n"/>
      <c r="I262" s="7" t="inlineStr">
        <is>
          <t>09</t>
        </is>
      </c>
      <c r="J262" s="7" t="inlineStr">
        <is>
          <t>Escavação</t>
        </is>
      </c>
      <c r="K262" s="7" t="inlineStr">
        <is>
          <t>Planejamento</t>
        </is>
      </c>
      <c r="L262" s="16" t="inlineStr">
        <is>
          <t>PDS-janeiro(1).docx</t>
        </is>
      </c>
      <c r="M262">
        <f>IF($A262="","",TEXT($A262,"mmmm/yyyy"))</f>
        <v/>
      </c>
      <c r="P262">
        <f>IFERROR(_xludf.XLOOKUP($N262,Base_Enderecos!$A:$A,Base_Enderecos!$B:$B,""),"")</f>
        <v/>
      </c>
      <c r="Q262">
        <f>IFERROR(_xludf.XLOOKUP($N262,Base_Enderecos!$A:$A,Base_Enderecos!$C:$C,""),"")</f>
        <v/>
      </c>
      <c r="R262">
        <f>IF(OR(ISNUMBER(SEARCH("HDD",$F262)),ISNUMBER(SEARCH("MND",$F262)),ISNUMBER(SEARCH("PEAD",$F262)),ISNUMBER(SEARCH("Puxe",$J262)),ISNUMBER(SEARCH("Apoio HDD",$F262))),"MND",IF(OR(ISNUMBER(SEARCH("VCA",$F262)),ISNUMBER(SEARCH("PVC",$F262)),ISNUMBER(SEARCH("vca",$J262)),ISNUMBER(SEARCH("Transformação",$J262))),"VCA",IF(OR(ISNUMBER(SEARCH("crava",$F262)),ISNUMBER(SEARCH("tubo cravado",$F262)),ISNUMBER(SEARCH("shaft",$J262)),ISNUMBER(SEARCH("concreto",$F262))),"TUBO CRAVADO","")))</f>
        <v/>
      </c>
      <c r="T262">
        <f>IF($A262="","",TEXT($A262,"yyyymm")&amp;"|"&amp;$C262&amp;"|"&amp;$F262&amp;"|"&amp;$N262&amp;"|"&amp;$R262)</f>
        <v/>
      </c>
    </row>
    <row r="263" ht="11.55" customHeight="1">
      <c r="A263" s="10" t="n">
        <v>46028</v>
      </c>
      <c r="B263" s="7" t="inlineStr">
        <is>
          <t>Terça</t>
        </is>
      </c>
      <c r="C263" s="7" t="inlineStr">
        <is>
          <t>CT Mar de Coral</t>
        </is>
      </c>
      <c r="D263" s="7" t="n"/>
      <c r="E263" s="7" t="inlineStr">
        <is>
          <t>Bruno (Work Drill)</t>
        </is>
      </c>
      <c r="F263" s="13" t="inlineStr">
        <is>
          <t>Retirada cabeça de puxe PV 03</t>
        </is>
      </c>
      <c r="G263" s="7" t="inlineStr">
        <is>
          <t>03</t>
        </is>
      </c>
      <c r="H263" s="7" t="n"/>
      <c r="I263" s="7" t="inlineStr">
        <is>
          <t>03</t>
        </is>
      </c>
      <c r="J263" s="7" t="inlineStr">
        <is>
          <t>Puxe</t>
        </is>
      </c>
      <c r="K263" s="7" t="inlineStr">
        <is>
          <t>Planejamento</t>
        </is>
      </c>
      <c r="L263" s="16" t="inlineStr">
        <is>
          <t>PDS-janeiro(1).docx</t>
        </is>
      </c>
      <c r="M263">
        <f>IF($A263="","",TEXT($A263,"mmmm/yyyy"))</f>
        <v/>
      </c>
      <c r="P263">
        <f>IFERROR(_xludf.XLOOKUP($N263,Base_Enderecos!$A:$A,Base_Enderecos!$B:$B,""),"")</f>
        <v/>
      </c>
      <c r="Q263">
        <f>IFERROR(_xludf.XLOOKUP($N263,Base_Enderecos!$A:$A,Base_Enderecos!$C:$C,""),"")</f>
        <v/>
      </c>
      <c r="R263">
        <f>IF(OR(ISNUMBER(SEARCH("HDD",$F263)),ISNUMBER(SEARCH("MND",$F263)),ISNUMBER(SEARCH("PEAD",$F263)),ISNUMBER(SEARCH("Puxe",$J263)),ISNUMBER(SEARCH("Apoio HDD",$F263))),"MND",IF(OR(ISNUMBER(SEARCH("VCA",$F263)),ISNUMBER(SEARCH("PVC",$F263)),ISNUMBER(SEARCH("vca",$J263)),ISNUMBER(SEARCH("Transformação",$J263))),"VCA",IF(OR(ISNUMBER(SEARCH("crava",$F263)),ISNUMBER(SEARCH("tubo cravado",$F263)),ISNUMBER(SEARCH("shaft",$J263)),ISNUMBER(SEARCH("concreto",$F263))),"TUBO CRAVADO","")))</f>
        <v/>
      </c>
      <c r="T263">
        <f>IF($A263="","",TEXT($A263,"yyyymm")&amp;"|"&amp;$C263&amp;"|"&amp;$F263&amp;"|"&amp;$N263&amp;"|"&amp;$R263)</f>
        <v/>
      </c>
    </row>
    <row r="264" ht="11.55" customHeight="1">
      <c r="A264" s="10" t="n">
        <v>46028</v>
      </c>
      <c r="B264" s="7" t="inlineStr">
        <is>
          <t>Terça</t>
        </is>
      </c>
      <c r="C264" s="7" t="inlineStr">
        <is>
          <t>CT Mar de Coral</t>
        </is>
      </c>
      <c r="D264" s="7" t="n"/>
      <c r="E264" s="7" t="inlineStr">
        <is>
          <t>Fabrício</t>
        </is>
      </c>
      <c r="F264" s="13" t="inlineStr">
        <is>
          <t>Apoio HDD entre PVs 01 ao 03</t>
        </is>
      </c>
      <c r="G264" s="7" t="inlineStr">
        <is>
          <t>01</t>
        </is>
      </c>
      <c r="H264" s="7" t="n"/>
      <c r="I264" s="7" t="inlineStr">
        <is>
          <t>01</t>
        </is>
      </c>
      <c r="J264" s="7" t="inlineStr">
        <is>
          <t>Apoio HDD</t>
        </is>
      </c>
      <c r="K264" s="7" t="inlineStr">
        <is>
          <t>Planejamento</t>
        </is>
      </c>
      <c r="L264" s="16" t="inlineStr">
        <is>
          <t>PDS-janeiro(1).docx</t>
        </is>
      </c>
      <c r="M264">
        <f>IF($A264="","",TEXT($A264,"mmmm/yyyy"))</f>
        <v/>
      </c>
      <c r="P264">
        <f>IFERROR(_xludf.XLOOKUP($N264,Base_Enderecos!$A:$A,Base_Enderecos!$B:$B,""),"")</f>
        <v/>
      </c>
      <c r="Q264">
        <f>IFERROR(_xludf.XLOOKUP($N264,Base_Enderecos!$A:$A,Base_Enderecos!$C:$C,""),"")</f>
        <v/>
      </c>
      <c r="R264">
        <f>IF(OR(ISNUMBER(SEARCH("HDD",$F264)),ISNUMBER(SEARCH("MND",$F264)),ISNUMBER(SEARCH("PEAD",$F264)),ISNUMBER(SEARCH("Puxe",$J264)),ISNUMBER(SEARCH("Apoio HDD",$F264))),"MND",IF(OR(ISNUMBER(SEARCH("VCA",$F264)),ISNUMBER(SEARCH("PVC",$F264)),ISNUMBER(SEARCH("vca",$J264)),ISNUMBER(SEARCH("Transformação",$J264))),"VCA",IF(OR(ISNUMBER(SEARCH("crava",$F264)),ISNUMBER(SEARCH("tubo cravado",$F264)),ISNUMBER(SEARCH("shaft",$J264)),ISNUMBER(SEARCH("concreto",$F264))),"TUBO CRAVADO","")))</f>
        <v/>
      </c>
      <c r="T264">
        <f>IF($A264="","",TEXT($A264,"yyyymm")&amp;"|"&amp;$C264&amp;"|"&amp;$F264&amp;"|"&amp;$N264&amp;"|"&amp;$R264)</f>
        <v/>
      </c>
    </row>
    <row r="265" ht="11.55" customHeight="1">
      <c r="A265" s="10" t="n">
        <v>46028</v>
      </c>
      <c r="B265" s="7" t="inlineStr">
        <is>
          <t>Terça</t>
        </is>
      </c>
      <c r="C265" s="7" t="inlineStr">
        <is>
          <t>CT Barão de Arariba</t>
        </is>
      </c>
      <c r="D265" s="7" t="n"/>
      <c r="E265" s="7" t="inlineStr">
        <is>
          <t>WJ (Edson)</t>
        </is>
      </c>
      <c r="F265" s="13" t="n"/>
      <c r="G265" s="7" t="n"/>
      <c r="H265" s="7" t="n"/>
      <c r="I265" s="7" t="n"/>
      <c r="J265" s="7" t="n"/>
      <c r="K265" s="7" t="inlineStr">
        <is>
          <t>Planejamento</t>
        </is>
      </c>
      <c r="L265" s="16" t="inlineStr">
        <is>
          <t>PDS-janeiro(1).docx</t>
        </is>
      </c>
      <c r="M265">
        <f>IF($A265="","",TEXT($A265,"mmmm/yyyy"))</f>
        <v/>
      </c>
      <c r="P265">
        <f>IFERROR(_xludf.XLOOKUP($N265,Base_Enderecos!$A:$A,Base_Enderecos!$B:$B,""),"")</f>
        <v/>
      </c>
      <c r="Q265">
        <f>IFERROR(_xludf.XLOOKUP($N265,Base_Enderecos!$A:$A,Base_Enderecos!$C:$C,""),"")</f>
        <v/>
      </c>
      <c r="R265">
        <f>IF(OR(ISNUMBER(SEARCH("HDD",$F265)),ISNUMBER(SEARCH("MND",$F265)),ISNUMBER(SEARCH("PEAD",$F265)),ISNUMBER(SEARCH("Puxe",$J265)),ISNUMBER(SEARCH("Apoio HDD",$F265))),"MND",IF(OR(ISNUMBER(SEARCH("VCA",$F265)),ISNUMBER(SEARCH("PVC",$F265)),ISNUMBER(SEARCH("vca",$J265)),ISNUMBER(SEARCH("Transformação",$J265))),"VCA",IF(OR(ISNUMBER(SEARCH("crava",$F265)),ISNUMBER(SEARCH("tubo cravado",$F265)),ISNUMBER(SEARCH("shaft",$J265)),ISNUMBER(SEARCH("concreto",$F265))),"TUBO CRAVADO","")))</f>
        <v/>
      </c>
      <c r="T265">
        <f>IF($A265="","",TEXT($A265,"yyyymm")&amp;"|"&amp;$C265&amp;"|"&amp;$F265&amp;"|"&amp;$N265&amp;"|"&amp;$R265)</f>
        <v/>
      </c>
    </row>
    <row r="266" ht="11.55" customHeight="1">
      <c r="A266" s="10" t="n">
        <v>46028</v>
      </c>
      <c r="B266" s="7" t="inlineStr">
        <is>
          <t>Terça</t>
        </is>
      </c>
      <c r="C266" s="7" t="inlineStr">
        <is>
          <t>CT Barão de Arariba</t>
        </is>
      </c>
      <c r="D266" s="7" t="n"/>
      <c r="E266" s="7" t="inlineStr">
        <is>
          <t>WJ (Edson)</t>
        </is>
      </c>
      <c r="F266" s="13" t="inlineStr">
        <is>
          <t>Execução furo piloto entre PVs 09 ao 10</t>
        </is>
      </c>
      <c r="G266" s="7" t="inlineStr">
        <is>
          <t>09</t>
        </is>
      </c>
      <c r="H266" s="7" t="n"/>
      <c r="I266" s="7" t="inlineStr">
        <is>
          <t>09</t>
        </is>
      </c>
      <c r="J266" s="7" t="inlineStr">
        <is>
          <t>Furo piloto</t>
        </is>
      </c>
      <c r="K266" s="7" t="inlineStr">
        <is>
          <t>Planejamento</t>
        </is>
      </c>
      <c r="L266" s="16" t="inlineStr">
        <is>
          <t>PDS-janeiro(1).docx</t>
        </is>
      </c>
      <c r="M266">
        <f>IF($A266="","",TEXT($A266,"mmmm/yyyy"))</f>
        <v/>
      </c>
      <c r="P266">
        <f>IFERROR(_xludf.XLOOKUP($N266,Base_Enderecos!$A:$A,Base_Enderecos!$B:$B,""),"")</f>
        <v/>
      </c>
      <c r="Q266">
        <f>IFERROR(_xludf.XLOOKUP($N266,Base_Enderecos!$A:$A,Base_Enderecos!$C:$C,""),"")</f>
        <v/>
      </c>
      <c r="R266">
        <f>IF(OR(ISNUMBER(SEARCH("HDD",$F266)),ISNUMBER(SEARCH("MND",$F266)),ISNUMBER(SEARCH("PEAD",$F266)),ISNUMBER(SEARCH("Puxe",$J266)),ISNUMBER(SEARCH("Apoio HDD",$F266))),"MND",IF(OR(ISNUMBER(SEARCH("VCA",$F266)),ISNUMBER(SEARCH("PVC",$F266)),ISNUMBER(SEARCH("vca",$J266)),ISNUMBER(SEARCH("Transformação",$J266))),"VCA",IF(OR(ISNUMBER(SEARCH("crava",$F266)),ISNUMBER(SEARCH("tubo cravado",$F266)),ISNUMBER(SEARCH("shaft",$J266)),ISNUMBER(SEARCH("concreto",$F266))),"TUBO CRAVADO","")))</f>
        <v/>
      </c>
      <c r="T266">
        <f>IF($A266="","",TEXT($A266,"yyyymm")&amp;"|"&amp;$C266&amp;"|"&amp;$F266&amp;"|"&amp;$N266&amp;"|"&amp;$R266)</f>
        <v/>
      </c>
    </row>
    <row r="267" ht="11.55" customHeight="1">
      <c r="A267" s="10" t="n">
        <v>46028</v>
      </c>
      <c r="B267" s="7" t="inlineStr">
        <is>
          <t>Terça</t>
        </is>
      </c>
      <c r="C267" s="7" t="inlineStr">
        <is>
          <t>CT Barão de Arariba</t>
        </is>
      </c>
      <c r="D267" s="7" t="n"/>
      <c r="E267" s="7" t="inlineStr">
        <is>
          <t>Natalino</t>
        </is>
      </c>
      <c r="F267" s="13" t="inlineStr">
        <is>
          <t>Apoio HDD entre PVs 09 ao 10</t>
        </is>
      </c>
      <c r="G267" s="7" t="inlineStr">
        <is>
          <t>09</t>
        </is>
      </c>
      <c r="H267" s="7" t="n"/>
      <c r="I267" s="7" t="inlineStr">
        <is>
          <t>09</t>
        </is>
      </c>
      <c r="J267" s="7" t="inlineStr">
        <is>
          <t>Apoio HDD</t>
        </is>
      </c>
      <c r="K267" s="7" t="inlineStr">
        <is>
          <t>Planejamento</t>
        </is>
      </c>
      <c r="L267" s="16" t="inlineStr">
        <is>
          <t>PDS-janeiro(1).docx</t>
        </is>
      </c>
      <c r="M267">
        <f>IF($A267="","",TEXT($A267,"mmmm/yyyy"))</f>
        <v/>
      </c>
      <c r="P267">
        <f>IFERROR(_xludf.XLOOKUP($N267,Base_Enderecos!$A:$A,Base_Enderecos!$B:$B,""),"")</f>
        <v/>
      </c>
      <c r="Q267">
        <f>IFERROR(_xludf.XLOOKUP($N267,Base_Enderecos!$A:$A,Base_Enderecos!$C:$C,""),"")</f>
        <v/>
      </c>
      <c r="R267">
        <f>IF(OR(ISNUMBER(SEARCH("HDD",$F267)),ISNUMBER(SEARCH("MND",$F267)),ISNUMBER(SEARCH("PEAD",$F267)),ISNUMBER(SEARCH("Puxe",$J267)),ISNUMBER(SEARCH("Apoio HDD",$F267))),"MND",IF(OR(ISNUMBER(SEARCH("VCA",$F267)),ISNUMBER(SEARCH("PVC",$F267)),ISNUMBER(SEARCH("vca",$J267)),ISNUMBER(SEARCH("Transformação",$J267))),"VCA",IF(OR(ISNUMBER(SEARCH("crava",$F267)),ISNUMBER(SEARCH("tubo cravado",$F267)),ISNUMBER(SEARCH("shaft",$J267)),ISNUMBER(SEARCH("concreto",$F267))),"TUBO CRAVADO","")))</f>
        <v/>
      </c>
      <c r="T267">
        <f>IF($A267="","",TEXT($A267,"yyyymm")&amp;"|"&amp;$C267&amp;"|"&amp;$F267&amp;"|"&amp;$N267&amp;"|"&amp;$R267)</f>
        <v/>
      </c>
    </row>
    <row r="268" ht="11.55" customHeight="1">
      <c r="A268" s="10" t="n">
        <v>46028</v>
      </c>
      <c r="B268" s="7" t="inlineStr">
        <is>
          <t>Terça</t>
        </is>
      </c>
      <c r="C268" s="7" t="inlineStr">
        <is>
          <t>Vacal</t>
        </is>
      </c>
      <c r="D268" s="7" t="n"/>
      <c r="E268" s="7" t="inlineStr">
        <is>
          <t>Mar de Coral</t>
        </is>
      </c>
      <c r="F268" s="13" t="inlineStr">
        <is>
          <t>Apoio Vacal</t>
        </is>
      </c>
      <c r="G268" s="7" t="n"/>
      <c r="H268" s="7" t="n"/>
      <c r="I268" s="7" t="n"/>
      <c r="J268" s="7" t="inlineStr">
        <is>
          <t>Vacal</t>
        </is>
      </c>
      <c r="K268" s="7" t="inlineStr">
        <is>
          <t>Apoio</t>
        </is>
      </c>
      <c r="L268" s="16" t="inlineStr">
        <is>
          <t>PDS-janeiro(1).docx</t>
        </is>
      </c>
      <c r="M268">
        <f>IF($A268="","",TEXT($A268,"mmmm/yyyy"))</f>
        <v/>
      </c>
      <c r="P268">
        <f>IFERROR(_xludf.XLOOKUP($N268,Base_Enderecos!$A:$A,Base_Enderecos!$B:$B,""),"")</f>
        <v/>
      </c>
      <c r="Q268">
        <f>IFERROR(_xludf.XLOOKUP($N268,Base_Enderecos!$A:$A,Base_Enderecos!$C:$C,""),"")</f>
        <v/>
      </c>
      <c r="R268">
        <f>IF(OR(ISNUMBER(SEARCH("HDD",$F268)),ISNUMBER(SEARCH("MND",$F268)),ISNUMBER(SEARCH("PEAD",$F268)),ISNUMBER(SEARCH("Puxe",$J268)),ISNUMBER(SEARCH("Apoio HDD",$F268))),"MND",IF(OR(ISNUMBER(SEARCH("VCA",$F268)),ISNUMBER(SEARCH("PVC",$F268)),ISNUMBER(SEARCH("vca",$J268)),ISNUMBER(SEARCH("Transformação",$J268))),"VCA",IF(OR(ISNUMBER(SEARCH("crava",$F268)),ISNUMBER(SEARCH("tubo cravado",$F268)),ISNUMBER(SEARCH("shaft",$J268)),ISNUMBER(SEARCH("concreto",$F268))),"TUBO CRAVADO","")))</f>
        <v/>
      </c>
      <c r="T268">
        <f>IF($A268="","",TEXT($A268,"yyyymm")&amp;"|"&amp;$C268&amp;"|"&amp;$F268&amp;"|"&amp;$N268&amp;"|"&amp;$R268)</f>
        <v/>
      </c>
    </row>
    <row r="269" ht="11.55" customHeight="1">
      <c r="A269" s="10" t="n">
        <v>46028</v>
      </c>
      <c r="B269" s="7" t="inlineStr">
        <is>
          <t>Terça</t>
        </is>
      </c>
      <c r="C269" s="7" t="inlineStr">
        <is>
          <t>Vacal</t>
        </is>
      </c>
      <c r="D269" s="7" t="n"/>
      <c r="E269" s="7" t="inlineStr">
        <is>
          <t>Barão de Arariba</t>
        </is>
      </c>
      <c r="F269" s="13" t="inlineStr">
        <is>
          <t>Apoio Vacal</t>
        </is>
      </c>
      <c r="G269" s="7" t="n"/>
      <c r="H269" s="7" t="n"/>
      <c r="I269" s="7" t="n"/>
      <c r="J269" s="7" t="inlineStr">
        <is>
          <t>Vacal</t>
        </is>
      </c>
      <c r="K269" s="7" t="inlineStr">
        <is>
          <t>Apoio</t>
        </is>
      </c>
      <c r="L269" s="16" t="inlineStr">
        <is>
          <t>PDS-janeiro(1).docx</t>
        </is>
      </c>
      <c r="M269">
        <f>IF($A269="","",TEXT($A269,"mmmm/yyyy"))</f>
        <v/>
      </c>
      <c r="P269">
        <f>IFERROR(_xludf.XLOOKUP($N269,Base_Enderecos!$A:$A,Base_Enderecos!$B:$B,""),"")</f>
        <v/>
      </c>
      <c r="Q269">
        <f>IFERROR(_xludf.XLOOKUP($N269,Base_Enderecos!$A:$A,Base_Enderecos!$C:$C,""),"")</f>
        <v/>
      </c>
      <c r="R269">
        <f>IF(OR(ISNUMBER(SEARCH("HDD",$F269)),ISNUMBER(SEARCH("MND",$F269)),ISNUMBER(SEARCH("PEAD",$F269)),ISNUMBER(SEARCH("Puxe",$J269)),ISNUMBER(SEARCH("Apoio HDD",$F269))),"MND",IF(OR(ISNUMBER(SEARCH("VCA",$F269)),ISNUMBER(SEARCH("PVC",$F269)),ISNUMBER(SEARCH("vca",$J269)),ISNUMBER(SEARCH("Transformação",$J269))),"VCA",IF(OR(ISNUMBER(SEARCH("crava",$F269)),ISNUMBER(SEARCH("tubo cravado",$F269)),ISNUMBER(SEARCH("shaft",$J269)),ISNUMBER(SEARCH("concreto",$F269))),"TUBO CRAVADO","")))</f>
        <v/>
      </c>
      <c r="T269">
        <f>IF($A269="","",TEXT($A269,"yyyymm")&amp;"|"&amp;$C269&amp;"|"&amp;$F269&amp;"|"&amp;$N269&amp;"|"&amp;$R269)</f>
        <v/>
      </c>
    </row>
    <row r="270" ht="11.55" customHeight="1">
      <c r="A270" s="10" t="n">
        <v>46028</v>
      </c>
      <c r="B270" s="7" t="inlineStr">
        <is>
          <t>Terça</t>
        </is>
      </c>
      <c r="C270" s="7" t="inlineStr">
        <is>
          <t>Guindauto</t>
        </is>
      </c>
      <c r="D270" s="7" t="n"/>
      <c r="E270" s="7" t="inlineStr">
        <is>
          <t>Rodrigo apoio as equipes</t>
        </is>
      </c>
      <c r="F270" s="13" t="inlineStr">
        <is>
          <t>Rodrigo apoio as equipes</t>
        </is>
      </c>
      <c r="G270" s="7" t="n"/>
      <c r="H270" s="7" t="n"/>
      <c r="I270" s="7" t="n"/>
      <c r="J270" s="7" t="inlineStr">
        <is>
          <t>Guindauto</t>
        </is>
      </c>
      <c r="K270" s="7" t="inlineStr">
        <is>
          <t>Apoio</t>
        </is>
      </c>
      <c r="L270" s="16" t="inlineStr">
        <is>
          <t>PDS-janeiro(1).docx</t>
        </is>
      </c>
      <c r="M270">
        <f>IF($A270="","",TEXT($A270,"mmmm/yyyy"))</f>
        <v/>
      </c>
      <c r="P270">
        <f>IFERROR(_xludf.XLOOKUP($N270,Base_Enderecos!$A:$A,Base_Enderecos!$B:$B,""),"")</f>
        <v/>
      </c>
      <c r="Q270">
        <f>IFERROR(_xludf.XLOOKUP($N270,Base_Enderecos!$A:$A,Base_Enderecos!$C:$C,""),"")</f>
        <v/>
      </c>
      <c r="R270">
        <f>IF(OR(ISNUMBER(SEARCH("HDD",$F270)),ISNUMBER(SEARCH("MND",$F270)),ISNUMBER(SEARCH("PEAD",$F270)),ISNUMBER(SEARCH("Puxe",$J270)),ISNUMBER(SEARCH("Apoio HDD",$F270))),"MND",IF(OR(ISNUMBER(SEARCH("VCA",$F270)),ISNUMBER(SEARCH("PVC",$F270)),ISNUMBER(SEARCH("vca",$J270)),ISNUMBER(SEARCH("Transformação",$J270))),"VCA",IF(OR(ISNUMBER(SEARCH("crava",$F270)),ISNUMBER(SEARCH("tubo cravado",$F270)),ISNUMBER(SEARCH("shaft",$J270)),ISNUMBER(SEARCH("concreto",$F270))),"TUBO CRAVADO","")))</f>
        <v/>
      </c>
      <c r="T270">
        <f>IF($A270="","",TEXT($A270,"yyyymm")&amp;"|"&amp;$C270&amp;"|"&amp;$F270&amp;"|"&amp;$N270&amp;"|"&amp;$R270)</f>
        <v/>
      </c>
    </row>
    <row r="271" ht="11.55" customHeight="1">
      <c r="A271" s="10" t="n">
        <v>46028</v>
      </c>
      <c r="B271" s="7" t="inlineStr">
        <is>
          <t>Terça</t>
        </is>
      </c>
      <c r="C271" s="7" t="inlineStr">
        <is>
          <t>Guindauto</t>
        </is>
      </c>
      <c r="D271" s="7" t="n"/>
      <c r="E271" s="7" t="inlineStr">
        <is>
          <t>Marcio</t>
        </is>
      </c>
      <c r="F271" s="13" t="inlineStr">
        <is>
          <t>Marcio</t>
        </is>
      </c>
      <c r="G271" s="7" t="n"/>
      <c r="H271" s="7" t="n"/>
      <c r="I271" s="7" t="n"/>
      <c r="J271" s="7" t="inlineStr">
        <is>
          <t>Guindauto</t>
        </is>
      </c>
      <c r="K271" s="7" t="inlineStr">
        <is>
          <t>Apoio</t>
        </is>
      </c>
      <c r="L271" s="16" t="inlineStr">
        <is>
          <t>PDS-janeiro(1).docx</t>
        </is>
      </c>
      <c r="M271">
        <f>IF($A271="","",TEXT($A271,"mmmm/yyyy"))</f>
        <v/>
      </c>
      <c r="P271">
        <f>IFERROR(_xludf.XLOOKUP($N271,Base_Enderecos!$A:$A,Base_Enderecos!$B:$B,""),"")</f>
        <v/>
      </c>
      <c r="Q271">
        <f>IFERROR(_xludf.XLOOKUP($N271,Base_Enderecos!$A:$A,Base_Enderecos!$C:$C,""),"")</f>
        <v/>
      </c>
      <c r="R271">
        <f>IF(OR(ISNUMBER(SEARCH("HDD",$F271)),ISNUMBER(SEARCH("MND",$F271)),ISNUMBER(SEARCH("PEAD",$F271)),ISNUMBER(SEARCH("Puxe",$J271)),ISNUMBER(SEARCH("Apoio HDD",$F271))),"MND",IF(OR(ISNUMBER(SEARCH("VCA",$F271)),ISNUMBER(SEARCH("PVC",$F271)),ISNUMBER(SEARCH("vca",$J271)),ISNUMBER(SEARCH("Transformação",$J271))),"VCA",IF(OR(ISNUMBER(SEARCH("crava",$F271)),ISNUMBER(SEARCH("tubo cravado",$F271)),ISNUMBER(SEARCH("shaft",$J271)),ISNUMBER(SEARCH("concreto",$F271))),"TUBO CRAVADO","")))</f>
        <v/>
      </c>
      <c r="T271">
        <f>IF($A271="","",TEXT($A271,"yyyymm")&amp;"|"&amp;$C271&amp;"|"&amp;$F271&amp;"|"&amp;$N271&amp;"|"&amp;$R271)</f>
        <v/>
      </c>
    </row>
    <row r="272" ht="11.55" customHeight="1">
      <c r="A272" s="10" t="n">
        <v>46029</v>
      </c>
      <c r="B272" s="7" t="inlineStr">
        <is>
          <t>Quarta</t>
        </is>
      </c>
      <c r="C272" s="7" t="inlineStr">
        <is>
          <t>CT Benfica</t>
        </is>
      </c>
      <c r="D272" s="7" t="n"/>
      <c r="E272" s="7" t="inlineStr">
        <is>
          <t>Edson</t>
        </is>
      </c>
      <c r="F272" s="13" t="inlineStr">
        <is>
          <t>Reposição calçada entre PVs 10 ao 11</t>
        </is>
      </c>
      <c r="G272" s="7" t="inlineStr">
        <is>
          <t>10</t>
        </is>
      </c>
      <c r="H272" s="7" t="n"/>
      <c r="I272" s="7" t="inlineStr">
        <is>
          <t>10</t>
        </is>
      </c>
      <c r="J272" s="7" t="n"/>
      <c r="K272" s="7" t="inlineStr">
        <is>
          <t>Planejamento</t>
        </is>
      </c>
      <c r="L272" s="16" t="inlineStr">
        <is>
          <t>PDS-janeiro(1).docx</t>
        </is>
      </c>
      <c r="M272">
        <f>IF($A272="","",TEXT($A272,"mmmm/yyyy"))</f>
        <v/>
      </c>
      <c r="P272">
        <f>IFERROR(_xludf.XLOOKUP($N272,Base_Enderecos!$A:$A,Base_Enderecos!$B:$B,""),"")</f>
        <v/>
      </c>
      <c r="Q272">
        <f>IFERROR(_xludf.XLOOKUP($N272,Base_Enderecos!$A:$A,Base_Enderecos!$C:$C,""),"")</f>
        <v/>
      </c>
      <c r="R272">
        <f>IF(OR(ISNUMBER(SEARCH("HDD",$F272)),ISNUMBER(SEARCH("MND",$F272)),ISNUMBER(SEARCH("PEAD",$F272)),ISNUMBER(SEARCH("Puxe",$J272)),ISNUMBER(SEARCH("Apoio HDD",$F272))),"MND",IF(OR(ISNUMBER(SEARCH("VCA",$F272)),ISNUMBER(SEARCH("PVC",$F272)),ISNUMBER(SEARCH("vca",$J272)),ISNUMBER(SEARCH("Transformação",$J272))),"VCA",IF(OR(ISNUMBER(SEARCH("crava",$F272)),ISNUMBER(SEARCH("tubo cravado",$F272)),ISNUMBER(SEARCH("shaft",$J272)),ISNUMBER(SEARCH("concreto",$F272))),"TUBO CRAVADO","")))</f>
        <v/>
      </c>
      <c r="T272">
        <f>IF($A272="","",TEXT($A272,"yyyymm")&amp;"|"&amp;$C272&amp;"|"&amp;$F272&amp;"|"&amp;$N272&amp;"|"&amp;$R272)</f>
        <v/>
      </c>
    </row>
    <row r="273" ht="11.55" customHeight="1">
      <c r="A273" s="10" t="n">
        <v>46029</v>
      </c>
      <c r="B273" s="7" t="inlineStr">
        <is>
          <t>Quarta</t>
        </is>
      </c>
      <c r="C273" s="7" t="inlineStr">
        <is>
          <t>CT Lourdes</t>
        </is>
      </c>
      <c r="D273" s="7" t="n"/>
      <c r="E273" s="7" t="inlineStr">
        <is>
          <t>Higor</t>
        </is>
      </c>
      <c r="F273" s="13" t="inlineStr">
        <is>
          <t>Sondagem PV 13</t>
        </is>
      </c>
      <c r="G273" s="7" t="inlineStr">
        <is>
          <t>13</t>
        </is>
      </c>
      <c r="H273" s="7" t="n"/>
      <c r="I273" s="7" t="inlineStr">
        <is>
          <t>13</t>
        </is>
      </c>
      <c r="J273" s="7" t="inlineStr">
        <is>
          <t>Sondagem</t>
        </is>
      </c>
      <c r="K273" s="7" t="inlineStr">
        <is>
          <t>Planejamento</t>
        </is>
      </c>
      <c r="L273" s="16" t="inlineStr">
        <is>
          <t>PDS-janeiro(1).docx</t>
        </is>
      </c>
      <c r="M273">
        <f>IF($A273="","",TEXT($A273,"mmmm/yyyy"))</f>
        <v/>
      </c>
      <c r="P273">
        <f>IFERROR(_xludf.XLOOKUP($N273,Base_Enderecos!$A:$A,Base_Enderecos!$B:$B,""),"")</f>
        <v/>
      </c>
      <c r="Q273">
        <f>IFERROR(_xludf.XLOOKUP($N273,Base_Enderecos!$A:$A,Base_Enderecos!$C:$C,""),"")</f>
        <v/>
      </c>
      <c r="R273">
        <f>IF(OR(ISNUMBER(SEARCH("HDD",$F273)),ISNUMBER(SEARCH("MND",$F273)),ISNUMBER(SEARCH("PEAD",$F273)),ISNUMBER(SEARCH("Puxe",$J273)),ISNUMBER(SEARCH("Apoio HDD",$F273))),"MND",IF(OR(ISNUMBER(SEARCH("VCA",$F273)),ISNUMBER(SEARCH("PVC",$F273)),ISNUMBER(SEARCH("vca",$J273)),ISNUMBER(SEARCH("Transformação",$J273))),"VCA",IF(OR(ISNUMBER(SEARCH("crava",$F273)),ISNUMBER(SEARCH("tubo cravado",$F273)),ISNUMBER(SEARCH("shaft",$J273)),ISNUMBER(SEARCH("concreto",$F273))),"TUBO CRAVADO","")))</f>
        <v/>
      </c>
      <c r="T273">
        <f>IF($A273="","",TEXT($A273,"yyyymm")&amp;"|"&amp;$C273&amp;"|"&amp;$F273&amp;"|"&amp;$N273&amp;"|"&amp;$R273)</f>
        <v/>
      </c>
    </row>
    <row r="274" ht="11.55" customHeight="1">
      <c r="A274" s="10" t="n">
        <v>46029</v>
      </c>
      <c r="B274" s="7" t="inlineStr">
        <is>
          <t>Quarta</t>
        </is>
      </c>
      <c r="C274" s="7" t="inlineStr">
        <is>
          <t>CT Mar de Coral</t>
        </is>
      </c>
      <c r="D274" s="7" t="n"/>
      <c r="E274" s="7" t="inlineStr">
        <is>
          <t>Valter</t>
        </is>
      </c>
      <c r="F274" s="13" t="inlineStr">
        <is>
          <t>Escavação mecânica e montagem armco PV 01</t>
        </is>
      </c>
      <c r="G274" s="7" t="inlineStr">
        <is>
          <t>01</t>
        </is>
      </c>
      <c r="H274" s="7" t="n"/>
      <c r="I274" s="7" t="inlineStr">
        <is>
          <t>01</t>
        </is>
      </c>
      <c r="J274" s="7" t="inlineStr">
        <is>
          <t>Escavação</t>
        </is>
      </c>
      <c r="K274" s="7" t="inlineStr">
        <is>
          <t>Planejamento</t>
        </is>
      </c>
      <c r="L274" s="16" t="inlineStr">
        <is>
          <t>PDS-janeiro(1).docx</t>
        </is>
      </c>
      <c r="M274">
        <f>IF($A274="","",TEXT($A274,"mmmm/yyyy"))</f>
        <v/>
      </c>
      <c r="P274">
        <f>IFERROR(_xludf.XLOOKUP($N274,Base_Enderecos!$A:$A,Base_Enderecos!$B:$B,""),"")</f>
        <v/>
      </c>
      <c r="Q274">
        <f>IFERROR(_xludf.XLOOKUP($N274,Base_Enderecos!$A:$A,Base_Enderecos!$C:$C,""),"")</f>
        <v/>
      </c>
      <c r="R274">
        <f>IF(OR(ISNUMBER(SEARCH("HDD",$F274)),ISNUMBER(SEARCH("MND",$F274)),ISNUMBER(SEARCH("PEAD",$F274)),ISNUMBER(SEARCH("Puxe",$J274)),ISNUMBER(SEARCH("Apoio HDD",$F274))),"MND",IF(OR(ISNUMBER(SEARCH("VCA",$F274)),ISNUMBER(SEARCH("PVC",$F274)),ISNUMBER(SEARCH("vca",$J274)),ISNUMBER(SEARCH("Transformação",$J274))),"VCA",IF(OR(ISNUMBER(SEARCH("crava",$F274)),ISNUMBER(SEARCH("tubo cravado",$F274)),ISNUMBER(SEARCH("shaft",$J274)),ISNUMBER(SEARCH("concreto",$F274))),"TUBO CRAVADO","")))</f>
        <v/>
      </c>
      <c r="T274">
        <f>IF($A274="","",TEXT($A274,"yyyymm")&amp;"|"&amp;$C274&amp;"|"&amp;$F274&amp;"|"&amp;$N274&amp;"|"&amp;$R274)</f>
        <v/>
      </c>
    </row>
    <row r="275" ht="11.55" customHeight="1">
      <c r="A275" s="10" t="n">
        <v>46029</v>
      </c>
      <c r="B275" s="7" t="inlineStr">
        <is>
          <t>Quarta</t>
        </is>
      </c>
      <c r="C275" s="7" t="inlineStr">
        <is>
          <t>CT Mar de Coral</t>
        </is>
      </c>
      <c r="D275" s="7" t="n"/>
      <c r="E275" s="7" t="inlineStr">
        <is>
          <t>Cesar</t>
        </is>
      </c>
      <c r="F275" s="13" t="inlineStr">
        <is>
          <t>Escavação mecânica PV 03</t>
        </is>
      </c>
      <c r="G275" s="7" t="inlineStr">
        <is>
          <t>03</t>
        </is>
      </c>
      <c r="H275" s="7" t="n"/>
      <c r="I275" s="7" t="inlineStr">
        <is>
          <t>03</t>
        </is>
      </c>
      <c r="J275" s="7" t="inlineStr">
        <is>
          <t>Escavação</t>
        </is>
      </c>
      <c r="K275" s="7" t="inlineStr">
        <is>
          <t>Planejamento</t>
        </is>
      </c>
      <c r="L275" s="16" t="inlineStr">
        <is>
          <t>PDS-janeiro(1).docx</t>
        </is>
      </c>
      <c r="M275">
        <f>IF($A275="","",TEXT($A275,"mmmm/yyyy"))</f>
        <v/>
      </c>
      <c r="P275">
        <f>IFERROR(_xludf.XLOOKUP($N275,Base_Enderecos!$A:$A,Base_Enderecos!$B:$B,""),"")</f>
        <v/>
      </c>
      <c r="Q275">
        <f>IFERROR(_xludf.XLOOKUP($N275,Base_Enderecos!$A:$A,Base_Enderecos!$C:$C,""),"")</f>
        <v/>
      </c>
      <c r="R275">
        <f>IF(OR(ISNUMBER(SEARCH("HDD",$F275)),ISNUMBER(SEARCH("MND",$F275)),ISNUMBER(SEARCH("PEAD",$F275)),ISNUMBER(SEARCH("Puxe",$J275)),ISNUMBER(SEARCH("Apoio HDD",$F275))),"MND",IF(OR(ISNUMBER(SEARCH("VCA",$F275)),ISNUMBER(SEARCH("PVC",$F275)),ISNUMBER(SEARCH("vca",$J275)),ISNUMBER(SEARCH("Transformação",$J275))),"VCA",IF(OR(ISNUMBER(SEARCH("crava",$F275)),ISNUMBER(SEARCH("tubo cravado",$F275)),ISNUMBER(SEARCH("shaft",$J275)),ISNUMBER(SEARCH("concreto",$F275))),"TUBO CRAVADO","")))</f>
        <v/>
      </c>
      <c r="T275">
        <f>IF($A275="","",TEXT($A275,"yyyymm")&amp;"|"&amp;$C275&amp;"|"&amp;$F275&amp;"|"&amp;$N275&amp;"|"&amp;$R275)</f>
        <v/>
      </c>
    </row>
    <row r="276" ht="11.55" customHeight="1">
      <c r="A276" s="10" t="n">
        <v>46029</v>
      </c>
      <c r="B276" s="7" t="inlineStr">
        <is>
          <t>Quarta</t>
        </is>
      </c>
      <c r="C276" s="7" t="inlineStr">
        <is>
          <t>CT Mar de Coral</t>
        </is>
      </c>
      <c r="D276" s="7" t="n"/>
      <c r="E276" s="7" t="inlineStr">
        <is>
          <t>Marcio</t>
        </is>
      </c>
      <c r="F276" s="13" t="inlineStr">
        <is>
          <t>Escavação mecânica e montagem armco PV 13</t>
        </is>
      </c>
      <c r="G276" s="7" t="inlineStr">
        <is>
          <t>13</t>
        </is>
      </c>
      <c r="H276" s="7" t="n"/>
      <c r="I276" s="7" t="inlineStr">
        <is>
          <t>13</t>
        </is>
      </c>
      <c r="J276" s="7" t="inlineStr">
        <is>
          <t>Escavação</t>
        </is>
      </c>
      <c r="K276" s="7" t="inlineStr">
        <is>
          <t>Planejamento</t>
        </is>
      </c>
      <c r="L276" s="16" t="inlineStr">
        <is>
          <t>PDS-janeiro(1).docx</t>
        </is>
      </c>
      <c r="M276">
        <f>IF($A276="","",TEXT($A276,"mmmm/yyyy"))</f>
        <v/>
      </c>
      <c r="P276">
        <f>IFERROR(_xludf.XLOOKUP($N276,Base_Enderecos!$A:$A,Base_Enderecos!$B:$B,""),"")</f>
        <v/>
      </c>
      <c r="Q276">
        <f>IFERROR(_xludf.XLOOKUP($N276,Base_Enderecos!$A:$A,Base_Enderecos!$C:$C,""),"")</f>
        <v/>
      </c>
      <c r="R276">
        <f>IF(OR(ISNUMBER(SEARCH("HDD",$F276)),ISNUMBER(SEARCH("MND",$F276)),ISNUMBER(SEARCH("PEAD",$F276)),ISNUMBER(SEARCH("Puxe",$J276)),ISNUMBER(SEARCH("Apoio HDD",$F276))),"MND",IF(OR(ISNUMBER(SEARCH("VCA",$F276)),ISNUMBER(SEARCH("PVC",$F276)),ISNUMBER(SEARCH("vca",$J276)),ISNUMBER(SEARCH("Transformação",$J276))),"VCA",IF(OR(ISNUMBER(SEARCH("crava",$F276)),ISNUMBER(SEARCH("tubo cravado",$F276)),ISNUMBER(SEARCH("shaft",$J276)),ISNUMBER(SEARCH("concreto",$F276))),"TUBO CRAVADO","")))</f>
        <v/>
      </c>
      <c r="T276">
        <f>IF($A276="","",TEXT($A276,"yyyymm")&amp;"|"&amp;$C276&amp;"|"&amp;$F276&amp;"|"&amp;$N276&amp;"|"&amp;$R276)</f>
        <v/>
      </c>
    </row>
    <row r="277" ht="11.55" customHeight="1">
      <c r="A277" s="10" t="n">
        <v>46029</v>
      </c>
      <c r="B277" s="7" t="inlineStr">
        <is>
          <t>Quarta</t>
        </is>
      </c>
      <c r="C277" s="7" t="inlineStr">
        <is>
          <t>CT Mar de Coral</t>
        </is>
      </c>
      <c r="D277" s="7" t="n"/>
      <c r="E277" s="7" t="inlineStr">
        <is>
          <t>Paulo</t>
        </is>
      </c>
      <c r="F277" s="13" t="inlineStr">
        <is>
          <t>Escavação mecânica e montagem armco PV 5.1</t>
        </is>
      </c>
      <c r="G277" s="7" t="inlineStr">
        <is>
          <t>5.1</t>
        </is>
      </c>
      <c r="H277" s="7" t="n"/>
      <c r="I277" s="7" t="inlineStr">
        <is>
          <t>5.1</t>
        </is>
      </c>
      <c r="J277" s="7" t="inlineStr">
        <is>
          <t>Escavação</t>
        </is>
      </c>
      <c r="K277" s="7" t="inlineStr">
        <is>
          <t>Planejamento</t>
        </is>
      </c>
      <c r="L277" s="16" t="inlineStr">
        <is>
          <t>PDS-janeiro(1).docx</t>
        </is>
      </c>
      <c r="M277">
        <f>IF($A277="","",TEXT($A277,"mmmm/yyyy"))</f>
        <v/>
      </c>
      <c r="P277">
        <f>IFERROR(_xludf.XLOOKUP($N277,Base_Enderecos!$A:$A,Base_Enderecos!$B:$B,""),"")</f>
        <v/>
      </c>
      <c r="Q277">
        <f>IFERROR(_xludf.XLOOKUP($N277,Base_Enderecos!$A:$A,Base_Enderecos!$C:$C,""),"")</f>
        <v/>
      </c>
      <c r="R277">
        <f>IF(OR(ISNUMBER(SEARCH("HDD",$F277)),ISNUMBER(SEARCH("MND",$F277)),ISNUMBER(SEARCH("PEAD",$F277)),ISNUMBER(SEARCH("Puxe",$J277)),ISNUMBER(SEARCH("Apoio HDD",$F277))),"MND",IF(OR(ISNUMBER(SEARCH("VCA",$F277)),ISNUMBER(SEARCH("PVC",$F277)),ISNUMBER(SEARCH("vca",$J277)),ISNUMBER(SEARCH("Transformação",$J277))),"VCA",IF(OR(ISNUMBER(SEARCH("crava",$F277)),ISNUMBER(SEARCH("tubo cravado",$F277)),ISNUMBER(SEARCH("shaft",$J277)),ISNUMBER(SEARCH("concreto",$F277))),"TUBO CRAVADO","")))</f>
        <v/>
      </c>
      <c r="T277">
        <f>IF($A277="","",TEXT($A277,"yyyymm")&amp;"|"&amp;$C277&amp;"|"&amp;$F277&amp;"|"&amp;$N277&amp;"|"&amp;$R277)</f>
        <v/>
      </c>
    </row>
    <row r="278" ht="11.55" customHeight="1">
      <c r="A278" s="10" t="n">
        <v>46029</v>
      </c>
      <c r="B278" s="7" t="inlineStr">
        <is>
          <t>Quarta</t>
        </is>
      </c>
      <c r="C278" s="7" t="inlineStr">
        <is>
          <t>CT Mar de Coral</t>
        </is>
      </c>
      <c r="D278" s="7" t="n"/>
      <c r="E278" s="7" t="inlineStr">
        <is>
          <t>Marcelo</t>
        </is>
      </c>
      <c r="F278" s="13" t="inlineStr">
        <is>
          <t>Escavação mecânica e montagem armco PV 10</t>
        </is>
      </c>
      <c r="G278" s="7" t="inlineStr">
        <is>
          <t>10</t>
        </is>
      </c>
      <c r="H278" s="7" t="n"/>
      <c r="I278" s="7" t="inlineStr">
        <is>
          <t>10</t>
        </is>
      </c>
      <c r="J278" s="7" t="inlineStr">
        <is>
          <t>Escavação</t>
        </is>
      </c>
      <c r="K278" s="7" t="inlineStr">
        <is>
          <t>Planejamento</t>
        </is>
      </c>
      <c r="L278" s="16" t="inlineStr">
        <is>
          <t>PDS-janeiro(1).docx</t>
        </is>
      </c>
      <c r="M278">
        <f>IF($A278="","",TEXT($A278,"mmmm/yyyy"))</f>
        <v/>
      </c>
      <c r="P278">
        <f>IFERROR(_xludf.XLOOKUP($N278,Base_Enderecos!$A:$A,Base_Enderecos!$B:$B,""),"")</f>
        <v/>
      </c>
      <c r="Q278">
        <f>IFERROR(_xludf.XLOOKUP($N278,Base_Enderecos!$A:$A,Base_Enderecos!$C:$C,""),"")</f>
        <v/>
      </c>
      <c r="R278">
        <f>IF(OR(ISNUMBER(SEARCH("HDD",$F278)),ISNUMBER(SEARCH("MND",$F278)),ISNUMBER(SEARCH("PEAD",$F278)),ISNUMBER(SEARCH("Puxe",$J278)),ISNUMBER(SEARCH("Apoio HDD",$F278))),"MND",IF(OR(ISNUMBER(SEARCH("VCA",$F278)),ISNUMBER(SEARCH("PVC",$F278)),ISNUMBER(SEARCH("vca",$J278)),ISNUMBER(SEARCH("Transformação",$J278))),"VCA",IF(OR(ISNUMBER(SEARCH("crava",$F278)),ISNUMBER(SEARCH("tubo cravado",$F278)),ISNUMBER(SEARCH("shaft",$J278)),ISNUMBER(SEARCH("concreto",$F278))),"TUBO CRAVADO","")))</f>
        <v/>
      </c>
      <c r="T278">
        <f>IF($A278="","",TEXT($A278,"yyyymm")&amp;"|"&amp;$C278&amp;"|"&amp;$F278&amp;"|"&amp;$N278&amp;"|"&amp;$R278)</f>
        <v/>
      </c>
    </row>
    <row r="279" ht="11.55" customHeight="1">
      <c r="A279" s="10" t="n">
        <v>46029</v>
      </c>
      <c r="B279" s="7" t="inlineStr">
        <is>
          <t>Quarta</t>
        </is>
      </c>
      <c r="C279" s="7" t="inlineStr">
        <is>
          <t>CT Mar de Coral</t>
        </is>
      </c>
      <c r="D279" s="7" t="n"/>
      <c r="E279" s="7" t="inlineStr">
        <is>
          <t>Edivando</t>
        </is>
      </c>
      <c r="F279" s="13" t="inlineStr">
        <is>
          <t>Transformação PV 5.10</t>
        </is>
      </c>
      <c r="G279" s="7" t="inlineStr">
        <is>
          <t>5.10</t>
        </is>
      </c>
      <c r="H279" s="7" t="n"/>
      <c r="I279" s="7" t="inlineStr">
        <is>
          <t>5.10</t>
        </is>
      </c>
      <c r="J279" s="7" t="inlineStr">
        <is>
          <t>Transformação</t>
        </is>
      </c>
      <c r="K279" s="7" t="inlineStr">
        <is>
          <t>Planejamento</t>
        </is>
      </c>
      <c r="L279" s="16" t="inlineStr">
        <is>
          <t>PDS-janeiro(1).docx</t>
        </is>
      </c>
      <c r="M279">
        <f>IF($A279="","",TEXT($A279,"mmmm/yyyy"))</f>
        <v/>
      </c>
      <c r="P279">
        <f>IFERROR(_xludf.XLOOKUP($N279,Base_Enderecos!$A:$A,Base_Enderecos!$B:$B,""),"")</f>
        <v/>
      </c>
      <c r="Q279">
        <f>IFERROR(_xludf.XLOOKUP($N279,Base_Enderecos!$A:$A,Base_Enderecos!$C:$C,""),"")</f>
        <v/>
      </c>
      <c r="R279">
        <f>IF(OR(ISNUMBER(SEARCH("HDD",$F279)),ISNUMBER(SEARCH("MND",$F279)),ISNUMBER(SEARCH("PEAD",$F279)),ISNUMBER(SEARCH("Puxe",$J279)),ISNUMBER(SEARCH("Apoio HDD",$F279))),"MND",IF(OR(ISNUMBER(SEARCH("VCA",$F279)),ISNUMBER(SEARCH("PVC",$F279)),ISNUMBER(SEARCH("vca",$J279)),ISNUMBER(SEARCH("Transformação",$J279))),"VCA",IF(OR(ISNUMBER(SEARCH("crava",$F279)),ISNUMBER(SEARCH("tubo cravado",$F279)),ISNUMBER(SEARCH("shaft",$J279)),ISNUMBER(SEARCH("concreto",$F279))),"TUBO CRAVADO","")))</f>
        <v/>
      </c>
      <c r="T279">
        <f>IF($A279="","",TEXT($A279,"yyyymm")&amp;"|"&amp;$C279&amp;"|"&amp;$F279&amp;"|"&amp;$N279&amp;"|"&amp;$R279)</f>
        <v/>
      </c>
    </row>
    <row r="280" ht="11.55" customHeight="1">
      <c r="A280" s="10" t="n">
        <v>46029</v>
      </c>
      <c r="B280" s="7" t="inlineStr">
        <is>
          <t>Quarta</t>
        </is>
      </c>
      <c r="C280" s="7" t="inlineStr">
        <is>
          <t>CT Mar de Coral</t>
        </is>
      </c>
      <c r="D280" s="7" t="n"/>
      <c r="E280" s="7" t="inlineStr">
        <is>
          <t>LS (Josivaldo)</t>
        </is>
      </c>
      <c r="F280" s="13" t="inlineStr">
        <is>
          <t>Escavação mecânica e montagem armco PV 09</t>
        </is>
      </c>
      <c r="G280" s="7" t="inlineStr">
        <is>
          <t>09</t>
        </is>
      </c>
      <c r="H280" s="7" t="n"/>
      <c r="I280" s="7" t="inlineStr">
        <is>
          <t>09</t>
        </is>
      </c>
      <c r="J280" s="7" t="inlineStr">
        <is>
          <t>Escavação</t>
        </is>
      </c>
      <c r="K280" s="7" t="inlineStr">
        <is>
          <t>Planejamento</t>
        </is>
      </c>
      <c r="L280" s="16" t="inlineStr">
        <is>
          <t>PDS-janeiro(1).docx</t>
        </is>
      </c>
      <c r="M280">
        <f>IF($A280="","",TEXT($A280,"mmmm/yyyy"))</f>
        <v/>
      </c>
      <c r="P280">
        <f>IFERROR(_xludf.XLOOKUP($N280,Base_Enderecos!$A:$A,Base_Enderecos!$B:$B,""),"")</f>
        <v/>
      </c>
      <c r="Q280">
        <f>IFERROR(_xludf.XLOOKUP($N280,Base_Enderecos!$A:$A,Base_Enderecos!$C:$C,""),"")</f>
        <v/>
      </c>
      <c r="R280">
        <f>IF(OR(ISNUMBER(SEARCH("HDD",$F280)),ISNUMBER(SEARCH("MND",$F280)),ISNUMBER(SEARCH("PEAD",$F280)),ISNUMBER(SEARCH("Puxe",$J280)),ISNUMBER(SEARCH("Apoio HDD",$F280))),"MND",IF(OR(ISNUMBER(SEARCH("VCA",$F280)),ISNUMBER(SEARCH("PVC",$F280)),ISNUMBER(SEARCH("vca",$J280)),ISNUMBER(SEARCH("Transformação",$J280))),"VCA",IF(OR(ISNUMBER(SEARCH("crava",$F280)),ISNUMBER(SEARCH("tubo cravado",$F280)),ISNUMBER(SEARCH("shaft",$J280)),ISNUMBER(SEARCH("concreto",$F280))),"TUBO CRAVADO","")))</f>
        <v/>
      </c>
      <c r="T280">
        <f>IF($A280="","",TEXT($A280,"yyyymm")&amp;"|"&amp;$C280&amp;"|"&amp;$F280&amp;"|"&amp;$N280&amp;"|"&amp;$R280)</f>
        <v/>
      </c>
    </row>
    <row r="281" ht="11.55" customHeight="1">
      <c r="A281" s="10" t="n">
        <v>46029</v>
      </c>
      <c r="B281" s="7" t="inlineStr">
        <is>
          <t>Quarta</t>
        </is>
      </c>
      <c r="C281" s="7" t="inlineStr">
        <is>
          <t>CT Mar de Coral</t>
        </is>
      </c>
      <c r="D281" s="7" t="n"/>
      <c r="E281" s="7" t="inlineStr">
        <is>
          <t>LS (Alex)</t>
        </is>
      </c>
      <c r="F281" s="13" t="inlineStr">
        <is>
          <t>Escavação mecânica e montagem armco PV 14</t>
        </is>
      </c>
      <c r="G281" s="7" t="inlineStr">
        <is>
          <t>14</t>
        </is>
      </c>
      <c r="H281" s="7" t="n"/>
      <c r="I281" s="7" t="inlineStr">
        <is>
          <t>14</t>
        </is>
      </c>
      <c r="J281" s="7" t="inlineStr">
        <is>
          <t>Escavação</t>
        </is>
      </c>
      <c r="K281" s="7" t="inlineStr">
        <is>
          <t>Planejamento</t>
        </is>
      </c>
      <c r="L281" s="16" t="inlineStr">
        <is>
          <t>PDS-janeiro(1).docx</t>
        </is>
      </c>
      <c r="M281">
        <f>IF($A281="","",TEXT($A281,"mmmm/yyyy"))</f>
        <v/>
      </c>
      <c r="P281">
        <f>IFERROR(_xludf.XLOOKUP($N281,Base_Enderecos!$A:$A,Base_Enderecos!$B:$B,""),"")</f>
        <v/>
      </c>
      <c r="Q281">
        <f>IFERROR(_xludf.XLOOKUP($N281,Base_Enderecos!$A:$A,Base_Enderecos!$C:$C,""),"")</f>
        <v/>
      </c>
      <c r="R281">
        <f>IF(OR(ISNUMBER(SEARCH("HDD",$F281)),ISNUMBER(SEARCH("MND",$F281)),ISNUMBER(SEARCH("PEAD",$F281)),ISNUMBER(SEARCH("Puxe",$J281)),ISNUMBER(SEARCH("Apoio HDD",$F281))),"MND",IF(OR(ISNUMBER(SEARCH("VCA",$F281)),ISNUMBER(SEARCH("PVC",$F281)),ISNUMBER(SEARCH("vca",$J281)),ISNUMBER(SEARCH("Transformação",$J281))),"VCA",IF(OR(ISNUMBER(SEARCH("crava",$F281)),ISNUMBER(SEARCH("tubo cravado",$F281)),ISNUMBER(SEARCH("shaft",$J281)),ISNUMBER(SEARCH("concreto",$F281))),"TUBO CRAVADO","")))</f>
        <v/>
      </c>
      <c r="T281">
        <f>IF($A281="","",TEXT($A281,"yyyymm")&amp;"|"&amp;$C281&amp;"|"&amp;$F281&amp;"|"&amp;$N281&amp;"|"&amp;$R281)</f>
        <v/>
      </c>
    </row>
    <row r="282" ht="11.55" customHeight="1">
      <c r="A282" s="10" t="n">
        <v>46029</v>
      </c>
      <c r="B282" s="7" t="inlineStr">
        <is>
          <t>Quarta</t>
        </is>
      </c>
      <c r="C282" s="7" t="inlineStr">
        <is>
          <t>CT Mar de Coral</t>
        </is>
      </c>
      <c r="D282" s="7" t="n"/>
      <c r="E282" s="7" t="inlineStr">
        <is>
          <t>Bruno (Work Drill)</t>
        </is>
      </c>
      <c r="F282" s="13" t="inlineStr">
        <is>
          <t>Retirada cabeça de puxe PV 03 Preparação furo piloto entre PVs 03 ao 04</t>
        </is>
      </c>
      <c r="G282" s="7" t="inlineStr">
        <is>
          <t>03</t>
        </is>
      </c>
      <c r="H282" s="7" t="inlineStr">
        <is>
          <t>03</t>
        </is>
      </c>
      <c r="I282" s="7" t="inlineStr">
        <is>
          <t>03, 03</t>
        </is>
      </c>
      <c r="J282" s="7" t="inlineStr">
        <is>
          <t>Furo piloto</t>
        </is>
      </c>
      <c r="K282" s="7" t="inlineStr">
        <is>
          <t>Planejamento</t>
        </is>
      </c>
      <c r="L282" s="16" t="inlineStr">
        <is>
          <t>PDS-janeiro(1).docx</t>
        </is>
      </c>
      <c r="M282">
        <f>IF($A282="","",TEXT($A282,"mmmm/yyyy"))</f>
        <v/>
      </c>
      <c r="P282">
        <f>IFERROR(_xludf.XLOOKUP($N282,Base_Enderecos!$A:$A,Base_Enderecos!$B:$B,""),"")</f>
        <v/>
      </c>
      <c r="Q282">
        <f>IFERROR(_xludf.XLOOKUP($N282,Base_Enderecos!$A:$A,Base_Enderecos!$C:$C,""),"")</f>
        <v/>
      </c>
      <c r="R282">
        <f>IF(OR(ISNUMBER(SEARCH("HDD",$F282)),ISNUMBER(SEARCH("MND",$F282)),ISNUMBER(SEARCH("PEAD",$F282)),ISNUMBER(SEARCH("Puxe",$J282)),ISNUMBER(SEARCH("Apoio HDD",$F282))),"MND",IF(OR(ISNUMBER(SEARCH("VCA",$F282)),ISNUMBER(SEARCH("PVC",$F282)),ISNUMBER(SEARCH("vca",$J282)),ISNUMBER(SEARCH("Transformação",$J282))),"VCA",IF(OR(ISNUMBER(SEARCH("crava",$F282)),ISNUMBER(SEARCH("tubo cravado",$F282)),ISNUMBER(SEARCH("shaft",$J282)),ISNUMBER(SEARCH("concreto",$F282))),"TUBO CRAVADO","")))</f>
        <v/>
      </c>
      <c r="T282">
        <f>IF($A282="","",TEXT($A282,"yyyymm")&amp;"|"&amp;$C282&amp;"|"&amp;$F282&amp;"|"&amp;$N282&amp;"|"&amp;$R282)</f>
        <v/>
      </c>
    </row>
    <row r="283" ht="11.55" customHeight="1">
      <c r="A283" s="10" t="n">
        <v>46029</v>
      </c>
      <c r="B283" s="7" t="inlineStr">
        <is>
          <t>Quarta</t>
        </is>
      </c>
      <c r="C283" s="7" t="inlineStr">
        <is>
          <t>CT Mar de Coral</t>
        </is>
      </c>
      <c r="D283" s="7" t="n"/>
      <c r="E283" s="7" t="inlineStr">
        <is>
          <t>Fabrício</t>
        </is>
      </c>
      <c r="F283" s="13" t="inlineStr">
        <is>
          <t>Apoio HDD entre PVs 01 ao 03 e 03 ao 04</t>
        </is>
      </c>
      <c r="G283" s="7" t="inlineStr">
        <is>
          <t>01</t>
        </is>
      </c>
      <c r="H283" s="7" t="n"/>
      <c r="I283" s="7" t="inlineStr">
        <is>
          <t>01</t>
        </is>
      </c>
      <c r="J283" s="7" t="inlineStr">
        <is>
          <t>Apoio HDD</t>
        </is>
      </c>
      <c r="K283" s="7" t="inlineStr">
        <is>
          <t>Planejamento</t>
        </is>
      </c>
      <c r="L283" s="16" t="inlineStr">
        <is>
          <t>PDS-janeiro(1).docx</t>
        </is>
      </c>
      <c r="M283">
        <f>IF($A283="","",TEXT($A283,"mmmm/yyyy"))</f>
        <v/>
      </c>
      <c r="P283">
        <f>IFERROR(_xludf.XLOOKUP($N283,Base_Enderecos!$A:$A,Base_Enderecos!$B:$B,""),"")</f>
        <v/>
      </c>
      <c r="Q283">
        <f>IFERROR(_xludf.XLOOKUP($N283,Base_Enderecos!$A:$A,Base_Enderecos!$C:$C,""),"")</f>
        <v/>
      </c>
      <c r="R283">
        <f>IF(OR(ISNUMBER(SEARCH("HDD",$F283)),ISNUMBER(SEARCH("MND",$F283)),ISNUMBER(SEARCH("PEAD",$F283)),ISNUMBER(SEARCH("Puxe",$J283)),ISNUMBER(SEARCH("Apoio HDD",$F283))),"MND",IF(OR(ISNUMBER(SEARCH("VCA",$F283)),ISNUMBER(SEARCH("PVC",$F283)),ISNUMBER(SEARCH("vca",$J283)),ISNUMBER(SEARCH("Transformação",$J283))),"VCA",IF(OR(ISNUMBER(SEARCH("crava",$F283)),ISNUMBER(SEARCH("tubo cravado",$F283)),ISNUMBER(SEARCH("shaft",$J283)),ISNUMBER(SEARCH("concreto",$F283))),"TUBO CRAVADO","")))</f>
        <v/>
      </c>
      <c r="T283">
        <f>IF($A283="","",TEXT($A283,"yyyymm")&amp;"|"&amp;$C283&amp;"|"&amp;$F283&amp;"|"&amp;$N283&amp;"|"&amp;$R283)</f>
        <v/>
      </c>
    </row>
    <row r="284" ht="11.55" customHeight="1">
      <c r="A284" s="10" t="n">
        <v>46029</v>
      </c>
      <c r="B284" s="7" t="inlineStr">
        <is>
          <t>Quarta</t>
        </is>
      </c>
      <c r="C284" s="7" t="inlineStr">
        <is>
          <t>CT Barão de Arariba</t>
        </is>
      </c>
      <c r="D284" s="7" t="n"/>
      <c r="E284" s="7" t="inlineStr">
        <is>
          <t>WJ (Edson)</t>
        </is>
      </c>
      <c r="F284" s="13" t="inlineStr">
        <is>
          <t>Execução furo piloto entre PVs 07 ao 09</t>
        </is>
      </c>
      <c r="G284" s="7" t="inlineStr">
        <is>
          <t>07</t>
        </is>
      </c>
      <c r="H284" s="7" t="n"/>
      <c r="I284" s="7" t="inlineStr">
        <is>
          <t>07</t>
        </is>
      </c>
      <c r="J284" s="7" t="inlineStr">
        <is>
          <t>Furo piloto</t>
        </is>
      </c>
      <c r="K284" s="7" t="inlineStr">
        <is>
          <t>Planejamento</t>
        </is>
      </c>
      <c r="L284" s="16" t="inlineStr">
        <is>
          <t>PDS-janeiro(1).docx</t>
        </is>
      </c>
      <c r="M284">
        <f>IF($A284="","",TEXT($A284,"mmmm/yyyy"))</f>
        <v/>
      </c>
      <c r="P284">
        <f>IFERROR(_xludf.XLOOKUP($N284,Base_Enderecos!$A:$A,Base_Enderecos!$B:$B,""),"")</f>
        <v/>
      </c>
      <c r="Q284">
        <f>IFERROR(_xludf.XLOOKUP($N284,Base_Enderecos!$A:$A,Base_Enderecos!$C:$C,""),"")</f>
        <v/>
      </c>
      <c r="R284">
        <f>IF(OR(ISNUMBER(SEARCH("HDD",$F284)),ISNUMBER(SEARCH("MND",$F284)),ISNUMBER(SEARCH("PEAD",$F284)),ISNUMBER(SEARCH("Puxe",$J284)),ISNUMBER(SEARCH("Apoio HDD",$F284))),"MND",IF(OR(ISNUMBER(SEARCH("VCA",$F284)),ISNUMBER(SEARCH("PVC",$F284)),ISNUMBER(SEARCH("vca",$J284)),ISNUMBER(SEARCH("Transformação",$J284))),"VCA",IF(OR(ISNUMBER(SEARCH("crava",$F284)),ISNUMBER(SEARCH("tubo cravado",$F284)),ISNUMBER(SEARCH("shaft",$J284)),ISNUMBER(SEARCH("concreto",$F284))),"TUBO CRAVADO","")))</f>
        <v/>
      </c>
      <c r="T284">
        <f>IF($A284="","",TEXT($A284,"yyyymm")&amp;"|"&amp;$C284&amp;"|"&amp;$F284&amp;"|"&amp;$N284&amp;"|"&amp;$R284)</f>
        <v/>
      </c>
    </row>
    <row r="285" ht="11.55" customHeight="1">
      <c r="A285" s="10" t="n">
        <v>46029</v>
      </c>
      <c r="B285" s="7" t="inlineStr">
        <is>
          <t>Quarta</t>
        </is>
      </c>
      <c r="C285" s="7" t="inlineStr">
        <is>
          <t>CT Barão de Arariba</t>
        </is>
      </c>
      <c r="D285" s="7" t="n"/>
      <c r="E285" s="7" t="inlineStr">
        <is>
          <t>Natalino</t>
        </is>
      </c>
      <c r="F285" s="13" t="inlineStr">
        <is>
          <t>Apoio HDD entre PVs 07 ao 09</t>
        </is>
      </c>
      <c r="G285" s="7" t="inlineStr">
        <is>
          <t>07</t>
        </is>
      </c>
      <c r="H285" s="7" t="n"/>
      <c r="I285" s="7" t="inlineStr">
        <is>
          <t>07</t>
        </is>
      </c>
      <c r="J285" s="7" t="inlineStr">
        <is>
          <t>Apoio HDD</t>
        </is>
      </c>
      <c r="K285" s="7" t="inlineStr">
        <is>
          <t>Planejamento</t>
        </is>
      </c>
      <c r="L285" s="16" t="inlineStr">
        <is>
          <t>PDS-janeiro(1).docx</t>
        </is>
      </c>
      <c r="M285">
        <f>IF($A285="","",TEXT($A285,"mmmm/yyyy"))</f>
        <v/>
      </c>
      <c r="P285">
        <f>IFERROR(_xludf.XLOOKUP($N285,Base_Enderecos!$A:$A,Base_Enderecos!$B:$B,""),"")</f>
        <v/>
      </c>
      <c r="Q285">
        <f>IFERROR(_xludf.XLOOKUP($N285,Base_Enderecos!$A:$A,Base_Enderecos!$C:$C,""),"")</f>
        <v/>
      </c>
      <c r="R285">
        <f>IF(OR(ISNUMBER(SEARCH("HDD",$F285)),ISNUMBER(SEARCH("MND",$F285)),ISNUMBER(SEARCH("PEAD",$F285)),ISNUMBER(SEARCH("Puxe",$J285)),ISNUMBER(SEARCH("Apoio HDD",$F285))),"MND",IF(OR(ISNUMBER(SEARCH("VCA",$F285)),ISNUMBER(SEARCH("PVC",$F285)),ISNUMBER(SEARCH("vca",$J285)),ISNUMBER(SEARCH("Transformação",$J285))),"VCA",IF(OR(ISNUMBER(SEARCH("crava",$F285)),ISNUMBER(SEARCH("tubo cravado",$F285)),ISNUMBER(SEARCH("shaft",$J285)),ISNUMBER(SEARCH("concreto",$F285))),"TUBO CRAVADO","")))</f>
        <v/>
      </c>
      <c r="T285">
        <f>IF($A285="","",TEXT($A285,"yyyymm")&amp;"|"&amp;$C285&amp;"|"&amp;$F285&amp;"|"&amp;$N285&amp;"|"&amp;$R285)</f>
        <v/>
      </c>
    </row>
    <row r="286" ht="11.55" customHeight="1">
      <c r="A286" s="10" t="n">
        <v>46029</v>
      </c>
      <c r="B286" s="7" t="inlineStr">
        <is>
          <t>Quarta</t>
        </is>
      </c>
      <c r="C286" s="7" t="inlineStr">
        <is>
          <t>Vacal</t>
        </is>
      </c>
      <c r="D286" s="7" t="n"/>
      <c r="E286" s="7" t="inlineStr">
        <is>
          <t>Bandeirantes</t>
        </is>
      </c>
      <c r="F286" s="13" t="inlineStr">
        <is>
          <t>Apoio Vacal</t>
        </is>
      </c>
      <c r="G286" s="7" t="n"/>
      <c r="H286" s="7" t="n"/>
      <c r="I286" s="7" t="n"/>
      <c r="J286" s="7" t="inlineStr">
        <is>
          <t>Vacal</t>
        </is>
      </c>
      <c r="K286" s="7" t="inlineStr">
        <is>
          <t>Apoio</t>
        </is>
      </c>
      <c r="L286" s="16" t="inlineStr">
        <is>
          <t>PDS-janeiro(1).docx</t>
        </is>
      </c>
      <c r="M286">
        <f>IF($A286="","",TEXT($A286,"mmmm/yyyy"))</f>
        <v/>
      </c>
      <c r="P286">
        <f>IFERROR(_xludf.XLOOKUP($N286,Base_Enderecos!$A:$A,Base_Enderecos!$B:$B,""),"")</f>
        <v/>
      </c>
      <c r="Q286">
        <f>IFERROR(_xludf.XLOOKUP($N286,Base_Enderecos!$A:$A,Base_Enderecos!$C:$C,""),"")</f>
        <v/>
      </c>
      <c r="R286">
        <f>IF(OR(ISNUMBER(SEARCH("HDD",$F286)),ISNUMBER(SEARCH("MND",$F286)),ISNUMBER(SEARCH("PEAD",$F286)),ISNUMBER(SEARCH("Puxe",$J286)),ISNUMBER(SEARCH("Apoio HDD",$F286))),"MND",IF(OR(ISNUMBER(SEARCH("VCA",$F286)),ISNUMBER(SEARCH("PVC",$F286)),ISNUMBER(SEARCH("vca",$J286)),ISNUMBER(SEARCH("Transformação",$J286))),"VCA",IF(OR(ISNUMBER(SEARCH("crava",$F286)),ISNUMBER(SEARCH("tubo cravado",$F286)),ISNUMBER(SEARCH("shaft",$J286)),ISNUMBER(SEARCH("concreto",$F286))),"TUBO CRAVADO","")))</f>
        <v/>
      </c>
      <c r="T286">
        <f>IF($A286="","",TEXT($A286,"yyyymm")&amp;"|"&amp;$C286&amp;"|"&amp;$F286&amp;"|"&amp;$N286&amp;"|"&amp;$R286)</f>
        <v/>
      </c>
    </row>
    <row r="287" ht="11.55" customHeight="1">
      <c r="A287" s="10" t="n">
        <v>46029</v>
      </c>
      <c r="B287" s="7" t="inlineStr">
        <is>
          <t>Quarta</t>
        </is>
      </c>
      <c r="C287" s="7" t="inlineStr">
        <is>
          <t>Vacal</t>
        </is>
      </c>
      <c r="D287" s="7" t="n"/>
      <c r="E287" s="7" t="inlineStr">
        <is>
          <t>Barão de Arariba</t>
        </is>
      </c>
      <c r="F287" s="13" t="inlineStr">
        <is>
          <t>Apoio Vacal</t>
        </is>
      </c>
      <c r="G287" s="7" t="n"/>
      <c r="H287" s="7" t="n"/>
      <c r="I287" s="7" t="n"/>
      <c r="J287" s="7" t="inlineStr">
        <is>
          <t>Vacal</t>
        </is>
      </c>
      <c r="K287" s="7" t="inlineStr">
        <is>
          <t>Apoio</t>
        </is>
      </c>
      <c r="L287" s="16" t="inlineStr">
        <is>
          <t>PDS-janeiro(1).docx</t>
        </is>
      </c>
      <c r="M287">
        <f>IF($A287="","",TEXT($A287,"mmmm/yyyy"))</f>
        <v/>
      </c>
      <c r="P287">
        <f>IFERROR(_xludf.XLOOKUP($N287,Base_Enderecos!$A:$A,Base_Enderecos!$B:$B,""),"")</f>
        <v/>
      </c>
      <c r="Q287">
        <f>IFERROR(_xludf.XLOOKUP($N287,Base_Enderecos!$A:$A,Base_Enderecos!$C:$C,""),"")</f>
        <v/>
      </c>
      <c r="R287">
        <f>IF(OR(ISNUMBER(SEARCH("HDD",$F287)),ISNUMBER(SEARCH("MND",$F287)),ISNUMBER(SEARCH("PEAD",$F287)),ISNUMBER(SEARCH("Puxe",$J287)),ISNUMBER(SEARCH("Apoio HDD",$F287))),"MND",IF(OR(ISNUMBER(SEARCH("VCA",$F287)),ISNUMBER(SEARCH("PVC",$F287)),ISNUMBER(SEARCH("vca",$J287)),ISNUMBER(SEARCH("Transformação",$J287))),"VCA",IF(OR(ISNUMBER(SEARCH("crava",$F287)),ISNUMBER(SEARCH("tubo cravado",$F287)),ISNUMBER(SEARCH("shaft",$J287)),ISNUMBER(SEARCH("concreto",$F287))),"TUBO CRAVADO","")))</f>
        <v/>
      </c>
      <c r="T287">
        <f>IF($A287="","",TEXT($A287,"yyyymm")&amp;"|"&amp;$C287&amp;"|"&amp;$F287&amp;"|"&amp;$N287&amp;"|"&amp;$R287)</f>
        <v/>
      </c>
    </row>
    <row r="288" ht="11.55" customHeight="1">
      <c r="A288" s="10" t="n">
        <v>46029</v>
      </c>
      <c r="B288" s="7" t="inlineStr">
        <is>
          <t>Quarta</t>
        </is>
      </c>
      <c r="C288" s="7" t="inlineStr">
        <is>
          <t>Guindauto</t>
        </is>
      </c>
      <c r="D288" s="7" t="n"/>
      <c r="E288" s="7" t="inlineStr">
        <is>
          <t>Rodrigo apoio as equipes</t>
        </is>
      </c>
      <c r="F288" s="13" t="inlineStr">
        <is>
          <t>Rodrigo apoio as equipes</t>
        </is>
      </c>
      <c r="G288" s="7" t="n"/>
      <c r="H288" s="7" t="n"/>
      <c r="I288" s="7" t="n"/>
      <c r="J288" s="7" t="inlineStr">
        <is>
          <t>Guindauto</t>
        </is>
      </c>
      <c r="K288" s="7" t="inlineStr">
        <is>
          <t>Apoio</t>
        </is>
      </c>
      <c r="L288" s="16" t="inlineStr">
        <is>
          <t>PDS-janeiro(1).docx</t>
        </is>
      </c>
      <c r="M288">
        <f>IF($A288="","",TEXT($A288,"mmmm/yyyy"))</f>
        <v/>
      </c>
      <c r="P288">
        <f>IFERROR(_xludf.XLOOKUP($N288,Base_Enderecos!$A:$A,Base_Enderecos!$B:$B,""),"")</f>
        <v/>
      </c>
      <c r="Q288">
        <f>IFERROR(_xludf.XLOOKUP($N288,Base_Enderecos!$A:$A,Base_Enderecos!$C:$C,""),"")</f>
        <v/>
      </c>
      <c r="R288">
        <f>IF(OR(ISNUMBER(SEARCH("HDD",$F288)),ISNUMBER(SEARCH("MND",$F288)),ISNUMBER(SEARCH("PEAD",$F288)),ISNUMBER(SEARCH("Puxe",$J288)),ISNUMBER(SEARCH("Apoio HDD",$F288))),"MND",IF(OR(ISNUMBER(SEARCH("VCA",$F288)),ISNUMBER(SEARCH("PVC",$F288)),ISNUMBER(SEARCH("vca",$J288)),ISNUMBER(SEARCH("Transformação",$J288))),"VCA",IF(OR(ISNUMBER(SEARCH("crava",$F288)),ISNUMBER(SEARCH("tubo cravado",$F288)),ISNUMBER(SEARCH("shaft",$J288)),ISNUMBER(SEARCH("concreto",$F288))),"TUBO CRAVADO","")))</f>
        <v/>
      </c>
      <c r="T288">
        <f>IF($A288="","",TEXT($A288,"yyyymm")&amp;"|"&amp;$C288&amp;"|"&amp;$F288&amp;"|"&amp;$N288&amp;"|"&amp;$R288)</f>
        <v/>
      </c>
    </row>
    <row r="289" ht="11.55" customHeight="1">
      <c r="A289" s="10" t="n">
        <v>46029</v>
      </c>
      <c r="B289" s="7" t="inlineStr">
        <is>
          <t>Quarta</t>
        </is>
      </c>
      <c r="C289" s="7" t="inlineStr">
        <is>
          <t>Guindauto</t>
        </is>
      </c>
      <c r="D289" s="7" t="n"/>
      <c r="E289" s="7" t="inlineStr">
        <is>
          <t>Marcio</t>
        </is>
      </c>
      <c r="F289" s="13" t="inlineStr">
        <is>
          <t>Marcio</t>
        </is>
      </c>
      <c r="G289" s="7" t="n"/>
      <c r="H289" s="7" t="n"/>
      <c r="I289" s="7" t="n"/>
      <c r="J289" s="7" t="inlineStr">
        <is>
          <t>Guindauto</t>
        </is>
      </c>
      <c r="K289" s="7" t="inlineStr">
        <is>
          <t>Apoio</t>
        </is>
      </c>
      <c r="L289" s="16" t="inlineStr">
        <is>
          <t>PDS-janeiro(1).docx</t>
        </is>
      </c>
      <c r="M289">
        <f>IF($A289="","",TEXT($A289,"mmmm/yyyy"))</f>
        <v/>
      </c>
      <c r="P289">
        <f>IFERROR(_xludf.XLOOKUP($N289,Base_Enderecos!$A:$A,Base_Enderecos!$B:$B,""),"")</f>
        <v/>
      </c>
      <c r="Q289">
        <f>IFERROR(_xludf.XLOOKUP($N289,Base_Enderecos!$A:$A,Base_Enderecos!$C:$C,""),"")</f>
        <v/>
      </c>
      <c r="R289">
        <f>IF(OR(ISNUMBER(SEARCH("HDD",$F289)),ISNUMBER(SEARCH("MND",$F289)),ISNUMBER(SEARCH("PEAD",$F289)),ISNUMBER(SEARCH("Puxe",$J289)),ISNUMBER(SEARCH("Apoio HDD",$F289))),"MND",IF(OR(ISNUMBER(SEARCH("VCA",$F289)),ISNUMBER(SEARCH("PVC",$F289)),ISNUMBER(SEARCH("vca",$J289)),ISNUMBER(SEARCH("Transformação",$J289))),"VCA",IF(OR(ISNUMBER(SEARCH("crava",$F289)),ISNUMBER(SEARCH("tubo cravado",$F289)),ISNUMBER(SEARCH("shaft",$J289)),ISNUMBER(SEARCH("concreto",$F289))),"TUBO CRAVADO","")))</f>
        <v/>
      </c>
      <c r="T289">
        <f>IF($A289="","",TEXT($A289,"yyyymm")&amp;"|"&amp;$C289&amp;"|"&amp;$F289&amp;"|"&amp;$N289&amp;"|"&amp;$R289)</f>
        <v/>
      </c>
    </row>
    <row r="290" ht="11.55" customHeight="1">
      <c r="A290" s="10" t="n">
        <v>46030</v>
      </c>
      <c r="B290" s="7" t="inlineStr">
        <is>
          <t>Quinta</t>
        </is>
      </c>
      <c r="C290" s="7" t="inlineStr">
        <is>
          <t>CT Benfica</t>
        </is>
      </c>
      <c r="D290" s="7" t="n"/>
      <c r="E290" s="7" t="inlineStr">
        <is>
          <t>Edson</t>
        </is>
      </c>
      <c r="F290" s="13" t="inlineStr">
        <is>
          <t>Reposição calçada entre PVs 10 ao 11</t>
        </is>
      </c>
      <c r="G290" s="7" t="inlineStr">
        <is>
          <t>10</t>
        </is>
      </c>
      <c r="H290" s="7" t="n"/>
      <c r="I290" s="7" t="inlineStr">
        <is>
          <t>10</t>
        </is>
      </c>
      <c r="J290" s="7" t="n"/>
      <c r="K290" s="7" t="inlineStr">
        <is>
          <t>Planejamento</t>
        </is>
      </c>
      <c r="L290" s="16" t="inlineStr">
        <is>
          <t>PDS-janeiro(1).docx</t>
        </is>
      </c>
      <c r="M290">
        <f>IF($A290="","",TEXT($A290,"mmmm/yyyy"))</f>
        <v/>
      </c>
      <c r="P290">
        <f>IFERROR(_xludf.XLOOKUP($N290,Base_Enderecos!$A:$A,Base_Enderecos!$B:$B,""),"")</f>
        <v/>
      </c>
      <c r="Q290">
        <f>IFERROR(_xludf.XLOOKUP($N290,Base_Enderecos!$A:$A,Base_Enderecos!$C:$C,""),"")</f>
        <v/>
      </c>
      <c r="R290">
        <f>IF(OR(ISNUMBER(SEARCH("HDD",$F290)),ISNUMBER(SEARCH("MND",$F290)),ISNUMBER(SEARCH("PEAD",$F290)),ISNUMBER(SEARCH("Puxe",$J290)),ISNUMBER(SEARCH("Apoio HDD",$F290))),"MND",IF(OR(ISNUMBER(SEARCH("VCA",$F290)),ISNUMBER(SEARCH("PVC",$F290)),ISNUMBER(SEARCH("vca",$J290)),ISNUMBER(SEARCH("Transformação",$J290))),"VCA",IF(OR(ISNUMBER(SEARCH("crava",$F290)),ISNUMBER(SEARCH("tubo cravado",$F290)),ISNUMBER(SEARCH("shaft",$J290)),ISNUMBER(SEARCH("concreto",$F290))),"TUBO CRAVADO","")))</f>
        <v/>
      </c>
      <c r="T290">
        <f>IF($A290="","",TEXT($A290,"yyyymm")&amp;"|"&amp;$C290&amp;"|"&amp;$F290&amp;"|"&amp;$N290&amp;"|"&amp;$R290)</f>
        <v/>
      </c>
    </row>
    <row r="291" ht="11.55" customHeight="1">
      <c r="A291" s="10" t="n">
        <v>46030</v>
      </c>
      <c r="B291" s="7" t="inlineStr">
        <is>
          <t>Quinta</t>
        </is>
      </c>
      <c r="C291" s="7" t="inlineStr">
        <is>
          <t>CT LAGEADO</t>
        </is>
      </c>
      <c r="D291" s="7" t="n"/>
      <c r="E291" s="7" t="inlineStr">
        <is>
          <t>Higor</t>
        </is>
      </c>
      <c r="F291" s="13" t="inlineStr">
        <is>
          <t>Ajuste PV 5.1</t>
        </is>
      </c>
      <c r="G291" s="7" t="inlineStr">
        <is>
          <t>5.1</t>
        </is>
      </c>
      <c r="H291" s="7" t="n"/>
      <c r="I291" s="7" t="inlineStr">
        <is>
          <t>5.1</t>
        </is>
      </c>
      <c r="J291" s="7" t="n"/>
      <c r="K291" s="7" t="inlineStr">
        <is>
          <t>Planejamento</t>
        </is>
      </c>
      <c r="L291" s="16" t="inlineStr">
        <is>
          <t>PDS-janeiro(1).docx</t>
        </is>
      </c>
      <c r="M291">
        <f>IF($A291="","",TEXT($A291,"mmmm/yyyy"))</f>
        <v/>
      </c>
      <c r="P291">
        <f>IFERROR(_xludf.XLOOKUP($N291,Base_Enderecos!$A:$A,Base_Enderecos!$B:$B,""),"")</f>
        <v/>
      </c>
      <c r="Q291">
        <f>IFERROR(_xludf.XLOOKUP($N291,Base_Enderecos!$A:$A,Base_Enderecos!$C:$C,""),"")</f>
        <v/>
      </c>
      <c r="R291">
        <f>IF(OR(ISNUMBER(SEARCH("HDD",$F291)),ISNUMBER(SEARCH("MND",$F291)),ISNUMBER(SEARCH("PEAD",$F291)),ISNUMBER(SEARCH("Puxe",$J291)),ISNUMBER(SEARCH("Apoio HDD",$F291))),"MND",IF(OR(ISNUMBER(SEARCH("VCA",$F291)),ISNUMBER(SEARCH("PVC",$F291)),ISNUMBER(SEARCH("vca",$J291)),ISNUMBER(SEARCH("Transformação",$J291))),"VCA",IF(OR(ISNUMBER(SEARCH("crava",$F291)),ISNUMBER(SEARCH("tubo cravado",$F291)),ISNUMBER(SEARCH("shaft",$J291)),ISNUMBER(SEARCH("concreto",$F291))),"TUBO CRAVADO","")))</f>
        <v/>
      </c>
      <c r="T291">
        <f>IF($A291="","",TEXT($A291,"yyyymm")&amp;"|"&amp;$C291&amp;"|"&amp;$F291&amp;"|"&amp;$N291&amp;"|"&amp;$R291)</f>
        <v/>
      </c>
    </row>
    <row r="292" ht="11.55" customHeight="1">
      <c r="A292" s="10" t="n">
        <v>46030</v>
      </c>
      <c r="B292" s="7" t="inlineStr">
        <is>
          <t>Quinta</t>
        </is>
      </c>
      <c r="C292" s="7" t="inlineStr">
        <is>
          <t>CT Mar de Coral</t>
        </is>
      </c>
      <c r="D292" s="7" t="n"/>
      <c r="E292" s="7" t="inlineStr">
        <is>
          <t>Valter</t>
        </is>
      </c>
      <c r="F292" s="13" t="inlineStr">
        <is>
          <t>Escavação mecânica e montagem armco PV 01</t>
        </is>
      </c>
      <c r="G292" s="7" t="inlineStr">
        <is>
          <t>01</t>
        </is>
      </c>
      <c r="H292" s="7" t="n"/>
      <c r="I292" s="7" t="inlineStr">
        <is>
          <t>01</t>
        </is>
      </c>
      <c r="J292" s="7" t="inlineStr">
        <is>
          <t>Escavação</t>
        </is>
      </c>
      <c r="K292" s="7" t="inlineStr">
        <is>
          <t>Planejamento</t>
        </is>
      </c>
      <c r="L292" s="16" t="inlineStr">
        <is>
          <t>PDS-janeiro(1).docx</t>
        </is>
      </c>
      <c r="M292">
        <f>IF($A292="","",TEXT($A292,"mmmm/yyyy"))</f>
        <v/>
      </c>
      <c r="P292">
        <f>IFERROR(_xludf.XLOOKUP($N292,Base_Enderecos!$A:$A,Base_Enderecos!$B:$B,""),"")</f>
        <v/>
      </c>
      <c r="Q292">
        <f>IFERROR(_xludf.XLOOKUP($N292,Base_Enderecos!$A:$A,Base_Enderecos!$C:$C,""),"")</f>
        <v/>
      </c>
      <c r="R292">
        <f>IF(OR(ISNUMBER(SEARCH("HDD",$F292)),ISNUMBER(SEARCH("MND",$F292)),ISNUMBER(SEARCH("PEAD",$F292)),ISNUMBER(SEARCH("Puxe",$J292)),ISNUMBER(SEARCH("Apoio HDD",$F292))),"MND",IF(OR(ISNUMBER(SEARCH("VCA",$F292)),ISNUMBER(SEARCH("PVC",$F292)),ISNUMBER(SEARCH("vca",$J292)),ISNUMBER(SEARCH("Transformação",$J292))),"VCA",IF(OR(ISNUMBER(SEARCH("crava",$F292)),ISNUMBER(SEARCH("tubo cravado",$F292)),ISNUMBER(SEARCH("shaft",$J292)),ISNUMBER(SEARCH("concreto",$F292))),"TUBO CRAVADO","")))</f>
        <v/>
      </c>
      <c r="T292">
        <f>IF($A292="","",TEXT($A292,"yyyymm")&amp;"|"&amp;$C292&amp;"|"&amp;$F292&amp;"|"&amp;$N292&amp;"|"&amp;$R292)</f>
        <v/>
      </c>
    </row>
    <row r="293" ht="11.55" customHeight="1">
      <c r="A293" s="10" t="n">
        <v>46030</v>
      </c>
      <c r="B293" s="7" t="inlineStr">
        <is>
          <t>Quinta</t>
        </is>
      </c>
      <c r="C293" s="7" t="inlineStr">
        <is>
          <t>CT Mar de Coral</t>
        </is>
      </c>
      <c r="D293" s="7" t="n"/>
      <c r="E293" s="7" t="inlineStr">
        <is>
          <t>Cesar</t>
        </is>
      </c>
      <c r="F293" s="13" t="inlineStr">
        <is>
          <t>Escavação mecânica PV 18</t>
        </is>
      </c>
      <c r="G293" s="7" t="inlineStr">
        <is>
          <t>18</t>
        </is>
      </c>
      <c r="H293" s="7" t="n"/>
      <c r="I293" s="7" t="inlineStr">
        <is>
          <t>18</t>
        </is>
      </c>
      <c r="J293" s="7" t="inlineStr">
        <is>
          <t>Escavação</t>
        </is>
      </c>
      <c r="K293" s="7" t="inlineStr">
        <is>
          <t>Planejamento</t>
        </is>
      </c>
      <c r="L293" s="16" t="inlineStr">
        <is>
          <t>PDS-janeiro(1).docx</t>
        </is>
      </c>
      <c r="M293">
        <f>IF($A293="","",TEXT($A293,"mmmm/yyyy"))</f>
        <v/>
      </c>
      <c r="P293">
        <f>IFERROR(_xludf.XLOOKUP($N293,Base_Enderecos!$A:$A,Base_Enderecos!$B:$B,""),"")</f>
        <v/>
      </c>
      <c r="Q293">
        <f>IFERROR(_xludf.XLOOKUP($N293,Base_Enderecos!$A:$A,Base_Enderecos!$C:$C,""),"")</f>
        <v/>
      </c>
      <c r="R293">
        <f>IF(OR(ISNUMBER(SEARCH("HDD",$F293)),ISNUMBER(SEARCH("MND",$F293)),ISNUMBER(SEARCH("PEAD",$F293)),ISNUMBER(SEARCH("Puxe",$J293)),ISNUMBER(SEARCH("Apoio HDD",$F293))),"MND",IF(OR(ISNUMBER(SEARCH("VCA",$F293)),ISNUMBER(SEARCH("PVC",$F293)),ISNUMBER(SEARCH("vca",$J293)),ISNUMBER(SEARCH("Transformação",$J293))),"VCA",IF(OR(ISNUMBER(SEARCH("crava",$F293)),ISNUMBER(SEARCH("tubo cravado",$F293)),ISNUMBER(SEARCH("shaft",$J293)),ISNUMBER(SEARCH("concreto",$F293))),"TUBO CRAVADO","")))</f>
        <v/>
      </c>
      <c r="T293">
        <f>IF($A293="","",TEXT($A293,"yyyymm")&amp;"|"&amp;$C293&amp;"|"&amp;$F293&amp;"|"&amp;$N293&amp;"|"&amp;$R293)</f>
        <v/>
      </c>
    </row>
    <row r="294" ht="11.55" customHeight="1">
      <c r="A294" s="10" t="n">
        <v>46030</v>
      </c>
      <c r="B294" s="7" t="inlineStr">
        <is>
          <t>Quinta</t>
        </is>
      </c>
      <c r="C294" s="7" t="inlineStr">
        <is>
          <t>CT Mar de Coral</t>
        </is>
      </c>
      <c r="D294" s="7" t="n"/>
      <c r="E294" s="7" t="inlineStr">
        <is>
          <t>Marcio</t>
        </is>
      </c>
      <c r="F294" s="13" t="inlineStr">
        <is>
          <t>Escavação mecânica e montagem armco PV 13</t>
        </is>
      </c>
      <c r="G294" s="7" t="inlineStr">
        <is>
          <t>13</t>
        </is>
      </c>
      <c r="H294" s="7" t="n"/>
      <c r="I294" s="7" t="inlineStr">
        <is>
          <t>13</t>
        </is>
      </c>
      <c r="J294" s="7" t="inlineStr">
        <is>
          <t>Escavação</t>
        </is>
      </c>
      <c r="K294" s="7" t="inlineStr">
        <is>
          <t>Planejamento</t>
        </is>
      </c>
      <c r="L294" s="16" t="inlineStr">
        <is>
          <t>PDS-janeiro(1).docx</t>
        </is>
      </c>
      <c r="M294">
        <f>IF($A294="","",TEXT($A294,"mmmm/yyyy"))</f>
        <v/>
      </c>
      <c r="P294">
        <f>IFERROR(_xludf.XLOOKUP($N294,Base_Enderecos!$A:$A,Base_Enderecos!$B:$B,""),"")</f>
        <v/>
      </c>
      <c r="Q294">
        <f>IFERROR(_xludf.XLOOKUP($N294,Base_Enderecos!$A:$A,Base_Enderecos!$C:$C,""),"")</f>
        <v/>
      </c>
      <c r="R294">
        <f>IF(OR(ISNUMBER(SEARCH("HDD",$F294)),ISNUMBER(SEARCH("MND",$F294)),ISNUMBER(SEARCH("PEAD",$F294)),ISNUMBER(SEARCH("Puxe",$J294)),ISNUMBER(SEARCH("Apoio HDD",$F294))),"MND",IF(OR(ISNUMBER(SEARCH("VCA",$F294)),ISNUMBER(SEARCH("PVC",$F294)),ISNUMBER(SEARCH("vca",$J294)),ISNUMBER(SEARCH("Transformação",$J294))),"VCA",IF(OR(ISNUMBER(SEARCH("crava",$F294)),ISNUMBER(SEARCH("tubo cravado",$F294)),ISNUMBER(SEARCH("shaft",$J294)),ISNUMBER(SEARCH("concreto",$F294))),"TUBO CRAVADO","")))</f>
        <v/>
      </c>
      <c r="T294">
        <f>IF($A294="","",TEXT($A294,"yyyymm")&amp;"|"&amp;$C294&amp;"|"&amp;$F294&amp;"|"&amp;$N294&amp;"|"&amp;$R294)</f>
        <v/>
      </c>
    </row>
    <row r="295" ht="11.55" customHeight="1">
      <c r="A295" s="10" t="n">
        <v>46030</v>
      </c>
      <c r="B295" s="7" t="inlineStr">
        <is>
          <t>Quinta</t>
        </is>
      </c>
      <c r="C295" s="7" t="inlineStr">
        <is>
          <t>CT Mar de Coral</t>
        </is>
      </c>
      <c r="D295" s="7" t="n"/>
      <c r="E295" s="7" t="inlineStr">
        <is>
          <t>Paulo</t>
        </is>
      </c>
      <c r="F295" s="13" t="inlineStr">
        <is>
          <t>Escavação mecânica e montagem armco PV 5.1</t>
        </is>
      </c>
      <c r="G295" s="7" t="inlineStr">
        <is>
          <t>5.1</t>
        </is>
      </c>
      <c r="H295" s="7" t="n"/>
      <c r="I295" s="7" t="inlineStr">
        <is>
          <t>5.1</t>
        </is>
      </c>
      <c r="J295" s="7" t="inlineStr">
        <is>
          <t>Escavação</t>
        </is>
      </c>
      <c r="K295" s="7" t="inlineStr">
        <is>
          <t>Planejamento</t>
        </is>
      </c>
      <c r="L295" s="16" t="inlineStr">
        <is>
          <t>PDS-janeiro(1).docx</t>
        </is>
      </c>
      <c r="M295">
        <f>IF($A295="","",TEXT($A295,"mmmm/yyyy"))</f>
        <v/>
      </c>
      <c r="P295">
        <f>IFERROR(_xludf.XLOOKUP($N295,Base_Enderecos!$A:$A,Base_Enderecos!$B:$B,""),"")</f>
        <v/>
      </c>
      <c r="Q295">
        <f>IFERROR(_xludf.XLOOKUP($N295,Base_Enderecos!$A:$A,Base_Enderecos!$C:$C,""),"")</f>
        <v/>
      </c>
      <c r="R295">
        <f>IF(OR(ISNUMBER(SEARCH("HDD",$F295)),ISNUMBER(SEARCH("MND",$F295)),ISNUMBER(SEARCH("PEAD",$F295)),ISNUMBER(SEARCH("Puxe",$J295)),ISNUMBER(SEARCH("Apoio HDD",$F295))),"MND",IF(OR(ISNUMBER(SEARCH("VCA",$F295)),ISNUMBER(SEARCH("PVC",$F295)),ISNUMBER(SEARCH("vca",$J295)),ISNUMBER(SEARCH("Transformação",$J295))),"VCA",IF(OR(ISNUMBER(SEARCH("crava",$F295)),ISNUMBER(SEARCH("tubo cravado",$F295)),ISNUMBER(SEARCH("shaft",$J295)),ISNUMBER(SEARCH("concreto",$F295))),"TUBO CRAVADO","")))</f>
        <v/>
      </c>
      <c r="T295">
        <f>IF($A295="","",TEXT($A295,"yyyymm")&amp;"|"&amp;$C295&amp;"|"&amp;$F295&amp;"|"&amp;$N295&amp;"|"&amp;$R295)</f>
        <v/>
      </c>
    </row>
    <row r="296" ht="11.55" customHeight="1">
      <c r="A296" s="10" t="n">
        <v>46030</v>
      </c>
      <c r="B296" s="7" t="inlineStr">
        <is>
          <t>Quinta</t>
        </is>
      </c>
      <c r="C296" s="7" t="inlineStr">
        <is>
          <t>CT Mar de Coral</t>
        </is>
      </c>
      <c r="D296" s="7" t="n"/>
      <c r="E296" s="7" t="inlineStr">
        <is>
          <t>Marcelo</t>
        </is>
      </c>
      <c r="F296" s="13" t="inlineStr">
        <is>
          <t>Transformação PV 02</t>
        </is>
      </c>
      <c r="G296" s="7" t="inlineStr">
        <is>
          <t>02</t>
        </is>
      </c>
      <c r="H296" s="7" t="n"/>
      <c r="I296" s="7" t="inlineStr">
        <is>
          <t>02</t>
        </is>
      </c>
      <c r="J296" s="7" t="inlineStr">
        <is>
          <t>Transformação</t>
        </is>
      </c>
      <c r="K296" s="7" t="inlineStr">
        <is>
          <t>Planejamento</t>
        </is>
      </c>
      <c r="L296" s="16" t="inlineStr">
        <is>
          <t>PDS-janeiro(1).docx</t>
        </is>
      </c>
      <c r="M296">
        <f>IF($A296="","",TEXT($A296,"mmmm/yyyy"))</f>
        <v/>
      </c>
      <c r="P296">
        <f>IFERROR(_xludf.XLOOKUP($N296,Base_Enderecos!$A:$A,Base_Enderecos!$B:$B,""),"")</f>
        <v/>
      </c>
      <c r="Q296">
        <f>IFERROR(_xludf.XLOOKUP($N296,Base_Enderecos!$A:$A,Base_Enderecos!$C:$C,""),"")</f>
        <v/>
      </c>
      <c r="R296">
        <f>IF(OR(ISNUMBER(SEARCH("HDD",$F296)),ISNUMBER(SEARCH("MND",$F296)),ISNUMBER(SEARCH("PEAD",$F296)),ISNUMBER(SEARCH("Puxe",$J296)),ISNUMBER(SEARCH("Apoio HDD",$F296))),"MND",IF(OR(ISNUMBER(SEARCH("VCA",$F296)),ISNUMBER(SEARCH("PVC",$F296)),ISNUMBER(SEARCH("vca",$J296)),ISNUMBER(SEARCH("Transformação",$J296))),"VCA",IF(OR(ISNUMBER(SEARCH("crava",$F296)),ISNUMBER(SEARCH("tubo cravado",$F296)),ISNUMBER(SEARCH("shaft",$J296)),ISNUMBER(SEARCH("concreto",$F296))),"TUBO CRAVADO","")))</f>
        <v/>
      </c>
      <c r="T296">
        <f>IF($A296="","",TEXT($A296,"yyyymm")&amp;"|"&amp;$C296&amp;"|"&amp;$F296&amp;"|"&amp;$N296&amp;"|"&amp;$R296)</f>
        <v/>
      </c>
    </row>
    <row r="297" ht="11.55" customHeight="1">
      <c r="A297" s="10" t="n">
        <v>46030</v>
      </c>
      <c r="B297" s="7" t="inlineStr">
        <is>
          <t>Quinta</t>
        </is>
      </c>
      <c r="C297" s="7" t="inlineStr">
        <is>
          <t>CT Mar de Coral</t>
        </is>
      </c>
      <c r="D297" s="7" t="n"/>
      <c r="E297" s="7" t="inlineStr">
        <is>
          <t>Edivando</t>
        </is>
      </c>
      <c r="F297" s="13" t="inlineStr">
        <is>
          <t>Transformação PV 5.10</t>
        </is>
      </c>
      <c r="G297" s="7" t="inlineStr">
        <is>
          <t>5.10</t>
        </is>
      </c>
      <c r="H297" s="7" t="n"/>
      <c r="I297" s="7" t="inlineStr">
        <is>
          <t>5.10</t>
        </is>
      </c>
      <c r="J297" s="7" t="inlineStr">
        <is>
          <t>Transformação</t>
        </is>
      </c>
      <c r="K297" s="7" t="inlineStr">
        <is>
          <t>Planejamento</t>
        </is>
      </c>
      <c r="L297" s="16" t="inlineStr">
        <is>
          <t>PDS-janeiro(1).docx</t>
        </is>
      </c>
      <c r="M297">
        <f>IF($A297="","",TEXT($A297,"mmmm/yyyy"))</f>
        <v/>
      </c>
      <c r="P297">
        <f>IFERROR(_xludf.XLOOKUP($N297,Base_Enderecos!$A:$A,Base_Enderecos!$B:$B,""),"")</f>
        <v/>
      </c>
      <c r="Q297">
        <f>IFERROR(_xludf.XLOOKUP($N297,Base_Enderecos!$A:$A,Base_Enderecos!$C:$C,""),"")</f>
        <v/>
      </c>
      <c r="R297">
        <f>IF(OR(ISNUMBER(SEARCH("HDD",$F297)),ISNUMBER(SEARCH("MND",$F297)),ISNUMBER(SEARCH("PEAD",$F297)),ISNUMBER(SEARCH("Puxe",$J297)),ISNUMBER(SEARCH("Apoio HDD",$F297))),"MND",IF(OR(ISNUMBER(SEARCH("VCA",$F297)),ISNUMBER(SEARCH("PVC",$F297)),ISNUMBER(SEARCH("vca",$J297)),ISNUMBER(SEARCH("Transformação",$J297))),"VCA",IF(OR(ISNUMBER(SEARCH("crava",$F297)),ISNUMBER(SEARCH("tubo cravado",$F297)),ISNUMBER(SEARCH("shaft",$J297)),ISNUMBER(SEARCH("concreto",$F297))),"TUBO CRAVADO","")))</f>
        <v/>
      </c>
      <c r="T297">
        <f>IF($A297="","",TEXT($A297,"yyyymm")&amp;"|"&amp;$C297&amp;"|"&amp;$F297&amp;"|"&amp;$N297&amp;"|"&amp;$R297)</f>
        <v/>
      </c>
    </row>
    <row r="298" ht="11.55" customHeight="1">
      <c r="A298" s="10" t="n">
        <v>46030</v>
      </c>
      <c r="B298" s="7" t="inlineStr">
        <is>
          <t>Quinta</t>
        </is>
      </c>
      <c r="C298" s="7" t="inlineStr">
        <is>
          <t>CT Mar de Coral</t>
        </is>
      </c>
      <c r="D298" s="7" t="n"/>
      <c r="E298" s="7" t="inlineStr">
        <is>
          <t>LS (Josivaldo)</t>
        </is>
      </c>
      <c r="F298" s="13" t="inlineStr">
        <is>
          <t>Escavação mecânica e montagem armco PV 09</t>
        </is>
      </c>
      <c r="G298" s="7" t="inlineStr">
        <is>
          <t>09</t>
        </is>
      </c>
      <c r="H298" s="7" t="n"/>
      <c r="I298" s="7" t="inlineStr">
        <is>
          <t>09</t>
        </is>
      </c>
      <c r="J298" s="7" t="inlineStr">
        <is>
          <t>Escavação</t>
        </is>
      </c>
      <c r="K298" s="7" t="inlineStr">
        <is>
          <t>Planejamento</t>
        </is>
      </c>
      <c r="L298" s="16" t="inlineStr">
        <is>
          <t>PDS-janeiro(1).docx</t>
        </is>
      </c>
      <c r="M298">
        <f>IF($A298="","",TEXT($A298,"mmmm/yyyy"))</f>
        <v/>
      </c>
      <c r="P298">
        <f>IFERROR(_xludf.XLOOKUP($N298,Base_Enderecos!$A:$A,Base_Enderecos!$B:$B,""),"")</f>
        <v/>
      </c>
      <c r="Q298">
        <f>IFERROR(_xludf.XLOOKUP($N298,Base_Enderecos!$A:$A,Base_Enderecos!$C:$C,""),"")</f>
        <v/>
      </c>
      <c r="R298">
        <f>IF(OR(ISNUMBER(SEARCH("HDD",$F298)),ISNUMBER(SEARCH("MND",$F298)),ISNUMBER(SEARCH("PEAD",$F298)),ISNUMBER(SEARCH("Puxe",$J298)),ISNUMBER(SEARCH("Apoio HDD",$F298))),"MND",IF(OR(ISNUMBER(SEARCH("VCA",$F298)),ISNUMBER(SEARCH("PVC",$F298)),ISNUMBER(SEARCH("vca",$J298)),ISNUMBER(SEARCH("Transformação",$J298))),"VCA",IF(OR(ISNUMBER(SEARCH("crava",$F298)),ISNUMBER(SEARCH("tubo cravado",$F298)),ISNUMBER(SEARCH("shaft",$J298)),ISNUMBER(SEARCH("concreto",$F298))),"TUBO CRAVADO","")))</f>
        <v/>
      </c>
      <c r="T298">
        <f>IF($A298="","",TEXT($A298,"yyyymm")&amp;"|"&amp;$C298&amp;"|"&amp;$F298&amp;"|"&amp;$N298&amp;"|"&amp;$R298)</f>
        <v/>
      </c>
    </row>
    <row r="299" ht="11.55" customHeight="1">
      <c r="A299" s="10" t="n">
        <v>46030</v>
      </c>
      <c r="B299" s="7" t="inlineStr">
        <is>
          <t>Quinta</t>
        </is>
      </c>
      <c r="C299" s="7" t="inlineStr">
        <is>
          <t>CT Mar de Coral</t>
        </is>
      </c>
      <c r="D299" s="7" t="n"/>
      <c r="E299" s="7" t="inlineStr">
        <is>
          <t>LS (Alex)</t>
        </is>
      </c>
      <c r="F299" s="13" t="inlineStr">
        <is>
          <t>Escavação mecânica e montagem armco PV 16</t>
        </is>
      </c>
      <c r="G299" s="7" t="inlineStr">
        <is>
          <t>16</t>
        </is>
      </c>
      <c r="H299" s="7" t="n"/>
      <c r="I299" s="7" t="inlineStr">
        <is>
          <t>16</t>
        </is>
      </c>
      <c r="J299" s="7" t="inlineStr">
        <is>
          <t>Escavação</t>
        </is>
      </c>
      <c r="K299" s="7" t="inlineStr">
        <is>
          <t>Planejamento</t>
        </is>
      </c>
      <c r="L299" s="16" t="inlineStr">
        <is>
          <t>PDS-janeiro(1).docx</t>
        </is>
      </c>
      <c r="M299">
        <f>IF($A299="","",TEXT($A299,"mmmm/yyyy"))</f>
        <v/>
      </c>
      <c r="P299">
        <f>IFERROR(_xludf.XLOOKUP($N299,Base_Enderecos!$A:$A,Base_Enderecos!$B:$B,""),"")</f>
        <v/>
      </c>
      <c r="Q299">
        <f>IFERROR(_xludf.XLOOKUP($N299,Base_Enderecos!$A:$A,Base_Enderecos!$C:$C,""),"")</f>
        <v/>
      </c>
      <c r="R299">
        <f>IF(OR(ISNUMBER(SEARCH("HDD",$F299)),ISNUMBER(SEARCH("MND",$F299)),ISNUMBER(SEARCH("PEAD",$F299)),ISNUMBER(SEARCH("Puxe",$J299)),ISNUMBER(SEARCH("Apoio HDD",$F299))),"MND",IF(OR(ISNUMBER(SEARCH("VCA",$F299)),ISNUMBER(SEARCH("PVC",$F299)),ISNUMBER(SEARCH("vca",$J299)),ISNUMBER(SEARCH("Transformação",$J299))),"VCA",IF(OR(ISNUMBER(SEARCH("crava",$F299)),ISNUMBER(SEARCH("tubo cravado",$F299)),ISNUMBER(SEARCH("shaft",$J299)),ISNUMBER(SEARCH("concreto",$F299))),"TUBO CRAVADO","")))</f>
        <v/>
      </c>
      <c r="T299">
        <f>IF($A299="","",TEXT($A299,"yyyymm")&amp;"|"&amp;$C299&amp;"|"&amp;$F299&amp;"|"&amp;$N299&amp;"|"&amp;$R299)</f>
        <v/>
      </c>
    </row>
    <row r="300" ht="11.55" customHeight="1">
      <c r="A300" s="10" t="n">
        <v>46030</v>
      </c>
      <c r="B300" s="7" t="inlineStr">
        <is>
          <t>Quinta</t>
        </is>
      </c>
      <c r="C300" s="7" t="inlineStr">
        <is>
          <t>CT Mar de Coral</t>
        </is>
      </c>
      <c r="D300" s="7" t="n"/>
      <c r="E300" s="7" t="inlineStr">
        <is>
          <t>Bruno (Work Drill)</t>
        </is>
      </c>
      <c r="F300" s="13" t="inlineStr">
        <is>
          <t>Retirada cabeça de puxe PV 03 Preparação furo piloto entre PVs 03 ao 04</t>
        </is>
      </c>
      <c r="G300" s="7" t="inlineStr">
        <is>
          <t>03</t>
        </is>
      </c>
      <c r="H300" s="7" t="inlineStr">
        <is>
          <t>03</t>
        </is>
      </c>
      <c r="I300" s="7" t="inlineStr">
        <is>
          <t>03, 03</t>
        </is>
      </c>
      <c r="J300" s="7" t="inlineStr">
        <is>
          <t>Furo piloto</t>
        </is>
      </c>
      <c r="K300" s="7" t="inlineStr">
        <is>
          <t>Planejamento</t>
        </is>
      </c>
      <c r="L300" s="16" t="inlineStr">
        <is>
          <t>PDS-janeiro(1).docx</t>
        </is>
      </c>
      <c r="M300">
        <f>IF($A300="","",TEXT($A300,"mmmm/yyyy"))</f>
        <v/>
      </c>
      <c r="P300">
        <f>IFERROR(_xludf.XLOOKUP($N300,Base_Enderecos!$A:$A,Base_Enderecos!$B:$B,""),"")</f>
        <v/>
      </c>
      <c r="Q300">
        <f>IFERROR(_xludf.XLOOKUP($N300,Base_Enderecos!$A:$A,Base_Enderecos!$C:$C,""),"")</f>
        <v/>
      </c>
      <c r="R300">
        <f>IF(OR(ISNUMBER(SEARCH("HDD",$F300)),ISNUMBER(SEARCH("MND",$F300)),ISNUMBER(SEARCH("PEAD",$F300)),ISNUMBER(SEARCH("Puxe",$J300)),ISNUMBER(SEARCH("Apoio HDD",$F300))),"MND",IF(OR(ISNUMBER(SEARCH("VCA",$F300)),ISNUMBER(SEARCH("PVC",$F300)),ISNUMBER(SEARCH("vca",$J300)),ISNUMBER(SEARCH("Transformação",$J300))),"VCA",IF(OR(ISNUMBER(SEARCH("crava",$F300)),ISNUMBER(SEARCH("tubo cravado",$F300)),ISNUMBER(SEARCH("shaft",$J300)),ISNUMBER(SEARCH("concreto",$F300))),"TUBO CRAVADO","")))</f>
        <v/>
      </c>
      <c r="T300">
        <f>IF($A300="","",TEXT($A300,"yyyymm")&amp;"|"&amp;$C300&amp;"|"&amp;$F300&amp;"|"&amp;$N300&amp;"|"&amp;$R300)</f>
        <v/>
      </c>
    </row>
    <row r="301" ht="11.55" customHeight="1">
      <c r="A301" s="10" t="n">
        <v>46030</v>
      </c>
      <c r="B301" s="7" t="inlineStr">
        <is>
          <t>Quinta</t>
        </is>
      </c>
      <c r="C301" s="7" t="inlineStr">
        <is>
          <t>CT Mar de Coral</t>
        </is>
      </c>
      <c r="D301" s="7" t="n"/>
      <c r="E301" s="7" t="inlineStr">
        <is>
          <t>Fabrício</t>
        </is>
      </c>
      <c r="F301" s="13" t="inlineStr">
        <is>
          <t>Apoio HDD entre PVs 01 ao 03 e 03 ao 04</t>
        </is>
      </c>
      <c r="G301" s="7" t="inlineStr">
        <is>
          <t>01</t>
        </is>
      </c>
      <c r="H301" s="7" t="n"/>
      <c r="I301" s="7" t="inlineStr">
        <is>
          <t>01</t>
        </is>
      </c>
      <c r="J301" s="7" t="inlineStr">
        <is>
          <t>Apoio HDD</t>
        </is>
      </c>
      <c r="K301" s="7" t="inlineStr">
        <is>
          <t>Planejamento</t>
        </is>
      </c>
      <c r="L301" s="16" t="inlineStr">
        <is>
          <t>PDS-janeiro(1).docx</t>
        </is>
      </c>
      <c r="M301">
        <f>IF($A301="","",TEXT($A301,"mmmm/yyyy"))</f>
        <v/>
      </c>
      <c r="P301">
        <f>IFERROR(_xludf.XLOOKUP($N301,Base_Enderecos!$A:$A,Base_Enderecos!$B:$B,""),"")</f>
        <v/>
      </c>
      <c r="Q301">
        <f>IFERROR(_xludf.XLOOKUP($N301,Base_Enderecos!$A:$A,Base_Enderecos!$C:$C,""),"")</f>
        <v/>
      </c>
      <c r="R301">
        <f>IF(OR(ISNUMBER(SEARCH("HDD",$F301)),ISNUMBER(SEARCH("MND",$F301)),ISNUMBER(SEARCH("PEAD",$F301)),ISNUMBER(SEARCH("Puxe",$J301)),ISNUMBER(SEARCH("Apoio HDD",$F301))),"MND",IF(OR(ISNUMBER(SEARCH("VCA",$F301)),ISNUMBER(SEARCH("PVC",$F301)),ISNUMBER(SEARCH("vca",$J301)),ISNUMBER(SEARCH("Transformação",$J301))),"VCA",IF(OR(ISNUMBER(SEARCH("crava",$F301)),ISNUMBER(SEARCH("tubo cravado",$F301)),ISNUMBER(SEARCH("shaft",$J301)),ISNUMBER(SEARCH("concreto",$F301))),"TUBO CRAVADO","")))</f>
        <v/>
      </c>
      <c r="T301">
        <f>IF($A301="","",TEXT($A301,"yyyymm")&amp;"|"&amp;$C301&amp;"|"&amp;$F301&amp;"|"&amp;$N301&amp;"|"&amp;$R301)</f>
        <v/>
      </c>
    </row>
    <row r="302" ht="11.55" customHeight="1">
      <c r="A302" s="10" t="n">
        <v>46030</v>
      </c>
      <c r="B302" s="7" t="inlineStr">
        <is>
          <t>Quinta</t>
        </is>
      </c>
      <c r="C302" s="7" t="inlineStr">
        <is>
          <t>CT Mar de Coral</t>
        </is>
      </c>
      <c r="D302" s="7" t="n"/>
      <c r="E302" s="7" t="inlineStr">
        <is>
          <t>WJ (Edson)</t>
        </is>
      </c>
      <c r="F302" s="13" t="inlineStr">
        <is>
          <t>Execução furo piloto entre PVs 05 ao 08</t>
        </is>
      </c>
      <c r="G302" s="7" t="inlineStr">
        <is>
          <t>05</t>
        </is>
      </c>
      <c r="H302" s="7" t="n"/>
      <c r="I302" s="7" t="inlineStr">
        <is>
          <t>05</t>
        </is>
      </c>
      <c r="J302" s="7" t="inlineStr">
        <is>
          <t>Furo piloto</t>
        </is>
      </c>
      <c r="K302" s="7" t="inlineStr">
        <is>
          <t>Planejamento</t>
        </is>
      </c>
      <c r="L302" s="16" t="inlineStr">
        <is>
          <t>PDS-janeiro(1).docx</t>
        </is>
      </c>
      <c r="M302">
        <f>IF($A302="","",TEXT($A302,"mmmm/yyyy"))</f>
        <v/>
      </c>
      <c r="P302">
        <f>IFERROR(_xludf.XLOOKUP($N302,Base_Enderecos!$A:$A,Base_Enderecos!$B:$B,""),"")</f>
        <v/>
      </c>
      <c r="Q302">
        <f>IFERROR(_xludf.XLOOKUP($N302,Base_Enderecos!$A:$A,Base_Enderecos!$C:$C,""),"")</f>
        <v/>
      </c>
      <c r="R302">
        <f>IF(OR(ISNUMBER(SEARCH("HDD",$F302)),ISNUMBER(SEARCH("MND",$F302)),ISNUMBER(SEARCH("PEAD",$F302)),ISNUMBER(SEARCH("Puxe",$J302)),ISNUMBER(SEARCH("Apoio HDD",$F302))),"MND",IF(OR(ISNUMBER(SEARCH("VCA",$F302)),ISNUMBER(SEARCH("PVC",$F302)),ISNUMBER(SEARCH("vca",$J302)),ISNUMBER(SEARCH("Transformação",$J302))),"VCA",IF(OR(ISNUMBER(SEARCH("crava",$F302)),ISNUMBER(SEARCH("tubo cravado",$F302)),ISNUMBER(SEARCH("shaft",$J302)),ISNUMBER(SEARCH("concreto",$F302))),"TUBO CRAVADO","")))</f>
        <v/>
      </c>
      <c r="T302">
        <f>IF($A302="","",TEXT($A302,"yyyymm")&amp;"|"&amp;$C302&amp;"|"&amp;$F302&amp;"|"&amp;$N302&amp;"|"&amp;$R302)</f>
        <v/>
      </c>
    </row>
    <row r="303" ht="11.55" customHeight="1">
      <c r="A303" s="10" t="n">
        <v>46030</v>
      </c>
      <c r="B303" s="7" t="inlineStr">
        <is>
          <t>Quinta</t>
        </is>
      </c>
      <c r="C303" s="7" t="inlineStr">
        <is>
          <t>CT Mar de Coral</t>
        </is>
      </c>
      <c r="D303" s="7" t="n"/>
      <c r="E303" s="7" t="inlineStr">
        <is>
          <t>Natalino</t>
        </is>
      </c>
      <c r="F303" s="13" t="inlineStr">
        <is>
          <t>Apoio HDD entre PVs 05 ao 08</t>
        </is>
      </c>
      <c r="G303" s="7" t="inlineStr">
        <is>
          <t>05</t>
        </is>
      </c>
      <c r="H303" s="7" t="n"/>
      <c r="I303" s="7" t="inlineStr">
        <is>
          <t>05</t>
        </is>
      </c>
      <c r="J303" s="7" t="inlineStr">
        <is>
          <t>Apoio HDD</t>
        </is>
      </c>
      <c r="K303" s="7" t="inlineStr">
        <is>
          <t>Planejamento</t>
        </is>
      </c>
      <c r="L303" s="16" t="inlineStr">
        <is>
          <t>PDS-janeiro(1).docx</t>
        </is>
      </c>
      <c r="M303">
        <f>IF($A303="","",TEXT($A303,"mmmm/yyyy"))</f>
        <v/>
      </c>
      <c r="P303">
        <f>IFERROR(_xludf.XLOOKUP($N303,Base_Enderecos!$A:$A,Base_Enderecos!$B:$B,""),"")</f>
        <v/>
      </c>
      <c r="Q303">
        <f>IFERROR(_xludf.XLOOKUP($N303,Base_Enderecos!$A:$A,Base_Enderecos!$C:$C,""),"")</f>
        <v/>
      </c>
      <c r="R303">
        <f>IF(OR(ISNUMBER(SEARCH("HDD",$F303)),ISNUMBER(SEARCH("MND",$F303)),ISNUMBER(SEARCH("PEAD",$F303)),ISNUMBER(SEARCH("Puxe",$J303)),ISNUMBER(SEARCH("Apoio HDD",$F303))),"MND",IF(OR(ISNUMBER(SEARCH("VCA",$F303)),ISNUMBER(SEARCH("PVC",$F303)),ISNUMBER(SEARCH("vca",$J303)),ISNUMBER(SEARCH("Transformação",$J303))),"VCA",IF(OR(ISNUMBER(SEARCH("crava",$F303)),ISNUMBER(SEARCH("tubo cravado",$F303)),ISNUMBER(SEARCH("shaft",$J303)),ISNUMBER(SEARCH("concreto",$F303))),"TUBO CRAVADO","")))</f>
        <v/>
      </c>
      <c r="T303">
        <f>IF($A303="","",TEXT($A303,"yyyymm")&amp;"|"&amp;$C303&amp;"|"&amp;$F303&amp;"|"&amp;$N303&amp;"|"&amp;$R303)</f>
        <v/>
      </c>
    </row>
    <row r="304" ht="11.55" customHeight="1">
      <c r="A304" s="10" t="n">
        <v>46030</v>
      </c>
      <c r="B304" s="7" t="inlineStr">
        <is>
          <t>Quinta</t>
        </is>
      </c>
      <c r="C304" s="7" t="inlineStr">
        <is>
          <t>Vacal</t>
        </is>
      </c>
      <c r="D304" s="7" t="n"/>
      <c r="E304" s="7" t="inlineStr">
        <is>
          <t>Mar de Coral</t>
        </is>
      </c>
      <c r="F304" s="13" t="inlineStr">
        <is>
          <t>Apoio Vacal</t>
        </is>
      </c>
      <c r="G304" s="7" t="n"/>
      <c r="H304" s="7" t="n"/>
      <c r="I304" s="7" t="n"/>
      <c r="J304" s="7" t="inlineStr">
        <is>
          <t>Vacal</t>
        </is>
      </c>
      <c r="K304" s="7" t="inlineStr">
        <is>
          <t>Apoio</t>
        </is>
      </c>
      <c r="L304" s="16" t="inlineStr">
        <is>
          <t>PDS-janeiro(1).docx</t>
        </is>
      </c>
      <c r="M304">
        <f>IF($A304="","",TEXT($A304,"mmmm/yyyy"))</f>
        <v/>
      </c>
      <c r="P304">
        <f>IFERROR(_xludf.XLOOKUP($N304,Base_Enderecos!$A:$A,Base_Enderecos!$B:$B,""),"")</f>
        <v/>
      </c>
      <c r="Q304">
        <f>IFERROR(_xludf.XLOOKUP($N304,Base_Enderecos!$A:$A,Base_Enderecos!$C:$C,""),"")</f>
        <v/>
      </c>
      <c r="R304">
        <f>IF(OR(ISNUMBER(SEARCH("HDD",$F304)),ISNUMBER(SEARCH("MND",$F304)),ISNUMBER(SEARCH("PEAD",$F304)),ISNUMBER(SEARCH("Puxe",$J304)),ISNUMBER(SEARCH("Apoio HDD",$F304))),"MND",IF(OR(ISNUMBER(SEARCH("VCA",$F304)),ISNUMBER(SEARCH("PVC",$F304)),ISNUMBER(SEARCH("vca",$J304)),ISNUMBER(SEARCH("Transformação",$J304))),"VCA",IF(OR(ISNUMBER(SEARCH("crava",$F304)),ISNUMBER(SEARCH("tubo cravado",$F304)),ISNUMBER(SEARCH("shaft",$J304)),ISNUMBER(SEARCH("concreto",$F304))),"TUBO CRAVADO","")))</f>
        <v/>
      </c>
      <c r="T304">
        <f>IF($A304="","",TEXT($A304,"yyyymm")&amp;"|"&amp;$C304&amp;"|"&amp;$F304&amp;"|"&amp;$N304&amp;"|"&amp;$R304)</f>
        <v/>
      </c>
    </row>
    <row r="305" ht="11.55" customHeight="1">
      <c r="A305" s="10" t="n">
        <v>46030</v>
      </c>
      <c r="B305" s="7" t="inlineStr">
        <is>
          <t>Quinta</t>
        </is>
      </c>
      <c r="C305" s="7" t="inlineStr">
        <is>
          <t>Vacal</t>
        </is>
      </c>
      <c r="D305" s="7" t="n"/>
      <c r="E305" s="7" t="n"/>
      <c r="F305" s="13" t="inlineStr">
        <is>
          <t>Apoio Vacal</t>
        </is>
      </c>
      <c r="G305" s="7" t="n"/>
      <c r="H305" s="7" t="n"/>
      <c r="I305" s="7" t="n"/>
      <c r="J305" s="7" t="inlineStr">
        <is>
          <t>Vacal</t>
        </is>
      </c>
      <c r="K305" s="7" t="inlineStr">
        <is>
          <t>Apoio</t>
        </is>
      </c>
      <c r="L305" s="16" t="inlineStr">
        <is>
          <t>PDS-janeiro(1).docx</t>
        </is>
      </c>
      <c r="M305">
        <f>IF($A305="","",TEXT($A305,"mmmm/yyyy"))</f>
        <v/>
      </c>
      <c r="P305">
        <f>IFERROR(_xludf.XLOOKUP($N305,Base_Enderecos!$A:$A,Base_Enderecos!$B:$B,""),"")</f>
        <v/>
      </c>
      <c r="Q305">
        <f>IFERROR(_xludf.XLOOKUP($N305,Base_Enderecos!$A:$A,Base_Enderecos!$C:$C,""),"")</f>
        <v/>
      </c>
      <c r="R305">
        <f>IF(OR(ISNUMBER(SEARCH("HDD",$F305)),ISNUMBER(SEARCH("MND",$F305)),ISNUMBER(SEARCH("PEAD",$F305)),ISNUMBER(SEARCH("Puxe",$J305)),ISNUMBER(SEARCH("Apoio HDD",$F305))),"MND",IF(OR(ISNUMBER(SEARCH("VCA",$F305)),ISNUMBER(SEARCH("PVC",$F305)),ISNUMBER(SEARCH("vca",$J305)),ISNUMBER(SEARCH("Transformação",$J305))),"VCA",IF(OR(ISNUMBER(SEARCH("crava",$F305)),ISNUMBER(SEARCH("tubo cravado",$F305)),ISNUMBER(SEARCH("shaft",$J305)),ISNUMBER(SEARCH("concreto",$F305))),"TUBO CRAVADO","")))</f>
        <v/>
      </c>
      <c r="T305">
        <f>IF($A305="","",TEXT($A305,"yyyymm")&amp;"|"&amp;$C305&amp;"|"&amp;$F305&amp;"|"&amp;$N305&amp;"|"&amp;$R305)</f>
        <v/>
      </c>
    </row>
    <row r="306" ht="11.55" customHeight="1">
      <c r="A306" s="10" t="n">
        <v>46030</v>
      </c>
      <c r="B306" s="7" t="inlineStr">
        <is>
          <t>Quinta</t>
        </is>
      </c>
      <c r="C306" s="7" t="inlineStr">
        <is>
          <t>Guindauto</t>
        </is>
      </c>
      <c r="D306" s="7" t="n"/>
      <c r="E306" s="7" t="inlineStr">
        <is>
          <t>Rodrigo apoio as equipes</t>
        </is>
      </c>
      <c r="F306" s="13" t="inlineStr">
        <is>
          <t>Rodrigo apoio as equipes</t>
        </is>
      </c>
      <c r="G306" s="7" t="n"/>
      <c r="H306" s="7" t="n"/>
      <c r="I306" s="7" t="n"/>
      <c r="J306" s="7" t="inlineStr">
        <is>
          <t>Guindauto</t>
        </is>
      </c>
      <c r="K306" s="7" t="inlineStr">
        <is>
          <t>Apoio</t>
        </is>
      </c>
      <c r="L306" s="16" t="inlineStr">
        <is>
          <t>PDS-janeiro(1).docx</t>
        </is>
      </c>
      <c r="M306">
        <f>IF($A306="","",TEXT($A306,"mmmm/yyyy"))</f>
        <v/>
      </c>
      <c r="P306">
        <f>IFERROR(_xludf.XLOOKUP($N306,Base_Enderecos!$A:$A,Base_Enderecos!$B:$B,""),"")</f>
        <v/>
      </c>
      <c r="Q306">
        <f>IFERROR(_xludf.XLOOKUP($N306,Base_Enderecos!$A:$A,Base_Enderecos!$C:$C,""),"")</f>
        <v/>
      </c>
      <c r="R306">
        <f>IF(OR(ISNUMBER(SEARCH("HDD",$F306)),ISNUMBER(SEARCH("MND",$F306)),ISNUMBER(SEARCH("PEAD",$F306)),ISNUMBER(SEARCH("Puxe",$J306)),ISNUMBER(SEARCH("Apoio HDD",$F306))),"MND",IF(OR(ISNUMBER(SEARCH("VCA",$F306)),ISNUMBER(SEARCH("PVC",$F306)),ISNUMBER(SEARCH("vca",$J306)),ISNUMBER(SEARCH("Transformação",$J306))),"VCA",IF(OR(ISNUMBER(SEARCH("crava",$F306)),ISNUMBER(SEARCH("tubo cravado",$F306)),ISNUMBER(SEARCH("shaft",$J306)),ISNUMBER(SEARCH("concreto",$F306))),"TUBO CRAVADO","")))</f>
        <v/>
      </c>
      <c r="T306">
        <f>IF($A306="","",TEXT($A306,"yyyymm")&amp;"|"&amp;$C306&amp;"|"&amp;$F306&amp;"|"&amp;$N306&amp;"|"&amp;$R306)</f>
        <v/>
      </c>
    </row>
    <row r="307" ht="11.55" customHeight="1">
      <c r="A307" s="10" t="n">
        <v>46030</v>
      </c>
      <c r="B307" s="7" t="inlineStr">
        <is>
          <t>Quinta</t>
        </is>
      </c>
      <c r="C307" s="7" t="inlineStr">
        <is>
          <t>Guindauto</t>
        </is>
      </c>
      <c r="D307" s="7" t="n"/>
      <c r="E307" s="7" t="inlineStr">
        <is>
          <t>Marcio</t>
        </is>
      </c>
      <c r="F307" s="13" t="inlineStr">
        <is>
          <t>Marcio</t>
        </is>
      </c>
      <c r="G307" s="7" t="n"/>
      <c r="H307" s="7" t="n"/>
      <c r="I307" s="7" t="n"/>
      <c r="J307" s="7" t="inlineStr">
        <is>
          <t>Guindauto</t>
        </is>
      </c>
      <c r="K307" s="7" t="inlineStr">
        <is>
          <t>Apoio</t>
        </is>
      </c>
      <c r="L307" s="16" t="inlineStr">
        <is>
          <t>PDS-janeiro(1).docx</t>
        </is>
      </c>
      <c r="M307">
        <f>IF($A307="","",TEXT($A307,"mmmm/yyyy"))</f>
        <v/>
      </c>
      <c r="P307">
        <f>IFERROR(_xludf.XLOOKUP($N307,Base_Enderecos!$A:$A,Base_Enderecos!$B:$B,""),"")</f>
        <v/>
      </c>
      <c r="Q307">
        <f>IFERROR(_xludf.XLOOKUP($N307,Base_Enderecos!$A:$A,Base_Enderecos!$C:$C,""),"")</f>
        <v/>
      </c>
      <c r="R307">
        <f>IF(OR(ISNUMBER(SEARCH("HDD",$F307)),ISNUMBER(SEARCH("MND",$F307)),ISNUMBER(SEARCH("PEAD",$F307)),ISNUMBER(SEARCH("Puxe",$J307)),ISNUMBER(SEARCH("Apoio HDD",$F307))),"MND",IF(OR(ISNUMBER(SEARCH("VCA",$F307)),ISNUMBER(SEARCH("PVC",$F307)),ISNUMBER(SEARCH("vca",$J307)),ISNUMBER(SEARCH("Transformação",$J307))),"VCA",IF(OR(ISNUMBER(SEARCH("crava",$F307)),ISNUMBER(SEARCH("tubo cravado",$F307)),ISNUMBER(SEARCH("shaft",$J307)),ISNUMBER(SEARCH("concreto",$F307))),"TUBO CRAVADO","")))</f>
        <v/>
      </c>
      <c r="T307">
        <f>IF($A307="","",TEXT($A307,"yyyymm")&amp;"|"&amp;$C307&amp;"|"&amp;$F307&amp;"|"&amp;$N307&amp;"|"&amp;$R307)</f>
        <v/>
      </c>
    </row>
    <row r="308" ht="11.55" customHeight="1">
      <c r="A308" s="10" t="n">
        <v>46031</v>
      </c>
      <c r="B308" s="7" t="inlineStr">
        <is>
          <t>Sexta</t>
        </is>
      </c>
      <c r="C308" s="7" t="inlineStr">
        <is>
          <t>CT Benfica</t>
        </is>
      </c>
      <c r="D308" s="7" t="n"/>
      <c r="E308" s="7" t="inlineStr">
        <is>
          <t>Edson</t>
        </is>
      </c>
      <c r="F308" s="13" t="inlineStr">
        <is>
          <t>Reposição calçada entre PVs 10 ao 11</t>
        </is>
      </c>
      <c r="G308" s="7" t="inlineStr">
        <is>
          <t>10</t>
        </is>
      </c>
      <c r="H308" s="7" t="n"/>
      <c r="I308" s="7" t="inlineStr">
        <is>
          <t>10</t>
        </is>
      </c>
      <c r="J308" s="7" t="n"/>
      <c r="K308" s="7" t="inlineStr">
        <is>
          <t>Planejamento</t>
        </is>
      </c>
      <c r="L308" s="16" t="inlineStr">
        <is>
          <t>PDS-janeiro(1).docx</t>
        </is>
      </c>
      <c r="M308">
        <f>IF($A308="","",TEXT($A308,"mmmm/yyyy"))</f>
        <v/>
      </c>
      <c r="P308">
        <f>IFERROR(_xludf.XLOOKUP($N308,Base_Enderecos!$A:$A,Base_Enderecos!$B:$B,""),"")</f>
        <v/>
      </c>
      <c r="Q308">
        <f>IFERROR(_xludf.XLOOKUP($N308,Base_Enderecos!$A:$A,Base_Enderecos!$C:$C,""),"")</f>
        <v/>
      </c>
      <c r="R308">
        <f>IF(OR(ISNUMBER(SEARCH("HDD",$F308)),ISNUMBER(SEARCH("MND",$F308)),ISNUMBER(SEARCH("PEAD",$F308)),ISNUMBER(SEARCH("Puxe",$J308)),ISNUMBER(SEARCH("Apoio HDD",$F308))),"MND",IF(OR(ISNUMBER(SEARCH("VCA",$F308)),ISNUMBER(SEARCH("PVC",$F308)),ISNUMBER(SEARCH("vca",$J308)),ISNUMBER(SEARCH("Transformação",$J308))),"VCA",IF(OR(ISNUMBER(SEARCH("crava",$F308)),ISNUMBER(SEARCH("tubo cravado",$F308)),ISNUMBER(SEARCH("shaft",$J308)),ISNUMBER(SEARCH("concreto",$F308))),"TUBO CRAVADO","")))</f>
        <v/>
      </c>
      <c r="T308">
        <f>IF($A308="","",TEXT($A308,"yyyymm")&amp;"|"&amp;$C308&amp;"|"&amp;$F308&amp;"|"&amp;$N308&amp;"|"&amp;$R308)</f>
        <v/>
      </c>
    </row>
    <row r="309" ht="11.55" customHeight="1">
      <c r="A309" s="10" t="n">
        <v>46031</v>
      </c>
      <c r="B309" s="7" t="inlineStr">
        <is>
          <t>Sexta</t>
        </is>
      </c>
      <c r="C309" s="7" t="inlineStr">
        <is>
          <t>CT LAGEADO</t>
        </is>
      </c>
      <c r="D309" s="7" t="n"/>
      <c r="E309" s="7" t="inlineStr">
        <is>
          <t>Higor</t>
        </is>
      </c>
      <c r="F309" s="13" t="inlineStr">
        <is>
          <t>Ajuste PV 5.1</t>
        </is>
      </c>
      <c r="G309" s="7" t="inlineStr">
        <is>
          <t>5.1</t>
        </is>
      </c>
      <c r="H309" s="7" t="n"/>
      <c r="I309" s="7" t="inlineStr">
        <is>
          <t>5.1</t>
        </is>
      </c>
      <c r="J309" s="7" t="n"/>
      <c r="K309" s="7" t="inlineStr">
        <is>
          <t>Planejamento</t>
        </is>
      </c>
      <c r="L309" s="16" t="inlineStr">
        <is>
          <t>PDS-janeiro(1).docx</t>
        </is>
      </c>
      <c r="M309">
        <f>IF($A309="","",TEXT($A309,"mmmm/yyyy"))</f>
        <v/>
      </c>
      <c r="P309">
        <f>IFERROR(_xludf.XLOOKUP($N309,Base_Enderecos!$A:$A,Base_Enderecos!$B:$B,""),"")</f>
        <v/>
      </c>
      <c r="Q309">
        <f>IFERROR(_xludf.XLOOKUP($N309,Base_Enderecos!$A:$A,Base_Enderecos!$C:$C,""),"")</f>
        <v/>
      </c>
      <c r="R309">
        <f>IF(OR(ISNUMBER(SEARCH("HDD",$F309)),ISNUMBER(SEARCH("MND",$F309)),ISNUMBER(SEARCH("PEAD",$F309)),ISNUMBER(SEARCH("Puxe",$J309)),ISNUMBER(SEARCH("Apoio HDD",$F309))),"MND",IF(OR(ISNUMBER(SEARCH("VCA",$F309)),ISNUMBER(SEARCH("PVC",$F309)),ISNUMBER(SEARCH("vca",$J309)),ISNUMBER(SEARCH("Transformação",$J309))),"VCA",IF(OR(ISNUMBER(SEARCH("crava",$F309)),ISNUMBER(SEARCH("tubo cravado",$F309)),ISNUMBER(SEARCH("shaft",$J309)),ISNUMBER(SEARCH("concreto",$F309))),"TUBO CRAVADO","")))</f>
        <v/>
      </c>
      <c r="T309">
        <f>IF($A309="","",TEXT($A309,"yyyymm")&amp;"|"&amp;$C309&amp;"|"&amp;$F309&amp;"|"&amp;$N309&amp;"|"&amp;$R309)</f>
        <v/>
      </c>
    </row>
    <row r="310" ht="11.55" customHeight="1">
      <c r="A310" s="10" t="n">
        <v>46031</v>
      </c>
      <c r="B310" s="7" t="inlineStr">
        <is>
          <t>Sexta</t>
        </is>
      </c>
      <c r="C310" s="7" t="inlineStr">
        <is>
          <t>CT Mar de Coral</t>
        </is>
      </c>
      <c r="D310" s="7" t="n"/>
      <c r="E310" s="7" t="inlineStr">
        <is>
          <t>Valter</t>
        </is>
      </c>
      <c r="F310" s="13" t="inlineStr">
        <is>
          <t>Escavação mecânica e montagem armco PV 01</t>
        </is>
      </c>
      <c r="G310" s="7" t="inlineStr">
        <is>
          <t>01</t>
        </is>
      </c>
      <c r="H310" s="7" t="n"/>
      <c r="I310" s="7" t="inlineStr">
        <is>
          <t>01</t>
        </is>
      </c>
      <c r="J310" s="7" t="inlineStr">
        <is>
          <t>Escavação</t>
        </is>
      </c>
      <c r="K310" s="7" t="inlineStr">
        <is>
          <t>Planejamento</t>
        </is>
      </c>
      <c r="L310" s="16" t="inlineStr">
        <is>
          <t>PDS-janeiro(1).docx</t>
        </is>
      </c>
      <c r="M310">
        <f>IF($A310="","",TEXT($A310,"mmmm/yyyy"))</f>
        <v/>
      </c>
      <c r="P310">
        <f>IFERROR(_xludf.XLOOKUP($N310,Base_Enderecos!$A:$A,Base_Enderecos!$B:$B,""),"")</f>
        <v/>
      </c>
      <c r="Q310">
        <f>IFERROR(_xludf.XLOOKUP($N310,Base_Enderecos!$A:$A,Base_Enderecos!$C:$C,""),"")</f>
        <v/>
      </c>
      <c r="R310">
        <f>IF(OR(ISNUMBER(SEARCH("HDD",$F310)),ISNUMBER(SEARCH("MND",$F310)),ISNUMBER(SEARCH("PEAD",$F310)),ISNUMBER(SEARCH("Puxe",$J310)),ISNUMBER(SEARCH("Apoio HDD",$F310))),"MND",IF(OR(ISNUMBER(SEARCH("VCA",$F310)),ISNUMBER(SEARCH("PVC",$F310)),ISNUMBER(SEARCH("vca",$J310)),ISNUMBER(SEARCH("Transformação",$J310))),"VCA",IF(OR(ISNUMBER(SEARCH("crava",$F310)),ISNUMBER(SEARCH("tubo cravado",$F310)),ISNUMBER(SEARCH("shaft",$J310)),ISNUMBER(SEARCH("concreto",$F310))),"TUBO CRAVADO","")))</f>
        <v/>
      </c>
      <c r="T310">
        <f>IF($A310="","",TEXT($A310,"yyyymm")&amp;"|"&amp;$C310&amp;"|"&amp;$F310&amp;"|"&amp;$N310&amp;"|"&amp;$R310)</f>
        <v/>
      </c>
    </row>
    <row r="311" ht="11.55" customHeight="1">
      <c r="A311" s="10" t="n">
        <v>46031</v>
      </c>
      <c r="B311" s="7" t="inlineStr">
        <is>
          <t>Sexta</t>
        </is>
      </c>
      <c r="C311" s="7" t="inlineStr">
        <is>
          <t>CT Mar de Coral</t>
        </is>
      </c>
      <c r="D311" s="7" t="n"/>
      <c r="E311" s="7" t="inlineStr">
        <is>
          <t>Cesar</t>
        </is>
      </c>
      <c r="F311" s="13" t="inlineStr">
        <is>
          <t>Escavação mecânica PV 18</t>
        </is>
      </c>
      <c r="G311" s="7" t="inlineStr">
        <is>
          <t>18</t>
        </is>
      </c>
      <c r="H311" s="7" t="n"/>
      <c r="I311" s="7" t="inlineStr">
        <is>
          <t>18</t>
        </is>
      </c>
      <c r="J311" s="7" t="inlineStr">
        <is>
          <t>Escavação</t>
        </is>
      </c>
      <c r="K311" s="7" t="inlineStr">
        <is>
          <t>Planejamento</t>
        </is>
      </c>
      <c r="L311" s="16" t="inlineStr">
        <is>
          <t>PDS-janeiro(1).docx</t>
        </is>
      </c>
      <c r="M311">
        <f>IF($A311="","",TEXT($A311,"mmmm/yyyy"))</f>
        <v/>
      </c>
      <c r="P311">
        <f>IFERROR(_xludf.XLOOKUP($N311,Base_Enderecos!$A:$A,Base_Enderecos!$B:$B,""),"")</f>
        <v/>
      </c>
      <c r="Q311">
        <f>IFERROR(_xludf.XLOOKUP($N311,Base_Enderecos!$A:$A,Base_Enderecos!$C:$C,""),"")</f>
        <v/>
      </c>
      <c r="R311">
        <f>IF(OR(ISNUMBER(SEARCH("HDD",$F311)),ISNUMBER(SEARCH("MND",$F311)),ISNUMBER(SEARCH("PEAD",$F311)),ISNUMBER(SEARCH("Puxe",$J311)),ISNUMBER(SEARCH("Apoio HDD",$F311))),"MND",IF(OR(ISNUMBER(SEARCH("VCA",$F311)),ISNUMBER(SEARCH("PVC",$F311)),ISNUMBER(SEARCH("vca",$J311)),ISNUMBER(SEARCH("Transformação",$J311))),"VCA",IF(OR(ISNUMBER(SEARCH("crava",$F311)),ISNUMBER(SEARCH("tubo cravado",$F311)),ISNUMBER(SEARCH("shaft",$J311)),ISNUMBER(SEARCH("concreto",$F311))),"TUBO CRAVADO","")))</f>
        <v/>
      </c>
      <c r="T311">
        <f>IF($A311="","",TEXT($A311,"yyyymm")&amp;"|"&amp;$C311&amp;"|"&amp;$F311&amp;"|"&amp;$N311&amp;"|"&amp;$R311)</f>
        <v/>
      </c>
    </row>
    <row r="312" ht="11.55" customHeight="1">
      <c r="A312" s="10" t="n">
        <v>46031</v>
      </c>
      <c r="B312" s="7" t="inlineStr">
        <is>
          <t>Sexta</t>
        </is>
      </c>
      <c r="C312" s="7" t="inlineStr">
        <is>
          <t>CT Mar de Coral</t>
        </is>
      </c>
      <c r="D312" s="7" t="n"/>
      <c r="E312" s="7" t="inlineStr">
        <is>
          <t>Marcio</t>
        </is>
      </c>
      <c r="F312" s="13" t="inlineStr">
        <is>
          <t>Escavação mecânica e montagem armco PV 13</t>
        </is>
      </c>
      <c r="G312" s="7" t="inlineStr">
        <is>
          <t>13</t>
        </is>
      </c>
      <c r="H312" s="7" t="n"/>
      <c r="I312" s="7" t="inlineStr">
        <is>
          <t>13</t>
        </is>
      </c>
      <c r="J312" s="7" t="inlineStr">
        <is>
          <t>Escavação</t>
        </is>
      </c>
      <c r="K312" s="7" t="inlineStr">
        <is>
          <t>Planejamento</t>
        </is>
      </c>
      <c r="L312" s="16" t="inlineStr">
        <is>
          <t>PDS-janeiro(1).docx</t>
        </is>
      </c>
      <c r="M312">
        <f>IF($A312="","",TEXT($A312,"mmmm/yyyy"))</f>
        <v/>
      </c>
      <c r="P312">
        <f>IFERROR(_xludf.XLOOKUP($N312,Base_Enderecos!$A:$A,Base_Enderecos!$B:$B,""),"")</f>
        <v/>
      </c>
      <c r="Q312">
        <f>IFERROR(_xludf.XLOOKUP($N312,Base_Enderecos!$A:$A,Base_Enderecos!$C:$C,""),"")</f>
        <v/>
      </c>
      <c r="R312">
        <f>IF(OR(ISNUMBER(SEARCH("HDD",$F312)),ISNUMBER(SEARCH("MND",$F312)),ISNUMBER(SEARCH("PEAD",$F312)),ISNUMBER(SEARCH("Puxe",$J312)),ISNUMBER(SEARCH("Apoio HDD",$F312))),"MND",IF(OR(ISNUMBER(SEARCH("VCA",$F312)),ISNUMBER(SEARCH("PVC",$F312)),ISNUMBER(SEARCH("vca",$J312)),ISNUMBER(SEARCH("Transformação",$J312))),"VCA",IF(OR(ISNUMBER(SEARCH("crava",$F312)),ISNUMBER(SEARCH("tubo cravado",$F312)),ISNUMBER(SEARCH("shaft",$J312)),ISNUMBER(SEARCH("concreto",$F312))),"TUBO CRAVADO","")))</f>
        <v/>
      </c>
      <c r="T312">
        <f>IF($A312="","",TEXT($A312,"yyyymm")&amp;"|"&amp;$C312&amp;"|"&amp;$F312&amp;"|"&amp;$N312&amp;"|"&amp;$R312)</f>
        <v/>
      </c>
    </row>
    <row r="313" ht="11.55" customHeight="1">
      <c r="A313" s="10" t="n">
        <v>46031</v>
      </c>
      <c r="B313" s="7" t="inlineStr">
        <is>
          <t>Sexta</t>
        </is>
      </c>
      <c r="C313" s="7" t="inlineStr">
        <is>
          <t>CT Mar de Coral</t>
        </is>
      </c>
      <c r="D313" s="7" t="n"/>
      <c r="E313" s="7" t="inlineStr">
        <is>
          <t>Paulo</t>
        </is>
      </c>
      <c r="F313" s="13" t="inlineStr">
        <is>
          <t>Escavação mecânica e montagem armco PV 22</t>
        </is>
      </c>
      <c r="G313" s="7" t="inlineStr">
        <is>
          <t>22</t>
        </is>
      </c>
      <c r="H313" s="7" t="n"/>
      <c r="I313" s="7" t="inlineStr">
        <is>
          <t>22</t>
        </is>
      </c>
      <c r="J313" s="7" t="inlineStr">
        <is>
          <t>Escavação</t>
        </is>
      </c>
      <c r="K313" s="7" t="inlineStr">
        <is>
          <t>Planejamento</t>
        </is>
      </c>
      <c r="L313" s="16" t="inlineStr">
        <is>
          <t>PDS-janeiro(1).docx</t>
        </is>
      </c>
      <c r="M313">
        <f>IF($A313="","",TEXT($A313,"mmmm/yyyy"))</f>
        <v/>
      </c>
      <c r="P313">
        <f>IFERROR(_xludf.XLOOKUP($N313,Base_Enderecos!$A:$A,Base_Enderecos!$B:$B,""),"")</f>
        <v/>
      </c>
      <c r="Q313">
        <f>IFERROR(_xludf.XLOOKUP($N313,Base_Enderecos!$A:$A,Base_Enderecos!$C:$C,""),"")</f>
        <v/>
      </c>
      <c r="R313">
        <f>IF(OR(ISNUMBER(SEARCH("HDD",$F313)),ISNUMBER(SEARCH("MND",$F313)),ISNUMBER(SEARCH("PEAD",$F313)),ISNUMBER(SEARCH("Puxe",$J313)),ISNUMBER(SEARCH("Apoio HDD",$F313))),"MND",IF(OR(ISNUMBER(SEARCH("VCA",$F313)),ISNUMBER(SEARCH("PVC",$F313)),ISNUMBER(SEARCH("vca",$J313)),ISNUMBER(SEARCH("Transformação",$J313))),"VCA",IF(OR(ISNUMBER(SEARCH("crava",$F313)),ISNUMBER(SEARCH("tubo cravado",$F313)),ISNUMBER(SEARCH("shaft",$J313)),ISNUMBER(SEARCH("concreto",$F313))),"TUBO CRAVADO","")))</f>
        <v/>
      </c>
      <c r="T313">
        <f>IF($A313="","",TEXT($A313,"yyyymm")&amp;"|"&amp;$C313&amp;"|"&amp;$F313&amp;"|"&amp;$N313&amp;"|"&amp;$R313)</f>
        <v/>
      </c>
    </row>
    <row r="314" ht="11.55" customHeight="1">
      <c r="A314" s="10" t="n">
        <v>46031</v>
      </c>
      <c r="B314" s="7" t="inlineStr">
        <is>
          <t>Sexta</t>
        </is>
      </c>
      <c r="C314" s="7" t="inlineStr">
        <is>
          <t>CT Mar de Coral</t>
        </is>
      </c>
      <c r="D314" s="7" t="n"/>
      <c r="E314" s="7" t="inlineStr">
        <is>
          <t>Marcelo</t>
        </is>
      </c>
      <c r="F314" s="13" t="inlineStr">
        <is>
          <t>Transformação PV 02</t>
        </is>
      </c>
      <c r="G314" s="7" t="inlineStr">
        <is>
          <t>02</t>
        </is>
      </c>
      <c r="H314" s="7" t="n"/>
      <c r="I314" s="7" t="inlineStr">
        <is>
          <t>02</t>
        </is>
      </c>
      <c r="J314" s="7" t="inlineStr">
        <is>
          <t>Transformação</t>
        </is>
      </c>
      <c r="K314" s="7" t="inlineStr">
        <is>
          <t>Planejamento</t>
        </is>
      </c>
      <c r="L314" s="16" t="inlineStr">
        <is>
          <t>PDS-janeiro(1).docx</t>
        </is>
      </c>
      <c r="M314">
        <f>IF($A314="","",TEXT($A314,"mmmm/yyyy"))</f>
        <v/>
      </c>
      <c r="P314">
        <f>IFERROR(_xludf.XLOOKUP($N314,Base_Enderecos!$A:$A,Base_Enderecos!$B:$B,""),"")</f>
        <v/>
      </c>
      <c r="Q314">
        <f>IFERROR(_xludf.XLOOKUP($N314,Base_Enderecos!$A:$A,Base_Enderecos!$C:$C,""),"")</f>
        <v/>
      </c>
      <c r="R314">
        <f>IF(OR(ISNUMBER(SEARCH("HDD",$F314)),ISNUMBER(SEARCH("MND",$F314)),ISNUMBER(SEARCH("PEAD",$F314)),ISNUMBER(SEARCH("Puxe",$J314)),ISNUMBER(SEARCH("Apoio HDD",$F314))),"MND",IF(OR(ISNUMBER(SEARCH("VCA",$F314)),ISNUMBER(SEARCH("PVC",$F314)),ISNUMBER(SEARCH("vca",$J314)),ISNUMBER(SEARCH("Transformação",$J314))),"VCA",IF(OR(ISNUMBER(SEARCH("crava",$F314)),ISNUMBER(SEARCH("tubo cravado",$F314)),ISNUMBER(SEARCH("shaft",$J314)),ISNUMBER(SEARCH("concreto",$F314))),"TUBO CRAVADO","")))</f>
        <v/>
      </c>
      <c r="T314">
        <f>IF($A314="","",TEXT($A314,"yyyymm")&amp;"|"&amp;$C314&amp;"|"&amp;$F314&amp;"|"&amp;$N314&amp;"|"&amp;$R314)</f>
        <v/>
      </c>
    </row>
    <row r="315" ht="11.55" customHeight="1">
      <c r="A315" s="10" t="n">
        <v>46031</v>
      </c>
      <c r="B315" s="7" t="inlineStr">
        <is>
          <t>Sexta</t>
        </is>
      </c>
      <c r="C315" s="7" t="inlineStr">
        <is>
          <t>CT Mar de Coral</t>
        </is>
      </c>
      <c r="D315" s="7" t="n"/>
      <c r="E315" s="7" t="inlineStr">
        <is>
          <t>Edivando</t>
        </is>
      </c>
      <c r="F315" s="13" t="inlineStr">
        <is>
          <t>Transformação PV 5.10</t>
        </is>
      </c>
      <c r="G315" s="7" t="inlineStr">
        <is>
          <t>5.10</t>
        </is>
      </c>
      <c r="H315" s="7" t="n"/>
      <c r="I315" s="7" t="inlineStr">
        <is>
          <t>5.10</t>
        </is>
      </c>
      <c r="J315" s="7" t="inlineStr">
        <is>
          <t>Transformação</t>
        </is>
      </c>
      <c r="K315" s="7" t="inlineStr">
        <is>
          <t>Planejamento</t>
        </is>
      </c>
      <c r="L315" s="16" t="inlineStr">
        <is>
          <t>PDS-janeiro(1).docx</t>
        </is>
      </c>
      <c r="M315">
        <f>IF($A315="","",TEXT($A315,"mmmm/yyyy"))</f>
        <v/>
      </c>
      <c r="P315">
        <f>IFERROR(_xludf.XLOOKUP($N315,Base_Enderecos!$A:$A,Base_Enderecos!$B:$B,""),"")</f>
        <v/>
      </c>
      <c r="Q315">
        <f>IFERROR(_xludf.XLOOKUP($N315,Base_Enderecos!$A:$A,Base_Enderecos!$C:$C,""),"")</f>
        <v/>
      </c>
      <c r="R315">
        <f>IF(OR(ISNUMBER(SEARCH("HDD",$F315)),ISNUMBER(SEARCH("MND",$F315)),ISNUMBER(SEARCH("PEAD",$F315)),ISNUMBER(SEARCH("Puxe",$J315)),ISNUMBER(SEARCH("Apoio HDD",$F315))),"MND",IF(OR(ISNUMBER(SEARCH("VCA",$F315)),ISNUMBER(SEARCH("PVC",$F315)),ISNUMBER(SEARCH("vca",$J315)),ISNUMBER(SEARCH("Transformação",$J315))),"VCA",IF(OR(ISNUMBER(SEARCH("crava",$F315)),ISNUMBER(SEARCH("tubo cravado",$F315)),ISNUMBER(SEARCH("shaft",$J315)),ISNUMBER(SEARCH("concreto",$F315))),"TUBO CRAVADO","")))</f>
        <v/>
      </c>
      <c r="T315">
        <f>IF($A315="","",TEXT($A315,"yyyymm")&amp;"|"&amp;$C315&amp;"|"&amp;$F315&amp;"|"&amp;$N315&amp;"|"&amp;$R315)</f>
        <v/>
      </c>
    </row>
    <row r="316" ht="11.55" customHeight="1">
      <c r="A316" s="10" t="n">
        <v>46031</v>
      </c>
      <c r="B316" s="7" t="inlineStr">
        <is>
          <t>Sexta</t>
        </is>
      </c>
      <c r="C316" s="7" t="inlineStr">
        <is>
          <t>CT Mar de Coral</t>
        </is>
      </c>
      <c r="D316" s="7" t="n"/>
      <c r="E316" s="7" t="inlineStr">
        <is>
          <t>LS (Josivaldo)</t>
        </is>
      </c>
      <c r="F316" s="13" t="inlineStr">
        <is>
          <t>Escavação mecânica e montagem armco PV 09</t>
        </is>
      </c>
      <c r="G316" s="7" t="inlineStr">
        <is>
          <t>09</t>
        </is>
      </c>
      <c r="H316" s="7" t="n"/>
      <c r="I316" s="7" t="inlineStr">
        <is>
          <t>09</t>
        </is>
      </c>
      <c r="J316" s="7" t="inlineStr">
        <is>
          <t>Escavação</t>
        </is>
      </c>
      <c r="K316" s="7" t="inlineStr">
        <is>
          <t>Planejamento</t>
        </is>
      </c>
      <c r="L316" s="16" t="inlineStr">
        <is>
          <t>PDS-janeiro(1).docx</t>
        </is>
      </c>
      <c r="M316">
        <f>IF($A316="","",TEXT($A316,"mmmm/yyyy"))</f>
        <v/>
      </c>
      <c r="P316">
        <f>IFERROR(_xludf.XLOOKUP($N316,Base_Enderecos!$A:$A,Base_Enderecos!$B:$B,""),"")</f>
        <v/>
      </c>
      <c r="Q316">
        <f>IFERROR(_xludf.XLOOKUP($N316,Base_Enderecos!$A:$A,Base_Enderecos!$C:$C,""),"")</f>
        <v/>
      </c>
      <c r="R316">
        <f>IF(OR(ISNUMBER(SEARCH("HDD",$F316)),ISNUMBER(SEARCH("MND",$F316)),ISNUMBER(SEARCH("PEAD",$F316)),ISNUMBER(SEARCH("Puxe",$J316)),ISNUMBER(SEARCH("Apoio HDD",$F316))),"MND",IF(OR(ISNUMBER(SEARCH("VCA",$F316)),ISNUMBER(SEARCH("PVC",$F316)),ISNUMBER(SEARCH("vca",$J316)),ISNUMBER(SEARCH("Transformação",$J316))),"VCA",IF(OR(ISNUMBER(SEARCH("crava",$F316)),ISNUMBER(SEARCH("tubo cravado",$F316)),ISNUMBER(SEARCH("shaft",$J316)),ISNUMBER(SEARCH("concreto",$F316))),"TUBO CRAVADO","")))</f>
        <v/>
      </c>
      <c r="T316">
        <f>IF($A316="","",TEXT($A316,"yyyymm")&amp;"|"&amp;$C316&amp;"|"&amp;$F316&amp;"|"&amp;$N316&amp;"|"&amp;$R316)</f>
        <v/>
      </c>
    </row>
    <row r="317" ht="11.55" customHeight="1">
      <c r="A317" s="10" t="n">
        <v>46031</v>
      </c>
      <c r="B317" s="7" t="inlineStr">
        <is>
          <t>Sexta</t>
        </is>
      </c>
      <c r="C317" s="7" t="inlineStr">
        <is>
          <t>CT Mar de Coral</t>
        </is>
      </c>
      <c r="D317" s="7" t="n"/>
      <c r="E317" s="7" t="inlineStr">
        <is>
          <t>LS (Alex)</t>
        </is>
      </c>
      <c r="F317" s="13" t="inlineStr">
        <is>
          <t>Escavação mecânica e montagem armco PV 16</t>
        </is>
      </c>
      <c r="G317" s="7" t="inlineStr">
        <is>
          <t>16</t>
        </is>
      </c>
      <c r="H317" s="7" t="n"/>
      <c r="I317" s="7" t="inlineStr">
        <is>
          <t>16</t>
        </is>
      </c>
      <c r="J317" s="7" t="inlineStr">
        <is>
          <t>Escavação</t>
        </is>
      </c>
      <c r="K317" s="7" t="inlineStr">
        <is>
          <t>Planejamento</t>
        </is>
      </c>
      <c r="L317" s="16" t="inlineStr">
        <is>
          <t>PDS-janeiro(1).docx</t>
        </is>
      </c>
      <c r="M317">
        <f>IF($A317="","",TEXT($A317,"mmmm/yyyy"))</f>
        <v/>
      </c>
      <c r="P317">
        <f>IFERROR(_xludf.XLOOKUP($N317,Base_Enderecos!$A:$A,Base_Enderecos!$B:$B,""),"")</f>
        <v/>
      </c>
      <c r="Q317">
        <f>IFERROR(_xludf.XLOOKUP($N317,Base_Enderecos!$A:$A,Base_Enderecos!$C:$C,""),"")</f>
        <v/>
      </c>
      <c r="R317">
        <f>IF(OR(ISNUMBER(SEARCH("HDD",$F317)),ISNUMBER(SEARCH("MND",$F317)),ISNUMBER(SEARCH("PEAD",$F317)),ISNUMBER(SEARCH("Puxe",$J317)),ISNUMBER(SEARCH("Apoio HDD",$F317))),"MND",IF(OR(ISNUMBER(SEARCH("VCA",$F317)),ISNUMBER(SEARCH("PVC",$F317)),ISNUMBER(SEARCH("vca",$J317)),ISNUMBER(SEARCH("Transformação",$J317))),"VCA",IF(OR(ISNUMBER(SEARCH("crava",$F317)),ISNUMBER(SEARCH("tubo cravado",$F317)),ISNUMBER(SEARCH("shaft",$J317)),ISNUMBER(SEARCH("concreto",$F317))),"TUBO CRAVADO","")))</f>
        <v/>
      </c>
      <c r="T317">
        <f>IF($A317="","",TEXT($A317,"yyyymm")&amp;"|"&amp;$C317&amp;"|"&amp;$F317&amp;"|"&amp;$N317&amp;"|"&amp;$R317)</f>
        <v/>
      </c>
    </row>
    <row r="318" ht="11.55" customHeight="1">
      <c r="A318" s="10" t="n">
        <v>46031</v>
      </c>
      <c r="B318" s="7" t="inlineStr">
        <is>
          <t>Sexta</t>
        </is>
      </c>
      <c r="C318" s="7" t="inlineStr">
        <is>
          <t>CT Mar de Coral</t>
        </is>
      </c>
      <c r="D318" s="7" t="n"/>
      <c r="E318" s="7" t="inlineStr">
        <is>
          <t>Bruno (Work Drill)</t>
        </is>
      </c>
      <c r="F318" s="13" t="inlineStr">
        <is>
          <t>Retirada cabeça de puxe PV 03 Preparação furo piloto entre PVs 03 ao 04</t>
        </is>
      </c>
      <c r="G318" s="7" t="inlineStr">
        <is>
          <t>03</t>
        </is>
      </c>
      <c r="H318" s="7" t="inlineStr">
        <is>
          <t>03</t>
        </is>
      </c>
      <c r="I318" s="7" t="inlineStr">
        <is>
          <t>03, 03</t>
        </is>
      </c>
      <c r="J318" s="7" t="inlineStr">
        <is>
          <t>Furo piloto</t>
        </is>
      </c>
      <c r="K318" s="7" t="inlineStr">
        <is>
          <t>Planejamento</t>
        </is>
      </c>
      <c r="L318" s="16" t="inlineStr">
        <is>
          <t>PDS-janeiro(1).docx</t>
        </is>
      </c>
      <c r="M318">
        <f>IF($A318="","",TEXT($A318,"mmmm/yyyy"))</f>
        <v/>
      </c>
      <c r="P318">
        <f>IFERROR(_xludf.XLOOKUP($N318,Base_Enderecos!$A:$A,Base_Enderecos!$B:$B,""),"")</f>
        <v/>
      </c>
      <c r="Q318">
        <f>IFERROR(_xludf.XLOOKUP($N318,Base_Enderecos!$A:$A,Base_Enderecos!$C:$C,""),"")</f>
        <v/>
      </c>
      <c r="R318">
        <f>IF(OR(ISNUMBER(SEARCH("HDD",$F318)),ISNUMBER(SEARCH("MND",$F318)),ISNUMBER(SEARCH("PEAD",$F318)),ISNUMBER(SEARCH("Puxe",$J318)),ISNUMBER(SEARCH("Apoio HDD",$F318))),"MND",IF(OR(ISNUMBER(SEARCH("VCA",$F318)),ISNUMBER(SEARCH("PVC",$F318)),ISNUMBER(SEARCH("vca",$J318)),ISNUMBER(SEARCH("Transformação",$J318))),"VCA",IF(OR(ISNUMBER(SEARCH("crava",$F318)),ISNUMBER(SEARCH("tubo cravado",$F318)),ISNUMBER(SEARCH("shaft",$J318)),ISNUMBER(SEARCH("concreto",$F318))),"TUBO CRAVADO","")))</f>
        <v/>
      </c>
      <c r="T318">
        <f>IF($A318="","",TEXT($A318,"yyyymm")&amp;"|"&amp;$C318&amp;"|"&amp;$F318&amp;"|"&amp;$N318&amp;"|"&amp;$R318)</f>
        <v/>
      </c>
    </row>
    <row r="319" ht="11.55" customHeight="1">
      <c r="A319" s="10" t="n">
        <v>46031</v>
      </c>
      <c r="B319" s="7" t="inlineStr">
        <is>
          <t>Sexta</t>
        </is>
      </c>
      <c r="C319" s="7" t="inlineStr">
        <is>
          <t>CT Mar de Coral</t>
        </is>
      </c>
      <c r="D319" s="7" t="n"/>
      <c r="E319" s="7" t="inlineStr">
        <is>
          <t>Fabrício</t>
        </is>
      </c>
      <c r="F319" s="13" t="inlineStr">
        <is>
          <t>Apoio HDD entre PVs 01 ao 03 e 03 ao 04</t>
        </is>
      </c>
      <c r="G319" s="7" t="inlineStr">
        <is>
          <t>01</t>
        </is>
      </c>
      <c r="H319" s="7" t="n"/>
      <c r="I319" s="7" t="inlineStr">
        <is>
          <t>01</t>
        </is>
      </c>
      <c r="J319" s="7" t="inlineStr">
        <is>
          <t>Apoio HDD</t>
        </is>
      </c>
      <c r="K319" s="7" t="inlineStr">
        <is>
          <t>Planejamento</t>
        </is>
      </c>
      <c r="L319" s="16" t="inlineStr">
        <is>
          <t>PDS-janeiro(1).docx</t>
        </is>
      </c>
      <c r="M319">
        <f>IF($A319="","",TEXT($A319,"mmmm/yyyy"))</f>
        <v/>
      </c>
      <c r="P319">
        <f>IFERROR(_xludf.XLOOKUP($N319,Base_Enderecos!$A:$A,Base_Enderecos!$B:$B,""),"")</f>
        <v/>
      </c>
      <c r="Q319">
        <f>IFERROR(_xludf.XLOOKUP($N319,Base_Enderecos!$A:$A,Base_Enderecos!$C:$C,""),"")</f>
        <v/>
      </c>
      <c r="R319">
        <f>IF(OR(ISNUMBER(SEARCH("HDD",$F319)),ISNUMBER(SEARCH("MND",$F319)),ISNUMBER(SEARCH("PEAD",$F319)),ISNUMBER(SEARCH("Puxe",$J319)),ISNUMBER(SEARCH("Apoio HDD",$F319))),"MND",IF(OR(ISNUMBER(SEARCH("VCA",$F319)),ISNUMBER(SEARCH("PVC",$F319)),ISNUMBER(SEARCH("vca",$J319)),ISNUMBER(SEARCH("Transformação",$J319))),"VCA",IF(OR(ISNUMBER(SEARCH("crava",$F319)),ISNUMBER(SEARCH("tubo cravado",$F319)),ISNUMBER(SEARCH("shaft",$J319)),ISNUMBER(SEARCH("concreto",$F319))),"TUBO CRAVADO","")))</f>
        <v/>
      </c>
      <c r="T319">
        <f>IF($A319="","",TEXT($A319,"yyyymm")&amp;"|"&amp;$C319&amp;"|"&amp;$F319&amp;"|"&amp;$N319&amp;"|"&amp;$R319)</f>
        <v/>
      </c>
    </row>
    <row r="320" ht="11.55" customHeight="1">
      <c r="A320" s="10" t="n">
        <v>46031</v>
      </c>
      <c r="B320" s="7" t="inlineStr">
        <is>
          <t>Sexta</t>
        </is>
      </c>
      <c r="C320" s="7" t="inlineStr">
        <is>
          <t>CT Mar de Coral</t>
        </is>
      </c>
      <c r="D320" s="7" t="n"/>
      <c r="E320" s="7" t="inlineStr">
        <is>
          <t>WJ (Edson)</t>
        </is>
      </c>
      <c r="F320" s="13" t="inlineStr">
        <is>
          <t>Execução furo piloto entre PVs 05 ao 08</t>
        </is>
      </c>
      <c r="G320" s="7" t="inlineStr">
        <is>
          <t>05</t>
        </is>
      </c>
      <c r="H320" s="7" t="n"/>
      <c r="I320" s="7" t="inlineStr">
        <is>
          <t>05</t>
        </is>
      </c>
      <c r="J320" s="7" t="inlineStr">
        <is>
          <t>Furo piloto</t>
        </is>
      </c>
      <c r="K320" s="7" t="inlineStr">
        <is>
          <t>Planejamento</t>
        </is>
      </c>
      <c r="L320" s="16" t="inlineStr">
        <is>
          <t>PDS-janeiro(1).docx</t>
        </is>
      </c>
      <c r="M320">
        <f>IF($A320="","",TEXT($A320,"mmmm/yyyy"))</f>
        <v/>
      </c>
      <c r="P320">
        <f>IFERROR(_xludf.XLOOKUP($N320,Base_Enderecos!$A:$A,Base_Enderecos!$B:$B,""),"")</f>
        <v/>
      </c>
      <c r="Q320">
        <f>IFERROR(_xludf.XLOOKUP($N320,Base_Enderecos!$A:$A,Base_Enderecos!$C:$C,""),"")</f>
        <v/>
      </c>
      <c r="R320">
        <f>IF(OR(ISNUMBER(SEARCH("HDD",$F320)),ISNUMBER(SEARCH("MND",$F320)),ISNUMBER(SEARCH("PEAD",$F320)),ISNUMBER(SEARCH("Puxe",$J320)),ISNUMBER(SEARCH("Apoio HDD",$F320))),"MND",IF(OR(ISNUMBER(SEARCH("VCA",$F320)),ISNUMBER(SEARCH("PVC",$F320)),ISNUMBER(SEARCH("vca",$J320)),ISNUMBER(SEARCH("Transformação",$J320))),"VCA",IF(OR(ISNUMBER(SEARCH("crava",$F320)),ISNUMBER(SEARCH("tubo cravado",$F320)),ISNUMBER(SEARCH("shaft",$J320)),ISNUMBER(SEARCH("concreto",$F320))),"TUBO CRAVADO","")))</f>
        <v/>
      </c>
      <c r="T320">
        <f>IF($A320="","",TEXT($A320,"yyyymm")&amp;"|"&amp;$C320&amp;"|"&amp;$F320&amp;"|"&amp;$N320&amp;"|"&amp;$R320)</f>
        <v/>
      </c>
    </row>
    <row r="321" ht="11.55" customHeight="1">
      <c r="A321" s="10" t="n">
        <v>46031</v>
      </c>
      <c r="B321" s="7" t="inlineStr">
        <is>
          <t>Sexta</t>
        </is>
      </c>
      <c r="C321" s="7" t="inlineStr">
        <is>
          <t>CT Mar de Coral</t>
        </is>
      </c>
      <c r="D321" s="7" t="n"/>
      <c r="E321" s="7" t="inlineStr">
        <is>
          <t>Natalino</t>
        </is>
      </c>
      <c r="F321" s="13" t="inlineStr">
        <is>
          <t>Apoio HDD entre PVs 05 ao 08</t>
        </is>
      </c>
      <c r="G321" s="7" t="inlineStr">
        <is>
          <t>05</t>
        </is>
      </c>
      <c r="H321" s="7" t="n"/>
      <c r="I321" s="7" t="inlineStr">
        <is>
          <t>05</t>
        </is>
      </c>
      <c r="J321" s="7" t="inlineStr">
        <is>
          <t>Apoio HDD</t>
        </is>
      </c>
      <c r="K321" s="7" t="inlineStr">
        <is>
          <t>Planejamento</t>
        </is>
      </c>
      <c r="L321" s="16" t="inlineStr">
        <is>
          <t>PDS-janeiro(1).docx</t>
        </is>
      </c>
      <c r="M321">
        <f>IF($A321="","",TEXT($A321,"mmmm/yyyy"))</f>
        <v/>
      </c>
      <c r="P321">
        <f>IFERROR(_xludf.XLOOKUP($N321,Base_Enderecos!$A:$A,Base_Enderecos!$B:$B,""),"")</f>
        <v/>
      </c>
      <c r="Q321">
        <f>IFERROR(_xludf.XLOOKUP($N321,Base_Enderecos!$A:$A,Base_Enderecos!$C:$C,""),"")</f>
        <v/>
      </c>
      <c r="R321">
        <f>IF(OR(ISNUMBER(SEARCH("HDD",$F321)),ISNUMBER(SEARCH("MND",$F321)),ISNUMBER(SEARCH("PEAD",$F321)),ISNUMBER(SEARCH("Puxe",$J321)),ISNUMBER(SEARCH("Apoio HDD",$F321))),"MND",IF(OR(ISNUMBER(SEARCH("VCA",$F321)),ISNUMBER(SEARCH("PVC",$F321)),ISNUMBER(SEARCH("vca",$J321)),ISNUMBER(SEARCH("Transformação",$J321))),"VCA",IF(OR(ISNUMBER(SEARCH("crava",$F321)),ISNUMBER(SEARCH("tubo cravado",$F321)),ISNUMBER(SEARCH("shaft",$J321)),ISNUMBER(SEARCH("concreto",$F321))),"TUBO CRAVADO","")))</f>
        <v/>
      </c>
      <c r="T321">
        <f>IF($A321="","",TEXT($A321,"yyyymm")&amp;"|"&amp;$C321&amp;"|"&amp;$F321&amp;"|"&amp;$N321&amp;"|"&amp;$R321)</f>
        <v/>
      </c>
    </row>
    <row r="322" ht="11.55" customHeight="1">
      <c r="A322" s="10" t="n">
        <v>46031</v>
      </c>
      <c r="B322" s="7" t="inlineStr">
        <is>
          <t>Sexta</t>
        </is>
      </c>
      <c r="C322" s="7" t="inlineStr">
        <is>
          <t>Vacal</t>
        </is>
      </c>
      <c r="D322" s="7" t="n"/>
      <c r="E322" s="7" t="inlineStr">
        <is>
          <t>Mar de Coral</t>
        </is>
      </c>
      <c r="F322" s="13" t="inlineStr">
        <is>
          <t>Apoio Vacal</t>
        </is>
      </c>
      <c r="G322" s="7" t="n"/>
      <c r="H322" s="7" t="n"/>
      <c r="I322" s="7" t="n"/>
      <c r="J322" s="7" t="inlineStr">
        <is>
          <t>Vacal</t>
        </is>
      </c>
      <c r="K322" s="7" t="inlineStr">
        <is>
          <t>Apoio</t>
        </is>
      </c>
      <c r="L322" s="16" t="inlineStr">
        <is>
          <t>PDS-janeiro(1).docx</t>
        </is>
      </c>
      <c r="M322">
        <f>IF($A322="","",TEXT($A322,"mmmm/yyyy"))</f>
        <v/>
      </c>
      <c r="P322">
        <f>IFERROR(_xludf.XLOOKUP($N322,Base_Enderecos!$A:$A,Base_Enderecos!$B:$B,""),"")</f>
        <v/>
      </c>
      <c r="Q322">
        <f>IFERROR(_xludf.XLOOKUP($N322,Base_Enderecos!$A:$A,Base_Enderecos!$C:$C,""),"")</f>
        <v/>
      </c>
      <c r="R322">
        <f>IF(OR(ISNUMBER(SEARCH("HDD",$F322)),ISNUMBER(SEARCH("MND",$F322)),ISNUMBER(SEARCH("PEAD",$F322)),ISNUMBER(SEARCH("Puxe",$J322)),ISNUMBER(SEARCH("Apoio HDD",$F322))),"MND",IF(OR(ISNUMBER(SEARCH("VCA",$F322)),ISNUMBER(SEARCH("PVC",$F322)),ISNUMBER(SEARCH("vca",$J322)),ISNUMBER(SEARCH("Transformação",$J322))),"VCA",IF(OR(ISNUMBER(SEARCH("crava",$F322)),ISNUMBER(SEARCH("tubo cravado",$F322)),ISNUMBER(SEARCH("shaft",$J322)),ISNUMBER(SEARCH("concreto",$F322))),"TUBO CRAVADO","")))</f>
        <v/>
      </c>
      <c r="T322">
        <f>IF($A322="","",TEXT($A322,"yyyymm")&amp;"|"&amp;$C322&amp;"|"&amp;$F322&amp;"|"&amp;$N322&amp;"|"&amp;$R322)</f>
        <v/>
      </c>
    </row>
    <row r="323" ht="11.55" customHeight="1">
      <c r="A323" s="10" t="n">
        <v>46031</v>
      </c>
      <c r="B323" s="7" t="inlineStr">
        <is>
          <t>Sexta</t>
        </is>
      </c>
      <c r="C323" s="7" t="inlineStr">
        <is>
          <t>Vacal</t>
        </is>
      </c>
      <c r="D323" s="7" t="n"/>
      <c r="E323" s="7" t="inlineStr">
        <is>
          <t>Mar de Coral</t>
        </is>
      </c>
      <c r="F323" s="13" t="inlineStr">
        <is>
          <t>Apoio Vacal</t>
        </is>
      </c>
      <c r="G323" s="7" t="n"/>
      <c r="H323" s="7" t="n"/>
      <c r="I323" s="7" t="n"/>
      <c r="J323" s="7" t="inlineStr">
        <is>
          <t>Vacal</t>
        </is>
      </c>
      <c r="K323" s="7" t="inlineStr">
        <is>
          <t>Apoio</t>
        </is>
      </c>
      <c r="L323" s="16" t="inlineStr">
        <is>
          <t>PDS-janeiro(1).docx</t>
        </is>
      </c>
      <c r="M323">
        <f>IF($A323="","",TEXT($A323,"mmmm/yyyy"))</f>
        <v/>
      </c>
      <c r="P323">
        <f>IFERROR(_xludf.XLOOKUP($N323,Base_Enderecos!$A:$A,Base_Enderecos!$B:$B,""),"")</f>
        <v/>
      </c>
      <c r="Q323">
        <f>IFERROR(_xludf.XLOOKUP($N323,Base_Enderecos!$A:$A,Base_Enderecos!$C:$C,""),"")</f>
        <v/>
      </c>
      <c r="R323">
        <f>IF(OR(ISNUMBER(SEARCH("HDD",$F323)),ISNUMBER(SEARCH("MND",$F323)),ISNUMBER(SEARCH("PEAD",$F323)),ISNUMBER(SEARCH("Puxe",$J323)),ISNUMBER(SEARCH("Apoio HDD",$F323))),"MND",IF(OR(ISNUMBER(SEARCH("VCA",$F323)),ISNUMBER(SEARCH("PVC",$F323)),ISNUMBER(SEARCH("vca",$J323)),ISNUMBER(SEARCH("Transformação",$J323))),"VCA",IF(OR(ISNUMBER(SEARCH("crava",$F323)),ISNUMBER(SEARCH("tubo cravado",$F323)),ISNUMBER(SEARCH("shaft",$J323)),ISNUMBER(SEARCH("concreto",$F323))),"TUBO CRAVADO","")))</f>
        <v/>
      </c>
      <c r="T323">
        <f>IF($A323="","",TEXT($A323,"yyyymm")&amp;"|"&amp;$C323&amp;"|"&amp;$F323&amp;"|"&amp;$N323&amp;"|"&amp;$R323)</f>
        <v/>
      </c>
    </row>
    <row r="324" ht="11.55" customHeight="1">
      <c r="A324" s="10" t="n">
        <v>46031</v>
      </c>
      <c r="B324" s="7" t="inlineStr">
        <is>
          <t>Sexta</t>
        </is>
      </c>
      <c r="C324" s="7" t="inlineStr">
        <is>
          <t>Guindauto</t>
        </is>
      </c>
      <c r="D324" s="7" t="n"/>
      <c r="E324" s="7" t="inlineStr">
        <is>
          <t>Rodrigo apoio as equipes</t>
        </is>
      </c>
      <c r="F324" s="13" t="inlineStr">
        <is>
          <t>Rodrigo apoio as equipes</t>
        </is>
      </c>
      <c r="G324" s="7" t="n"/>
      <c r="H324" s="7" t="n"/>
      <c r="I324" s="7" t="n"/>
      <c r="J324" s="7" t="inlineStr">
        <is>
          <t>Guindauto</t>
        </is>
      </c>
      <c r="K324" s="7" t="inlineStr">
        <is>
          <t>Apoio</t>
        </is>
      </c>
      <c r="L324" s="16" t="inlineStr">
        <is>
          <t>PDS-janeiro(1).docx</t>
        </is>
      </c>
      <c r="M324">
        <f>IF($A324="","",TEXT($A324,"mmmm/yyyy"))</f>
        <v/>
      </c>
      <c r="P324">
        <f>IFERROR(_xludf.XLOOKUP($N324,Base_Enderecos!$A:$A,Base_Enderecos!$B:$B,""),"")</f>
        <v/>
      </c>
      <c r="Q324">
        <f>IFERROR(_xludf.XLOOKUP($N324,Base_Enderecos!$A:$A,Base_Enderecos!$C:$C,""),"")</f>
        <v/>
      </c>
      <c r="R324">
        <f>IF(OR(ISNUMBER(SEARCH("HDD",$F324)),ISNUMBER(SEARCH("MND",$F324)),ISNUMBER(SEARCH("PEAD",$F324)),ISNUMBER(SEARCH("Puxe",$J324)),ISNUMBER(SEARCH("Apoio HDD",$F324))),"MND",IF(OR(ISNUMBER(SEARCH("VCA",$F324)),ISNUMBER(SEARCH("PVC",$F324)),ISNUMBER(SEARCH("vca",$J324)),ISNUMBER(SEARCH("Transformação",$J324))),"VCA",IF(OR(ISNUMBER(SEARCH("crava",$F324)),ISNUMBER(SEARCH("tubo cravado",$F324)),ISNUMBER(SEARCH("shaft",$J324)),ISNUMBER(SEARCH("concreto",$F324))),"TUBO CRAVADO","")))</f>
        <v/>
      </c>
      <c r="T324">
        <f>IF($A324="","",TEXT($A324,"yyyymm")&amp;"|"&amp;$C324&amp;"|"&amp;$F324&amp;"|"&amp;$N324&amp;"|"&amp;$R324)</f>
        <v/>
      </c>
    </row>
    <row r="325" ht="11.55" customHeight="1">
      <c r="A325" s="10" t="n">
        <v>46031</v>
      </c>
      <c r="B325" s="7" t="inlineStr">
        <is>
          <t>Sexta</t>
        </is>
      </c>
      <c r="C325" s="7" t="inlineStr">
        <is>
          <t>Guindauto</t>
        </is>
      </c>
      <c r="D325" s="7" t="n"/>
      <c r="E325" s="7" t="inlineStr">
        <is>
          <t>Marcio</t>
        </is>
      </c>
      <c r="F325" s="13" t="inlineStr">
        <is>
          <t>Marcio</t>
        </is>
      </c>
      <c r="G325" s="7" t="n"/>
      <c r="H325" s="7" t="n"/>
      <c r="I325" s="7" t="n"/>
      <c r="J325" s="7" t="inlineStr">
        <is>
          <t>Guindauto</t>
        </is>
      </c>
      <c r="K325" s="7" t="inlineStr">
        <is>
          <t>Apoio</t>
        </is>
      </c>
      <c r="L325" s="16" t="inlineStr">
        <is>
          <t>PDS-janeiro(1).docx</t>
        </is>
      </c>
      <c r="M325">
        <f>IF($A325="","",TEXT($A325,"mmmm/yyyy"))</f>
        <v/>
      </c>
      <c r="P325">
        <f>IFERROR(_xludf.XLOOKUP($N325,Base_Enderecos!$A:$A,Base_Enderecos!$B:$B,""),"")</f>
        <v/>
      </c>
      <c r="Q325">
        <f>IFERROR(_xludf.XLOOKUP($N325,Base_Enderecos!$A:$A,Base_Enderecos!$C:$C,""),"")</f>
        <v/>
      </c>
      <c r="R325">
        <f>IF(OR(ISNUMBER(SEARCH("HDD",$F325)),ISNUMBER(SEARCH("MND",$F325)),ISNUMBER(SEARCH("PEAD",$F325)),ISNUMBER(SEARCH("Puxe",$J325)),ISNUMBER(SEARCH("Apoio HDD",$F325))),"MND",IF(OR(ISNUMBER(SEARCH("VCA",$F325)),ISNUMBER(SEARCH("PVC",$F325)),ISNUMBER(SEARCH("vca",$J325)),ISNUMBER(SEARCH("Transformação",$J325))),"VCA",IF(OR(ISNUMBER(SEARCH("crava",$F325)),ISNUMBER(SEARCH("tubo cravado",$F325)),ISNUMBER(SEARCH("shaft",$J325)),ISNUMBER(SEARCH("concreto",$F325))),"TUBO CRAVADO","")))</f>
        <v/>
      </c>
      <c r="T325">
        <f>IF($A325="","",TEXT($A325,"yyyymm")&amp;"|"&amp;$C325&amp;"|"&amp;$F325&amp;"|"&amp;$N325&amp;"|"&amp;$R325)</f>
        <v/>
      </c>
    </row>
    <row r="326" ht="11.55" customHeight="1">
      <c r="A326" s="10" t="n">
        <v>46034</v>
      </c>
      <c r="B326" s="7" t="inlineStr">
        <is>
          <t>Segunda</t>
        </is>
      </c>
      <c r="C326" s="7" t="inlineStr">
        <is>
          <t>CT Lageado</t>
        </is>
      </c>
      <c r="D326" s="7" t="n"/>
      <c r="E326" s="7" t="inlineStr">
        <is>
          <t>Higor</t>
        </is>
      </c>
      <c r="F326" s="13" t="inlineStr">
        <is>
          <t>Ajuste PV 5.1</t>
        </is>
      </c>
      <c r="G326" s="7" t="inlineStr">
        <is>
          <t>5.1</t>
        </is>
      </c>
      <c r="H326" s="7" t="n"/>
      <c r="I326" s="7" t="inlineStr">
        <is>
          <t>5.1</t>
        </is>
      </c>
      <c r="J326" s="7" t="n"/>
      <c r="K326" s="7" t="inlineStr">
        <is>
          <t>Planejamento</t>
        </is>
      </c>
      <c r="L326" s="16" t="inlineStr">
        <is>
          <t>PDS-janeiro(1).docx</t>
        </is>
      </c>
      <c r="M326">
        <f>IF($A326="","",TEXT($A326,"mmmm/yyyy"))</f>
        <v/>
      </c>
      <c r="P326">
        <f>IFERROR(_xludf.XLOOKUP($N326,Base_Enderecos!$A:$A,Base_Enderecos!$B:$B,""),"")</f>
        <v/>
      </c>
      <c r="Q326">
        <f>IFERROR(_xludf.XLOOKUP($N326,Base_Enderecos!$A:$A,Base_Enderecos!$C:$C,""),"")</f>
        <v/>
      </c>
      <c r="R326">
        <f>IF(OR(ISNUMBER(SEARCH("HDD",$F326)),ISNUMBER(SEARCH("MND",$F326)),ISNUMBER(SEARCH("PEAD",$F326)),ISNUMBER(SEARCH("Puxe",$J326)),ISNUMBER(SEARCH("Apoio HDD",$F326))),"MND",IF(OR(ISNUMBER(SEARCH("VCA",$F326)),ISNUMBER(SEARCH("PVC",$F326)),ISNUMBER(SEARCH("vca",$J326)),ISNUMBER(SEARCH("Transformação",$J326))),"VCA",IF(OR(ISNUMBER(SEARCH("crava",$F326)),ISNUMBER(SEARCH("tubo cravado",$F326)),ISNUMBER(SEARCH("shaft",$J326)),ISNUMBER(SEARCH("concreto",$F326))),"TUBO CRAVADO","")))</f>
        <v/>
      </c>
      <c r="T326">
        <f>IF($A326="","",TEXT($A326,"yyyymm")&amp;"|"&amp;$C326&amp;"|"&amp;$F326&amp;"|"&amp;$N326&amp;"|"&amp;$R326)</f>
        <v/>
      </c>
    </row>
    <row r="327" ht="11.55" customHeight="1">
      <c r="A327" s="10" t="n">
        <v>46034</v>
      </c>
      <c r="B327" s="7" t="inlineStr">
        <is>
          <t>Segunda</t>
        </is>
      </c>
      <c r="C327" s="7" t="inlineStr">
        <is>
          <t>CT Lourdes</t>
        </is>
      </c>
      <c r="D327" s="7" t="n"/>
      <c r="E327" s="7" t="inlineStr">
        <is>
          <t>Paulo</t>
        </is>
      </c>
      <c r="F327" s="13" t="inlineStr">
        <is>
          <t>Transformação PV 22</t>
        </is>
      </c>
      <c r="G327" s="7" t="inlineStr">
        <is>
          <t>22</t>
        </is>
      </c>
      <c r="H327" s="7" t="n"/>
      <c r="I327" s="7" t="inlineStr">
        <is>
          <t>22</t>
        </is>
      </c>
      <c r="J327" s="7" t="inlineStr">
        <is>
          <t>Transformação</t>
        </is>
      </c>
      <c r="K327" s="7" t="inlineStr">
        <is>
          <t>Planejamento</t>
        </is>
      </c>
      <c r="L327" s="16" t="inlineStr">
        <is>
          <t>PDS-janeiro(1).docx</t>
        </is>
      </c>
      <c r="M327">
        <f>IF($A327="","",TEXT($A327,"mmmm/yyyy"))</f>
        <v/>
      </c>
      <c r="P327">
        <f>IFERROR(_xludf.XLOOKUP($N327,Base_Enderecos!$A:$A,Base_Enderecos!$B:$B,""),"")</f>
        <v/>
      </c>
      <c r="Q327">
        <f>IFERROR(_xludf.XLOOKUP($N327,Base_Enderecos!$A:$A,Base_Enderecos!$C:$C,""),"")</f>
        <v/>
      </c>
      <c r="R327">
        <f>IF(OR(ISNUMBER(SEARCH("HDD",$F327)),ISNUMBER(SEARCH("MND",$F327)),ISNUMBER(SEARCH("PEAD",$F327)),ISNUMBER(SEARCH("Puxe",$J327)),ISNUMBER(SEARCH("Apoio HDD",$F327))),"MND",IF(OR(ISNUMBER(SEARCH("VCA",$F327)),ISNUMBER(SEARCH("PVC",$F327)),ISNUMBER(SEARCH("vca",$J327)),ISNUMBER(SEARCH("Transformação",$J327))),"VCA",IF(OR(ISNUMBER(SEARCH("crava",$F327)),ISNUMBER(SEARCH("tubo cravado",$F327)),ISNUMBER(SEARCH("shaft",$J327)),ISNUMBER(SEARCH("concreto",$F327))),"TUBO CRAVADO","")))</f>
        <v/>
      </c>
      <c r="T327">
        <f>IF($A327="","",TEXT($A327,"yyyymm")&amp;"|"&amp;$C327&amp;"|"&amp;$F327&amp;"|"&amp;$N327&amp;"|"&amp;$R327)</f>
        <v/>
      </c>
    </row>
    <row r="328" ht="11.55" customHeight="1">
      <c r="A328" s="10" t="n">
        <v>46034</v>
      </c>
      <c r="B328" s="7" t="inlineStr">
        <is>
          <t>Segunda</t>
        </is>
      </c>
      <c r="C328" s="7" t="inlineStr">
        <is>
          <t>CT Mar de Coral</t>
        </is>
      </c>
      <c r="D328" s="7" t="n"/>
      <c r="E328" s="7" t="inlineStr">
        <is>
          <t>Valter</t>
        </is>
      </c>
      <c r="F328" s="13" t="inlineStr">
        <is>
          <t>Execução VCA entre PV 01 e jusante</t>
        </is>
      </c>
      <c r="G328" s="7" t="inlineStr">
        <is>
          <t>01</t>
        </is>
      </c>
      <c r="H328" s="7" t="n"/>
      <c r="I328" s="7" t="inlineStr">
        <is>
          <t>01</t>
        </is>
      </c>
      <c r="J328" s="7" t="inlineStr">
        <is>
          <t>VCA</t>
        </is>
      </c>
      <c r="K328" s="7" t="inlineStr">
        <is>
          <t>Planejamento</t>
        </is>
      </c>
      <c r="L328" s="16" t="inlineStr">
        <is>
          <t>PDS-janeiro(1).docx</t>
        </is>
      </c>
      <c r="M328">
        <f>IF($A328="","",TEXT($A328,"mmmm/yyyy"))</f>
        <v/>
      </c>
      <c r="P328">
        <f>IFERROR(_xludf.XLOOKUP($N328,Base_Enderecos!$A:$A,Base_Enderecos!$B:$B,""),"")</f>
        <v/>
      </c>
      <c r="Q328">
        <f>IFERROR(_xludf.XLOOKUP($N328,Base_Enderecos!$A:$A,Base_Enderecos!$C:$C,""),"")</f>
        <v/>
      </c>
      <c r="R328">
        <f>IF(OR(ISNUMBER(SEARCH("HDD",$F328)),ISNUMBER(SEARCH("MND",$F328)),ISNUMBER(SEARCH("PEAD",$F328)),ISNUMBER(SEARCH("Puxe",$J328)),ISNUMBER(SEARCH("Apoio HDD",$F328))),"MND",IF(OR(ISNUMBER(SEARCH("VCA",$F328)),ISNUMBER(SEARCH("PVC",$F328)),ISNUMBER(SEARCH("vca",$J328)),ISNUMBER(SEARCH("Transformação",$J328))),"VCA",IF(OR(ISNUMBER(SEARCH("crava",$F328)),ISNUMBER(SEARCH("tubo cravado",$F328)),ISNUMBER(SEARCH("shaft",$J328)),ISNUMBER(SEARCH("concreto",$F328))),"TUBO CRAVADO","")))</f>
        <v/>
      </c>
      <c r="T328">
        <f>IF($A328="","",TEXT($A328,"yyyymm")&amp;"|"&amp;$C328&amp;"|"&amp;$F328&amp;"|"&amp;$N328&amp;"|"&amp;$R328)</f>
        <v/>
      </c>
    </row>
    <row r="329" ht="11.55" customHeight="1">
      <c r="A329" s="10" t="n">
        <v>46034</v>
      </c>
      <c r="B329" s="7" t="inlineStr">
        <is>
          <t>Segunda</t>
        </is>
      </c>
      <c r="C329" s="7" t="inlineStr">
        <is>
          <t>CT Mar de Coral</t>
        </is>
      </c>
      <c r="D329" s="7" t="n"/>
      <c r="E329" s="7" t="inlineStr">
        <is>
          <t>Jonathan</t>
        </is>
      </c>
      <c r="F329" s="13" t="inlineStr">
        <is>
          <t>Limpeza PV 08</t>
        </is>
      </c>
      <c r="G329" s="7" t="inlineStr">
        <is>
          <t>08</t>
        </is>
      </c>
      <c r="H329" s="7" t="n"/>
      <c r="I329" s="7" t="inlineStr">
        <is>
          <t>08</t>
        </is>
      </c>
      <c r="J329" s="7" t="inlineStr">
        <is>
          <t>Limpeza</t>
        </is>
      </c>
      <c r="K329" s="7" t="inlineStr">
        <is>
          <t>Planejamento</t>
        </is>
      </c>
      <c r="L329" s="16" t="inlineStr">
        <is>
          <t>PDS-janeiro(1).docx</t>
        </is>
      </c>
      <c r="M329">
        <f>IF($A329="","",TEXT($A329,"mmmm/yyyy"))</f>
        <v/>
      </c>
      <c r="P329">
        <f>IFERROR(_xludf.XLOOKUP($N329,Base_Enderecos!$A:$A,Base_Enderecos!$B:$B,""),"")</f>
        <v/>
      </c>
      <c r="Q329">
        <f>IFERROR(_xludf.XLOOKUP($N329,Base_Enderecos!$A:$A,Base_Enderecos!$C:$C,""),"")</f>
        <v/>
      </c>
      <c r="R329">
        <f>IF(OR(ISNUMBER(SEARCH("HDD",$F329)),ISNUMBER(SEARCH("MND",$F329)),ISNUMBER(SEARCH("PEAD",$F329)),ISNUMBER(SEARCH("Puxe",$J329)),ISNUMBER(SEARCH("Apoio HDD",$F329))),"MND",IF(OR(ISNUMBER(SEARCH("VCA",$F329)),ISNUMBER(SEARCH("PVC",$F329)),ISNUMBER(SEARCH("vca",$J329)),ISNUMBER(SEARCH("Transformação",$J329))),"VCA",IF(OR(ISNUMBER(SEARCH("crava",$F329)),ISNUMBER(SEARCH("tubo cravado",$F329)),ISNUMBER(SEARCH("shaft",$J329)),ISNUMBER(SEARCH("concreto",$F329))),"TUBO CRAVADO","")))</f>
        <v/>
      </c>
      <c r="T329">
        <f>IF($A329="","",TEXT($A329,"yyyymm")&amp;"|"&amp;$C329&amp;"|"&amp;$F329&amp;"|"&amp;$N329&amp;"|"&amp;$R329)</f>
        <v/>
      </c>
    </row>
    <row r="330" ht="11.55" customHeight="1">
      <c r="A330" s="10" t="n">
        <v>46034</v>
      </c>
      <c r="B330" s="7" t="inlineStr">
        <is>
          <t>Segunda</t>
        </is>
      </c>
      <c r="C330" s="7" t="inlineStr">
        <is>
          <t>CT Mar de Coral</t>
        </is>
      </c>
      <c r="D330" s="7" t="n"/>
      <c r="E330" s="7" t="inlineStr">
        <is>
          <t>Cesar</t>
        </is>
      </c>
      <c r="F330" s="13" t="inlineStr">
        <is>
          <t>Escavação mecânica PV 22</t>
        </is>
      </c>
      <c r="G330" s="7" t="inlineStr">
        <is>
          <t>22</t>
        </is>
      </c>
      <c r="H330" s="7" t="n"/>
      <c r="I330" s="7" t="inlineStr">
        <is>
          <t>22</t>
        </is>
      </c>
      <c r="J330" s="7" t="inlineStr">
        <is>
          <t>Escavação</t>
        </is>
      </c>
      <c r="K330" s="7" t="inlineStr">
        <is>
          <t>Planejamento</t>
        </is>
      </c>
      <c r="L330" s="16" t="inlineStr">
        <is>
          <t>PDS-janeiro(1).docx</t>
        </is>
      </c>
      <c r="M330">
        <f>IF($A330="","",TEXT($A330,"mmmm/yyyy"))</f>
        <v/>
      </c>
      <c r="P330">
        <f>IFERROR(_xludf.XLOOKUP($N330,Base_Enderecos!$A:$A,Base_Enderecos!$B:$B,""),"")</f>
        <v/>
      </c>
      <c r="Q330">
        <f>IFERROR(_xludf.XLOOKUP($N330,Base_Enderecos!$A:$A,Base_Enderecos!$C:$C,""),"")</f>
        <v/>
      </c>
      <c r="R330">
        <f>IF(OR(ISNUMBER(SEARCH("HDD",$F330)),ISNUMBER(SEARCH("MND",$F330)),ISNUMBER(SEARCH("PEAD",$F330)),ISNUMBER(SEARCH("Puxe",$J330)),ISNUMBER(SEARCH("Apoio HDD",$F330))),"MND",IF(OR(ISNUMBER(SEARCH("VCA",$F330)),ISNUMBER(SEARCH("PVC",$F330)),ISNUMBER(SEARCH("vca",$J330)),ISNUMBER(SEARCH("Transformação",$J330))),"VCA",IF(OR(ISNUMBER(SEARCH("crava",$F330)),ISNUMBER(SEARCH("tubo cravado",$F330)),ISNUMBER(SEARCH("shaft",$J330)),ISNUMBER(SEARCH("concreto",$F330))),"TUBO CRAVADO","")))</f>
        <v/>
      </c>
      <c r="T330">
        <f>IF($A330="","",TEXT($A330,"yyyymm")&amp;"|"&amp;$C330&amp;"|"&amp;$F330&amp;"|"&amp;$N330&amp;"|"&amp;$R330)</f>
        <v/>
      </c>
    </row>
    <row r="331" ht="11.55" customHeight="1">
      <c r="A331" s="10" t="n">
        <v>46034</v>
      </c>
      <c r="B331" s="7" t="inlineStr">
        <is>
          <t>Segunda</t>
        </is>
      </c>
      <c r="C331" s="7" t="inlineStr">
        <is>
          <t>CT Mar de Coral</t>
        </is>
      </c>
      <c r="D331" s="7" t="n"/>
      <c r="E331" s="7" t="inlineStr">
        <is>
          <t>Marcio</t>
        </is>
      </c>
      <c r="F331" s="13" t="inlineStr">
        <is>
          <t>Apoio HDD entre PV 03 ao 04</t>
        </is>
      </c>
      <c r="G331" s="7" t="inlineStr">
        <is>
          <t>03</t>
        </is>
      </c>
      <c r="H331" s="7" t="n"/>
      <c r="I331" s="7" t="inlineStr">
        <is>
          <t>03</t>
        </is>
      </c>
      <c r="J331" s="7" t="inlineStr">
        <is>
          <t>Apoio HDD</t>
        </is>
      </c>
      <c r="K331" s="7" t="inlineStr">
        <is>
          <t>Planejamento</t>
        </is>
      </c>
      <c r="L331" s="16" t="inlineStr">
        <is>
          <t>PDS-janeiro(1).docx</t>
        </is>
      </c>
      <c r="M331">
        <f>IF($A331="","",TEXT($A331,"mmmm/yyyy"))</f>
        <v/>
      </c>
      <c r="P331">
        <f>IFERROR(_xludf.XLOOKUP($N331,Base_Enderecos!$A:$A,Base_Enderecos!$B:$B,""),"")</f>
        <v/>
      </c>
      <c r="Q331">
        <f>IFERROR(_xludf.XLOOKUP($N331,Base_Enderecos!$A:$A,Base_Enderecos!$C:$C,""),"")</f>
        <v/>
      </c>
      <c r="R331">
        <f>IF(OR(ISNUMBER(SEARCH("HDD",$F331)),ISNUMBER(SEARCH("MND",$F331)),ISNUMBER(SEARCH("PEAD",$F331)),ISNUMBER(SEARCH("Puxe",$J331)),ISNUMBER(SEARCH("Apoio HDD",$F331))),"MND",IF(OR(ISNUMBER(SEARCH("VCA",$F331)),ISNUMBER(SEARCH("PVC",$F331)),ISNUMBER(SEARCH("vca",$J331)),ISNUMBER(SEARCH("Transformação",$J331))),"VCA",IF(OR(ISNUMBER(SEARCH("crava",$F331)),ISNUMBER(SEARCH("tubo cravado",$F331)),ISNUMBER(SEARCH("shaft",$J331)),ISNUMBER(SEARCH("concreto",$F331))),"TUBO CRAVADO","")))</f>
        <v/>
      </c>
      <c r="T331">
        <f>IF($A331="","",TEXT($A331,"yyyymm")&amp;"|"&amp;$C331&amp;"|"&amp;$F331&amp;"|"&amp;$N331&amp;"|"&amp;$R331)</f>
        <v/>
      </c>
    </row>
    <row r="332" ht="11.55" customHeight="1">
      <c r="A332" s="10" t="n">
        <v>46034</v>
      </c>
      <c r="B332" s="7" t="inlineStr">
        <is>
          <t>Segunda</t>
        </is>
      </c>
      <c r="C332" s="7" t="inlineStr">
        <is>
          <t>CT Mar de Coral</t>
        </is>
      </c>
      <c r="D332" s="7" t="n"/>
      <c r="E332" s="7" t="inlineStr">
        <is>
          <t>Edivando</t>
        </is>
      </c>
      <c r="F332" s="13" t="inlineStr">
        <is>
          <t>Transformação PV 02</t>
        </is>
      </c>
      <c r="G332" s="7" t="inlineStr">
        <is>
          <t>02</t>
        </is>
      </c>
      <c r="H332" s="7" t="n"/>
      <c r="I332" s="7" t="inlineStr">
        <is>
          <t>02</t>
        </is>
      </c>
      <c r="J332" s="7" t="inlineStr">
        <is>
          <t>Transformação</t>
        </is>
      </c>
      <c r="K332" s="7" t="inlineStr">
        <is>
          <t>Planejamento</t>
        </is>
      </c>
      <c r="L332" s="16" t="inlineStr">
        <is>
          <t>PDS-janeiro(1).docx</t>
        </is>
      </c>
      <c r="M332">
        <f>IF($A332="","",TEXT($A332,"mmmm/yyyy"))</f>
        <v/>
      </c>
      <c r="P332">
        <f>IFERROR(_xludf.XLOOKUP($N332,Base_Enderecos!$A:$A,Base_Enderecos!$B:$B,""),"")</f>
        <v/>
      </c>
      <c r="Q332">
        <f>IFERROR(_xludf.XLOOKUP($N332,Base_Enderecos!$A:$A,Base_Enderecos!$C:$C,""),"")</f>
        <v/>
      </c>
      <c r="R332">
        <f>IF(OR(ISNUMBER(SEARCH("HDD",$F332)),ISNUMBER(SEARCH("MND",$F332)),ISNUMBER(SEARCH("PEAD",$F332)),ISNUMBER(SEARCH("Puxe",$J332)),ISNUMBER(SEARCH("Apoio HDD",$F332))),"MND",IF(OR(ISNUMBER(SEARCH("VCA",$F332)),ISNUMBER(SEARCH("PVC",$F332)),ISNUMBER(SEARCH("vca",$J332)),ISNUMBER(SEARCH("Transformação",$J332))),"VCA",IF(OR(ISNUMBER(SEARCH("crava",$F332)),ISNUMBER(SEARCH("tubo cravado",$F332)),ISNUMBER(SEARCH("shaft",$J332)),ISNUMBER(SEARCH("concreto",$F332))),"TUBO CRAVADO","")))</f>
        <v/>
      </c>
      <c r="T332">
        <f>IF($A332="","",TEXT($A332,"yyyymm")&amp;"|"&amp;$C332&amp;"|"&amp;$F332&amp;"|"&amp;$N332&amp;"|"&amp;$R332)</f>
        <v/>
      </c>
    </row>
    <row r="333" ht="11.55" customHeight="1">
      <c r="A333" s="10" t="n">
        <v>46034</v>
      </c>
      <c r="B333" s="7" t="inlineStr">
        <is>
          <t>Segunda</t>
        </is>
      </c>
      <c r="C333" s="7" t="inlineStr">
        <is>
          <t>CT Mar de Coral</t>
        </is>
      </c>
      <c r="D333" s="7" t="n"/>
      <c r="E333" s="7" t="inlineStr">
        <is>
          <t>LS (Josivaldo)</t>
        </is>
      </c>
      <c r="F333" s="13" t="inlineStr">
        <is>
          <t>Escavação mecânica e montagem armco PV 23</t>
        </is>
      </c>
      <c r="G333" s="7" t="inlineStr">
        <is>
          <t>23</t>
        </is>
      </c>
      <c r="H333" s="7" t="n"/>
      <c r="I333" s="7" t="inlineStr">
        <is>
          <t>23</t>
        </is>
      </c>
      <c r="J333" s="7" t="inlineStr">
        <is>
          <t>Escavação</t>
        </is>
      </c>
      <c r="K333" s="7" t="inlineStr">
        <is>
          <t>Planejamento</t>
        </is>
      </c>
      <c r="L333" s="16" t="inlineStr">
        <is>
          <t>PDS-janeiro(1).docx</t>
        </is>
      </c>
      <c r="M333">
        <f>IF($A333="","",TEXT($A333,"mmmm/yyyy"))</f>
        <v/>
      </c>
      <c r="P333">
        <f>IFERROR(_xludf.XLOOKUP($N333,Base_Enderecos!$A:$A,Base_Enderecos!$B:$B,""),"")</f>
        <v/>
      </c>
      <c r="Q333">
        <f>IFERROR(_xludf.XLOOKUP($N333,Base_Enderecos!$A:$A,Base_Enderecos!$C:$C,""),"")</f>
        <v/>
      </c>
      <c r="R333">
        <f>IF(OR(ISNUMBER(SEARCH("HDD",$F333)),ISNUMBER(SEARCH("MND",$F333)),ISNUMBER(SEARCH("PEAD",$F333)),ISNUMBER(SEARCH("Puxe",$J333)),ISNUMBER(SEARCH("Apoio HDD",$F333))),"MND",IF(OR(ISNUMBER(SEARCH("VCA",$F333)),ISNUMBER(SEARCH("PVC",$F333)),ISNUMBER(SEARCH("vca",$J333)),ISNUMBER(SEARCH("Transformação",$J333))),"VCA",IF(OR(ISNUMBER(SEARCH("crava",$F333)),ISNUMBER(SEARCH("tubo cravado",$F333)),ISNUMBER(SEARCH("shaft",$J333)),ISNUMBER(SEARCH("concreto",$F333))),"TUBO CRAVADO","")))</f>
        <v/>
      </c>
      <c r="T333">
        <f>IF($A333="","",TEXT($A333,"yyyymm")&amp;"|"&amp;$C333&amp;"|"&amp;$F333&amp;"|"&amp;$N333&amp;"|"&amp;$R333)</f>
        <v/>
      </c>
    </row>
    <row r="334" ht="11.55" customHeight="1">
      <c r="A334" s="10" t="n">
        <v>46034</v>
      </c>
      <c r="B334" s="7" t="inlineStr">
        <is>
          <t>Segunda</t>
        </is>
      </c>
      <c r="C334" s="7" t="inlineStr">
        <is>
          <t>CT Mar de Coral</t>
        </is>
      </c>
      <c r="D334" s="7" t="n"/>
      <c r="E334" s="7" t="inlineStr">
        <is>
          <t>Bruno (Work Drill)</t>
        </is>
      </c>
      <c r="F334" s="13" t="inlineStr">
        <is>
          <t>Execução puxe do tubo 03 ao 04</t>
        </is>
      </c>
      <c r="G334" s="7" t="n"/>
      <c r="H334" s="7" t="n"/>
      <c r="I334" s="7" t="n"/>
      <c r="J334" s="7" t="inlineStr">
        <is>
          <t>Puxe</t>
        </is>
      </c>
      <c r="K334" s="7" t="inlineStr">
        <is>
          <t>Planejamento</t>
        </is>
      </c>
      <c r="L334" s="16" t="inlineStr">
        <is>
          <t>PDS-janeiro(1).docx</t>
        </is>
      </c>
      <c r="M334">
        <f>IF($A334="","",TEXT($A334,"mmmm/yyyy"))</f>
        <v/>
      </c>
      <c r="P334">
        <f>IFERROR(_xludf.XLOOKUP($N334,Base_Enderecos!$A:$A,Base_Enderecos!$B:$B,""),"")</f>
        <v/>
      </c>
      <c r="Q334">
        <f>IFERROR(_xludf.XLOOKUP($N334,Base_Enderecos!$A:$A,Base_Enderecos!$C:$C,""),"")</f>
        <v/>
      </c>
      <c r="R334">
        <f>IF(OR(ISNUMBER(SEARCH("HDD",$F334)),ISNUMBER(SEARCH("MND",$F334)),ISNUMBER(SEARCH("PEAD",$F334)),ISNUMBER(SEARCH("Puxe",$J334)),ISNUMBER(SEARCH("Apoio HDD",$F334))),"MND",IF(OR(ISNUMBER(SEARCH("VCA",$F334)),ISNUMBER(SEARCH("PVC",$F334)),ISNUMBER(SEARCH("vca",$J334)),ISNUMBER(SEARCH("Transformação",$J334))),"VCA",IF(OR(ISNUMBER(SEARCH("crava",$F334)),ISNUMBER(SEARCH("tubo cravado",$F334)),ISNUMBER(SEARCH("shaft",$J334)),ISNUMBER(SEARCH("concreto",$F334))),"TUBO CRAVADO","")))</f>
        <v/>
      </c>
      <c r="T334">
        <f>IF($A334="","",TEXT($A334,"yyyymm")&amp;"|"&amp;$C334&amp;"|"&amp;$F334&amp;"|"&amp;$N334&amp;"|"&amp;$R334)</f>
        <v/>
      </c>
    </row>
    <row r="335" ht="11.55" customHeight="1">
      <c r="A335" s="10" t="n">
        <v>46034</v>
      </c>
      <c r="B335" s="7" t="inlineStr">
        <is>
          <t>Segunda</t>
        </is>
      </c>
      <c r="C335" s="7" t="inlineStr">
        <is>
          <t>CT Mar de Coral</t>
        </is>
      </c>
      <c r="D335" s="7" t="n"/>
      <c r="E335" s="7" t="inlineStr">
        <is>
          <t>Márcio</t>
        </is>
      </c>
      <c r="F335" s="13" t="inlineStr">
        <is>
          <t>Apoio HDD entre PVs 03 ao 04</t>
        </is>
      </c>
      <c r="G335" s="7" t="inlineStr">
        <is>
          <t>03</t>
        </is>
      </c>
      <c r="H335" s="7" t="n"/>
      <c r="I335" s="7" t="inlineStr">
        <is>
          <t>03</t>
        </is>
      </c>
      <c r="J335" s="7" t="inlineStr">
        <is>
          <t>Apoio HDD</t>
        </is>
      </c>
      <c r="K335" s="7" t="inlineStr">
        <is>
          <t>Planejamento</t>
        </is>
      </c>
      <c r="L335" s="16" t="inlineStr">
        <is>
          <t>PDS-janeiro(1).docx</t>
        </is>
      </c>
      <c r="M335">
        <f>IF($A335="","",TEXT($A335,"mmmm/yyyy"))</f>
        <v/>
      </c>
      <c r="P335">
        <f>IFERROR(_xludf.XLOOKUP($N335,Base_Enderecos!$A:$A,Base_Enderecos!$B:$B,""),"")</f>
        <v/>
      </c>
      <c r="Q335">
        <f>IFERROR(_xludf.XLOOKUP($N335,Base_Enderecos!$A:$A,Base_Enderecos!$C:$C,""),"")</f>
        <v/>
      </c>
      <c r="R335">
        <f>IF(OR(ISNUMBER(SEARCH("HDD",$F335)),ISNUMBER(SEARCH("MND",$F335)),ISNUMBER(SEARCH("PEAD",$F335)),ISNUMBER(SEARCH("Puxe",$J335)),ISNUMBER(SEARCH("Apoio HDD",$F335))),"MND",IF(OR(ISNUMBER(SEARCH("VCA",$F335)),ISNUMBER(SEARCH("PVC",$F335)),ISNUMBER(SEARCH("vca",$J335)),ISNUMBER(SEARCH("Transformação",$J335))),"VCA",IF(OR(ISNUMBER(SEARCH("crava",$F335)),ISNUMBER(SEARCH("tubo cravado",$F335)),ISNUMBER(SEARCH("shaft",$J335)),ISNUMBER(SEARCH("concreto",$F335))),"TUBO CRAVADO","")))</f>
        <v/>
      </c>
      <c r="T335">
        <f>IF($A335="","",TEXT($A335,"yyyymm")&amp;"|"&amp;$C335&amp;"|"&amp;$F335&amp;"|"&amp;$N335&amp;"|"&amp;$R335)</f>
        <v/>
      </c>
    </row>
    <row r="336" ht="11.55" customHeight="1">
      <c r="A336" s="10" t="n">
        <v>46034</v>
      </c>
      <c r="B336" s="7" t="inlineStr">
        <is>
          <t>Segunda</t>
        </is>
      </c>
      <c r="C336" s="7" t="inlineStr">
        <is>
          <t>CT Mar de Coral</t>
        </is>
      </c>
      <c r="D336" s="7" t="n"/>
      <c r="E336" s="7" t="inlineStr">
        <is>
          <t>WJ (Edson)</t>
        </is>
      </c>
      <c r="F336" s="13" t="inlineStr">
        <is>
          <t>Execução furo piloto entre PVs 05 ao 5.10</t>
        </is>
      </c>
      <c r="G336" s="7" t="inlineStr">
        <is>
          <t>05</t>
        </is>
      </c>
      <c r="H336" s="7" t="n"/>
      <c r="I336" s="7" t="inlineStr">
        <is>
          <t>05</t>
        </is>
      </c>
      <c r="J336" s="7" t="inlineStr">
        <is>
          <t>Furo piloto</t>
        </is>
      </c>
      <c r="K336" s="7" t="inlineStr">
        <is>
          <t>Planejamento</t>
        </is>
      </c>
      <c r="L336" s="16" t="inlineStr">
        <is>
          <t>PDS-janeiro(1).docx</t>
        </is>
      </c>
      <c r="M336">
        <f>IF($A336="","",TEXT($A336,"mmmm/yyyy"))</f>
        <v/>
      </c>
      <c r="P336">
        <f>IFERROR(_xludf.XLOOKUP($N336,Base_Enderecos!$A:$A,Base_Enderecos!$B:$B,""),"")</f>
        <v/>
      </c>
      <c r="Q336">
        <f>IFERROR(_xludf.XLOOKUP($N336,Base_Enderecos!$A:$A,Base_Enderecos!$C:$C,""),"")</f>
        <v/>
      </c>
      <c r="R336">
        <f>IF(OR(ISNUMBER(SEARCH("HDD",$F336)),ISNUMBER(SEARCH("MND",$F336)),ISNUMBER(SEARCH("PEAD",$F336)),ISNUMBER(SEARCH("Puxe",$J336)),ISNUMBER(SEARCH("Apoio HDD",$F336))),"MND",IF(OR(ISNUMBER(SEARCH("VCA",$F336)),ISNUMBER(SEARCH("PVC",$F336)),ISNUMBER(SEARCH("vca",$J336)),ISNUMBER(SEARCH("Transformação",$J336))),"VCA",IF(OR(ISNUMBER(SEARCH("crava",$F336)),ISNUMBER(SEARCH("tubo cravado",$F336)),ISNUMBER(SEARCH("shaft",$J336)),ISNUMBER(SEARCH("concreto",$F336))),"TUBO CRAVADO","")))</f>
        <v/>
      </c>
      <c r="T336">
        <f>IF($A336="","",TEXT($A336,"yyyymm")&amp;"|"&amp;$C336&amp;"|"&amp;$F336&amp;"|"&amp;$N336&amp;"|"&amp;$R336)</f>
        <v/>
      </c>
    </row>
    <row r="337" ht="11.55" customHeight="1">
      <c r="A337" s="10" t="n">
        <v>46034</v>
      </c>
      <c r="B337" s="7" t="inlineStr">
        <is>
          <t>Segunda</t>
        </is>
      </c>
      <c r="C337" s="7" t="inlineStr">
        <is>
          <t>CT Mar de Coral</t>
        </is>
      </c>
      <c r="D337" s="7" t="n"/>
      <c r="E337" s="7" t="inlineStr">
        <is>
          <t>Natalino</t>
        </is>
      </c>
      <c r="F337" s="13" t="inlineStr">
        <is>
          <t>Apoio HDD entre PVs 05 ao 5.10</t>
        </is>
      </c>
      <c r="G337" s="7" t="inlineStr">
        <is>
          <t>05</t>
        </is>
      </c>
      <c r="H337" s="7" t="n"/>
      <c r="I337" s="7" t="inlineStr">
        <is>
          <t>05</t>
        </is>
      </c>
      <c r="J337" s="7" t="inlineStr">
        <is>
          <t>Apoio HDD</t>
        </is>
      </c>
      <c r="K337" s="7" t="inlineStr">
        <is>
          <t>Planejamento</t>
        </is>
      </c>
      <c r="L337" s="16" t="inlineStr">
        <is>
          <t>PDS-janeiro(1).docx</t>
        </is>
      </c>
      <c r="M337">
        <f>IF($A337="","",TEXT($A337,"mmmm/yyyy"))</f>
        <v/>
      </c>
      <c r="P337">
        <f>IFERROR(_xludf.XLOOKUP($N337,Base_Enderecos!$A:$A,Base_Enderecos!$B:$B,""),"")</f>
        <v/>
      </c>
      <c r="Q337">
        <f>IFERROR(_xludf.XLOOKUP($N337,Base_Enderecos!$A:$A,Base_Enderecos!$C:$C,""),"")</f>
        <v/>
      </c>
      <c r="R337">
        <f>IF(OR(ISNUMBER(SEARCH("HDD",$F337)),ISNUMBER(SEARCH("MND",$F337)),ISNUMBER(SEARCH("PEAD",$F337)),ISNUMBER(SEARCH("Puxe",$J337)),ISNUMBER(SEARCH("Apoio HDD",$F337))),"MND",IF(OR(ISNUMBER(SEARCH("VCA",$F337)),ISNUMBER(SEARCH("PVC",$F337)),ISNUMBER(SEARCH("vca",$J337)),ISNUMBER(SEARCH("Transformação",$J337))),"VCA",IF(OR(ISNUMBER(SEARCH("crava",$F337)),ISNUMBER(SEARCH("tubo cravado",$F337)),ISNUMBER(SEARCH("shaft",$J337)),ISNUMBER(SEARCH("concreto",$F337))),"TUBO CRAVADO","")))</f>
        <v/>
      </c>
      <c r="T337">
        <f>IF($A337="","",TEXT($A337,"yyyymm")&amp;"|"&amp;$C337&amp;"|"&amp;$F337&amp;"|"&amp;$N337&amp;"|"&amp;$R337)</f>
        <v/>
      </c>
    </row>
    <row r="338" ht="11.55" customHeight="1">
      <c r="A338" s="10" t="n">
        <v>46034</v>
      </c>
      <c r="B338" s="7" t="inlineStr">
        <is>
          <t>Segunda</t>
        </is>
      </c>
      <c r="C338" s="7" t="inlineStr">
        <is>
          <t>Vacal</t>
        </is>
      </c>
      <c r="D338" s="7" t="n"/>
      <c r="E338" s="7" t="inlineStr">
        <is>
          <t>Mar de Coral</t>
        </is>
      </c>
      <c r="F338" s="13" t="inlineStr">
        <is>
          <t>Apoio Vacal</t>
        </is>
      </c>
      <c r="G338" s="7" t="n"/>
      <c r="H338" s="7" t="n"/>
      <c r="I338" s="7" t="n"/>
      <c r="J338" s="7" t="inlineStr">
        <is>
          <t>Vacal</t>
        </is>
      </c>
      <c r="K338" s="7" t="inlineStr">
        <is>
          <t>Apoio</t>
        </is>
      </c>
      <c r="L338" s="16" t="inlineStr">
        <is>
          <t>PDS-janeiro(1).docx</t>
        </is>
      </c>
      <c r="M338">
        <f>IF($A338="","",TEXT($A338,"mmmm/yyyy"))</f>
        <v/>
      </c>
      <c r="P338">
        <f>IFERROR(_xludf.XLOOKUP($N338,Base_Enderecos!$A:$A,Base_Enderecos!$B:$B,""),"")</f>
        <v/>
      </c>
      <c r="Q338">
        <f>IFERROR(_xludf.XLOOKUP($N338,Base_Enderecos!$A:$A,Base_Enderecos!$C:$C,""),"")</f>
        <v/>
      </c>
      <c r="R338">
        <f>IF(OR(ISNUMBER(SEARCH("HDD",$F338)),ISNUMBER(SEARCH("MND",$F338)),ISNUMBER(SEARCH("PEAD",$F338)),ISNUMBER(SEARCH("Puxe",$J338)),ISNUMBER(SEARCH("Apoio HDD",$F338))),"MND",IF(OR(ISNUMBER(SEARCH("VCA",$F338)),ISNUMBER(SEARCH("PVC",$F338)),ISNUMBER(SEARCH("vca",$J338)),ISNUMBER(SEARCH("Transformação",$J338))),"VCA",IF(OR(ISNUMBER(SEARCH("crava",$F338)),ISNUMBER(SEARCH("tubo cravado",$F338)),ISNUMBER(SEARCH("shaft",$J338)),ISNUMBER(SEARCH("concreto",$F338))),"TUBO CRAVADO","")))</f>
        <v/>
      </c>
      <c r="T338">
        <f>IF($A338="","",TEXT($A338,"yyyymm")&amp;"|"&amp;$C338&amp;"|"&amp;$F338&amp;"|"&amp;$N338&amp;"|"&amp;$R338)</f>
        <v/>
      </c>
    </row>
    <row r="339" ht="11.55" customHeight="1">
      <c r="A339" s="10" t="n">
        <v>46034</v>
      </c>
      <c r="B339" s="7" t="inlineStr">
        <is>
          <t>Segunda</t>
        </is>
      </c>
      <c r="C339" s="7" t="inlineStr">
        <is>
          <t>Vacal</t>
        </is>
      </c>
      <c r="D339" s="7" t="n"/>
      <c r="E339" s="7" t="inlineStr">
        <is>
          <t>Mar de Coral</t>
        </is>
      </c>
      <c r="F339" s="13" t="inlineStr">
        <is>
          <t>Apoio Vacal</t>
        </is>
      </c>
      <c r="G339" s="7" t="n"/>
      <c r="H339" s="7" t="n"/>
      <c r="I339" s="7" t="n"/>
      <c r="J339" s="7" t="inlineStr">
        <is>
          <t>Vacal</t>
        </is>
      </c>
      <c r="K339" s="7" t="inlineStr">
        <is>
          <t>Apoio</t>
        </is>
      </c>
      <c r="L339" s="16" t="inlineStr">
        <is>
          <t>PDS-janeiro(1).docx</t>
        </is>
      </c>
      <c r="M339">
        <f>IF($A339="","",TEXT($A339,"mmmm/yyyy"))</f>
        <v/>
      </c>
      <c r="P339">
        <f>IFERROR(_xludf.XLOOKUP($N339,Base_Enderecos!$A:$A,Base_Enderecos!$B:$B,""),"")</f>
        <v/>
      </c>
      <c r="Q339">
        <f>IFERROR(_xludf.XLOOKUP($N339,Base_Enderecos!$A:$A,Base_Enderecos!$C:$C,""),"")</f>
        <v/>
      </c>
      <c r="R339">
        <f>IF(OR(ISNUMBER(SEARCH("HDD",$F339)),ISNUMBER(SEARCH("MND",$F339)),ISNUMBER(SEARCH("PEAD",$F339)),ISNUMBER(SEARCH("Puxe",$J339)),ISNUMBER(SEARCH("Apoio HDD",$F339))),"MND",IF(OR(ISNUMBER(SEARCH("VCA",$F339)),ISNUMBER(SEARCH("PVC",$F339)),ISNUMBER(SEARCH("vca",$J339)),ISNUMBER(SEARCH("Transformação",$J339))),"VCA",IF(OR(ISNUMBER(SEARCH("crava",$F339)),ISNUMBER(SEARCH("tubo cravado",$F339)),ISNUMBER(SEARCH("shaft",$J339)),ISNUMBER(SEARCH("concreto",$F339))),"TUBO CRAVADO","")))</f>
        <v/>
      </c>
      <c r="T339">
        <f>IF($A339="","",TEXT($A339,"yyyymm")&amp;"|"&amp;$C339&amp;"|"&amp;$F339&amp;"|"&amp;$N339&amp;"|"&amp;$R339)</f>
        <v/>
      </c>
    </row>
    <row r="340" ht="11.55" customHeight="1">
      <c r="A340" s="10" t="n">
        <v>46034</v>
      </c>
      <c r="B340" s="7" t="inlineStr">
        <is>
          <t>Segunda</t>
        </is>
      </c>
      <c r="C340" s="7" t="inlineStr">
        <is>
          <t>Vacal</t>
        </is>
      </c>
      <c r="D340" s="7" t="n"/>
      <c r="E340" s="7" t="inlineStr">
        <is>
          <t>Mar de Coral</t>
        </is>
      </c>
      <c r="F340" s="13" t="inlineStr">
        <is>
          <t>Apoio Vacal</t>
        </is>
      </c>
      <c r="G340" s="7" t="n"/>
      <c r="H340" s="7" t="n"/>
      <c r="I340" s="7" t="n"/>
      <c r="J340" s="7" t="inlineStr">
        <is>
          <t>Vacal</t>
        </is>
      </c>
      <c r="K340" s="7" t="inlineStr">
        <is>
          <t>Apoio</t>
        </is>
      </c>
      <c r="L340" s="16" t="inlineStr">
        <is>
          <t>PDS-janeiro(1).docx</t>
        </is>
      </c>
      <c r="M340">
        <f>IF($A340="","",TEXT($A340,"mmmm/yyyy"))</f>
        <v/>
      </c>
      <c r="P340">
        <f>IFERROR(_xludf.XLOOKUP($N340,Base_Enderecos!$A:$A,Base_Enderecos!$B:$B,""),"")</f>
        <v/>
      </c>
      <c r="Q340">
        <f>IFERROR(_xludf.XLOOKUP($N340,Base_Enderecos!$A:$A,Base_Enderecos!$C:$C,""),"")</f>
        <v/>
      </c>
      <c r="R340">
        <f>IF(OR(ISNUMBER(SEARCH("HDD",$F340)),ISNUMBER(SEARCH("MND",$F340)),ISNUMBER(SEARCH("PEAD",$F340)),ISNUMBER(SEARCH("Puxe",$J340)),ISNUMBER(SEARCH("Apoio HDD",$F340))),"MND",IF(OR(ISNUMBER(SEARCH("VCA",$F340)),ISNUMBER(SEARCH("PVC",$F340)),ISNUMBER(SEARCH("vca",$J340)),ISNUMBER(SEARCH("Transformação",$J340))),"VCA",IF(OR(ISNUMBER(SEARCH("crava",$F340)),ISNUMBER(SEARCH("tubo cravado",$F340)),ISNUMBER(SEARCH("shaft",$J340)),ISNUMBER(SEARCH("concreto",$F340))),"TUBO CRAVADO","")))</f>
        <v/>
      </c>
      <c r="T340">
        <f>IF($A340="","",TEXT($A340,"yyyymm")&amp;"|"&amp;$C340&amp;"|"&amp;$F340&amp;"|"&amp;$N340&amp;"|"&amp;$R340)</f>
        <v/>
      </c>
    </row>
    <row r="341" ht="11.55" customHeight="1">
      <c r="A341" s="10" t="n">
        <v>46034</v>
      </c>
      <c r="B341" s="7" t="inlineStr">
        <is>
          <t>Segunda</t>
        </is>
      </c>
      <c r="C341" s="7" t="inlineStr">
        <is>
          <t>Vacal</t>
        </is>
      </c>
      <c r="D341" s="7" t="n"/>
      <c r="E341" s="7" t="inlineStr">
        <is>
          <t>Mar de Coral</t>
        </is>
      </c>
      <c r="F341" s="13" t="inlineStr">
        <is>
          <t>Apoio Vacal</t>
        </is>
      </c>
      <c r="G341" s="7" t="n"/>
      <c r="H341" s="7" t="n"/>
      <c r="I341" s="7" t="n"/>
      <c r="J341" s="7" t="inlineStr">
        <is>
          <t>Vacal</t>
        </is>
      </c>
      <c r="K341" s="7" t="inlineStr">
        <is>
          <t>Apoio</t>
        </is>
      </c>
      <c r="L341" s="16" t="inlineStr">
        <is>
          <t>PDS-janeiro(1).docx</t>
        </is>
      </c>
      <c r="M341">
        <f>IF($A341="","",TEXT($A341,"mmmm/yyyy"))</f>
        <v/>
      </c>
      <c r="P341">
        <f>IFERROR(_xludf.XLOOKUP($N341,Base_Enderecos!$A:$A,Base_Enderecos!$B:$B,""),"")</f>
        <v/>
      </c>
      <c r="Q341">
        <f>IFERROR(_xludf.XLOOKUP($N341,Base_Enderecos!$A:$A,Base_Enderecos!$C:$C,""),"")</f>
        <v/>
      </c>
      <c r="R341">
        <f>IF(OR(ISNUMBER(SEARCH("HDD",$F341)),ISNUMBER(SEARCH("MND",$F341)),ISNUMBER(SEARCH("PEAD",$F341)),ISNUMBER(SEARCH("Puxe",$J341)),ISNUMBER(SEARCH("Apoio HDD",$F341))),"MND",IF(OR(ISNUMBER(SEARCH("VCA",$F341)),ISNUMBER(SEARCH("PVC",$F341)),ISNUMBER(SEARCH("vca",$J341)),ISNUMBER(SEARCH("Transformação",$J341))),"VCA",IF(OR(ISNUMBER(SEARCH("crava",$F341)),ISNUMBER(SEARCH("tubo cravado",$F341)),ISNUMBER(SEARCH("shaft",$J341)),ISNUMBER(SEARCH("concreto",$F341))),"TUBO CRAVADO","")))</f>
        <v/>
      </c>
      <c r="T341">
        <f>IF($A341="","",TEXT($A341,"yyyymm")&amp;"|"&amp;$C341&amp;"|"&amp;$F341&amp;"|"&amp;$N341&amp;"|"&amp;$R341)</f>
        <v/>
      </c>
    </row>
    <row r="342" ht="11.55" customHeight="1">
      <c r="A342" s="10" t="n">
        <v>46034</v>
      </c>
      <c r="B342" s="7" t="inlineStr">
        <is>
          <t>Segunda</t>
        </is>
      </c>
      <c r="C342" s="7" t="inlineStr">
        <is>
          <t>Guindauto</t>
        </is>
      </c>
      <c r="D342" s="7" t="n"/>
      <c r="E342" s="7" t="inlineStr">
        <is>
          <t>Rodrigo Apoio as equipes</t>
        </is>
      </c>
      <c r="F342" s="13" t="inlineStr">
        <is>
          <t>Rodrigo Apoio as equipes</t>
        </is>
      </c>
      <c r="G342" s="7" t="n"/>
      <c r="H342" s="7" t="n"/>
      <c r="I342" s="7" t="n"/>
      <c r="J342" s="7" t="inlineStr">
        <is>
          <t>Guindauto</t>
        </is>
      </c>
      <c r="K342" s="7" t="inlineStr">
        <is>
          <t>Apoio</t>
        </is>
      </c>
      <c r="L342" s="16" t="inlineStr">
        <is>
          <t>PDS-janeiro(1).docx</t>
        </is>
      </c>
      <c r="M342">
        <f>IF($A342="","",TEXT($A342,"mmmm/yyyy"))</f>
        <v/>
      </c>
      <c r="P342">
        <f>IFERROR(_xludf.XLOOKUP($N342,Base_Enderecos!$A:$A,Base_Enderecos!$B:$B,""),"")</f>
        <v/>
      </c>
      <c r="Q342">
        <f>IFERROR(_xludf.XLOOKUP($N342,Base_Enderecos!$A:$A,Base_Enderecos!$C:$C,""),"")</f>
        <v/>
      </c>
      <c r="R342">
        <f>IF(OR(ISNUMBER(SEARCH("HDD",$F342)),ISNUMBER(SEARCH("MND",$F342)),ISNUMBER(SEARCH("PEAD",$F342)),ISNUMBER(SEARCH("Puxe",$J342)),ISNUMBER(SEARCH("Apoio HDD",$F342))),"MND",IF(OR(ISNUMBER(SEARCH("VCA",$F342)),ISNUMBER(SEARCH("PVC",$F342)),ISNUMBER(SEARCH("vca",$J342)),ISNUMBER(SEARCH("Transformação",$J342))),"VCA",IF(OR(ISNUMBER(SEARCH("crava",$F342)),ISNUMBER(SEARCH("tubo cravado",$F342)),ISNUMBER(SEARCH("shaft",$J342)),ISNUMBER(SEARCH("concreto",$F342))),"TUBO CRAVADO","")))</f>
        <v/>
      </c>
      <c r="T342">
        <f>IF($A342="","",TEXT($A342,"yyyymm")&amp;"|"&amp;$C342&amp;"|"&amp;$F342&amp;"|"&amp;$N342&amp;"|"&amp;$R342)</f>
        <v/>
      </c>
    </row>
    <row r="343" ht="11.55" customHeight="1">
      <c r="A343" s="10" t="n">
        <v>46034</v>
      </c>
      <c r="B343" s="7" t="inlineStr">
        <is>
          <t>Segunda</t>
        </is>
      </c>
      <c r="C343" s="7" t="inlineStr">
        <is>
          <t>Guindauto</t>
        </is>
      </c>
      <c r="D343" s="7" t="n"/>
      <c r="E343" s="7" t="inlineStr">
        <is>
          <t>Marcio</t>
        </is>
      </c>
      <c r="F343" s="13" t="inlineStr">
        <is>
          <t>Marcio</t>
        </is>
      </c>
      <c r="G343" s="7" t="n"/>
      <c r="H343" s="7" t="n"/>
      <c r="I343" s="7" t="n"/>
      <c r="J343" s="7" t="inlineStr">
        <is>
          <t>Guindauto</t>
        </is>
      </c>
      <c r="K343" s="7" t="inlineStr">
        <is>
          <t>Apoio</t>
        </is>
      </c>
      <c r="L343" s="16" t="inlineStr">
        <is>
          <t>PDS-janeiro(1).docx</t>
        </is>
      </c>
      <c r="M343">
        <f>IF($A343="","",TEXT($A343,"mmmm/yyyy"))</f>
        <v/>
      </c>
      <c r="P343">
        <f>IFERROR(_xludf.XLOOKUP($N343,Base_Enderecos!$A:$A,Base_Enderecos!$B:$B,""),"")</f>
        <v/>
      </c>
      <c r="Q343">
        <f>IFERROR(_xludf.XLOOKUP($N343,Base_Enderecos!$A:$A,Base_Enderecos!$C:$C,""),"")</f>
        <v/>
      </c>
      <c r="R343">
        <f>IF(OR(ISNUMBER(SEARCH("HDD",$F343)),ISNUMBER(SEARCH("MND",$F343)),ISNUMBER(SEARCH("PEAD",$F343)),ISNUMBER(SEARCH("Puxe",$J343)),ISNUMBER(SEARCH("Apoio HDD",$F343))),"MND",IF(OR(ISNUMBER(SEARCH("VCA",$F343)),ISNUMBER(SEARCH("PVC",$F343)),ISNUMBER(SEARCH("vca",$J343)),ISNUMBER(SEARCH("Transformação",$J343))),"VCA",IF(OR(ISNUMBER(SEARCH("crava",$F343)),ISNUMBER(SEARCH("tubo cravado",$F343)),ISNUMBER(SEARCH("shaft",$J343)),ISNUMBER(SEARCH("concreto",$F343))),"TUBO CRAVADO","")))</f>
        <v/>
      </c>
      <c r="T343">
        <f>IF($A343="","",TEXT($A343,"yyyymm")&amp;"|"&amp;$C343&amp;"|"&amp;$F343&amp;"|"&amp;$N343&amp;"|"&amp;$R343)</f>
        <v/>
      </c>
    </row>
    <row r="344" ht="11.55" customHeight="1">
      <c r="A344" s="10" t="n">
        <v>46035</v>
      </c>
      <c r="B344" s="7" t="inlineStr">
        <is>
          <t>Terça</t>
        </is>
      </c>
      <c r="C344" s="7" t="inlineStr">
        <is>
          <t>CT Jaraguá</t>
        </is>
      </c>
      <c r="D344" s="7" t="n"/>
      <c r="E344" s="7" t="inlineStr">
        <is>
          <t>Marcelo</t>
        </is>
      </c>
      <c r="F344" s="13" t="inlineStr">
        <is>
          <t>Escavação mecânica e montagem armco PV 01</t>
        </is>
      </c>
      <c r="G344" s="7" t="inlineStr">
        <is>
          <t>01</t>
        </is>
      </c>
      <c r="H344" s="7" t="n"/>
      <c r="I344" s="7" t="inlineStr">
        <is>
          <t>01</t>
        </is>
      </c>
      <c r="J344" s="7" t="inlineStr">
        <is>
          <t>Escavação</t>
        </is>
      </c>
      <c r="K344" s="7" t="inlineStr">
        <is>
          <t>Planejamento</t>
        </is>
      </c>
      <c r="L344" s="16" t="inlineStr">
        <is>
          <t>PDS-janeiro(1).docx</t>
        </is>
      </c>
      <c r="M344">
        <f>IF($A344="","",TEXT($A344,"mmmm/yyyy"))</f>
        <v/>
      </c>
      <c r="P344">
        <f>IFERROR(_xludf.XLOOKUP($N344,Base_Enderecos!$A:$A,Base_Enderecos!$B:$B,""),"")</f>
        <v/>
      </c>
      <c r="Q344">
        <f>IFERROR(_xludf.XLOOKUP($N344,Base_Enderecos!$A:$A,Base_Enderecos!$C:$C,""),"")</f>
        <v/>
      </c>
      <c r="R344">
        <f>IF(OR(ISNUMBER(SEARCH("HDD",$F344)),ISNUMBER(SEARCH("MND",$F344)),ISNUMBER(SEARCH("PEAD",$F344)),ISNUMBER(SEARCH("Puxe",$J344)),ISNUMBER(SEARCH("Apoio HDD",$F344))),"MND",IF(OR(ISNUMBER(SEARCH("VCA",$F344)),ISNUMBER(SEARCH("PVC",$F344)),ISNUMBER(SEARCH("vca",$J344)),ISNUMBER(SEARCH("Transformação",$J344))),"VCA",IF(OR(ISNUMBER(SEARCH("crava",$F344)),ISNUMBER(SEARCH("tubo cravado",$F344)),ISNUMBER(SEARCH("shaft",$J344)),ISNUMBER(SEARCH("concreto",$F344))),"TUBO CRAVADO","")))</f>
        <v/>
      </c>
      <c r="T344">
        <f>IF($A344="","",TEXT($A344,"yyyymm")&amp;"|"&amp;$C344&amp;"|"&amp;$F344&amp;"|"&amp;$N344&amp;"|"&amp;$R344)</f>
        <v/>
      </c>
    </row>
    <row r="345" ht="11.55" customHeight="1">
      <c r="A345" s="10" t="n">
        <v>46035</v>
      </c>
      <c r="B345" s="7" t="inlineStr">
        <is>
          <t>Terça</t>
        </is>
      </c>
      <c r="C345" s="7" t="inlineStr">
        <is>
          <t>CT Jaraguá</t>
        </is>
      </c>
      <c r="D345" s="7" t="n"/>
      <c r="E345" s="7" t="inlineStr">
        <is>
          <t>Jonathan</t>
        </is>
      </c>
      <c r="F345" s="13" t="inlineStr">
        <is>
          <t>Escavação mecânica e montagem armco PV 02</t>
        </is>
      </c>
      <c r="G345" s="7" t="inlineStr">
        <is>
          <t>02</t>
        </is>
      </c>
      <c r="H345" s="7" t="n"/>
      <c r="I345" s="7" t="inlineStr">
        <is>
          <t>02</t>
        </is>
      </c>
      <c r="J345" s="7" t="inlineStr">
        <is>
          <t>Escavação</t>
        </is>
      </c>
      <c r="K345" s="7" t="inlineStr">
        <is>
          <t>Planejamento</t>
        </is>
      </c>
      <c r="L345" s="16" t="inlineStr">
        <is>
          <t>PDS-janeiro(1).docx</t>
        </is>
      </c>
      <c r="M345">
        <f>IF($A345="","",TEXT($A345,"mmmm/yyyy"))</f>
        <v/>
      </c>
      <c r="P345">
        <f>IFERROR(_xludf.XLOOKUP($N345,Base_Enderecos!$A:$A,Base_Enderecos!$B:$B,""),"")</f>
        <v/>
      </c>
      <c r="Q345">
        <f>IFERROR(_xludf.XLOOKUP($N345,Base_Enderecos!$A:$A,Base_Enderecos!$C:$C,""),"")</f>
        <v/>
      </c>
      <c r="R345">
        <f>IF(OR(ISNUMBER(SEARCH("HDD",$F345)),ISNUMBER(SEARCH("MND",$F345)),ISNUMBER(SEARCH("PEAD",$F345)),ISNUMBER(SEARCH("Puxe",$J345)),ISNUMBER(SEARCH("Apoio HDD",$F345))),"MND",IF(OR(ISNUMBER(SEARCH("VCA",$F345)),ISNUMBER(SEARCH("PVC",$F345)),ISNUMBER(SEARCH("vca",$J345)),ISNUMBER(SEARCH("Transformação",$J345))),"VCA",IF(OR(ISNUMBER(SEARCH("crava",$F345)),ISNUMBER(SEARCH("tubo cravado",$F345)),ISNUMBER(SEARCH("shaft",$J345)),ISNUMBER(SEARCH("concreto",$F345))),"TUBO CRAVADO","")))</f>
        <v/>
      </c>
      <c r="T345">
        <f>IF($A345="","",TEXT($A345,"yyyymm")&amp;"|"&amp;$C345&amp;"|"&amp;$F345&amp;"|"&amp;$N345&amp;"|"&amp;$R345)</f>
        <v/>
      </c>
    </row>
    <row r="346" ht="11.55" customHeight="1">
      <c r="A346" s="10" t="n">
        <v>46035</v>
      </c>
      <c r="B346" s="7" t="inlineStr">
        <is>
          <t>Terça</t>
        </is>
      </c>
      <c r="C346" s="7" t="inlineStr">
        <is>
          <t>CT Lageado</t>
        </is>
      </c>
      <c r="D346" s="7" t="n"/>
      <c r="E346" s="7" t="inlineStr">
        <is>
          <t>Higor</t>
        </is>
      </c>
      <c r="F346" s="13" t="inlineStr">
        <is>
          <t>Ajuste PV 5.1</t>
        </is>
      </c>
      <c r="G346" s="7" t="inlineStr">
        <is>
          <t>5.1</t>
        </is>
      </c>
      <c r="H346" s="7" t="n"/>
      <c r="I346" s="7" t="inlineStr">
        <is>
          <t>5.1</t>
        </is>
      </c>
      <c r="J346" s="7" t="n"/>
      <c r="K346" s="7" t="inlineStr">
        <is>
          <t>Planejamento</t>
        </is>
      </c>
      <c r="L346" s="16" t="inlineStr">
        <is>
          <t>PDS-janeiro(1).docx</t>
        </is>
      </c>
      <c r="M346">
        <f>IF($A346="","",TEXT($A346,"mmmm/yyyy"))</f>
        <v/>
      </c>
      <c r="P346">
        <f>IFERROR(_xludf.XLOOKUP($N346,Base_Enderecos!$A:$A,Base_Enderecos!$B:$B,""),"")</f>
        <v/>
      </c>
      <c r="Q346">
        <f>IFERROR(_xludf.XLOOKUP($N346,Base_Enderecos!$A:$A,Base_Enderecos!$C:$C,""),"")</f>
        <v/>
      </c>
      <c r="R346">
        <f>IF(OR(ISNUMBER(SEARCH("HDD",$F346)),ISNUMBER(SEARCH("MND",$F346)),ISNUMBER(SEARCH("PEAD",$F346)),ISNUMBER(SEARCH("Puxe",$J346)),ISNUMBER(SEARCH("Apoio HDD",$F346))),"MND",IF(OR(ISNUMBER(SEARCH("VCA",$F346)),ISNUMBER(SEARCH("PVC",$F346)),ISNUMBER(SEARCH("vca",$J346)),ISNUMBER(SEARCH("Transformação",$J346))),"VCA",IF(OR(ISNUMBER(SEARCH("crava",$F346)),ISNUMBER(SEARCH("tubo cravado",$F346)),ISNUMBER(SEARCH("shaft",$J346)),ISNUMBER(SEARCH("concreto",$F346))),"TUBO CRAVADO","")))</f>
        <v/>
      </c>
      <c r="T346">
        <f>IF($A346="","",TEXT($A346,"yyyymm")&amp;"|"&amp;$C346&amp;"|"&amp;$F346&amp;"|"&amp;$N346&amp;"|"&amp;$R346)</f>
        <v/>
      </c>
    </row>
    <row r="347" ht="11.55" customHeight="1">
      <c r="A347" s="10" t="n">
        <v>46035</v>
      </c>
      <c r="B347" s="7" t="inlineStr">
        <is>
          <t>Terça</t>
        </is>
      </c>
      <c r="C347" s="7" t="inlineStr">
        <is>
          <t>CT Lourdes</t>
        </is>
      </c>
      <c r="D347" s="7" t="n"/>
      <c r="E347" s="7" t="inlineStr">
        <is>
          <t>Paulo</t>
        </is>
      </c>
      <c r="F347" s="13" t="inlineStr">
        <is>
          <t>Transformação PV 22</t>
        </is>
      </c>
      <c r="G347" s="7" t="inlineStr">
        <is>
          <t>22</t>
        </is>
      </c>
      <c r="H347" s="7" t="n"/>
      <c r="I347" s="7" t="inlineStr">
        <is>
          <t>22</t>
        </is>
      </c>
      <c r="J347" s="7" t="inlineStr">
        <is>
          <t>Transformação</t>
        </is>
      </c>
      <c r="K347" s="7" t="inlineStr">
        <is>
          <t>Planejamento</t>
        </is>
      </c>
      <c r="L347" s="16" t="inlineStr">
        <is>
          <t>PDS-janeiro(1).docx</t>
        </is>
      </c>
      <c r="M347">
        <f>IF($A347="","",TEXT($A347,"mmmm/yyyy"))</f>
        <v/>
      </c>
      <c r="P347">
        <f>IFERROR(_xludf.XLOOKUP($N347,Base_Enderecos!$A:$A,Base_Enderecos!$B:$B,""),"")</f>
        <v/>
      </c>
      <c r="Q347">
        <f>IFERROR(_xludf.XLOOKUP($N347,Base_Enderecos!$A:$A,Base_Enderecos!$C:$C,""),"")</f>
        <v/>
      </c>
      <c r="R347">
        <f>IF(OR(ISNUMBER(SEARCH("HDD",$F347)),ISNUMBER(SEARCH("MND",$F347)),ISNUMBER(SEARCH("PEAD",$F347)),ISNUMBER(SEARCH("Puxe",$J347)),ISNUMBER(SEARCH("Apoio HDD",$F347))),"MND",IF(OR(ISNUMBER(SEARCH("VCA",$F347)),ISNUMBER(SEARCH("PVC",$F347)),ISNUMBER(SEARCH("vca",$J347)),ISNUMBER(SEARCH("Transformação",$J347))),"VCA",IF(OR(ISNUMBER(SEARCH("crava",$F347)),ISNUMBER(SEARCH("tubo cravado",$F347)),ISNUMBER(SEARCH("shaft",$J347)),ISNUMBER(SEARCH("concreto",$F347))),"TUBO CRAVADO","")))</f>
        <v/>
      </c>
      <c r="T347">
        <f>IF($A347="","",TEXT($A347,"yyyymm")&amp;"|"&amp;$C347&amp;"|"&amp;$F347&amp;"|"&amp;$N347&amp;"|"&amp;$R347)</f>
        <v/>
      </c>
    </row>
    <row r="348" ht="11.55" customHeight="1">
      <c r="A348" s="10" t="n">
        <v>46035</v>
      </c>
      <c r="B348" s="7" t="inlineStr">
        <is>
          <t>Terça</t>
        </is>
      </c>
      <c r="C348" s="7" t="inlineStr">
        <is>
          <t>CT Mar de Coral</t>
        </is>
      </c>
      <c r="D348" s="7" t="n"/>
      <c r="E348" s="7" t="inlineStr">
        <is>
          <t>Valter</t>
        </is>
      </c>
      <c r="F348" s="13" t="inlineStr">
        <is>
          <t>Transformação PV 01</t>
        </is>
      </c>
      <c r="G348" s="7" t="inlineStr">
        <is>
          <t>01</t>
        </is>
      </c>
      <c r="H348" s="7" t="n"/>
      <c r="I348" s="7" t="inlineStr">
        <is>
          <t>01</t>
        </is>
      </c>
      <c r="J348" s="7" t="inlineStr">
        <is>
          <t>Transformação</t>
        </is>
      </c>
      <c r="K348" s="7" t="inlineStr">
        <is>
          <t>Planejamento</t>
        </is>
      </c>
      <c r="L348" s="16" t="inlineStr">
        <is>
          <t>PDS-janeiro(1).docx</t>
        </is>
      </c>
      <c r="M348">
        <f>IF($A348="","",TEXT($A348,"mmmm/yyyy"))</f>
        <v/>
      </c>
      <c r="P348">
        <f>IFERROR(_xludf.XLOOKUP($N348,Base_Enderecos!$A:$A,Base_Enderecos!$B:$B,""),"")</f>
        <v/>
      </c>
      <c r="Q348">
        <f>IFERROR(_xludf.XLOOKUP($N348,Base_Enderecos!$A:$A,Base_Enderecos!$C:$C,""),"")</f>
        <v/>
      </c>
      <c r="R348">
        <f>IF(OR(ISNUMBER(SEARCH("HDD",$F348)),ISNUMBER(SEARCH("MND",$F348)),ISNUMBER(SEARCH("PEAD",$F348)),ISNUMBER(SEARCH("Puxe",$J348)),ISNUMBER(SEARCH("Apoio HDD",$F348))),"MND",IF(OR(ISNUMBER(SEARCH("VCA",$F348)),ISNUMBER(SEARCH("PVC",$F348)),ISNUMBER(SEARCH("vca",$J348)),ISNUMBER(SEARCH("Transformação",$J348))),"VCA",IF(OR(ISNUMBER(SEARCH("crava",$F348)),ISNUMBER(SEARCH("tubo cravado",$F348)),ISNUMBER(SEARCH("shaft",$J348)),ISNUMBER(SEARCH("concreto",$F348))),"TUBO CRAVADO","")))</f>
        <v/>
      </c>
      <c r="T348">
        <f>IF($A348="","",TEXT($A348,"yyyymm")&amp;"|"&amp;$C348&amp;"|"&amp;$F348&amp;"|"&amp;$N348&amp;"|"&amp;$R348)</f>
        <v/>
      </c>
    </row>
    <row r="349" ht="11.55" customHeight="1">
      <c r="A349" s="10" t="n">
        <v>46035</v>
      </c>
      <c r="B349" s="7" t="inlineStr">
        <is>
          <t>Terça</t>
        </is>
      </c>
      <c r="C349" s="7" t="inlineStr">
        <is>
          <t>CT Mar de Coral</t>
        </is>
      </c>
      <c r="D349" s="7" t="n"/>
      <c r="E349" s="7" t="inlineStr">
        <is>
          <t>Cesar</t>
        </is>
      </c>
      <c r="F349" s="13" t="inlineStr">
        <is>
          <t>Escavação mecânica e montagem armco PV 22</t>
        </is>
      </c>
      <c r="G349" s="7" t="inlineStr">
        <is>
          <t>22</t>
        </is>
      </c>
      <c r="H349" s="7" t="n"/>
      <c r="I349" s="7" t="inlineStr">
        <is>
          <t>22</t>
        </is>
      </c>
      <c r="J349" s="7" t="inlineStr">
        <is>
          <t>Escavação</t>
        </is>
      </c>
      <c r="K349" s="7" t="inlineStr">
        <is>
          <t>Planejamento</t>
        </is>
      </c>
      <c r="L349" s="16" t="inlineStr">
        <is>
          <t>PDS-janeiro(1).docx</t>
        </is>
      </c>
      <c r="M349">
        <f>IF($A349="","",TEXT($A349,"mmmm/yyyy"))</f>
        <v/>
      </c>
      <c r="P349">
        <f>IFERROR(_xludf.XLOOKUP($N349,Base_Enderecos!$A:$A,Base_Enderecos!$B:$B,""),"")</f>
        <v/>
      </c>
      <c r="Q349">
        <f>IFERROR(_xludf.XLOOKUP($N349,Base_Enderecos!$A:$A,Base_Enderecos!$C:$C,""),"")</f>
        <v/>
      </c>
      <c r="R349">
        <f>IF(OR(ISNUMBER(SEARCH("HDD",$F349)),ISNUMBER(SEARCH("MND",$F349)),ISNUMBER(SEARCH("PEAD",$F349)),ISNUMBER(SEARCH("Puxe",$J349)),ISNUMBER(SEARCH("Apoio HDD",$F349))),"MND",IF(OR(ISNUMBER(SEARCH("VCA",$F349)),ISNUMBER(SEARCH("PVC",$F349)),ISNUMBER(SEARCH("vca",$J349)),ISNUMBER(SEARCH("Transformação",$J349))),"VCA",IF(OR(ISNUMBER(SEARCH("crava",$F349)),ISNUMBER(SEARCH("tubo cravado",$F349)),ISNUMBER(SEARCH("shaft",$J349)),ISNUMBER(SEARCH("concreto",$F349))),"TUBO CRAVADO","")))</f>
        <v/>
      </c>
      <c r="T349">
        <f>IF($A349="","",TEXT($A349,"yyyymm")&amp;"|"&amp;$C349&amp;"|"&amp;$F349&amp;"|"&amp;$N349&amp;"|"&amp;$R349)</f>
        <v/>
      </c>
    </row>
    <row r="350" ht="11.55" customHeight="1">
      <c r="A350" s="10" t="n">
        <v>46035</v>
      </c>
      <c r="B350" s="7" t="inlineStr">
        <is>
          <t>Terça</t>
        </is>
      </c>
      <c r="C350" s="7" t="inlineStr">
        <is>
          <t>CT Mar de Coral</t>
        </is>
      </c>
      <c r="D350" s="7" t="n"/>
      <c r="E350" s="7" t="inlineStr">
        <is>
          <t>Edivando</t>
        </is>
      </c>
      <c r="F350" s="13" t="inlineStr">
        <is>
          <t>Transformação PV 02</t>
        </is>
      </c>
      <c r="G350" s="7" t="inlineStr">
        <is>
          <t>02</t>
        </is>
      </c>
      <c r="H350" s="7" t="n"/>
      <c r="I350" s="7" t="inlineStr">
        <is>
          <t>02</t>
        </is>
      </c>
      <c r="J350" s="7" t="inlineStr">
        <is>
          <t>Transformação</t>
        </is>
      </c>
      <c r="K350" s="7" t="inlineStr">
        <is>
          <t>Planejamento</t>
        </is>
      </c>
      <c r="L350" s="16" t="inlineStr">
        <is>
          <t>PDS-janeiro(1).docx</t>
        </is>
      </c>
      <c r="M350">
        <f>IF($A350="","",TEXT($A350,"mmmm/yyyy"))</f>
        <v/>
      </c>
      <c r="P350">
        <f>IFERROR(_xludf.XLOOKUP($N350,Base_Enderecos!$A:$A,Base_Enderecos!$B:$B,""),"")</f>
        <v/>
      </c>
      <c r="Q350">
        <f>IFERROR(_xludf.XLOOKUP($N350,Base_Enderecos!$A:$A,Base_Enderecos!$C:$C,""),"")</f>
        <v/>
      </c>
      <c r="R350">
        <f>IF(OR(ISNUMBER(SEARCH("HDD",$F350)),ISNUMBER(SEARCH("MND",$F350)),ISNUMBER(SEARCH("PEAD",$F350)),ISNUMBER(SEARCH("Puxe",$J350)),ISNUMBER(SEARCH("Apoio HDD",$F350))),"MND",IF(OR(ISNUMBER(SEARCH("VCA",$F350)),ISNUMBER(SEARCH("PVC",$F350)),ISNUMBER(SEARCH("vca",$J350)),ISNUMBER(SEARCH("Transformação",$J350))),"VCA",IF(OR(ISNUMBER(SEARCH("crava",$F350)),ISNUMBER(SEARCH("tubo cravado",$F350)),ISNUMBER(SEARCH("shaft",$J350)),ISNUMBER(SEARCH("concreto",$F350))),"TUBO CRAVADO","")))</f>
        <v/>
      </c>
      <c r="T350">
        <f>IF($A350="","",TEXT($A350,"yyyymm")&amp;"|"&amp;$C350&amp;"|"&amp;$F350&amp;"|"&amp;$N350&amp;"|"&amp;$R350)</f>
        <v/>
      </c>
    </row>
    <row r="351" ht="11.55" customHeight="1">
      <c r="A351" s="10" t="n">
        <v>46035</v>
      </c>
      <c r="B351" s="7" t="inlineStr">
        <is>
          <t>Terça</t>
        </is>
      </c>
      <c r="C351" s="7" t="inlineStr">
        <is>
          <t>CT Mar de Coral</t>
        </is>
      </c>
      <c r="D351" s="7" t="n"/>
      <c r="E351" s="7" t="inlineStr">
        <is>
          <t>LS1 (Josivaldo)</t>
        </is>
      </c>
      <c r="F351" s="13" t="inlineStr">
        <is>
          <t>Escavação mecânica e montagem armco PV 23</t>
        </is>
      </c>
      <c r="G351" s="7" t="inlineStr">
        <is>
          <t>23</t>
        </is>
      </c>
      <c r="H351" s="7" t="n"/>
      <c r="I351" s="7" t="inlineStr">
        <is>
          <t>23</t>
        </is>
      </c>
      <c r="J351" s="7" t="inlineStr">
        <is>
          <t>Escavação</t>
        </is>
      </c>
      <c r="K351" s="7" t="inlineStr">
        <is>
          <t>Planejamento</t>
        </is>
      </c>
      <c r="L351" s="16" t="inlineStr">
        <is>
          <t>PDS-janeiro(1).docx</t>
        </is>
      </c>
      <c r="M351">
        <f>IF($A351="","",TEXT($A351,"mmmm/yyyy"))</f>
        <v/>
      </c>
      <c r="P351">
        <f>IFERROR(_xludf.XLOOKUP($N351,Base_Enderecos!$A:$A,Base_Enderecos!$B:$B,""),"")</f>
        <v/>
      </c>
      <c r="Q351">
        <f>IFERROR(_xludf.XLOOKUP($N351,Base_Enderecos!$A:$A,Base_Enderecos!$C:$C,""),"")</f>
        <v/>
      </c>
      <c r="R351">
        <f>IF(OR(ISNUMBER(SEARCH("HDD",$F351)),ISNUMBER(SEARCH("MND",$F351)),ISNUMBER(SEARCH("PEAD",$F351)),ISNUMBER(SEARCH("Puxe",$J351)),ISNUMBER(SEARCH("Apoio HDD",$F351))),"MND",IF(OR(ISNUMBER(SEARCH("VCA",$F351)),ISNUMBER(SEARCH("PVC",$F351)),ISNUMBER(SEARCH("vca",$J351)),ISNUMBER(SEARCH("Transformação",$J351))),"VCA",IF(OR(ISNUMBER(SEARCH("crava",$F351)),ISNUMBER(SEARCH("tubo cravado",$F351)),ISNUMBER(SEARCH("shaft",$J351)),ISNUMBER(SEARCH("concreto",$F351))),"TUBO CRAVADO","")))</f>
        <v/>
      </c>
      <c r="T351">
        <f>IF($A351="","",TEXT($A351,"yyyymm")&amp;"|"&amp;$C351&amp;"|"&amp;$F351&amp;"|"&amp;$N351&amp;"|"&amp;$R351)</f>
        <v/>
      </c>
    </row>
    <row r="352" ht="11.55" customHeight="1">
      <c r="A352" s="10" t="n">
        <v>46035</v>
      </c>
      <c r="B352" s="7" t="inlineStr">
        <is>
          <t>Terça</t>
        </is>
      </c>
      <c r="C352" s="7" t="inlineStr">
        <is>
          <t>CT Mar de Coral</t>
        </is>
      </c>
      <c r="D352" s="7" t="n"/>
      <c r="E352" s="7" t="inlineStr">
        <is>
          <t>Bruno (Work Drill)</t>
        </is>
      </c>
      <c r="F352" s="13" t="inlineStr">
        <is>
          <t>Execução puxe do tubo 03 ao 04</t>
        </is>
      </c>
      <c r="G352" s="7" t="n"/>
      <c r="H352" s="7" t="n"/>
      <c r="I352" s="7" t="n"/>
      <c r="J352" s="7" t="inlineStr">
        <is>
          <t>Puxe</t>
        </is>
      </c>
      <c r="K352" s="7" t="inlineStr">
        <is>
          <t>Planejamento</t>
        </is>
      </c>
      <c r="L352" s="16" t="inlineStr">
        <is>
          <t>PDS-janeiro(1).docx</t>
        </is>
      </c>
      <c r="M352">
        <f>IF($A352="","",TEXT($A352,"mmmm/yyyy"))</f>
        <v/>
      </c>
      <c r="P352">
        <f>IFERROR(_xludf.XLOOKUP($N352,Base_Enderecos!$A:$A,Base_Enderecos!$B:$B,""),"")</f>
        <v/>
      </c>
      <c r="Q352">
        <f>IFERROR(_xludf.XLOOKUP($N352,Base_Enderecos!$A:$A,Base_Enderecos!$C:$C,""),"")</f>
        <v/>
      </c>
      <c r="R352">
        <f>IF(OR(ISNUMBER(SEARCH("HDD",$F352)),ISNUMBER(SEARCH("MND",$F352)),ISNUMBER(SEARCH("PEAD",$F352)),ISNUMBER(SEARCH("Puxe",$J352)),ISNUMBER(SEARCH("Apoio HDD",$F352))),"MND",IF(OR(ISNUMBER(SEARCH("VCA",$F352)),ISNUMBER(SEARCH("PVC",$F352)),ISNUMBER(SEARCH("vca",$J352)),ISNUMBER(SEARCH("Transformação",$J352))),"VCA",IF(OR(ISNUMBER(SEARCH("crava",$F352)),ISNUMBER(SEARCH("tubo cravado",$F352)),ISNUMBER(SEARCH("shaft",$J352)),ISNUMBER(SEARCH("concreto",$F352))),"TUBO CRAVADO","")))</f>
        <v/>
      </c>
      <c r="T352">
        <f>IF($A352="","",TEXT($A352,"yyyymm")&amp;"|"&amp;$C352&amp;"|"&amp;$F352&amp;"|"&amp;$N352&amp;"|"&amp;$R352)</f>
        <v/>
      </c>
    </row>
    <row r="353" ht="11.55" customHeight="1">
      <c r="A353" s="10" t="n">
        <v>46035</v>
      </c>
      <c r="B353" s="7" t="inlineStr">
        <is>
          <t>Terça</t>
        </is>
      </c>
      <c r="C353" s="7" t="inlineStr">
        <is>
          <t>CT Mar de Coral</t>
        </is>
      </c>
      <c r="D353" s="7" t="n"/>
      <c r="E353" s="7" t="inlineStr">
        <is>
          <t>Márcio</t>
        </is>
      </c>
      <c r="F353" s="13" t="inlineStr">
        <is>
          <t>Apoio HDD entre PVs 03 ao 04</t>
        </is>
      </c>
      <c r="G353" s="7" t="inlineStr">
        <is>
          <t>03</t>
        </is>
      </c>
      <c r="H353" s="7" t="n"/>
      <c r="I353" s="7" t="inlineStr">
        <is>
          <t>03</t>
        </is>
      </c>
      <c r="J353" s="7" t="inlineStr">
        <is>
          <t>Apoio HDD</t>
        </is>
      </c>
      <c r="K353" s="7" t="inlineStr">
        <is>
          <t>Planejamento</t>
        </is>
      </c>
      <c r="L353" s="16" t="inlineStr">
        <is>
          <t>PDS-janeiro(1).docx</t>
        </is>
      </c>
      <c r="M353">
        <f>IF($A353="","",TEXT($A353,"mmmm/yyyy"))</f>
        <v/>
      </c>
      <c r="P353">
        <f>IFERROR(_xludf.XLOOKUP($N353,Base_Enderecos!$A:$A,Base_Enderecos!$B:$B,""),"")</f>
        <v/>
      </c>
      <c r="Q353">
        <f>IFERROR(_xludf.XLOOKUP($N353,Base_Enderecos!$A:$A,Base_Enderecos!$C:$C,""),"")</f>
        <v/>
      </c>
      <c r="R353">
        <f>IF(OR(ISNUMBER(SEARCH("HDD",$F353)),ISNUMBER(SEARCH("MND",$F353)),ISNUMBER(SEARCH("PEAD",$F353)),ISNUMBER(SEARCH("Puxe",$J353)),ISNUMBER(SEARCH("Apoio HDD",$F353))),"MND",IF(OR(ISNUMBER(SEARCH("VCA",$F353)),ISNUMBER(SEARCH("PVC",$F353)),ISNUMBER(SEARCH("vca",$J353)),ISNUMBER(SEARCH("Transformação",$J353))),"VCA",IF(OR(ISNUMBER(SEARCH("crava",$F353)),ISNUMBER(SEARCH("tubo cravado",$F353)),ISNUMBER(SEARCH("shaft",$J353)),ISNUMBER(SEARCH("concreto",$F353))),"TUBO CRAVADO","")))</f>
        <v/>
      </c>
      <c r="T353">
        <f>IF($A353="","",TEXT($A353,"yyyymm")&amp;"|"&amp;$C353&amp;"|"&amp;$F353&amp;"|"&amp;$N353&amp;"|"&amp;$R353)</f>
        <v/>
      </c>
    </row>
    <row r="354" ht="11.55" customHeight="1">
      <c r="A354" s="10" t="n">
        <v>46035</v>
      </c>
      <c r="B354" s="7" t="inlineStr">
        <is>
          <t>Terça</t>
        </is>
      </c>
      <c r="C354" s="7" t="inlineStr">
        <is>
          <t>CT Mar de Coral</t>
        </is>
      </c>
      <c r="D354" s="7" t="n"/>
      <c r="E354" s="7" t="inlineStr">
        <is>
          <t>WJ (Edson)</t>
        </is>
      </c>
      <c r="F354" s="13" t="inlineStr">
        <is>
          <t>Execução furo piloto entre PVs 05 ao 5.10</t>
        </is>
      </c>
      <c r="G354" s="7" t="inlineStr">
        <is>
          <t>05</t>
        </is>
      </c>
      <c r="H354" s="7" t="n"/>
      <c r="I354" s="7" t="inlineStr">
        <is>
          <t>05</t>
        </is>
      </c>
      <c r="J354" s="7" t="inlineStr">
        <is>
          <t>Furo piloto</t>
        </is>
      </c>
      <c r="K354" s="7" t="inlineStr">
        <is>
          <t>Planejamento</t>
        </is>
      </c>
      <c r="L354" s="16" t="inlineStr">
        <is>
          <t>PDS-janeiro(1).docx</t>
        </is>
      </c>
      <c r="M354">
        <f>IF($A354="","",TEXT($A354,"mmmm/yyyy"))</f>
        <v/>
      </c>
      <c r="P354">
        <f>IFERROR(_xludf.XLOOKUP($N354,Base_Enderecos!$A:$A,Base_Enderecos!$B:$B,""),"")</f>
        <v/>
      </c>
      <c r="Q354">
        <f>IFERROR(_xludf.XLOOKUP($N354,Base_Enderecos!$A:$A,Base_Enderecos!$C:$C,""),"")</f>
        <v/>
      </c>
      <c r="R354">
        <f>IF(OR(ISNUMBER(SEARCH("HDD",$F354)),ISNUMBER(SEARCH("MND",$F354)),ISNUMBER(SEARCH("PEAD",$F354)),ISNUMBER(SEARCH("Puxe",$J354)),ISNUMBER(SEARCH("Apoio HDD",$F354))),"MND",IF(OR(ISNUMBER(SEARCH("VCA",$F354)),ISNUMBER(SEARCH("PVC",$F354)),ISNUMBER(SEARCH("vca",$J354)),ISNUMBER(SEARCH("Transformação",$J354))),"VCA",IF(OR(ISNUMBER(SEARCH("crava",$F354)),ISNUMBER(SEARCH("tubo cravado",$F354)),ISNUMBER(SEARCH("shaft",$J354)),ISNUMBER(SEARCH("concreto",$F354))),"TUBO CRAVADO","")))</f>
        <v/>
      </c>
      <c r="T354">
        <f>IF($A354="","",TEXT($A354,"yyyymm")&amp;"|"&amp;$C354&amp;"|"&amp;$F354&amp;"|"&amp;$N354&amp;"|"&amp;$R354)</f>
        <v/>
      </c>
    </row>
    <row r="355" ht="11.55" customHeight="1">
      <c r="A355" s="10" t="n">
        <v>46035</v>
      </c>
      <c r="B355" s="7" t="inlineStr">
        <is>
          <t>Terça</t>
        </is>
      </c>
      <c r="C355" s="7" t="inlineStr">
        <is>
          <t>CT Mar de Coral</t>
        </is>
      </c>
      <c r="D355" s="7" t="n"/>
      <c r="E355" s="7" t="inlineStr">
        <is>
          <t>Natalino</t>
        </is>
      </c>
      <c r="F355" s="13" t="inlineStr">
        <is>
          <t>Apoio HDD entre PVs 05 ao 5.10</t>
        </is>
      </c>
      <c r="G355" s="7" t="inlineStr">
        <is>
          <t>05</t>
        </is>
      </c>
      <c r="H355" s="7" t="n"/>
      <c r="I355" s="7" t="inlineStr">
        <is>
          <t>05</t>
        </is>
      </c>
      <c r="J355" s="7" t="inlineStr">
        <is>
          <t>Apoio HDD</t>
        </is>
      </c>
      <c r="K355" s="7" t="inlineStr">
        <is>
          <t>Planejamento</t>
        </is>
      </c>
      <c r="L355" s="16" t="inlineStr">
        <is>
          <t>PDS-janeiro(1).docx</t>
        </is>
      </c>
      <c r="M355">
        <f>IF($A355="","",TEXT($A355,"mmmm/yyyy"))</f>
        <v/>
      </c>
      <c r="P355">
        <f>IFERROR(_xludf.XLOOKUP($N355,Base_Enderecos!$A:$A,Base_Enderecos!$B:$B,""),"")</f>
        <v/>
      </c>
      <c r="Q355">
        <f>IFERROR(_xludf.XLOOKUP($N355,Base_Enderecos!$A:$A,Base_Enderecos!$C:$C,""),"")</f>
        <v/>
      </c>
      <c r="R355">
        <f>IF(OR(ISNUMBER(SEARCH("HDD",$F355)),ISNUMBER(SEARCH("MND",$F355)),ISNUMBER(SEARCH("PEAD",$F355)),ISNUMBER(SEARCH("Puxe",$J355)),ISNUMBER(SEARCH("Apoio HDD",$F355))),"MND",IF(OR(ISNUMBER(SEARCH("VCA",$F355)),ISNUMBER(SEARCH("PVC",$F355)),ISNUMBER(SEARCH("vca",$J355)),ISNUMBER(SEARCH("Transformação",$J355))),"VCA",IF(OR(ISNUMBER(SEARCH("crava",$F355)),ISNUMBER(SEARCH("tubo cravado",$F355)),ISNUMBER(SEARCH("shaft",$J355)),ISNUMBER(SEARCH("concreto",$F355))),"TUBO CRAVADO","")))</f>
        <v/>
      </c>
      <c r="T355">
        <f>IF($A355="","",TEXT($A355,"yyyymm")&amp;"|"&amp;$C355&amp;"|"&amp;$F355&amp;"|"&amp;$N355&amp;"|"&amp;$R355)</f>
        <v/>
      </c>
    </row>
    <row r="356" ht="11.55" customHeight="1">
      <c r="A356" s="10" t="n">
        <v>46035</v>
      </c>
      <c r="B356" s="7" t="inlineStr">
        <is>
          <t>Terça</t>
        </is>
      </c>
      <c r="C356" s="7" t="inlineStr">
        <is>
          <t>Vacal</t>
        </is>
      </c>
      <c r="D356" s="7" t="n"/>
      <c r="E356" s="7" t="inlineStr">
        <is>
          <t>Mar de Coral</t>
        </is>
      </c>
      <c r="F356" s="13" t="inlineStr">
        <is>
          <t>Apoio Vacal</t>
        </is>
      </c>
      <c r="G356" s="7" t="n"/>
      <c r="H356" s="7" t="n"/>
      <c r="I356" s="7" t="n"/>
      <c r="J356" s="7" t="inlineStr">
        <is>
          <t>Vacal</t>
        </is>
      </c>
      <c r="K356" s="7" t="inlineStr">
        <is>
          <t>Apoio</t>
        </is>
      </c>
      <c r="L356" s="16" t="inlineStr">
        <is>
          <t>PDS-janeiro(1).docx</t>
        </is>
      </c>
      <c r="M356">
        <f>IF($A356="","",TEXT($A356,"mmmm/yyyy"))</f>
        <v/>
      </c>
      <c r="P356">
        <f>IFERROR(_xludf.XLOOKUP($N356,Base_Enderecos!$A:$A,Base_Enderecos!$B:$B,""),"")</f>
        <v/>
      </c>
      <c r="Q356">
        <f>IFERROR(_xludf.XLOOKUP($N356,Base_Enderecos!$A:$A,Base_Enderecos!$C:$C,""),"")</f>
        <v/>
      </c>
      <c r="R356">
        <f>IF(OR(ISNUMBER(SEARCH("HDD",$F356)),ISNUMBER(SEARCH("MND",$F356)),ISNUMBER(SEARCH("PEAD",$F356)),ISNUMBER(SEARCH("Puxe",$J356)),ISNUMBER(SEARCH("Apoio HDD",$F356))),"MND",IF(OR(ISNUMBER(SEARCH("VCA",$F356)),ISNUMBER(SEARCH("PVC",$F356)),ISNUMBER(SEARCH("vca",$J356)),ISNUMBER(SEARCH("Transformação",$J356))),"VCA",IF(OR(ISNUMBER(SEARCH("crava",$F356)),ISNUMBER(SEARCH("tubo cravado",$F356)),ISNUMBER(SEARCH("shaft",$J356)),ISNUMBER(SEARCH("concreto",$F356))),"TUBO CRAVADO","")))</f>
        <v/>
      </c>
      <c r="T356">
        <f>IF($A356="","",TEXT($A356,"yyyymm")&amp;"|"&amp;$C356&amp;"|"&amp;$F356&amp;"|"&amp;$N356&amp;"|"&amp;$R356)</f>
        <v/>
      </c>
    </row>
    <row r="357" ht="11.55" customHeight="1">
      <c r="A357" s="10" t="n">
        <v>46035</v>
      </c>
      <c r="B357" s="7" t="inlineStr">
        <is>
          <t>Terça</t>
        </is>
      </c>
      <c r="C357" s="7" t="inlineStr">
        <is>
          <t>Vacal</t>
        </is>
      </c>
      <c r="D357" s="7" t="n"/>
      <c r="E357" s="7" t="inlineStr">
        <is>
          <t>Mar de Coral</t>
        </is>
      </c>
      <c r="F357" s="13" t="inlineStr">
        <is>
          <t>Apoio Vacal</t>
        </is>
      </c>
      <c r="G357" s="7" t="n"/>
      <c r="H357" s="7" t="n"/>
      <c r="I357" s="7" t="n"/>
      <c r="J357" s="7" t="inlineStr">
        <is>
          <t>Vacal</t>
        </is>
      </c>
      <c r="K357" s="7" t="inlineStr">
        <is>
          <t>Apoio</t>
        </is>
      </c>
      <c r="L357" s="16" t="inlineStr">
        <is>
          <t>PDS-janeiro(1).docx</t>
        </is>
      </c>
      <c r="M357">
        <f>IF($A357="","",TEXT($A357,"mmmm/yyyy"))</f>
        <v/>
      </c>
      <c r="P357">
        <f>IFERROR(_xludf.XLOOKUP($N357,Base_Enderecos!$A:$A,Base_Enderecos!$B:$B,""),"")</f>
        <v/>
      </c>
      <c r="Q357">
        <f>IFERROR(_xludf.XLOOKUP($N357,Base_Enderecos!$A:$A,Base_Enderecos!$C:$C,""),"")</f>
        <v/>
      </c>
      <c r="R357">
        <f>IF(OR(ISNUMBER(SEARCH("HDD",$F357)),ISNUMBER(SEARCH("MND",$F357)),ISNUMBER(SEARCH("PEAD",$F357)),ISNUMBER(SEARCH("Puxe",$J357)),ISNUMBER(SEARCH("Apoio HDD",$F357))),"MND",IF(OR(ISNUMBER(SEARCH("VCA",$F357)),ISNUMBER(SEARCH("PVC",$F357)),ISNUMBER(SEARCH("vca",$J357)),ISNUMBER(SEARCH("Transformação",$J357))),"VCA",IF(OR(ISNUMBER(SEARCH("crava",$F357)),ISNUMBER(SEARCH("tubo cravado",$F357)),ISNUMBER(SEARCH("shaft",$J357)),ISNUMBER(SEARCH("concreto",$F357))),"TUBO CRAVADO","")))</f>
        <v/>
      </c>
      <c r="T357">
        <f>IF($A357="","",TEXT($A357,"yyyymm")&amp;"|"&amp;$C357&amp;"|"&amp;$F357&amp;"|"&amp;$N357&amp;"|"&amp;$R357)</f>
        <v/>
      </c>
    </row>
    <row r="358" ht="11.55" customHeight="1">
      <c r="A358" s="10" t="n">
        <v>46035</v>
      </c>
      <c r="B358" s="7" t="inlineStr">
        <is>
          <t>Terça</t>
        </is>
      </c>
      <c r="C358" s="7" t="inlineStr">
        <is>
          <t>Vacal</t>
        </is>
      </c>
      <c r="D358" s="7" t="n"/>
      <c r="E358" s="7" t="inlineStr">
        <is>
          <t>Mar de Coral</t>
        </is>
      </c>
      <c r="F358" s="13" t="inlineStr">
        <is>
          <t>Apoio Vacal</t>
        </is>
      </c>
      <c r="G358" s="7" t="n"/>
      <c r="H358" s="7" t="n"/>
      <c r="I358" s="7" t="n"/>
      <c r="J358" s="7" t="inlineStr">
        <is>
          <t>Vacal</t>
        </is>
      </c>
      <c r="K358" s="7" t="inlineStr">
        <is>
          <t>Apoio</t>
        </is>
      </c>
      <c r="L358" s="16" t="inlineStr">
        <is>
          <t>PDS-janeiro(1).docx</t>
        </is>
      </c>
      <c r="M358">
        <f>IF($A358="","",TEXT($A358,"mmmm/yyyy"))</f>
        <v/>
      </c>
      <c r="P358">
        <f>IFERROR(_xludf.XLOOKUP($N358,Base_Enderecos!$A:$A,Base_Enderecos!$B:$B,""),"")</f>
        <v/>
      </c>
      <c r="Q358">
        <f>IFERROR(_xludf.XLOOKUP($N358,Base_Enderecos!$A:$A,Base_Enderecos!$C:$C,""),"")</f>
        <v/>
      </c>
      <c r="R358">
        <f>IF(OR(ISNUMBER(SEARCH("HDD",$F358)),ISNUMBER(SEARCH("MND",$F358)),ISNUMBER(SEARCH("PEAD",$F358)),ISNUMBER(SEARCH("Puxe",$J358)),ISNUMBER(SEARCH("Apoio HDD",$F358))),"MND",IF(OR(ISNUMBER(SEARCH("VCA",$F358)),ISNUMBER(SEARCH("PVC",$F358)),ISNUMBER(SEARCH("vca",$J358)),ISNUMBER(SEARCH("Transformação",$J358))),"VCA",IF(OR(ISNUMBER(SEARCH("crava",$F358)),ISNUMBER(SEARCH("tubo cravado",$F358)),ISNUMBER(SEARCH("shaft",$J358)),ISNUMBER(SEARCH("concreto",$F358))),"TUBO CRAVADO","")))</f>
        <v/>
      </c>
      <c r="T358">
        <f>IF($A358="","",TEXT($A358,"yyyymm")&amp;"|"&amp;$C358&amp;"|"&amp;$F358&amp;"|"&amp;$N358&amp;"|"&amp;$R358)</f>
        <v/>
      </c>
    </row>
    <row r="359" ht="11.55" customHeight="1">
      <c r="A359" s="10" t="n">
        <v>46035</v>
      </c>
      <c r="B359" s="7" t="inlineStr">
        <is>
          <t>Terça</t>
        </is>
      </c>
      <c r="C359" s="7" t="inlineStr">
        <is>
          <t>Vacal</t>
        </is>
      </c>
      <c r="D359" s="7" t="n"/>
      <c r="E359" s="7" t="inlineStr">
        <is>
          <t>Mar de Coral</t>
        </is>
      </c>
      <c r="F359" s="13" t="inlineStr">
        <is>
          <t>Apoio Vacal</t>
        </is>
      </c>
      <c r="G359" s="7" t="n"/>
      <c r="H359" s="7" t="n"/>
      <c r="I359" s="7" t="n"/>
      <c r="J359" s="7" t="inlineStr">
        <is>
          <t>Vacal</t>
        </is>
      </c>
      <c r="K359" s="7" t="inlineStr">
        <is>
          <t>Apoio</t>
        </is>
      </c>
      <c r="L359" s="16" t="inlineStr">
        <is>
          <t>PDS-janeiro(1).docx</t>
        </is>
      </c>
      <c r="M359">
        <f>IF($A359="","",TEXT($A359,"mmmm/yyyy"))</f>
        <v/>
      </c>
      <c r="P359">
        <f>IFERROR(_xludf.XLOOKUP($N359,Base_Enderecos!$A:$A,Base_Enderecos!$B:$B,""),"")</f>
        <v/>
      </c>
      <c r="Q359">
        <f>IFERROR(_xludf.XLOOKUP($N359,Base_Enderecos!$A:$A,Base_Enderecos!$C:$C,""),"")</f>
        <v/>
      </c>
      <c r="R359">
        <f>IF(OR(ISNUMBER(SEARCH("HDD",$F359)),ISNUMBER(SEARCH("MND",$F359)),ISNUMBER(SEARCH("PEAD",$F359)),ISNUMBER(SEARCH("Puxe",$J359)),ISNUMBER(SEARCH("Apoio HDD",$F359))),"MND",IF(OR(ISNUMBER(SEARCH("VCA",$F359)),ISNUMBER(SEARCH("PVC",$F359)),ISNUMBER(SEARCH("vca",$J359)),ISNUMBER(SEARCH("Transformação",$J359))),"VCA",IF(OR(ISNUMBER(SEARCH("crava",$F359)),ISNUMBER(SEARCH("tubo cravado",$F359)),ISNUMBER(SEARCH("shaft",$J359)),ISNUMBER(SEARCH("concreto",$F359))),"TUBO CRAVADO","")))</f>
        <v/>
      </c>
      <c r="T359">
        <f>IF($A359="","",TEXT($A359,"yyyymm")&amp;"|"&amp;$C359&amp;"|"&amp;$F359&amp;"|"&amp;$N359&amp;"|"&amp;$R359)</f>
        <v/>
      </c>
    </row>
    <row r="360" ht="11.55" customHeight="1">
      <c r="A360" s="10" t="n">
        <v>46035</v>
      </c>
      <c r="B360" s="7" t="inlineStr">
        <is>
          <t>Terça</t>
        </is>
      </c>
      <c r="C360" s="7" t="inlineStr">
        <is>
          <t>Guindauto</t>
        </is>
      </c>
      <c r="D360" s="7" t="n"/>
      <c r="E360" s="7" t="inlineStr">
        <is>
          <t>Rodrigo Apoio as equipes</t>
        </is>
      </c>
      <c r="F360" s="13" t="inlineStr">
        <is>
          <t>Rodrigo Apoio as equipes</t>
        </is>
      </c>
      <c r="G360" s="7" t="n"/>
      <c r="H360" s="7" t="n"/>
      <c r="I360" s="7" t="n"/>
      <c r="J360" s="7" t="inlineStr">
        <is>
          <t>Guindauto</t>
        </is>
      </c>
      <c r="K360" s="7" t="inlineStr">
        <is>
          <t>Apoio</t>
        </is>
      </c>
      <c r="L360" s="16" t="inlineStr">
        <is>
          <t>PDS-janeiro(1).docx</t>
        </is>
      </c>
      <c r="M360">
        <f>IF($A360="","",TEXT($A360,"mmmm/yyyy"))</f>
        <v/>
      </c>
      <c r="P360">
        <f>IFERROR(_xludf.XLOOKUP($N360,Base_Enderecos!$A:$A,Base_Enderecos!$B:$B,""),"")</f>
        <v/>
      </c>
      <c r="Q360">
        <f>IFERROR(_xludf.XLOOKUP($N360,Base_Enderecos!$A:$A,Base_Enderecos!$C:$C,""),"")</f>
        <v/>
      </c>
      <c r="R360">
        <f>IF(OR(ISNUMBER(SEARCH("HDD",$F360)),ISNUMBER(SEARCH("MND",$F360)),ISNUMBER(SEARCH("PEAD",$F360)),ISNUMBER(SEARCH("Puxe",$J360)),ISNUMBER(SEARCH("Apoio HDD",$F360))),"MND",IF(OR(ISNUMBER(SEARCH("VCA",$F360)),ISNUMBER(SEARCH("PVC",$F360)),ISNUMBER(SEARCH("vca",$J360)),ISNUMBER(SEARCH("Transformação",$J360))),"VCA",IF(OR(ISNUMBER(SEARCH("crava",$F360)),ISNUMBER(SEARCH("tubo cravado",$F360)),ISNUMBER(SEARCH("shaft",$J360)),ISNUMBER(SEARCH("concreto",$F360))),"TUBO CRAVADO","")))</f>
        <v/>
      </c>
      <c r="T360">
        <f>IF($A360="","",TEXT($A360,"yyyymm")&amp;"|"&amp;$C360&amp;"|"&amp;$F360&amp;"|"&amp;$N360&amp;"|"&amp;$R360)</f>
        <v/>
      </c>
    </row>
    <row r="361" ht="11.55" customHeight="1">
      <c r="A361" s="10" t="n">
        <v>46035</v>
      </c>
      <c r="B361" s="7" t="inlineStr">
        <is>
          <t>Terça</t>
        </is>
      </c>
      <c r="C361" s="7" t="inlineStr">
        <is>
          <t>Guindauto</t>
        </is>
      </c>
      <c r="D361" s="7" t="n"/>
      <c r="E361" s="7" t="inlineStr">
        <is>
          <t>Marcio</t>
        </is>
      </c>
      <c r="F361" s="13" t="inlineStr">
        <is>
          <t>Marcio</t>
        </is>
      </c>
      <c r="G361" s="7" t="n"/>
      <c r="H361" s="7" t="n"/>
      <c r="I361" s="7" t="n"/>
      <c r="J361" s="7" t="inlineStr">
        <is>
          <t>Guindauto</t>
        </is>
      </c>
      <c r="K361" s="7" t="inlineStr">
        <is>
          <t>Apoio</t>
        </is>
      </c>
      <c r="L361" s="16" t="inlineStr">
        <is>
          <t>PDS-janeiro(1).docx</t>
        </is>
      </c>
      <c r="M361">
        <f>IF($A361="","",TEXT($A361,"mmmm/yyyy"))</f>
        <v/>
      </c>
      <c r="P361">
        <f>IFERROR(_xludf.XLOOKUP($N361,Base_Enderecos!$A:$A,Base_Enderecos!$B:$B,""),"")</f>
        <v/>
      </c>
      <c r="Q361">
        <f>IFERROR(_xludf.XLOOKUP($N361,Base_Enderecos!$A:$A,Base_Enderecos!$C:$C,""),"")</f>
        <v/>
      </c>
      <c r="R361">
        <f>IF(OR(ISNUMBER(SEARCH("HDD",$F361)),ISNUMBER(SEARCH("MND",$F361)),ISNUMBER(SEARCH("PEAD",$F361)),ISNUMBER(SEARCH("Puxe",$J361)),ISNUMBER(SEARCH("Apoio HDD",$F361))),"MND",IF(OR(ISNUMBER(SEARCH("VCA",$F361)),ISNUMBER(SEARCH("PVC",$F361)),ISNUMBER(SEARCH("vca",$J361)),ISNUMBER(SEARCH("Transformação",$J361))),"VCA",IF(OR(ISNUMBER(SEARCH("crava",$F361)),ISNUMBER(SEARCH("tubo cravado",$F361)),ISNUMBER(SEARCH("shaft",$J361)),ISNUMBER(SEARCH("concreto",$F361))),"TUBO CRAVADO","")))</f>
        <v/>
      </c>
      <c r="T361">
        <f>IF($A361="","",TEXT($A361,"yyyymm")&amp;"|"&amp;$C361&amp;"|"&amp;$F361&amp;"|"&amp;$N361&amp;"|"&amp;$R361)</f>
        <v/>
      </c>
    </row>
    <row r="362" ht="11.55" customHeight="1">
      <c r="A362" s="10" t="n">
        <v>46036</v>
      </c>
      <c r="B362" s="7" t="inlineStr">
        <is>
          <t>Quarta</t>
        </is>
      </c>
      <c r="C362" s="7" t="inlineStr">
        <is>
          <t>CT Jaraguá</t>
        </is>
      </c>
      <c r="D362" s="7" t="n"/>
      <c r="E362" s="7" t="inlineStr">
        <is>
          <t>Marcelo</t>
        </is>
      </c>
      <c r="F362" s="13" t="inlineStr">
        <is>
          <t>Escavação mecânica e montagem armco PV 01</t>
        </is>
      </c>
      <c r="G362" s="7" t="inlineStr">
        <is>
          <t>01</t>
        </is>
      </c>
      <c r="H362" s="7" t="n"/>
      <c r="I362" s="7" t="inlineStr">
        <is>
          <t>01</t>
        </is>
      </c>
      <c r="J362" s="7" t="inlineStr">
        <is>
          <t>Escavação</t>
        </is>
      </c>
      <c r="K362" s="7" t="inlineStr">
        <is>
          <t>Planejamento</t>
        </is>
      </c>
      <c r="L362" s="16" t="inlineStr">
        <is>
          <t>PDS-janeiro(1).docx</t>
        </is>
      </c>
      <c r="M362">
        <f>IF($A362="","",TEXT($A362,"mmmm/yyyy"))</f>
        <v/>
      </c>
      <c r="P362">
        <f>IFERROR(_xludf.XLOOKUP($N362,Base_Enderecos!$A:$A,Base_Enderecos!$B:$B,""),"")</f>
        <v/>
      </c>
      <c r="Q362">
        <f>IFERROR(_xludf.XLOOKUP($N362,Base_Enderecos!$A:$A,Base_Enderecos!$C:$C,""),"")</f>
        <v/>
      </c>
      <c r="R362">
        <f>IF(OR(ISNUMBER(SEARCH("HDD",$F362)),ISNUMBER(SEARCH("MND",$F362)),ISNUMBER(SEARCH("PEAD",$F362)),ISNUMBER(SEARCH("Puxe",$J362)),ISNUMBER(SEARCH("Apoio HDD",$F362))),"MND",IF(OR(ISNUMBER(SEARCH("VCA",$F362)),ISNUMBER(SEARCH("PVC",$F362)),ISNUMBER(SEARCH("vca",$J362)),ISNUMBER(SEARCH("Transformação",$J362))),"VCA",IF(OR(ISNUMBER(SEARCH("crava",$F362)),ISNUMBER(SEARCH("tubo cravado",$F362)),ISNUMBER(SEARCH("shaft",$J362)),ISNUMBER(SEARCH("concreto",$F362))),"TUBO CRAVADO","")))</f>
        <v/>
      </c>
      <c r="T362">
        <f>IF($A362="","",TEXT($A362,"yyyymm")&amp;"|"&amp;$C362&amp;"|"&amp;$F362&amp;"|"&amp;$N362&amp;"|"&amp;$R362)</f>
        <v/>
      </c>
    </row>
    <row r="363" ht="11.55" customHeight="1">
      <c r="A363" s="10" t="n">
        <v>46036</v>
      </c>
      <c r="B363" s="7" t="inlineStr">
        <is>
          <t>Quarta</t>
        </is>
      </c>
      <c r="C363" s="7" t="inlineStr">
        <is>
          <t>CT Jaraguá</t>
        </is>
      </c>
      <c r="D363" s="7" t="n"/>
      <c r="E363" s="7" t="inlineStr">
        <is>
          <t>Jonathan</t>
        </is>
      </c>
      <c r="F363" s="13" t="inlineStr">
        <is>
          <t>Escavação mecânica e montagem armco PV 02</t>
        </is>
      </c>
      <c r="G363" s="7" t="inlineStr">
        <is>
          <t>02</t>
        </is>
      </c>
      <c r="H363" s="7" t="n"/>
      <c r="I363" s="7" t="inlineStr">
        <is>
          <t>02</t>
        </is>
      </c>
      <c r="J363" s="7" t="inlineStr">
        <is>
          <t>Escavação</t>
        </is>
      </c>
      <c r="K363" s="7" t="inlineStr">
        <is>
          <t>Planejamento</t>
        </is>
      </c>
      <c r="L363" s="16" t="inlineStr">
        <is>
          <t>PDS-janeiro(1).docx</t>
        </is>
      </c>
      <c r="M363">
        <f>IF($A363="","",TEXT($A363,"mmmm/yyyy"))</f>
        <v/>
      </c>
      <c r="P363">
        <f>IFERROR(_xludf.XLOOKUP($N363,Base_Enderecos!$A:$A,Base_Enderecos!$B:$B,""),"")</f>
        <v/>
      </c>
      <c r="Q363">
        <f>IFERROR(_xludf.XLOOKUP($N363,Base_Enderecos!$A:$A,Base_Enderecos!$C:$C,""),"")</f>
        <v/>
      </c>
      <c r="R363">
        <f>IF(OR(ISNUMBER(SEARCH("HDD",$F363)),ISNUMBER(SEARCH("MND",$F363)),ISNUMBER(SEARCH("PEAD",$F363)),ISNUMBER(SEARCH("Puxe",$J363)),ISNUMBER(SEARCH("Apoio HDD",$F363))),"MND",IF(OR(ISNUMBER(SEARCH("VCA",$F363)),ISNUMBER(SEARCH("PVC",$F363)),ISNUMBER(SEARCH("vca",$J363)),ISNUMBER(SEARCH("Transformação",$J363))),"VCA",IF(OR(ISNUMBER(SEARCH("crava",$F363)),ISNUMBER(SEARCH("tubo cravado",$F363)),ISNUMBER(SEARCH("shaft",$J363)),ISNUMBER(SEARCH("concreto",$F363))),"TUBO CRAVADO","")))</f>
        <v/>
      </c>
      <c r="T363">
        <f>IF($A363="","",TEXT($A363,"yyyymm")&amp;"|"&amp;$C363&amp;"|"&amp;$F363&amp;"|"&amp;$N363&amp;"|"&amp;$R363)</f>
        <v/>
      </c>
    </row>
    <row r="364" ht="11.55" customHeight="1">
      <c r="A364" s="10" t="n">
        <v>46036</v>
      </c>
      <c r="B364" s="7" t="inlineStr">
        <is>
          <t>Quarta</t>
        </is>
      </c>
      <c r="C364" s="7" t="inlineStr">
        <is>
          <t>CT Lageado</t>
        </is>
      </c>
      <c r="D364" s="7" t="n"/>
      <c r="E364" s="7" t="inlineStr">
        <is>
          <t>Higor</t>
        </is>
      </c>
      <c r="F364" s="13" t="inlineStr">
        <is>
          <t>Ajuste PV 5.1</t>
        </is>
      </c>
      <c r="G364" s="7" t="inlineStr">
        <is>
          <t>5.1</t>
        </is>
      </c>
      <c r="H364" s="7" t="n"/>
      <c r="I364" s="7" t="inlineStr">
        <is>
          <t>5.1</t>
        </is>
      </c>
      <c r="J364" s="7" t="n"/>
      <c r="K364" s="7" t="inlineStr">
        <is>
          <t>Planejamento</t>
        </is>
      </c>
      <c r="L364" s="16" t="inlineStr">
        <is>
          <t>PDS-janeiro(1).docx</t>
        </is>
      </c>
      <c r="M364">
        <f>IF($A364="","",TEXT($A364,"mmmm/yyyy"))</f>
        <v/>
      </c>
      <c r="P364">
        <f>IFERROR(_xludf.XLOOKUP($N364,Base_Enderecos!$A:$A,Base_Enderecos!$B:$B,""),"")</f>
        <v/>
      </c>
      <c r="Q364">
        <f>IFERROR(_xludf.XLOOKUP($N364,Base_Enderecos!$A:$A,Base_Enderecos!$C:$C,""),"")</f>
        <v/>
      </c>
      <c r="R364">
        <f>IF(OR(ISNUMBER(SEARCH("HDD",$F364)),ISNUMBER(SEARCH("MND",$F364)),ISNUMBER(SEARCH("PEAD",$F364)),ISNUMBER(SEARCH("Puxe",$J364)),ISNUMBER(SEARCH("Apoio HDD",$F364))),"MND",IF(OR(ISNUMBER(SEARCH("VCA",$F364)),ISNUMBER(SEARCH("PVC",$F364)),ISNUMBER(SEARCH("vca",$J364)),ISNUMBER(SEARCH("Transformação",$J364))),"VCA",IF(OR(ISNUMBER(SEARCH("crava",$F364)),ISNUMBER(SEARCH("tubo cravado",$F364)),ISNUMBER(SEARCH("shaft",$J364)),ISNUMBER(SEARCH("concreto",$F364))),"TUBO CRAVADO","")))</f>
        <v/>
      </c>
      <c r="T364">
        <f>IF($A364="","",TEXT($A364,"yyyymm")&amp;"|"&amp;$C364&amp;"|"&amp;$F364&amp;"|"&amp;$N364&amp;"|"&amp;$R364)</f>
        <v/>
      </c>
    </row>
    <row r="365" ht="11.55" customHeight="1">
      <c r="A365" s="10" t="n">
        <v>46036</v>
      </c>
      <c r="B365" s="7" t="inlineStr">
        <is>
          <t>Quarta</t>
        </is>
      </c>
      <c r="C365" s="7" t="inlineStr">
        <is>
          <t>CT Lourdes</t>
        </is>
      </c>
      <c r="D365" s="7" t="n"/>
      <c r="E365" s="7" t="inlineStr">
        <is>
          <t>Paulo</t>
        </is>
      </c>
      <c r="F365" s="13" t="inlineStr">
        <is>
          <t>Transformação PV 22</t>
        </is>
      </c>
      <c r="G365" s="7" t="inlineStr">
        <is>
          <t>22</t>
        </is>
      </c>
      <c r="H365" s="7" t="n"/>
      <c r="I365" s="7" t="inlineStr">
        <is>
          <t>22</t>
        </is>
      </c>
      <c r="J365" s="7" t="inlineStr">
        <is>
          <t>Transformação</t>
        </is>
      </c>
      <c r="K365" s="7" t="inlineStr">
        <is>
          <t>Planejamento</t>
        </is>
      </c>
      <c r="L365" s="16" t="inlineStr">
        <is>
          <t>PDS-janeiro(1).docx</t>
        </is>
      </c>
      <c r="M365">
        <f>IF($A365="","",TEXT($A365,"mmmm/yyyy"))</f>
        <v/>
      </c>
      <c r="P365">
        <f>IFERROR(_xludf.XLOOKUP($N365,Base_Enderecos!$A:$A,Base_Enderecos!$B:$B,""),"")</f>
        <v/>
      </c>
      <c r="Q365">
        <f>IFERROR(_xludf.XLOOKUP($N365,Base_Enderecos!$A:$A,Base_Enderecos!$C:$C,""),"")</f>
        <v/>
      </c>
      <c r="R365">
        <f>IF(OR(ISNUMBER(SEARCH("HDD",$F365)),ISNUMBER(SEARCH("MND",$F365)),ISNUMBER(SEARCH("PEAD",$F365)),ISNUMBER(SEARCH("Puxe",$J365)),ISNUMBER(SEARCH("Apoio HDD",$F365))),"MND",IF(OR(ISNUMBER(SEARCH("VCA",$F365)),ISNUMBER(SEARCH("PVC",$F365)),ISNUMBER(SEARCH("vca",$J365)),ISNUMBER(SEARCH("Transformação",$J365))),"VCA",IF(OR(ISNUMBER(SEARCH("crava",$F365)),ISNUMBER(SEARCH("tubo cravado",$F365)),ISNUMBER(SEARCH("shaft",$J365)),ISNUMBER(SEARCH("concreto",$F365))),"TUBO CRAVADO","")))</f>
        <v/>
      </c>
      <c r="T365">
        <f>IF($A365="","",TEXT($A365,"yyyymm")&amp;"|"&amp;$C365&amp;"|"&amp;$F365&amp;"|"&amp;$N365&amp;"|"&amp;$R365)</f>
        <v/>
      </c>
    </row>
    <row r="366" ht="11.55" customHeight="1">
      <c r="A366" s="10" t="n">
        <v>46036</v>
      </c>
      <c r="B366" s="7" t="inlineStr">
        <is>
          <t>Quarta</t>
        </is>
      </c>
      <c r="C366" s="7" t="inlineStr">
        <is>
          <t>CT Lourdes</t>
        </is>
      </c>
      <c r="D366" s="7" t="n"/>
      <c r="E366" s="7" t="inlineStr">
        <is>
          <t>Cesar</t>
        </is>
      </c>
      <c r="F366" s="13" t="inlineStr">
        <is>
          <t>Interligação PV 12</t>
        </is>
      </c>
      <c r="G366" s="7" t="inlineStr">
        <is>
          <t>12</t>
        </is>
      </c>
      <c r="H366" s="7" t="n"/>
      <c r="I366" s="7" t="inlineStr">
        <is>
          <t>12</t>
        </is>
      </c>
      <c r="J366" s="7" t="inlineStr">
        <is>
          <t>Interligação</t>
        </is>
      </c>
      <c r="K366" s="7" t="inlineStr">
        <is>
          <t>Planejamento</t>
        </is>
      </c>
      <c r="L366" s="16" t="inlineStr">
        <is>
          <t>PDS-janeiro(1).docx</t>
        </is>
      </c>
      <c r="M366">
        <f>IF($A366="","",TEXT($A366,"mmmm/yyyy"))</f>
        <v/>
      </c>
      <c r="P366">
        <f>IFERROR(_xludf.XLOOKUP($N366,Base_Enderecos!$A:$A,Base_Enderecos!$B:$B,""),"")</f>
        <v/>
      </c>
      <c r="Q366">
        <f>IFERROR(_xludf.XLOOKUP($N366,Base_Enderecos!$A:$A,Base_Enderecos!$C:$C,""),"")</f>
        <v/>
      </c>
      <c r="R366">
        <f>IF(OR(ISNUMBER(SEARCH("HDD",$F366)),ISNUMBER(SEARCH("MND",$F366)),ISNUMBER(SEARCH("PEAD",$F366)),ISNUMBER(SEARCH("Puxe",$J366)),ISNUMBER(SEARCH("Apoio HDD",$F366))),"MND",IF(OR(ISNUMBER(SEARCH("VCA",$F366)),ISNUMBER(SEARCH("PVC",$F366)),ISNUMBER(SEARCH("vca",$J366)),ISNUMBER(SEARCH("Transformação",$J366))),"VCA",IF(OR(ISNUMBER(SEARCH("crava",$F366)),ISNUMBER(SEARCH("tubo cravado",$F366)),ISNUMBER(SEARCH("shaft",$J366)),ISNUMBER(SEARCH("concreto",$F366))),"TUBO CRAVADO","")))</f>
        <v/>
      </c>
      <c r="T366">
        <f>IF($A366="","",TEXT($A366,"yyyymm")&amp;"|"&amp;$C366&amp;"|"&amp;$F366&amp;"|"&amp;$N366&amp;"|"&amp;$R366)</f>
        <v/>
      </c>
    </row>
    <row r="367" ht="11.55" customHeight="1">
      <c r="A367" s="10" t="n">
        <v>46036</v>
      </c>
      <c r="B367" s="7" t="inlineStr">
        <is>
          <t>Quarta</t>
        </is>
      </c>
      <c r="C367" s="7" t="inlineStr">
        <is>
          <t>CT Mar de Coral</t>
        </is>
      </c>
      <c r="D367" s="7" t="n"/>
      <c r="E367" s="7" t="inlineStr">
        <is>
          <t>Valter</t>
        </is>
      </c>
      <c r="F367" s="13" t="inlineStr">
        <is>
          <t>Transformação PV 01</t>
        </is>
      </c>
      <c r="G367" s="7" t="inlineStr">
        <is>
          <t>01</t>
        </is>
      </c>
      <c r="H367" s="7" t="n"/>
      <c r="I367" s="7" t="inlineStr">
        <is>
          <t>01</t>
        </is>
      </c>
      <c r="J367" s="7" t="inlineStr">
        <is>
          <t>Transformação</t>
        </is>
      </c>
      <c r="K367" s="7" t="inlineStr">
        <is>
          <t>Planejamento</t>
        </is>
      </c>
      <c r="L367" s="16" t="inlineStr">
        <is>
          <t>PDS-janeiro(1).docx</t>
        </is>
      </c>
      <c r="M367">
        <f>IF($A367="","",TEXT($A367,"mmmm/yyyy"))</f>
        <v/>
      </c>
      <c r="P367">
        <f>IFERROR(_xludf.XLOOKUP($N367,Base_Enderecos!$A:$A,Base_Enderecos!$B:$B,""),"")</f>
        <v/>
      </c>
      <c r="Q367">
        <f>IFERROR(_xludf.XLOOKUP($N367,Base_Enderecos!$A:$A,Base_Enderecos!$C:$C,""),"")</f>
        <v/>
      </c>
      <c r="R367">
        <f>IF(OR(ISNUMBER(SEARCH("HDD",$F367)),ISNUMBER(SEARCH("MND",$F367)),ISNUMBER(SEARCH("PEAD",$F367)),ISNUMBER(SEARCH("Puxe",$J367)),ISNUMBER(SEARCH("Apoio HDD",$F367))),"MND",IF(OR(ISNUMBER(SEARCH("VCA",$F367)),ISNUMBER(SEARCH("PVC",$F367)),ISNUMBER(SEARCH("vca",$J367)),ISNUMBER(SEARCH("Transformação",$J367))),"VCA",IF(OR(ISNUMBER(SEARCH("crava",$F367)),ISNUMBER(SEARCH("tubo cravado",$F367)),ISNUMBER(SEARCH("shaft",$J367)),ISNUMBER(SEARCH("concreto",$F367))),"TUBO CRAVADO","")))</f>
        <v/>
      </c>
      <c r="T367">
        <f>IF($A367="","",TEXT($A367,"yyyymm")&amp;"|"&amp;$C367&amp;"|"&amp;$F367&amp;"|"&amp;$N367&amp;"|"&amp;$R367)</f>
        <v/>
      </c>
    </row>
    <row r="368" ht="11.55" customHeight="1">
      <c r="A368" s="10" t="n">
        <v>46036</v>
      </c>
      <c r="B368" s="7" t="inlineStr">
        <is>
          <t>Quarta</t>
        </is>
      </c>
      <c r="C368" s="7" t="inlineStr">
        <is>
          <t>CT Mar de Coral</t>
        </is>
      </c>
      <c r="D368" s="7" t="n"/>
      <c r="E368" s="7" t="inlineStr">
        <is>
          <t>Edivando</t>
        </is>
      </c>
      <c r="F368" s="13" t="inlineStr">
        <is>
          <t>Transformação PV 02</t>
        </is>
      </c>
      <c r="G368" s="7" t="inlineStr">
        <is>
          <t>02</t>
        </is>
      </c>
      <c r="H368" s="7" t="n"/>
      <c r="I368" s="7" t="inlineStr">
        <is>
          <t>02</t>
        </is>
      </c>
      <c r="J368" s="7" t="inlineStr">
        <is>
          <t>Transformação</t>
        </is>
      </c>
      <c r="K368" s="7" t="inlineStr">
        <is>
          <t>Planejamento</t>
        </is>
      </c>
      <c r="L368" s="16" t="inlineStr">
        <is>
          <t>PDS-janeiro(1).docx</t>
        </is>
      </c>
      <c r="M368">
        <f>IF($A368="","",TEXT($A368,"mmmm/yyyy"))</f>
        <v/>
      </c>
      <c r="P368">
        <f>IFERROR(_xludf.XLOOKUP($N368,Base_Enderecos!$A:$A,Base_Enderecos!$B:$B,""),"")</f>
        <v/>
      </c>
      <c r="Q368">
        <f>IFERROR(_xludf.XLOOKUP($N368,Base_Enderecos!$A:$A,Base_Enderecos!$C:$C,""),"")</f>
        <v/>
      </c>
      <c r="R368">
        <f>IF(OR(ISNUMBER(SEARCH("HDD",$F368)),ISNUMBER(SEARCH("MND",$F368)),ISNUMBER(SEARCH("PEAD",$F368)),ISNUMBER(SEARCH("Puxe",$J368)),ISNUMBER(SEARCH("Apoio HDD",$F368))),"MND",IF(OR(ISNUMBER(SEARCH("VCA",$F368)),ISNUMBER(SEARCH("PVC",$F368)),ISNUMBER(SEARCH("vca",$J368)),ISNUMBER(SEARCH("Transformação",$J368))),"VCA",IF(OR(ISNUMBER(SEARCH("crava",$F368)),ISNUMBER(SEARCH("tubo cravado",$F368)),ISNUMBER(SEARCH("shaft",$J368)),ISNUMBER(SEARCH("concreto",$F368))),"TUBO CRAVADO","")))</f>
        <v/>
      </c>
      <c r="T368">
        <f>IF($A368="","",TEXT($A368,"yyyymm")&amp;"|"&amp;$C368&amp;"|"&amp;$F368&amp;"|"&amp;$N368&amp;"|"&amp;$R368)</f>
        <v/>
      </c>
    </row>
    <row r="369" ht="11.55" customHeight="1">
      <c r="A369" s="10" t="n">
        <v>46036</v>
      </c>
      <c r="B369" s="7" t="inlineStr">
        <is>
          <t>Quarta</t>
        </is>
      </c>
      <c r="C369" s="7" t="inlineStr">
        <is>
          <t>CT Mar de Coral</t>
        </is>
      </c>
      <c r="D369" s="7" t="n"/>
      <c r="E369" s="7" t="inlineStr">
        <is>
          <t>Bruno (Work Drill)</t>
        </is>
      </c>
      <c r="F369" s="13" t="inlineStr">
        <is>
          <t>Execução puxe do tubo 03 ao 04</t>
        </is>
      </c>
      <c r="G369" s="7" t="n"/>
      <c r="H369" s="7" t="n"/>
      <c r="I369" s="7" t="n"/>
      <c r="J369" s="7" t="inlineStr">
        <is>
          <t>Puxe</t>
        </is>
      </c>
      <c r="K369" s="7" t="inlineStr">
        <is>
          <t>Planejamento</t>
        </is>
      </c>
      <c r="L369" s="16" t="inlineStr">
        <is>
          <t>PDS-janeiro(1).docx</t>
        </is>
      </c>
      <c r="M369">
        <f>IF($A369="","",TEXT($A369,"mmmm/yyyy"))</f>
        <v/>
      </c>
      <c r="P369">
        <f>IFERROR(_xludf.XLOOKUP($N369,Base_Enderecos!$A:$A,Base_Enderecos!$B:$B,""),"")</f>
        <v/>
      </c>
      <c r="Q369">
        <f>IFERROR(_xludf.XLOOKUP($N369,Base_Enderecos!$A:$A,Base_Enderecos!$C:$C,""),"")</f>
        <v/>
      </c>
      <c r="R369">
        <f>IF(OR(ISNUMBER(SEARCH("HDD",$F369)),ISNUMBER(SEARCH("MND",$F369)),ISNUMBER(SEARCH("PEAD",$F369)),ISNUMBER(SEARCH("Puxe",$J369)),ISNUMBER(SEARCH("Apoio HDD",$F369))),"MND",IF(OR(ISNUMBER(SEARCH("VCA",$F369)),ISNUMBER(SEARCH("PVC",$F369)),ISNUMBER(SEARCH("vca",$J369)),ISNUMBER(SEARCH("Transformação",$J369))),"VCA",IF(OR(ISNUMBER(SEARCH("crava",$F369)),ISNUMBER(SEARCH("tubo cravado",$F369)),ISNUMBER(SEARCH("shaft",$J369)),ISNUMBER(SEARCH("concreto",$F369))),"TUBO CRAVADO","")))</f>
        <v/>
      </c>
      <c r="T369">
        <f>IF($A369="","",TEXT($A369,"yyyymm")&amp;"|"&amp;$C369&amp;"|"&amp;$F369&amp;"|"&amp;$N369&amp;"|"&amp;$R369)</f>
        <v/>
      </c>
    </row>
    <row r="370" ht="11.55" customHeight="1">
      <c r="A370" s="10" t="n">
        <v>46036</v>
      </c>
      <c r="B370" s="7" t="inlineStr">
        <is>
          <t>Quarta</t>
        </is>
      </c>
      <c r="C370" s="7" t="inlineStr">
        <is>
          <t>CT Mar de Coral</t>
        </is>
      </c>
      <c r="D370" s="7" t="n"/>
      <c r="E370" s="7" t="inlineStr">
        <is>
          <t>Márcio</t>
        </is>
      </c>
      <c r="F370" s="13" t="inlineStr">
        <is>
          <t>Apoio HDD entre PVs 03 ao 04</t>
        </is>
      </c>
      <c r="G370" s="7" t="inlineStr">
        <is>
          <t>03</t>
        </is>
      </c>
      <c r="H370" s="7" t="n"/>
      <c r="I370" s="7" t="inlineStr">
        <is>
          <t>03</t>
        </is>
      </c>
      <c r="J370" s="7" t="inlineStr">
        <is>
          <t>Apoio HDD</t>
        </is>
      </c>
      <c r="K370" s="7" t="inlineStr">
        <is>
          <t>Planejamento</t>
        </is>
      </c>
      <c r="L370" s="16" t="inlineStr">
        <is>
          <t>PDS-janeiro(1).docx</t>
        </is>
      </c>
      <c r="M370">
        <f>IF($A370="","",TEXT($A370,"mmmm/yyyy"))</f>
        <v/>
      </c>
      <c r="P370">
        <f>IFERROR(_xludf.XLOOKUP($N370,Base_Enderecos!$A:$A,Base_Enderecos!$B:$B,""),"")</f>
        <v/>
      </c>
      <c r="Q370">
        <f>IFERROR(_xludf.XLOOKUP($N370,Base_Enderecos!$A:$A,Base_Enderecos!$C:$C,""),"")</f>
        <v/>
      </c>
      <c r="R370">
        <f>IF(OR(ISNUMBER(SEARCH("HDD",$F370)),ISNUMBER(SEARCH("MND",$F370)),ISNUMBER(SEARCH("PEAD",$F370)),ISNUMBER(SEARCH("Puxe",$J370)),ISNUMBER(SEARCH("Apoio HDD",$F370))),"MND",IF(OR(ISNUMBER(SEARCH("VCA",$F370)),ISNUMBER(SEARCH("PVC",$F370)),ISNUMBER(SEARCH("vca",$J370)),ISNUMBER(SEARCH("Transformação",$J370))),"VCA",IF(OR(ISNUMBER(SEARCH("crava",$F370)),ISNUMBER(SEARCH("tubo cravado",$F370)),ISNUMBER(SEARCH("shaft",$J370)),ISNUMBER(SEARCH("concreto",$F370))),"TUBO CRAVADO","")))</f>
        <v/>
      </c>
      <c r="T370">
        <f>IF($A370="","",TEXT($A370,"yyyymm")&amp;"|"&amp;$C370&amp;"|"&amp;$F370&amp;"|"&amp;$N370&amp;"|"&amp;$R370)</f>
        <v/>
      </c>
    </row>
    <row r="371" ht="11.55" customHeight="1">
      <c r="A371" s="10" t="n">
        <v>46036</v>
      </c>
      <c r="B371" s="7" t="inlineStr">
        <is>
          <t>Quarta</t>
        </is>
      </c>
      <c r="C371" s="7" t="inlineStr">
        <is>
          <t>CT Mar de Coral</t>
        </is>
      </c>
      <c r="D371" s="7" t="n"/>
      <c r="E371" s="7" t="inlineStr">
        <is>
          <t>WJ (Edson)</t>
        </is>
      </c>
      <c r="F371" s="13" t="inlineStr">
        <is>
          <t>Execução furo piloto entre PVs 05 ao 5.10</t>
        </is>
      </c>
      <c r="G371" s="7" t="inlineStr">
        <is>
          <t>05</t>
        </is>
      </c>
      <c r="H371" s="7" t="n"/>
      <c r="I371" s="7" t="inlineStr">
        <is>
          <t>05</t>
        </is>
      </c>
      <c r="J371" s="7" t="inlineStr">
        <is>
          <t>Furo piloto</t>
        </is>
      </c>
      <c r="K371" s="7" t="inlineStr">
        <is>
          <t>Planejamento</t>
        </is>
      </c>
      <c r="L371" s="16" t="inlineStr">
        <is>
          <t>PDS-janeiro(1).docx</t>
        </is>
      </c>
      <c r="M371">
        <f>IF($A371="","",TEXT($A371,"mmmm/yyyy"))</f>
        <v/>
      </c>
      <c r="P371">
        <f>IFERROR(_xludf.XLOOKUP($N371,Base_Enderecos!$A:$A,Base_Enderecos!$B:$B,""),"")</f>
        <v/>
      </c>
      <c r="Q371">
        <f>IFERROR(_xludf.XLOOKUP($N371,Base_Enderecos!$A:$A,Base_Enderecos!$C:$C,""),"")</f>
        <v/>
      </c>
      <c r="R371">
        <f>IF(OR(ISNUMBER(SEARCH("HDD",$F371)),ISNUMBER(SEARCH("MND",$F371)),ISNUMBER(SEARCH("PEAD",$F371)),ISNUMBER(SEARCH("Puxe",$J371)),ISNUMBER(SEARCH("Apoio HDD",$F371))),"MND",IF(OR(ISNUMBER(SEARCH("VCA",$F371)),ISNUMBER(SEARCH("PVC",$F371)),ISNUMBER(SEARCH("vca",$J371)),ISNUMBER(SEARCH("Transformação",$J371))),"VCA",IF(OR(ISNUMBER(SEARCH("crava",$F371)),ISNUMBER(SEARCH("tubo cravado",$F371)),ISNUMBER(SEARCH("shaft",$J371)),ISNUMBER(SEARCH("concreto",$F371))),"TUBO CRAVADO","")))</f>
        <v/>
      </c>
      <c r="T371">
        <f>IF($A371="","",TEXT($A371,"yyyymm")&amp;"|"&amp;$C371&amp;"|"&amp;$F371&amp;"|"&amp;$N371&amp;"|"&amp;$R371)</f>
        <v/>
      </c>
    </row>
    <row r="372" ht="11.55" customHeight="1">
      <c r="A372" s="10" t="n">
        <v>46036</v>
      </c>
      <c r="B372" s="7" t="inlineStr">
        <is>
          <t>Quarta</t>
        </is>
      </c>
      <c r="C372" s="7" t="inlineStr">
        <is>
          <t>CT Mar de Coral</t>
        </is>
      </c>
      <c r="D372" s="7" t="n"/>
      <c r="E372" s="7" t="inlineStr">
        <is>
          <t>Natalino</t>
        </is>
      </c>
      <c r="F372" s="13" t="inlineStr">
        <is>
          <t>Apoio HDD entre PVs 05 ao 5.10</t>
        </is>
      </c>
      <c r="G372" s="7" t="inlineStr">
        <is>
          <t>05</t>
        </is>
      </c>
      <c r="H372" s="7" t="n"/>
      <c r="I372" s="7" t="inlineStr">
        <is>
          <t>05</t>
        </is>
      </c>
      <c r="J372" s="7" t="inlineStr">
        <is>
          <t>Apoio HDD</t>
        </is>
      </c>
      <c r="K372" s="7" t="inlineStr">
        <is>
          <t>Planejamento</t>
        </is>
      </c>
      <c r="L372" s="16" t="inlineStr">
        <is>
          <t>PDS-janeiro(1).docx</t>
        </is>
      </c>
      <c r="M372">
        <f>IF($A372="","",TEXT($A372,"mmmm/yyyy"))</f>
        <v/>
      </c>
      <c r="P372">
        <f>IFERROR(_xludf.XLOOKUP($N372,Base_Enderecos!$A:$A,Base_Enderecos!$B:$B,""),"")</f>
        <v/>
      </c>
      <c r="Q372">
        <f>IFERROR(_xludf.XLOOKUP($N372,Base_Enderecos!$A:$A,Base_Enderecos!$C:$C,""),"")</f>
        <v/>
      </c>
      <c r="R372">
        <f>IF(OR(ISNUMBER(SEARCH("HDD",$F372)),ISNUMBER(SEARCH("MND",$F372)),ISNUMBER(SEARCH("PEAD",$F372)),ISNUMBER(SEARCH("Puxe",$J372)),ISNUMBER(SEARCH("Apoio HDD",$F372))),"MND",IF(OR(ISNUMBER(SEARCH("VCA",$F372)),ISNUMBER(SEARCH("PVC",$F372)),ISNUMBER(SEARCH("vca",$J372)),ISNUMBER(SEARCH("Transformação",$J372))),"VCA",IF(OR(ISNUMBER(SEARCH("crava",$F372)),ISNUMBER(SEARCH("tubo cravado",$F372)),ISNUMBER(SEARCH("shaft",$J372)),ISNUMBER(SEARCH("concreto",$F372))),"TUBO CRAVADO","")))</f>
        <v/>
      </c>
      <c r="T372">
        <f>IF($A372="","",TEXT($A372,"yyyymm")&amp;"|"&amp;$C372&amp;"|"&amp;$F372&amp;"|"&amp;$N372&amp;"|"&amp;$R372)</f>
        <v/>
      </c>
    </row>
    <row r="373" ht="11.55" customHeight="1">
      <c r="A373" s="10" t="n">
        <v>46036</v>
      </c>
      <c r="B373" s="7" t="inlineStr">
        <is>
          <t>Quarta</t>
        </is>
      </c>
      <c r="C373" s="7" t="inlineStr">
        <is>
          <t>CT Miriam</t>
        </is>
      </c>
      <c r="D373" s="7" t="n"/>
      <c r="E373" s="7" t="inlineStr">
        <is>
          <t>LS 1 (Josivaldo)</t>
        </is>
      </c>
      <c r="F373" s="13" t="inlineStr">
        <is>
          <t>Reparos PV 05</t>
        </is>
      </c>
      <c r="G373" s="7" t="inlineStr">
        <is>
          <t>05</t>
        </is>
      </c>
      <c r="H373" s="7" t="n"/>
      <c r="I373" s="7" t="inlineStr">
        <is>
          <t>05</t>
        </is>
      </c>
      <c r="J373" s="7" t="inlineStr">
        <is>
          <t>Reparo</t>
        </is>
      </c>
      <c r="K373" s="7" t="inlineStr">
        <is>
          <t>Planejamento</t>
        </is>
      </c>
      <c r="L373" s="16" t="inlineStr">
        <is>
          <t>PDS-janeiro(1).docx</t>
        </is>
      </c>
      <c r="M373">
        <f>IF($A373="","",TEXT($A373,"mmmm/yyyy"))</f>
        <v/>
      </c>
      <c r="P373">
        <f>IFERROR(_xludf.XLOOKUP($N373,Base_Enderecos!$A:$A,Base_Enderecos!$B:$B,""),"")</f>
        <v/>
      </c>
      <c r="Q373">
        <f>IFERROR(_xludf.XLOOKUP($N373,Base_Enderecos!$A:$A,Base_Enderecos!$C:$C,""),"")</f>
        <v/>
      </c>
      <c r="R373">
        <f>IF(OR(ISNUMBER(SEARCH("HDD",$F373)),ISNUMBER(SEARCH("MND",$F373)),ISNUMBER(SEARCH("PEAD",$F373)),ISNUMBER(SEARCH("Puxe",$J373)),ISNUMBER(SEARCH("Apoio HDD",$F373))),"MND",IF(OR(ISNUMBER(SEARCH("VCA",$F373)),ISNUMBER(SEARCH("PVC",$F373)),ISNUMBER(SEARCH("vca",$J373)),ISNUMBER(SEARCH("Transformação",$J373))),"VCA",IF(OR(ISNUMBER(SEARCH("crava",$F373)),ISNUMBER(SEARCH("tubo cravado",$F373)),ISNUMBER(SEARCH("shaft",$J373)),ISNUMBER(SEARCH("concreto",$F373))),"TUBO CRAVADO","")))</f>
        <v/>
      </c>
      <c r="T373">
        <f>IF($A373="","",TEXT($A373,"yyyymm")&amp;"|"&amp;$C373&amp;"|"&amp;$F373&amp;"|"&amp;$N373&amp;"|"&amp;$R373)</f>
        <v/>
      </c>
    </row>
    <row r="374" ht="11.55" customHeight="1">
      <c r="A374" s="10" t="n">
        <v>46036</v>
      </c>
      <c r="B374" s="7" t="inlineStr">
        <is>
          <t>Quarta</t>
        </is>
      </c>
      <c r="C374" s="7" t="inlineStr">
        <is>
          <t>Vacal</t>
        </is>
      </c>
      <c r="D374" s="7" t="n"/>
      <c r="E374" s="7" t="inlineStr">
        <is>
          <t>Mar de Coral</t>
        </is>
      </c>
      <c r="F374" s="13" t="inlineStr">
        <is>
          <t>Apoio Vacal</t>
        </is>
      </c>
      <c r="G374" s="7" t="n"/>
      <c r="H374" s="7" t="n"/>
      <c r="I374" s="7" t="n"/>
      <c r="J374" s="7" t="inlineStr">
        <is>
          <t>Vacal</t>
        </is>
      </c>
      <c r="K374" s="7" t="inlineStr">
        <is>
          <t>Apoio</t>
        </is>
      </c>
      <c r="L374" s="16" t="inlineStr">
        <is>
          <t>PDS-janeiro(1).docx</t>
        </is>
      </c>
      <c r="M374">
        <f>IF($A374="","",TEXT($A374,"mmmm/yyyy"))</f>
        <v/>
      </c>
      <c r="P374">
        <f>IFERROR(_xludf.XLOOKUP($N374,Base_Enderecos!$A:$A,Base_Enderecos!$B:$B,""),"")</f>
        <v/>
      </c>
      <c r="Q374">
        <f>IFERROR(_xludf.XLOOKUP($N374,Base_Enderecos!$A:$A,Base_Enderecos!$C:$C,""),"")</f>
        <v/>
      </c>
      <c r="R374">
        <f>IF(OR(ISNUMBER(SEARCH("HDD",$F374)),ISNUMBER(SEARCH("MND",$F374)),ISNUMBER(SEARCH("PEAD",$F374)),ISNUMBER(SEARCH("Puxe",$J374)),ISNUMBER(SEARCH("Apoio HDD",$F374))),"MND",IF(OR(ISNUMBER(SEARCH("VCA",$F374)),ISNUMBER(SEARCH("PVC",$F374)),ISNUMBER(SEARCH("vca",$J374)),ISNUMBER(SEARCH("Transformação",$J374))),"VCA",IF(OR(ISNUMBER(SEARCH("crava",$F374)),ISNUMBER(SEARCH("tubo cravado",$F374)),ISNUMBER(SEARCH("shaft",$J374)),ISNUMBER(SEARCH("concreto",$F374))),"TUBO CRAVADO","")))</f>
        <v/>
      </c>
      <c r="T374">
        <f>IF($A374="","",TEXT($A374,"yyyymm")&amp;"|"&amp;$C374&amp;"|"&amp;$F374&amp;"|"&amp;$N374&amp;"|"&amp;$R374)</f>
        <v/>
      </c>
    </row>
    <row r="375" ht="11.55" customHeight="1">
      <c r="A375" s="10" t="n">
        <v>46036</v>
      </c>
      <c r="B375" s="7" t="inlineStr">
        <is>
          <t>Quarta</t>
        </is>
      </c>
      <c r="C375" s="7" t="inlineStr">
        <is>
          <t>Vacal</t>
        </is>
      </c>
      <c r="D375" s="7" t="n"/>
      <c r="E375" s="7" t="inlineStr">
        <is>
          <t>Mar de Coral</t>
        </is>
      </c>
      <c r="F375" s="13" t="inlineStr">
        <is>
          <t>Apoio Vacal</t>
        </is>
      </c>
      <c r="G375" s="7" t="n"/>
      <c r="H375" s="7" t="n"/>
      <c r="I375" s="7" t="n"/>
      <c r="J375" s="7" t="inlineStr">
        <is>
          <t>Vacal</t>
        </is>
      </c>
      <c r="K375" s="7" t="inlineStr">
        <is>
          <t>Apoio</t>
        </is>
      </c>
      <c r="L375" s="16" t="inlineStr">
        <is>
          <t>PDS-janeiro(1).docx</t>
        </is>
      </c>
      <c r="M375">
        <f>IF($A375="","",TEXT($A375,"mmmm/yyyy"))</f>
        <v/>
      </c>
      <c r="P375">
        <f>IFERROR(_xludf.XLOOKUP($N375,Base_Enderecos!$A:$A,Base_Enderecos!$B:$B,""),"")</f>
        <v/>
      </c>
      <c r="Q375">
        <f>IFERROR(_xludf.XLOOKUP($N375,Base_Enderecos!$A:$A,Base_Enderecos!$C:$C,""),"")</f>
        <v/>
      </c>
      <c r="R375">
        <f>IF(OR(ISNUMBER(SEARCH("HDD",$F375)),ISNUMBER(SEARCH("MND",$F375)),ISNUMBER(SEARCH("PEAD",$F375)),ISNUMBER(SEARCH("Puxe",$J375)),ISNUMBER(SEARCH("Apoio HDD",$F375))),"MND",IF(OR(ISNUMBER(SEARCH("VCA",$F375)),ISNUMBER(SEARCH("PVC",$F375)),ISNUMBER(SEARCH("vca",$J375)),ISNUMBER(SEARCH("Transformação",$J375))),"VCA",IF(OR(ISNUMBER(SEARCH("crava",$F375)),ISNUMBER(SEARCH("tubo cravado",$F375)),ISNUMBER(SEARCH("shaft",$J375)),ISNUMBER(SEARCH("concreto",$F375))),"TUBO CRAVADO","")))</f>
        <v/>
      </c>
      <c r="T375">
        <f>IF($A375="","",TEXT($A375,"yyyymm")&amp;"|"&amp;$C375&amp;"|"&amp;$F375&amp;"|"&amp;$N375&amp;"|"&amp;$R375)</f>
        <v/>
      </c>
    </row>
    <row r="376" ht="11.55" customHeight="1">
      <c r="A376" s="10" t="n">
        <v>46036</v>
      </c>
      <c r="B376" s="7" t="inlineStr">
        <is>
          <t>Quarta</t>
        </is>
      </c>
      <c r="C376" s="7" t="inlineStr">
        <is>
          <t>Vacal</t>
        </is>
      </c>
      <c r="D376" s="7" t="n"/>
      <c r="E376" s="7" t="inlineStr">
        <is>
          <t>Mar de Coral</t>
        </is>
      </c>
      <c r="F376" s="13" t="inlineStr">
        <is>
          <t>Apoio Vacal</t>
        </is>
      </c>
      <c r="G376" s="7" t="n"/>
      <c r="H376" s="7" t="n"/>
      <c r="I376" s="7" t="n"/>
      <c r="J376" s="7" t="inlineStr">
        <is>
          <t>Vacal</t>
        </is>
      </c>
      <c r="K376" s="7" t="inlineStr">
        <is>
          <t>Apoio</t>
        </is>
      </c>
      <c r="L376" s="16" t="inlineStr">
        <is>
          <t>PDS-janeiro(1).docx</t>
        </is>
      </c>
      <c r="M376">
        <f>IF($A376="","",TEXT($A376,"mmmm/yyyy"))</f>
        <v/>
      </c>
      <c r="P376">
        <f>IFERROR(_xludf.XLOOKUP($N376,Base_Enderecos!$A:$A,Base_Enderecos!$B:$B,""),"")</f>
        <v/>
      </c>
      <c r="Q376">
        <f>IFERROR(_xludf.XLOOKUP($N376,Base_Enderecos!$A:$A,Base_Enderecos!$C:$C,""),"")</f>
        <v/>
      </c>
      <c r="R376">
        <f>IF(OR(ISNUMBER(SEARCH("HDD",$F376)),ISNUMBER(SEARCH("MND",$F376)),ISNUMBER(SEARCH("PEAD",$F376)),ISNUMBER(SEARCH("Puxe",$J376)),ISNUMBER(SEARCH("Apoio HDD",$F376))),"MND",IF(OR(ISNUMBER(SEARCH("VCA",$F376)),ISNUMBER(SEARCH("PVC",$F376)),ISNUMBER(SEARCH("vca",$J376)),ISNUMBER(SEARCH("Transformação",$J376))),"VCA",IF(OR(ISNUMBER(SEARCH("crava",$F376)),ISNUMBER(SEARCH("tubo cravado",$F376)),ISNUMBER(SEARCH("shaft",$J376)),ISNUMBER(SEARCH("concreto",$F376))),"TUBO CRAVADO","")))</f>
        <v/>
      </c>
      <c r="T376">
        <f>IF($A376="","",TEXT($A376,"yyyymm")&amp;"|"&amp;$C376&amp;"|"&amp;$F376&amp;"|"&amp;$N376&amp;"|"&amp;$R376)</f>
        <v/>
      </c>
    </row>
    <row r="377" ht="11.55" customHeight="1">
      <c r="A377" s="10" t="n">
        <v>46036</v>
      </c>
      <c r="B377" s="7" t="inlineStr">
        <is>
          <t>Quarta</t>
        </is>
      </c>
      <c r="C377" s="7" t="inlineStr">
        <is>
          <t>Vacal</t>
        </is>
      </c>
      <c r="D377" s="7" t="n"/>
      <c r="E377" s="7" t="inlineStr">
        <is>
          <t>Mar de Coral</t>
        </is>
      </c>
      <c r="F377" s="13" t="inlineStr">
        <is>
          <t>Apoio Vacal</t>
        </is>
      </c>
      <c r="G377" s="7" t="n"/>
      <c r="H377" s="7" t="n"/>
      <c r="I377" s="7" t="n"/>
      <c r="J377" s="7" t="inlineStr">
        <is>
          <t>Vacal</t>
        </is>
      </c>
      <c r="K377" s="7" t="inlineStr">
        <is>
          <t>Apoio</t>
        </is>
      </c>
      <c r="L377" s="16" t="inlineStr">
        <is>
          <t>PDS-janeiro(1).docx</t>
        </is>
      </c>
      <c r="M377">
        <f>IF($A377="","",TEXT($A377,"mmmm/yyyy"))</f>
        <v/>
      </c>
      <c r="P377">
        <f>IFERROR(_xludf.XLOOKUP($N377,Base_Enderecos!$A:$A,Base_Enderecos!$B:$B,""),"")</f>
        <v/>
      </c>
      <c r="Q377">
        <f>IFERROR(_xludf.XLOOKUP($N377,Base_Enderecos!$A:$A,Base_Enderecos!$C:$C,""),"")</f>
        <v/>
      </c>
      <c r="R377">
        <f>IF(OR(ISNUMBER(SEARCH("HDD",$F377)),ISNUMBER(SEARCH("MND",$F377)),ISNUMBER(SEARCH("PEAD",$F377)),ISNUMBER(SEARCH("Puxe",$J377)),ISNUMBER(SEARCH("Apoio HDD",$F377))),"MND",IF(OR(ISNUMBER(SEARCH("VCA",$F377)),ISNUMBER(SEARCH("PVC",$F377)),ISNUMBER(SEARCH("vca",$J377)),ISNUMBER(SEARCH("Transformação",$J377))),"VCA",IF(OR(ISNUMBER(SEARCH("crava",$F377)),ISNUMBER(SEARCH("tubo cravado",$F377)),ISNUMBER(SEARCH("shaft",$J377)),ISNUMBER(SEARCH("concreto",$F377))),"TUBO CRAVADO","")))</f>
        <v/>
      </c>
      <c r="T377">
        <f>IF($A377="","",TEXT($A377,"yyyymm")&amp;"|"&amp;$C377&amp;"|"&amp;$F377&amp;"|"&amp;$N377&amp;"|"&amp;$R377)</f>
        <v/>
      </c>
    </row>
    <row r="378" ht="11.55" customHeight="1">
      <c r="A378" s="10" t="n">
        <v>46036</v>
      </c>
      <c r="B378" s="7" t="inlineStr">
        <is>
          <t>Quarta</t>
        </is>
      </c>
      <c r="C378" s="7" t="inlineStr">
        <is>
          <t>Guindauto</t>
        </is>
      </c>
      <c r="D378" s="7" t="n"/>
      <c r="E378" s="7" t="inlineStr">
        <is>
          <t>Rodrigo Apoio as equipes</t>
        </is>
      </c>
      <c r="F378" s="13" t="inlineStr">
        <is>
          <t>Rodrigo Apoio as equipes</t>
        </is>
      </c>
      <c r="G378" s="7" t="n"/>
      <c r="H378" s="7" t="n"/>
      <c r="I378" s="7" t="n"/>
      <c r="J378" s="7" t="inlineStr">
        <is>
          <t>Guindauto</t>
        </is>
      </c>
      <c r="K378" s="7" t="inlineStr">
        <is>
          <t>Apoio</t>
        </is>
      </c>
      <c r="L378" s="16" t="inlineStr">
        <is>
          <t>PDS-janeiro(1).docx</t>
        </is>
      </c>
      <c r="M378">
        <f>IF($A378="","",TEXT($A378,"mmmm/yyyy"))</f>
        <v/>
      </c>
      <c r="P378">
        <f>IFERROR(_xludf.XLOOKUP($N378,Base_Enderecos!$A:$A,Base_Enderecos!$B:$B,""),"")</f>
        <v/>
      </c>
      <c r="Q378">
        <f>IFERROR(_xludf.XLOOKUP($N378,Base_Enderecos!$A:$A,Base_Enderecos!$C:$C,""),"")</f>
        <v/>
      </c>
      <c r="R378">
        <f>IF(OR(ISNUMBER(SEARCH("HDD",$F378)),ISNUMBER(SEARCH("MND",$F378)),ISNUMBER(SEARCH("PEAD",$F378)),ISNUMBER(SEARCH("Puxe",$J378)),ISNUMBER(SEARCH("Apoio HDD",$F378))),"MND",IF(OR(ISNUMBER(SEARCH("VCA",$F378)),ISNUMBER(SEARCH("PVC",$F378)),ISNUMBER(SEARCH("vca",$J378)),ISNUMBER(SEARCH("Transformação",$J378))),"VCA",IF(OR(ISNUMBER(SEARCH("crava",$F378)),ISNUMBER(SEARCH("tubo cravado",$F378)),ISNUMBER(SEARCH("shaft",$J378)),ISNUMBER(SEARCH("concreto",$F378))),"TUBO CRAVADO","")))</f>
        <v/>
      </c>
      <c r="T378">
        <f>IF($A378="","",TEXT($A378,"yyyymm")&amp;"|"&amp;$C378&amp;"|"&amp;$F378&amp;"|"&amp;$N378&amp;"|"&amp;$R378)</f>
        <v/>
      </c>
    </row>
    <row r="379" ht="11.55" customHeight="1">
      <c r="A379" s="10" t="n">
        <v>46036</v>
      </c>
      <c r="B379" s="7" t="inlineStr">
        <is>
          <t>Quarta</t>
        </is>
      </c>
      <c r="C379" s="7" t="inlineStr">
        <is>
          <t>Guindauto</t>
        </is>
      </c>
      <c r="D379" s="7" t="n"/>
      <c r="E379" s="7" t="inlineStr">
        <is>
          <t>Marcio</t>
        </is>
      </c>
      <c r="F379" s="13" t="inlineStr">
        <is>
          <t>Marcio</t>
        </is>
      </c>
      <c r="G379" s="7" t="n"/>
      <c r="H379" s="7" t="n"/>
      <c r="I379" s="7" t="n"/>
      <c r="J379" s="7" t="inlineStr">
        <is>
          <t>Guindauto</t>
        </is>
      </c>
      <c r="K379" s="7" t="inlineStr">
        <is>
          <t>Apoio</t>
        </is>
      </c>
      <c r="L379" s="16" t="inlineStr">
        <is>
          <t>PDS-janeiro(1).docx</t>
        </is>
      </c>
      <c r="M379">
        <f>IF($A379="","",TEXT($A379,"mmmm/yyyy"))</f>
        <v/>
      </c>
      <c r="P379">
        <f>IFERROR(_xludf.XLOOKUP($N379,Base_Enderecos!$A:$A,Base_Enderecos!$B:$B,""),"")</f>
        <v/>
      </c>
      <c r="Q379">
        <f>IFERROR(_xludf.XLOOKUP($N379,Base_Enderecos!$A:$A,Base_Enderecos!$C:$C,""),"")</f>
        <v/>
      </c>
      <c r="R379">
        <f>IF(OR(ISNUMBER(SEARCH("HDD",$F379)),ISNUMBER(SEARCH("MND",$F379)),ISNUMBER(SEARCH("PEAD",$F379)),ISNUMBER(SEARCH("Puxe",$J379)),ISNUMBER(SEARCH("Apoio HDD",$F379))),"MND",IF(OR(ISNUMBER(SEARCH("VCA",$F379)),ISNUMBER(SEARCH("PVC",$F379)),ISNUMBER(SEARCH("vca",$J379)),ISNUMBER(SEARCH("Transformação",$J379))),"VCA",IF(OR(ISNUMBER(SEARCH("crava",$F379)),ISNUMBER(SEARCH("tubo cravado",$F379)),ISNUMBER(SEARCH("shaft",$J379)),ISNUMBER(SEARCH("concreto",$F379))),"TUBO CRAVADO","")))</f>
        <v/>
      </c>
      <c r="T379">
        <f>IF($A379="","",TEXT($A379,"yyyymm")&amp;"|"&amp;$C379&amp;"|"&amp;$F379&amp;"|"&amp;$N379&amp;"|"&amp;$R379)</f>
        <v/>
      </c>
    </row>
    <row r="380" ht="11.55" customHeight="1">
      <c r="A380" s="10" t="n">
        <v>46037</v>
      </c>
      <c r="B380" s="7" t="inlineStr">
        <is>
          <t>Quinta</t>
        </is>
      </c>
      <c r="C380" s="7" t="inlineStr">
        <is>
          <t>CT Jaraguá</t>
        </is>
      </c>
      <c r="D380" s="7" t="n"/>
      <c r="E380" s="7" t="inlineStr">
        <is>
          <t>Marcelo</t>
        </is>
      </c>
      <c r="F380" s="13" t="inlineStr">
        <is>
          <t>Escavação mecânica e montagem armco PV 01</t>
        </is>
      </c>
      <c r="G380" s="7" t="inlineStr">
        <is>
          <t>01</t>
        </is>
      </c>
      <c r="H380" s="7" t="n"/>
      <c r="I380" s="7" t="inlineStr">
        <is>
          <t>01</t>
        </is>
      </c>
      <c r="J380" s="7" t="inlineStr">
        <is>
          <t>Escavação</t>
        </is>
      </c>
      <c r="K380" s="7" t="inlineStr">
        <is>
          <t>Planejamento</t>
        </is>
      </c>
      <c r="L380" s="16" t="inlineStr">
        <is>
          <t>PDS-janeiro(1).docx</t>
        </is>
      </c>
      <c r="M380">
        <f>IF($A380="","",TEXT($A380,"mmmm/yyyy"))</f>
        <v/>
      </c>
      <c r="P380">
        <f>IFERROR(_xludf.XLOOKUP($N380,Base_Enderecos!$A:$A,Base_Enderecos!$B:$B,""),"")</f>
        <v/>
      </c>
      <c r="Q380">
        <f>IFERROR(_xludf.XLOOKUP($N380,Base_Enderecos!$A:$A,Base_Enderecos!$C:$C,""),"")</f>
        <v/>
      </c>
      <c r="R380">
        <f>IF(OR(ISNUMBER(SEARCH("HDD",$F380)),ISNUMBER(SEARCH("MND",$F380)),ISNUMBER(SEARCH("PEAD",$F380)),ISNUMBER(SEARCH("Puxe",$J380)),ISNUMBER(SEARCH("Apoio HDD",$F380))),"MND",IF(OR(ISNUMBER(SEARCH("VCA",$F380)),ISNUMBER(SEARCH("PVC",$F380)),ISNUMBER(SEARCH("vca",$J380)),ISNUMBER(SEARCH("Transformação",$J380))),"VCA",IF(OR(ISNUMBER(SEARCH("crava",$F380)),ISNUMBER(SEARCH("tubo cravado",$F380)),ISNUMBER(SEARCH("shaft",$J380)),ISNUMBER(SEARCH("concreto",$F380))),"TUBO CRAVADO","")))</f>
        <v/>
      </c>
      <c r="T380">
        <f>IF($A380="","",TEXT($A380,"yyyymm")&amp;"|"&amp;$C380&amp;"|"&amp;$F380&amp;"|"&amp;$N380&amp;"|"&amp;$R380)</f>
        <v/>
      </c>
    </row>
    <row r="381" ht="11.55" customHeight="1">
      <c r="A381" s="10" t="n">
        <v>46037</v>
      </c>
      <c r="B381" s="7" t="inlineStr">
        <is>
          <t>Quinta</t>
        </is>
      </c>
      <c r="C381" s="7" t="inlineStr">
        <is>
          <t>CT Jaraguá</t>
        </is>
      </c>
      <c r="D381" s="7" t="n"/>
      <c r="E381" s="7" t="inlineStr">
        <is>
          <t>Jonathan</t>
        </is>
      </c>
      <c r="F381" s="13" t="inlineStr">
        <is>
          <t>Escavação mecânica e montagem armco PV 02</t>
        </is>
      </c>
      <c r="G381" s="7" t="inlineStr">
        <is>
          <t>02</t>
        </is>
      </c>
      <c r="H381" s="7" t="n"/>
      <c r="I381" s="7" t="inlineStr">
        <is>
          <t>02</t>
        </is>
      </c>
      <c r="J381" s="7" t="inlineStr">
        <is>
          <t>Escavação</t>
        </is>
      </c>
      <c r="K381" s="7" t="inlineStr">
        <is>
          <t>Planejamento</t>
        </is>
      </c>
      <c r="L381" s="16" t="inlineStr">
        <is>
          <t>PDS-janeiro(1).docx</t>
        </is>
      </c>
      <c r="M381">
        <f>IF($A381="","",TEXT($A381,"mmmm/yyyy"))</f>
        <v/>
      </c>
      <c r="P381">
        <f>IFERROR(_xludf.XLOOKUP($N381,Base_Enderecos!$A:$A,Base_Enderecos!$B:$B,""),"")</f>
        <v/>
      </c>
      <c r="Q381">
        <f>IFERROR(_xludf.XLOOKUP($N381,Base_Enderecos!$A:$A,Base_Enderecos!$C:$C,""),"")</f>
        <v/>
      </c>
      <c r="R381">
        <f>IF(OR(ISNUMBER(SEARCH("HDD",$F381)),ISNUMBER(SEARCH("MND",$F381)),ISNUMBER(SEARCH("PEAD",$F381)),ISNUMBER(SEARCH("Puxe",$J381)),ISNUMBER(SEARCH("Apoio HDD",$F381))),"MND",IF(OR(ISNUMBER(SEARCH("VCA",$F381)),ISNUMBER(SEARCH("PVC",$F381)),ISNUMBER(SEARCH("vca",$J381)),ISNUMBER(SEARCH("Transformação",$J381))),"VCA",IF(OR(ISNUMBER(SEARCH("crava",$F381)),ISNUMBER(SEARCH("tubo cravado",$F381)),ISNUMBER(SEARCH("shaft",$J381)),ISNUMBER(SEARCH("concreto",$F381))),"TUBO CRAVADO","")))</f>
        <v/>
      </c>
      <c r="T381">
        <f>IF($A381="","",TEXT($A381,"yyyymm")&amp;"|"&amp;$C381&amp;"|"&amp;$F381&amp;"|"&amp;$N381&amp;"|"&amp;$R381)</f>
        <v/>
      </c>
    </row>
    <row r="382" ht="11.55" customHeight="1">
      <c r="A382" s="10" t="n">
        <v>46037</v>
      </c>
      <c r="B382" s="7" t="inlineStr">
        <is>
          <t>Quinta</t>
        </is>
      </c>
      <c r="C382" s="7" t="inlineStr">
        <is>
          <t>CT Jaraguá</t>
        </is>
      </c>
      <c r="D382" s="7" t="n"/>
      <c r="E382" s="7" t="inlineStr">
        <is>
          <t>LS 1 (Josivaldo)</t>
        </is>
      </c>
      <c r="F382" s="13" t="inlineStr">
        <is>
          <t>Escavação mecânica e montagem armco PV 10</t>
        </is>
      </c>
      <c r="G382" s="7" t="inlineStr">
        <is>
          <t>10</t>
        </is>
      </c>
      <c r="H382" s="7" t="n"/>
      <c r="I382" s="7" t="inlineStr">
        <is>
          <t>10</t>
        </is>
      </c>
      <c r="J382" s="7" t="inlineStr">
        <is>
          <t>Escavação</t>
        </is>
      </c>
      <c r="K382" s="7" t="inlineStr">
        <is>
          <t>Planejamento</t>
        </is>
      </c>
      <c r="L382" s="16" t="inlineStr">
        <is>
          <t>PDS-janeiro(1).docx</t>
        </is>
      </c>
      <c r="M382">
        <f>IF($A382="","",TEXT($A382,"mmmm/yyyy"))</f>
        <v/>
      </c>
      <c r="P382">
        <f>IFERROR(_xludf.XLOOKUP($N382,Base_Enderecos!$A:$A,Base_Enderecos!$B:$B,""),"")</f>
        <v/>
      </c>
      <c r="Q382">
        <f>IFERROR(_xludf.XLOOKUP($N382,Base_Enderecos!$A:$A,Base_Enderecos!$C:$C,""),"")</f>
        <v/>
      </c>
      <c r="R382">
        <f>IF(OR(ISNUMBER(SEARCH("HDD",$F382)),ISNUMBER(SEARCH("MND",$F382)),ISNUMBER(SEARCH("PEAD",$F382)),ISNUMBER(SEARCH("Puxe",$J382)),ISNUMBER(SEARCH("Apoio HDD",$F382))),"MND",IF(OR(ISNUMBER(SEARCH("VCA",$F382)),ISNUMBER(SEARCH("PVC",$F382)),ISNUMBER(SEARCH("vca",$J382)),ISNUMBER(SEARCH("Transformação",$J382))),"VCA",IF(OR(ISNUMBER(SEARCH("crava",$F382)),ISNUMBER(SEARCH("tubo cravado",$F382)),ISNUMBER(SEARCH("shaft",$J382)),ISNUMBER(SEARCH("concreto",$F382))),"TUBO CRAVADO","")))</f>
        <v/>
      </c>
      <c r="T382">
        <f>IF($A382="","",TEXT($A382,"yyyymm")&amp;"|"&amp;$C382&amp;"|"&amp;$F382&amp;"|"&amp;$N382&amp;"|"&amp;$R382)</f>
        <v/>
      </c>
    </row>
    <row r="383" ht="11.55" customHeight="1">
      <c r="A383" s="10" t="n">
        <v>46037</v>
      </c>
      <c r="B383" s="7" t="inlineStr">
        <is>
          <t>Quinta</t>
        </is>
      </c>
      <c r="C383" s="7" t="inlineStr">
        <is>
          <t>CT Lageado</t>
        </is>
      </c>
      <c r="D383" s="7" t="n"/>
      <c r="E383" s="7" t="inlineStr">
        <is>
          <t>Higor</t>
        </is>
      </c>
      <c r="F383" s="13" t="inlineStr">
        <is>
          <t>Ajuste PV 5.1</t>
        </is>
      </c>
      <c r="G383" s="7" t="inlineStr">
        <is>
          <t>5.1</t>
        </is>
      </c>
      <c r="H383" s="7" t="n"/>
      <c r="I383" s="7" t="inlineStr">
        <is>
          <t>5.1</t>
        </is>
      </c>
      <c r="J383" s="7" t="n"/>
      <c r="K383" s="7" t="inlineStr">
        <is>
          <t>Planejamento</t>
        </is>
      </c>
      <c r="L383" s="16" t="inlineStr">
        <is>
          <t>PDS-janeiro(1).docx</t>
        </is>
      </c>
      <c r="M383">
        <f>IF($A383="","",TEXT($A383,"mmmm/yyyy"))</f>
        <v/>
      </c>
      <c r="P383">
        <f>IFERROR(_xludf.XLOOKUP($N383,Base_Enderecos!$A:$A,Base_Enderecos!$B:$B,""),"")</f>
        <v/>
      </c>
      <c r="Q383">
        <f>IFERROR(_xludf.XLOOKUP($N383,Base_Enderecos!$A:$A,Base_Enderecos!$C:$C,""),"")</f>
        <v/>
      </c>
      <c r="R383">
        <f>IF(OR(ISNUMBER(SEARCH("HDD",$F383)),ISNUMBER(SEARCH("MND",$F383)),ISNUMBER(SEARCH("PEAD",$F383)),ISNUMBER(SEARCH("Puxe",$J383)),ISNUMBER(SEARCH("Apoio HDD",$F383))),"MND",IF(OR(ISNUMBER(SEARCH("VCA",$F383)),ISNUMBER(SEARCH("PVC",$F383)),ISNUMBER(SEARCH("vca",$J383)),ISNUMBER(SEARCH("Transformação",$J383))),"VCA",IF(OR(ISNUMBER(SEARCH("crava",$F383)),ISNUMBER(SEARCH("tubo cravado",$F383)),ISNUMBER(SEARCH("shaft",$J383)),ISNUMBER(SEARCH("concreto",$F383))),"TUBO CRAVADO","")))</f>
        <v/>
      </c>
      <c r="T383">
        <f>IF($A383="","",TEXT($A383,"yyyymm")&amp;"|"&amp;$C383&amp;"|"&amp;$F383&amp;"|"&amp;$N383&amp;"|"&amp;$R383)</f>
        <v/>
      </c>
    </row>
    <row r="384" ht="11.55" customHeight="1">
      <c r="A384" s="10" t="n">
        <v>46037</v>
      </c>
      <c r="B384" s="7" t="inlineStr">
        <is>
          <t>Quinta</t>
        </is>
      </c>
      <c r="C384" s="7" t="inlineStr">
        <is>
          <t>CT Lourdes</t>
        </is>
      </c>
      <c r="D384" s="7" t="n"/>
      <c r="E384" s="7" t="inlineStr">
        <is>
          <t>Paulo</t>
        </is>
      </c>
      <c r="F384" s="13" t="inlineStr">
        <is>
          <t>Transformação PV 22</t>
        </is>
      </c>
      <c r="G384" s="7" t="inlineStr">
        <is>
          <t>22</t>
        </is>
      </c>
      <c r="H384" s="7" t="n"/>
      <c r="I384" s="7" t="inlineStr">
        <is>
          <t>22</t>
        </is>
      </c>
      <c r="J384" s="7" t="inlineStr">
        <is>
          <t>Transformação</t>
        </is>
      </c>
      <c r="K384" s="7" t="inlineStr">
        <is>
          <t>Planejamento</t>
        </is>
      </c>
      <c r="L384" s="16" t="inlineStr">
        <is>
          <t>PDS-janeiro(1).docx</t>
        </is>
      </c>
      <c r="M384">
        <f>IF($A384="","",TEXT($A384,"mmmm/yyyy"))</f>
        <v/>
      </c>
      <c r="P384">
        <f>IFERROR(_xludf.XLOOKUP($N384,Base_Enderecos!$A:$A,Base_Enderecos!$B:$B,""),"")</f>
        <v/>
      </c>
      <c r="Q384">
        <f>IFERROR(_xludf.XLOOKUP($N384,Base_Enderecos!$A:$A,Base_Enderecos!$C:$C,""),"")</f>
        <v/>
      </c>
      <c r="R384">
        <f>IF(OR(ISNUMBER(SEARCH("HDD",$F384)),ISNUMBER(SEARCH("MND",$F384)),ISNUMBER(SEARCH("PEAD",$F384)),ISNUMBER(SEARCH("Puxe",$J384)),ISNUMBER(SEARCH("Apoio HDD",$F384))),"MND",IF(OR(ISNUMBER(SEARCH("VCA",$F384)),ISNUMBER(SEARCH("PVC",$F384)),ISNUMBER(SEARCH("vca",$J384)),ISNUMBER(SEARCH("Transformação",$J384))),"VCA",IF(OR(ISNUMBER(SEARCH("crava",$F384)),ISNUMBER(SEARCH("tubo cravado",$F384)),ISNUMBER(SEARCH("shaft",$J384)),ISNUMBER(SEARCH("concreto",$F384))),"TUBO CRAVADO","")))</f>
        <v/>
      </c>
      <c r="T384">
        <f>IF($A384="","",TEXT($A384,"yyyymm")&amp;"|"&amp;$C384&amp;"|"&amp;$F384&amp;"|"&amp;$N384&amp;"|"&amp;$R384)</f>
        <v/>
      </c>
    </row>
    <row r="385" ht="11.55" customHeight="1">
      <c r="A385" s="10" t="n">
        <v>46037</v>
      </c>
      <c r="B385" s="7" t="inlineStr">
        <is>
          <t>Quinta</t>
        </is>
      </c>
      <c r="C385" s="7" t="inlineStr">
        <is>
          <t>CT Lourdes</t>
        </is>
      </c>
      <c r="D385" s="7" t="n"/>
      <c r="E385" s="7" t="inlineStr">
        <is>
          <t>Cesar</t>
        </is>
      </c>
      <c r="F385" s="13" t="inlineStr">
        <is>
          <t>Interligação PV 12</t>
        </is>
      </c>
      <c r="G385" s="7" t="inlineStr">
        <is>
          <t>12</t>
        </is>
      </c>
      <c r="H385" s="7" t="n"/>
      <c r="I385" s="7" t="inlineStr">
        <is>
          <t>12</t>
        </is>
      </c>
      <c r="J385" s="7" t="inlineStr">
        <is>
          <t>Interligação</t>
        </is>
      </c>
      <c r="K385" s="7" t="inlineStr">
        <is>
          <t>Planejamento</t>
        </is>
      </c>
      <c r="L385" s="16" t="inlineStr">
        <is>
          <t>PDS-janeiro(1).docx</t>
        </is>
      </c>
      <c r="M385">
        <f>IF($A385="","",TEXT($A385,"mmmm/yyyy"))</f>
        <v/>
      </c>
      <c r="P385">
        <f>IFERROR(_xludf.XLOOKUP($N385,Base_Enderecos!$A:$A,Base_Enderecos!$B:$B,""),"")</f>
        <v/>
      </c>
      <c r="Q385">
        <f>IFERROR(_xludf.XLOOKUP($N385,Base_Enderecos!$A:$A,Base_Enderecos!$C:$C,""),"")</f>
        <v/>
      </c>
      <c r="R385">
        <f>IF(OR(ISNUMBER(SEARCH("HDD",$F385)),ISNUMBER(SEARCH("MND",$F385)),ISNUMBER(SEARCH("PEAD",$F385)),ISNUMBER(SEARCH("Puxe",$J385)),ISNUMBER(SEARCH("Apoio HDD",$F385))),"MND",IF(OR(ISNUMBER(SEARCH("VCA",$F385)),ISNUMBER(SEARCH("PVC",$F385)),ISNUMBER(SEARCH("vca",$J385)),ISNUMBER(SEARCH("Transformação",$J385))),"VCA",IF(OR(ISNUMBER(SEARCH("crava",$F385)),ISNUMBER(SEARCH("tubo cravado",$F385)),ISNUMBER(SEARCH("shaft",$J385)),ISNUMBER(SEARCH("concreto",$F385))),"TUBO CRAVADO","")))</f>
        <v/>
      </c>
      <c r="T385">
        <f>IF($A385="","",TEXT($A385,"yyyymm")&amp;"|"&amp;$C385&amp;"|"&amp;$F385&amp;"|"&amp;$N385&amp;"|"&amp;$R385)</f>
        <v/>
      </c>
    </row>
    <row r="386" ht="11.55" customHeight="1">
      <c r="A386" s="10" t="n">
        <v>46037</v>
      </c>
      <c r="B386" s="7" t="inlineStr">
        <is>
          <t>Quinta</t>
        </is>
      </c>
      <c r="C386" s="7" t="inlineStr">
        <is>
          <t>CT Mar de Coral</t>
        </is>
      </c>
      <c r="D386" s="7" t="n"/>
      <c r="E386" s="7" t="inlineStr">
        <is>
          <t>Valter</t>
        </is>
      </c>
      <c r="F386" s="13" t="inlineStr">
        <is>
          <t>Transformação PV 01</t>
        </is>
      </c>
      <c r="G386" s="7" t="inlineStr">
        <is>
          <t>01</t>
        </is>
      </c>
      <c r="H386" s="7" t="n"/>
      <c r="I386" s="7" t="inlineStr">
        <is>
          <t>01</t>
        </is>
      </c>
      <c r="J386" s="7" t="inlineStr">
        <is>
          <t>Transformação</t>
        </is>
      </c>
      <c r="K386" s="7" t="inlineStr">
        <is>
          <t>Planejamento</t>
        </is>
      </c>
      <c r="L386" s="16" t="inlineStr">
        <is>
          <t>PDS-janeiro(1).docx</t>
        </is>
      </c>
      <c r="M386">
        <f>IF($A386="","",TEXT($A386,"mmmm/yyyy"))</f>
        <v/>
      </c>
      <c r="P386">
        <f>IFERROR(_xludf.XLOOKUP($N386,Base_Enderecos!$A:$A,Base_Enderecos!$B:$B,""),"")</f>
        <v/>
      </c>
      <c r="Q386">
        <f>IFERROR(_xludf.XLOOKUP($N386,Base_Enderecos!$A:$A,Base_Enderecos!$C:$C,""),"")</f>
        <v/>
      </c>
      <c r="R386">
        <f>IF(OR(ISNUMBER(SEARCH("HDD",$F386)),ISNUMBER(SEARCH("MND",$F386)),ISNUMBER(SEARCH("PEAD",$F386)),ISNUMBER(SEARCH("Puxe",$J386)),ISNUMBER(SEARCH("Apoio HDD",$F386))),"MND",IF(OR(ISNUMBER(SEARCH("VCA",$F386)),ISNUMBER(SEARCH("PVC",$F386)),ISNUMBER(SEARCH("vca",$J386)),ISNUMBER(SEARCH("Transformação",$J386))),"VCA",IF(OR(ISNUMBER(SEARCH("crava",$F386)),ISNUMBER(SEARCH("tubo cravado",$F386)),ISNUMBER(SEARCH("shaft",$J386)),ISNUMBER(SEARCH("concreto",$F386))),"TUBO CRAVADO","")))</f>
        <v/>
      </c>
      <c r="T386">
        <f>IF($A386="","",TEXT($A386,"yyyymm")&amp;"|"&amp;$C386&amp;"|"&amp;$F386&amp;"|"&amp;$N386&amp;"|"&amp;$R386)</f>
        <v/>
      </c>
    </row>
    <row r="387" ht="11.55" customHeight="1">
      <c r="A387" s="10" t="n">
        <v>46037</v>
      </c>
      <c r="B387" s="7" t="inlineStr">
        <is>
          <t>Quinta</t>
        </is>
      </c>
      <c r="C387" s="7" t="inlineStr">
        <is>
          <t>CT Mar de Coral</t>
        </is>
      </c>
      <c r="D387" s="7" t="n"/>
      <c r="E387" s="7" t="inlineStr">
        <is>
          <t>Bruno (Work Drill)</t>
        </is>
      </c>
      <c r="F387" s="13" t="inlineStr">
        <is>
          <t>Execução puxe do tubo 03 ao 04</t>
        </is>
      </c>
      <c r="G387" s="7" t="n"/>
      <c r="H387" s="7" t="n"/>
      <c r="I387" s="7" t="n"/>
      <c r="J387" s="7" t="inlineStr">
        <is>
          <t>Puxe</t>
        </is>
      </c>
      <c r="K387" s="7" t="inlineStr">
        <is>
          <t>Planejamento</t>
        </is>
      </c>
      <c r="L387" s="16" t="inlineStr">
        <is>
          <t>PDS-janeiro(1).docx</t>
        </is>
      </c>
      <c r="M387">
        <f>IF($A387="","",TEXT($A387,"mmmm/yyyy"))</f>
        <v/>
      </c>
      <c r="P387">
        <f>IFERROR(_xludf.XLOOKUP($N387,Base_Enderecos!$A:$A,Base_Enderecos!$B:$B,""),"")</f>
        <v/>
      </c>
      <c r="Q387">
        <f>IFERROR(_xludf.XLOOKUP($N387,Base_Enderecos!$A:$A,Base_Enderecos!$C:$C,""),"")</f>
        <v/>
      </c>
      <c r="R387">
        <f>IF(OR(ISNUMBER(SEARCH("HDD",$F387)),ISNUMBER(SEARCH("MND",$F387)),ISNUMBER(SEARCH("PEAD",$F387)),ISNUMBER(SEARCH("Puxe",$J387)),ISNUMBER(SEARCH("Apoio HDD",$F387))),"MND",IF(OR(ISNUMBER(SEARCH("VCA",$F387)),ISNUMBER(SEARCH("PVC",$F387)),ISNUMBER(SEARCH("vca",$J387)),ISNUMBER(SEARCH("Transformação",$J387))),"VCA",IF(OR(ISNUMBER(SEARCH("crava",$F387)),ISNUMBER(SEARCH("tubo cravado",$F387)),ISNUMBER(SEARCH("shaft",$J387)),ISNUMBER(SEARCH("concreto",$F387))),"TUBO CRAVADO","")))</f>
        <v/>
      </c>
      <c r="T387">
        <f>IF($A387="","",TEXT($A387,"yyyymm")&amp;"|"&amp;$C387&amp;"|"&amp;$F387&amp;"|"&amp;$N387&amp;"|"&amp;$R387)</f>
        <v/>
      </c>
    </row>
    <row r="388" ht="11.55" customHeight="1">
      <c r="A388" s="10" t="n">
        <v>46037</v>
      </c>
      <c r="B388" s="7" t="inlineStr">
        <is>
          <t>Quinta</t>
        </is>
      </c>
      <c r="C388" s="7" t="inlineStr">
        <is>
          <t>CT Mar de Coral</t>
        </is>
      </c>
      <c r="D388" s="7" t="n"/>
      <c r="E388" s="7" t="inlineStr">
        <is>
          <t>Márcio</t>
        </is>
      </c>
      <c r="F388" s="13" t="inlineStr">
        <is>
          <t>Apoio HDD entre PVs 03 ao 04</t>
        </is>
      </c>
      <c r="G388" s="7" t="inlineStr">
        <is>
          <t>03</t>
        </is>
      </c>
      <c r="H388" s="7" t="n"/>
      <c r="I388" s="7" t="inlineStr">
        <is>
          <t>03</t>
        </is>
      </c>
      <c r="J388" s="7" t="inlineStr">
        <is>
          <t>Apoio HDD</t>
        </is>
      </c>
      <c r="K388" s="7" t="inlineStr">
        <is>
          <t>Planejamento</t>
        </is>
      </c>
      <c r="L388" s="16" t="inlineStr">
        <is>
          <t>PDS-janeiro(1).docx</t>
        </is>
      </c>
      <c r="M388">
        <f>IF($A388="","",TEXT($A388,"mmmm/yyyy"))</f>
        <v/>
      </c>
      <c r="P388">
        <f>IFERROR(_xludf.XLOOKUP($N388,Base_Enderecos!$A:$A,Base_Enderecos!$B:$B,""),"")</f>
        <v/>
      </c>
      <c r="Q388">
        <f>IFERROR(_xludf.XLOOKUP($N388,Base_Enderecos!$A:$A,Base_Enderecos!$C:$C,""),"")</f>
        <v/>
      </c>
      <c r="R388">
        <f>IF(OR(ISNUMBER(SEARCH("HDD",$F388)),ISNUMBER(SEARCH("MND",$F388)),ISNUMBER(SEARCH("PEAD",$F388)),ISNUMBER(SEARCH("Puxe",$J388)),ISNUMBER(SEARCH("Apoio HDD",$F388))),"MND",IF(OR(ISNUMBER(SEARCH("VCA",$F388)),ISNUMBER(SEARCH("PVC",$F388)),ISNUMBER(SEARCH("vca",$J388)),ISNUMBER(SEARCH("Transformação",$J388))),"VCA",IF(OR(ISNUMBER(SEARCH("crava",$F388)),ISNUMBER(SEARCH("tubo cravado",$F388)),ISNUMBER(SEARCH("shaft",$J388)),ISNUMBER(SEARCH("concreto",$F388))),"TUBO CRAVADO","")))</f>
        <v/>
      </c>
      <c r="T388">
        <f>IF($A388="","",TEXT($A388,"yyyymm")&amp;"|"&amp;$C388&amp;"|"&amp;$F388&amp;"|"&amp;$N388&amp;"|"&amp;$R388)</f>
        <v/>
      </c>
    </row>
    <row r="389" ht="11.55" customHeight="1">
      <c r="A389" s="10" t="n">
        <v>46037</v>
      </c>
      <c r="B389" s="7" t="inlineStr">
        <is>
          <t>Quinta</t>
        </is>
      </c>
      <c r="C389" s="7" t="inlineStr">
        <is>
          <t>CT Mar de Coral</t>
        </is>
      </c>
      <c r="D389" s="7" t="n"/>
      <c r="E389" s="7" t="inlineStr">
        <is>
          <t>WJ (Edson)</t>
        </is>
      </c>
      <c r="F389" s="13" t="inlineStr">
        <is>
          <t>Execução furo piloto entre PVs 05 ao 5.10</t>
        </is>
      </c>
      <c r="G389" s="7" t="inlineStr">
        <is>
          <t>05</t>
        </is>
      </c>
      <c r="H389" s="7" t="n"/>
      <c r="I389" s="7" t="inlineStr">
        <is>
          <t>05</t>
        </is>
      </c>
      <c r="J389" s="7" t="inlineStr">
        <is>
          <t>Furo piloto</t>
        </is>
      </c>
      <c r="K389" s="7" t="inlineStr">
        <is>
          <t>Planejamento</t>
        </is>
      </c>
      <c r="L389" s="16" t="inlineStr">
        <is>
          <t>PDS-janeiro(1).docx</t>
        </is>
      </c>
      <c r="M389">
        <f>IF($A389="","",TEXT($A389,"mmmm/yyyy"))</f>
        <v/>
      </c>
      <c r="P389">
        <f>IFERROR(_xludf.XLOOKUP($N389,Base_Enderecos!$A:$A,Base_Enderecos!$B:$B,""),"")</f>
        <v/>
      </c>
      <c r="Q389">
        <f>IFERROR(_xludf.XLOOKUP($N389,Base_Enderecos!$A:$A,Base_Enderecos!$C:$C,""),"")</f>
        <v/>
      </c>
      <c r="R389">
        <f>IF(OR(ISNUMBER(SEARCH("HDD",$F389)),ISNUMBER(SEARCH("MND",$F389)),ISNUMBER(SEARCH("PEAD",$F389)),ISNUMBER(SEARCH("Puxe",$J389)),ISNUMBER(SEARCH("Apoio HDD",$F389))),"MND",IF(OR(ISNUMBER(SEARCH("VCA",$F389)),ISNUMBER(SEARCH("PVC",$F389)),ISNUMBER(SEARCH("vca",$J389)),ISNUMBER(SEARCH("Transformação",$J389))),"VCA",IF(OR(ISNUMBER(SEARCH("crava",$F389)),ISNUMBER(SEARCH("tubo cravado",$F389)),ISNUMBER(SEARCH("shaft",$J389)),ISNUMBER(SEARCH("concreto",$F389))),"TUBO CRAVADO","")))</f>
        <v/>
      </c>
      <c r="T389">
        <f>IF($A389="","",TEXT($A389,"yyyymm")&amp;"|"&amp;$C389&amp;"|"&amp;$F389&amp;"|"&amp;$N389&amp;"|"&amp;$R389)</f>
        <v/>
      </c>
    </row>
    <row r="390" ht="11.55" customHeight="1">
      <c r="A390" s="10" t="n">
        <v>46037</v>
      </c>
      <c r="B390" s="7" t="inlineStr">
        <is>
          <t>Quinta</t>
        </is>
      </c>
      <c r="C390" s="7" t="inlineStr">
        <is>
          <t>CT Mar de Coral</t>
        </is>
      </c>
      <c r="D390" s="7" t="n"/>
      <c r="E390" s="7" t="inlineStr">
        <is>
          <t>Natalino</t>
        </is>
      </c>
      <c r="F390" s="13" t="inlineStr">
        <is>
          <t>Apoio HDD entre PVs 05 ao 5.10</t>
        </is>
      </c>
      <c r="G390" s="7" t="inlineStr">
        <is>
          <t>05</t>
        </is>
      </c>
      <c r="H390" s="7" t="n"/>
      <c r="I390" s="7" t="inlineStr">
        <is>
          <t>05</t>
        </is>
      </c>
      <c r="J390" s="7" t="inlineStr">
        <is>
          <t>Apoio HDD</t>
        </is>
      </c>
      <c r="K390" s="7" t="inlineStr">
        <is>
          <t>Planejamento</t>
        </is>
      </c>
      <c r="L390" s="16" t="inlineStr">
        <is>
          <t>PDS-janeiro(1).docx</t>
        </is>
      </c>
      <c r="M390">
        <f>IF($A390="","",TEXT($A390,"mmmm/yyyy"))</f>
        <v/>
      </c>
      <c r="P390">
        <f>IFERROR(_xludf.XLOOKUP($N390,Base_Enderecos!$A:$A,Base_Enderecos!$B:$B,""),"")</f>
        <v/>
      </c>
      <c r="Q390">
        <f>IFERROR(_xludf.XLOOKUP($N390,Base_Enderecos!$A:$A,Base_Enderecos!$C:$C,""),"")</f>
        <v/>
      </c>
      <c r="R390">
        <f>IF(OR(ISNUMBER(SEARCH("HDD",$F390)),ISNUMBER(SEARCH("MND",$F390)),ISNUMBER(SEARCH("PEAD",$F390)),ISNUMBER(SEARCH("Puxe",$J390)),ISNUMBER(SEARCH("Apoio HDD",$F390))),"MND",IF(OR(ISNUMBER(SEARCH("VCA",$F390)),ISNUMBER(SEARCH("PVC",$F390)),ISNUMBER(SEARCH("vca",$J390)),ISNUMBER(SEARCH("Transformação",$J390))),"VCA",IF(OR(ISNUMBER(SEARCH("crava",$F390)),ISNUMBER(SEARCH("tubo cravado",$F390)),ISNUMBER(SEARCH("shaft",$J390)),ISNUMBER(SEARCH("concreto",$F390))),"TUBO CRAVADO","")))</f>
        <v/>
      </c>
      <c r="T390">
        <f>IF($A390="","",TEXT($A390,"yyyymm")&amp;"|"&amp;$C390&amp;"|"&amp;$F390&amp;"|"&amp;$N390&amp;"|"&amp;$R390)</f>
        <v/>
      </c>
    </row>
    <row r="391" ht="11.55" customHeight="1">
      <c r="A391" s="10" t="n">
        <v>46037</v>
      </c>
      <c r="B391" s="7" t="inlineStr">
        <is>
          <t>Quinta</t>
        </is>
      </c>
      <c r="C391" s="7" t="inlineStr">
        <is>
          <t>Vacal</t>
        </is>
      </c>
      <c r="D391" s="7" t="n"/>
      <c r="E391" s="7" t="inlineStr">
        <is>
          <t>Mar de Coral</t>
        </is>
      </c>
      <c r="F391" s="13" t="inlineStr">
        <is>
          <t>Apoio Vacal</t>
        </is>
      </c>
      <c r="G391" s="7" t="n"/>
      <c r="H391" s="7" t="n"/>
      <c r="I391" s="7" t="n"/>
      <c r="J391" s="7" t="inlineStr">
        <is>
          <t>Vacal</t>
        </is>
      </c>
      <c r="K391" s="7" t="inlineStr">
        <is>
          <t>Apoio</t>
        </is>
      </c>
      <c r="L391" s="16" t="inlineStr">
        <is>
          <t>PDS-janeiro(1).docx</t>
        </is>
      </c>
      <c r="M391">
        <f>IF($A391="","",TEXT($A391,"mmmm/yyyy"))</f>
        <v/>
      </c>
      <c r="P391">
        <f>IFERROR(_xludf.XLOOKUP($N391,Base_Enderecos!$A:$A,Base_Enderecos!$B:$B,""),"")</f>
        <v/>
      </c>
      <c r="Q391">
        <f>IFERROR(_xludf.XLOOKUP($N391,Base_Enderecos!$A:$A,Base_Enderecos!$C:$C,""),"")</f>
        <v/>
      </c>
      <c r="R391">
        <f>IF(OR(ISNUMBER(SEARCH("HDD",$F391)),ISNUMBER(SEARCH("MND",$F391)),ISNUMBER(SEARCH("PEAD",$F391)),ISNUMBER(SEARCH("Puxe",$J391)),ISNUMBER(SEARCH("Apoio HDD",$F391))),"MND",IF(OR(ISNUMBER(SEARCH("VCA",$F391)),ISNUMBER(SEARCH("PVC",$F391)),ISNUMBER(SEARCH("vca",$J391)),ISNUMBER(SEARCH("Transformação",$J391))),"VCA",IF(OR(ISNUMBER(SEARCH("crava",$F391)),ISNUMBER(SEARCH("tubo cravado",$F391)),ISNUMBER(SEARCH("shaft",$J391)),ISNUMBER(SEARCH("concreto",$F391))),"TUBO CRAVADO","")))</f>
        <v/>
      </c>
      <c r="T391">
        <f>IF($A391="","",TEXT($A391,"yyyymm")&amp;"|"&amp;$C391&amp;"|"&amp;$F391&amp;"|"&amp;$N391&amp;"|"&amp;$R391)</f>
        <v/>
      </c>
    </row>
    <row r="392" ht="11.55" customHeight="1">
      <c r="A392" s="10" t="n">
        <v>46037</v>
      </c>
      <c r="B392" s="7" t="inlineStr">
        <is>
          <t>Quinta</t>
        </is>
      </c>
      <c r="C392" s="7" t="inlineStr">
        <is>
          <t>Vacal</t>
        </is>
      </c>
      <c r="D392" s="7" t="n"/>
      <c r="E392" s="7" t="inlineStr">
        <is>
          <t>Mar de Coral</t>
        </is>
      </c>
      <c r="F392" s="13" t="inlineStr">
        <is>
          <t>Apoio Vacal</t>
        </is>
      </c>
      <c r="G392" s="7" t="n"/>
      <c r="H392" s="7" t="n"/>
      <c r="I392" s="7" t="n"/>
      <c r="J392" s="7" t="inlineStr">
        <is>
          <t>Vacal</t>
        </is>
      </c>
      <c r="K392" s="7" t="inlineStr">
        <is>
          <t>Apoio</t>
        </is>
      </c>
      <c r="L392" s="16" t="inlineStr">
        <is>
          <t>PDS-janeiro(1).docx</t>
        </is>
      </c>
      <c r="M392">
        <f>IF($A392="","",TEXT($A392,"mmmm/yyyy"))</f>
        <v/>
      </c>
      <c r="P392">
        <f>IFERROR(_xludf.XLOOKUP($N392,Base_Enderecos!$A:$A,Base_Enderecos!$B:$B,""),"")</f>
        <v/>
      </c>
      <c r="Q392">
        <f>IFERROR(_xludf.XLOOKUP($N392,Base_Enderecos!$A:$A,Base_Enderecos!$C:$C,""),"")</f>
        <v/>
      </c>
      <c r="R392">
        <f>IF(OR(ISNUMBER(SEARCH("HDD",$F392)),ISNUMBER(SEARCH("MND",$F392)),ISNUMBER(SEARCH("PEAD",$F392)),ISNUMBER(SEARCH("Puxe",$J392)),ISNUMBER(SEARCH("Apoio HDD",$F392))),"MND",IF(OR(ISNUMBER(SEARCH("VCA",$F392)),ISNUMBER(SEARCH("PVC",$F392)),ISNUMBER(SEARCH("vca",$J392)),ISNUMBER(SEARCH("Transformação",$J392))),"VCA",IF(OR(ISNUMBER(SEARCH("crava",$F392)),ISNUMBER(SEARCH("tubo cravado",$F392)),ISNUMBER(SEARCH("shaft",$J392)),ISNUMBER(SEARCH("concreto",$F392))),"TUBO CRAVADO","")))</f>
        <v/>
      </c>
      <c r="T392">
        <f>IF($A392="","",TEXT($A392,"yyyymm")&amp;"|"&amp;$C392&amp;"|"&amp;$F392&amp;"|"&amp;$N392&amp;"|"&amp;$R392)</f>
        <v/>
      </c>
    </row>
    <row r="393" ht="11.55" customHeight="1">
      <c r="A393" s="10" t="n">
        <v>46037</v>
      </c>
      <c r="B393" s="7" t="inlineStr">
        <is>
          <t>Quinta</t>
        </is>
      </c>
      <c r="C393" s="7" t="inlineStr">
        <is>
          <t>Vacal</t>
        </is>
      </c>
      <c r="D393" s="7" t="n"/>
      <c r="E393" s="7" t="inlineStr">
        <is>
          <t>Mar de Coral</t>
        </is>
      </c>
      <c r="F393" s="13" t="inlineStr">
        <is>
          <t>Apoio Vacal</t>
        </is>
      </c>
      <c r="G393" s="7" t="n"/>
      <c r="H393" s="7" t="n"/>
      <c r="I393" s="7" t="n"/>
      <c r="J393" s="7" t="inlineStr">
        <is>
          <t>Vacal</t>
        </is>
      </c>
      <c r="K393" s="7" t="inlineStr">
        <is>
          <t>Apoio</t>
        </is>
      </c>
      <c r="L393" s="16" t="inlineStr">
        <is>
          <t>PDS-janeiro(1).docx</t>
        </is>
      </c>
      <c r="M393">
        <f>IF($A393="","",TEXT($A393,"mmmm/yyyy"))</f>
        <v/>
      </c>
      <c r="P393">
        <f>IFERROR(_xludf.XLOOKUP($N393,Base_Enderecos!$A:$A,Base_Enderecos!$B:$B,""),"")</f>
        <v/>
      </c>
      <c r="Q393">
        <f>IFERROR(_xludf.XLOOKUP($N393,Base_Enderecos!$A:$A,Base_Enderecos!$C:$C,""),"")</f>
        <v/>
      </c>
      <c r="R393">
        <f>IF(OR(ISNUMBER(SEARCH("HDD",$F393)),ISNUMBER(SEARCH("MND",$F393)),ISNUMBER(SEARCH("PEAD",$F393)),ISNUMBER(SEARCH("Puxe",$J393)),ISNUMBER(SEARCH("Apoio HDD",$F393))),"MND",IF(OR(ISNUMBER(SEARCH("VCA",$F393)),ISNUMBER(SEARCH("PVC",$F393)),ISNUMBER(SEARCH("vca",$J393)),ISNUMBER(SEARCH("Transformação",$J393))),"VCA",IF(OR(ISNUMBER(SEARCH("crava",$F393)),ISNUMBER(SEARCH("tubo cravado",$F393)),ISNUMBER(SEARCH("shaft",$J393)),ISNUMBER(SEARCH("concreto",$F393))),"TUBO CRAVADO","")))</f>
        <v/>
      </c>
      <c r="T393">
        <f>IF($A393="","",TEXT($A393,"yyyymm")&amp;"|"&amp;$C393&amp;"|"&amp;$F393&amp;"|"&amp;$N393&amp;"|"&amp;$R393)</f>
        <v/>
      </c>
    </row>
    <row r="394" ht="11.55" customHeight="1">
      <c r="A394" s="10" t="n">
        <v>46037</v>
      </c>
      <c r="B394" s="7" t="inlineStr">
        <is>
          <t>Quinta</t>
        </is>
      </c>
      <c r="C394" s="7" t="inlineStr">
        <is>
          <t>Vacal</t>
        </is>
      </c>
      <c r="D394" s="7" t="n"/>
      <c r="E394" s="7" t="inlineStr">
        <is>
          <t>Mar de Coral</t>
        </is>
      </c>
      <c r="F394" s="13" t="inlineStr">
        <is>
          <t>Apoio Vacal</t>
        </is>
      </c>
      <c r="G394" s="7" t="n"/>
      <c r="H394" s="7" t="n"/>
      <c r="I394" s="7" t="n"/>
      <c r="J394" s="7" t="inlineStr">
        <is>
          <t>Vacal</t>
        </is>
      </c>
      <c r="K394" s="7" t="inlineStr">
        <is>
          <t>Apoio</t>
        </is>
      </c>
      <c r="L394" s="16" t="inlineStr">
        <is>
          <t>PDS-janeiro(1).docx</t>
        </is>
      </c>
      <c r="M394">
        <f>IF($A394="","",TEXT($A394,"mmmm/yyyy"))</f>
        <v/>
      </c>
      <c r="P394">
        <f>IFERROR(_xludf.XLOOKUP($N394,Base_Enderecos!$A:$A,Base_Enderecos!$B:$B,""),"")</f>
        <v/>
      </c>
      <c r="Q394">
        <f>IFERROR(_xludf.XLOOKUP($N394,Base_Enderecos!$A:$A,Base_Enderecos!$C:$C,""),"")</f>
        <v/>
      </c>
      <c r="R394">
        <f>IF(OR(ISNUMBER(SEARCH("HDD",$F394)),ISNUMBER(SEARCH("MND",$F394)),ISNUMBER(SEARCH("PEAD",$F394)),ISNUMBER(SEARCH("Puxe",$J394)),ISNUMBER(SEARCH("Apoio HDD",$F394))),"MND",IF(OR(ISNUMBER(SEARCH("VCA",$F394)),ISNUMBER(SEARCH("PVC",$F394)),ISNUMBER(SEARCH("vca",$J394)),ISNUMBER(SEARCH("Transformação",$J394))),"VCA",IF(OR(ISNUMBER(SEARCH("crava",$F394)),ISNUMBER(SEARCH("tubo cravado",$F394)),ISNUMBER(SEARCH("shaft",$J394)),ISNUMBER(SEARCH("concreto",$F394))),"TUBO CRAVADO","")))</f>
        <v/>
      </c>
      <c r="T394">
        <f>IF($A394="","",TEXT($A394,"yyyymm")&amp;"|"&amp;$C394&amp;"|"&amp;$F394&amp;"|"&amp;$N394&amp;"|"&amp;$R394)</f>
        <v/>
      </c>
    </row>
    <row r="395" ht="11.55" customHeight="1">
      <c r="A395" s="10" t="n">
        <v>46037</v>
      </c>
      <c r="B395" s="7" t="inlineStr">
        <is>
          <t>Quinta</t>
        </is>
      </c>
      <c r="C395" s="7" t="inlineStr">
        <is>
          <t>Guindauto</t>
        </is>
      </c>
      <c r="D395" s="7" t="n"/>
      <c r="E395" s="7" t="inlineStr">
        <is>
          <t>Rodrigo Apoio as equipes</t>
        </is>
      </c>
      <c r="F395" s="13" t="inlineStr">
        <is>
          <t>Rodrigo Apoio as equipes</t>
        </is>
      </c>
      <c r="G395" s="7" t="n"/>
      <c r="H395" s="7" t="n"/>
      <c r="I395" s="7" t="n"/>
      <c r="J395" s="7" t="inlineStr">
        <is>
          <t>Guindauto</t>
        </is>
      </c>
      <c r="K395" s="7" t="inlineStr">
        <is>
          <t>Apoio</t>
        </is>
      </c>
      <c r="L395" s="16" t="inlineStr">
        <is>
          <t>PDS-janeiro(1).docx</t>
        </is>
      </c>
      <c r="M395">
        <f>IF($A395="","",TEXT($A395,"mmmm/yyyy"))</f>
        <v/>
      </c>
      <c r="P395">
        <f>IFERROR(_xludf.XLOOKUP($N395,Base_Enderecos!$A:$A,Base_Enderecos!$B:$B,""),"")</f>
        <v/>
      </c>
      <c r="Q395">
        <f>IFERROR(_xludf.XLOOKUP($N395,Base_Enderecos!$A:$A,Base_Enderecos!$C:$C,""),"")</f>
        <v/>
      </c>
      <c r="R395">
        <f>IF(OR(ISNUMBER(SEARCH("HDD",$F395)),ISNUMBER(SEARCH("MND",$F395)),ISNUMBER(SEARCH("PEAD",$F395)),ISNUMBER(SEARCH("Puxe",$J395)),ISNUMBER(SEARCH("Apoio HDD",$F395))),"MND",IF(OR(ISNUMBER(SEARCH("VCA",$F395)),ISNUMBER(SEARCH("PVC",$F395)),ISNUMBER(SEARCH("vca",$J395)),ISNUMBER(SEARCH("Transformação",$J395))),"VCA",IF(OR(ISNUMBER(SEARCH("crava",$F395)),ISNUMBER(SEARCH("tubo cravado",$F395)),ISNUMBER(SEARCH("shaft",$J395)),ISNUMBER(SEARCH("concreto",$F395))),"TUBO CRAVADO","")))</f>
        <v/>
      </c>
      <c r="T395">
        <f>IF($A395="","",TEXT($A395,"yyyymm")&amp;"|"&amp;$C395&amp;"|"&amp;$F395&amp;"|"&amp;$N395&amp;"|"&amp;$R395)</f>
        <v/>
      </c>
    </row>
    <row r="396" ht="11.55" customHeight="1">
      <c r="A396" s="10" t="n">
        <v>46037</v>
      </c>
      <c r="B396" s="7" t="inlineStr">
        <is>
          <t>Quinta</t>
        </is>
      </c>
      <c r="C396" s="7" t="inlineStr">
        <is>
          <t>Guindauto</t>
        </is>
      </c>
      <c r="D396" s="7" t="n"/>
      <c r="E396" s="7" t="inlineStr">
        <is>
          <t>Marcio</t>
        </is>
      </c>
      <c r="F396" s="13" t="inlineStr">
        <is>
          <t>Marcio</t>
        </is>
      </c>
      <c r="G396" s="7" t="n"/>
      <c r="H396" s="7" t="n"/>
      <c r="I396" s="7" t="n"/>
      <c r="J396" s="7" t="inlineStr">
        <is>
          <t>Guindauto</t>
        </is>
      </c>
      <c r="K396" s="7" t="inlineStr">
        <is>
          <t>Apoio</t>
        </is>
      </c>
      <c r="L396" s="16" t="inlineStr">
        <is>
          <t>PDS-janeiro(1).docx</t>
        </is>
      </c>
      <c r="M396">
        <f>IF($A396="","",TEXT($A396,"mmmm/yyyy"))</f>
        <v/>
      </c>
      <c r="P396">
        <f>IFERROR(_xludf.XLOOKUP($N396,Base_Enderecos!$A:$A,Base_Enderecos!$B:$B,""),"")</f>
        <v/>
      </c>
      <c r="Q396">
        <f>IFERROR(_xludf.XLOOKUP($N396,Base_Enderecos!$A:$A,Base_Enderecos!$C:$C,""),"")</f>
        <v/>
      </c>
      <c r="R396">
        <f>IF(OR(ISNUMBER(SEARCH("HDD",$F396)),ISNUMBER(SEARCH("MND",$F396)),ISNUMBER(SEARCH("PEAD",$F396)),ISNUMBER(SEARCH("Puxe",$J396)),ISNUMBER(SEARCH("Apoio HDD",$F396))),"MND",IF(OR(ISNUMBER(SEARCH("VCA",$F396)),ISNUMBER(SEARCH("PVC",$F396)),ISNUMBER(SEARCH("vca",$J396)),ISNUMBER(SEARCH("Transformação",$J396))),"VCA",IF(OR(ISNUMBER(SEARCH("crava",$F396)),ISNUMBER(SEARCH("tubo cravado",$F396)),ISNUMBER(SEARCH("shaft",$J396)),ISNUMBER(SEARCH("concreto",$F396))),"TUBO CRAVADO","")))</f>
        <v/>
      </c>
      <c r="T396">
        <f>IF($A396="","",TEXT($A396,"yyyymm")&amp;"|"&amp;$C396&amp;"|"&amp;$F396&amp;"|"&amp;$N396&amp;"|"&amp;$R396)</f>
        <v/>
      </c>
    </row>
    <row r="397" ht="11.55" customHeight="1">
      <c r="A397" s="10" t="n">
        <v>46038</v>
      </c>
      <c r="B397" s="7" t="inlineStr">
        <is>
          <t>Sexta</t>
        </is>
      </c>
      <c r="C397" s="7" t="inlineStr">
        <is>
          <t>CT MIRIAM</t>
        </is>
      </c>
      <c r="D397" s="7" t="n"/>
      <c r="E397" s="7" t="inlineStr">
        <is>
          <t>Marcelo</t>
        </is>
      </c>
      <c r="F397" s="13" t="inlineStr">
        <is>
          <t>Transformação PV 57.1</t>
        </is>
      </c>
      <c r="G397" s="7" t="inlineStr">
        <is>
          <t>57.1</t>
        </is>
      </c>
      <c r="H397" s="7" t="n"/>
      <c r="I397" s="7" t="inlineStr">
        <is>
          <t>57.1</t>
        </is>
      </c>
      <c r="J397" s="7" t="inlineStr">
        <is>
          <t>Transformação</t>
        </is>
      </c>
      <c r="K397" s="7" t="inlineStr">
        <is>
          <t>Planejamento</t>
        </is>
      </c>
      <c r="L397" s="16" t="inlineStr">
        <is>
          <t>PDS-janeiro(1).docx</t>
        </is>
      </c>
      <c r="M397">
        <f>IF($A397="","",TEXT($A397,"mmmm/yyyy"))</f>
        <v/>
      </c>
      <c r="P397">
        <f>IFERROR(_xludf.XLOOKUP($N397,Base_Enderecos!$A:$A,Base_Enderecos!$B:$B,""),"")</f>
        <v/>
      </c>
      <c r="Q397">
        <f>IFERROR(_xludf.XLOOKUP($N397,Base_Enderecos!$A:$A,Base_Enderecos!$C:$C,""),"")</f>
        <v/>
      </c>
      <c r="R397">
        <f>IF(OR(ISNUMBER(SEARCH("HDD",$F397)),ISNUMBER(SEARCH("MND",$F397)),ISNUMBER(SEARCH("PEAD",$F397)),ISNUMBER(SEARCH("Puxe",$J397)),ISNUMBER(SEARCH("Apoio HDD",$F397))),"MND",IF(OR(ISNUMBER(SEARCH("VCA",$F397)),ISNUMBER(SEARCH("PVC",$F397)),ISNUMBER(SEARCH("vca",$J397)),ISNUMBER(SEARCH("Transformação",$J397))),"VCA",IF(OR(ISNUMBER(SEARCH("crava",$F397)),ISNUMBER(SEARCH("tubo cravado",$F397)),ISNUMBER(SEARCH("shaft",$J397)),ISNUMBER(SEARCH("concreto",$F397))),"TUBO CRAVADO","")))</f>
        <v/>
      </c>
      <c r="T397">
        <f>IF($A397="","",TEXT($A397,"yyyymm")&amp;"|"&amp;$C397&amp;"|"&amp;$F397&amp;"|"&amp;$N397&amp;"|"&amp;$R397)</f>
        <v/>
      </c>
    </row>
    <row r="398" ht="11.55" customHeight="1">
      <c r="A398" s="10" t="n">
        <v>46038</v>
      </c>
      <c r="B398" s="7" t="inlineStr">
        <is>
          <t>Sexta</t>
        </is>
      </c>
      <c r="C398" s="7" t="inlineStr">
        <is>
          <t>CT Jaraguá</t>
        </is>
      </c>
      <c r="D398" s="7" t="n"/>
      <c r="E398" s="7" t="inlineStr">
        <is>
          <t>Jonathan</t>
        </is>
      </c>
      <c r="F398" s="13" t="inlineStr">
        <is>
          <t>Escavação mecânica e montagem armco PV 02</t>
        </is>
      </c>
      <c r="G398" s="7" t="inlineStr">
        <is>
          <t>02</t>
        </is>
      </c>
      <c r="H398" s="7" t="n"/>
      <c r="I398" s="7" t="inlineStr">
        <is>
          <t>02</t>
        </is>
      </c>
      <c r="J398" s="7" t="inlineStr">
        <is>
          <t>Escavação</t>
        </is>
      </c>
      <c r="K398" s="7" t="inlineStr">
        <is>
          <t>Planejamento</t>
        </is>
      </c>
      <c r="L398" s="16" t="inlineStr">
        <is>
          <t>PDS-janeiro(1).docx</t>
        </is>
      </c>
      <c r="M398">
        <f>IF($A398="","",TEXT($A398,"mmmm/yyyy"))</f>
        <v/>
      </c>
      <c r="P398">
        <f>IFERROR(_xludf.XLOOKUP($N398,Base_Enderecos!$A:$A,Base_Enderecos!$B:$B,""),"")</f>
        <v/>
      </c>
      <c r="Q398">
        <f>IFERROR(_xludf.XLOOKUP($N398,Base_Enderecos!$A:$A,Base_Enderecos!$C:$C,""),"")</f>
        <v/>
      </c>
      <c r="R398">
        <f>IF(OR(ISNUMBER(SEARCH("HDD",$F398)),ISNUMBER(SEARCH("MND",$F398)),ISNUMBER(SEARCH("PEAD",$F398)),ISNUMBER(SEARCH("Puxe",$J398)),ISNUMBER(SEARCH("Apoio HDD",$F398))),"MND",IF(OR(ISNUMBER(SEARCH("VCA",$F398)),ISNUMBER(SEARCH("PVC",$F398)),ISNUMBER(SEARCH("vca",$J398)),ISNUMBER(SEARCH("Transformação",$J398))),"VCA",IF(OR(ISNUMBER(SEARCH("crava",$F398)),ISNUMBER(SEARCH("tubo cravado",$F398)),ISNUMBER(SEARCH("shaft",$J398)),ISNUMBER(SEARCH("concreto",$F398))),"TUBO CRAVADO","")))</f>
        <v/>
      </c>
      <c r="T398">
        <f>IF($A398="","",TEXT($A398,"yyyymm")&amp;"|"&amp;$C398&amp;"|"&amp;$F398&amp;"|"&amp;$N398&amp;"|"&amp;$R398)</f>
        <v/>
      </c>
    </row>
    <row r="399" ht="11.55" customHeight="1">
      <c r="A399" s="10" t="n">
        <v>46038</v>
      </c>
      <c r="B399" s="7" t="inlineStr">
        <is>
          <t>Sexta</t>
        </is>
      </c>
      <c r="C399" s="7" t="inlineStr">
        <is>
          <t>CT Lageado</t>
        </is>
      </c>
      <c r="D399" s="7" t="n"/>
      <c r="E399" s="7" t="inlineStr">
        <is>
          <t>Higor</t>
        </is>
      </c>
      <c r="F399" s="13" t="inlineStr">
        <is>
          <t>Ajuste PV 5.1</t>
        </is>
      </c>
      <c r="G399" s="7" t="inlineStr">
        <is>
          <t>5.1</t>
        </is>
      </c>
      <c r="H399" s="7" t="n"/>
      <c r="I399" s="7" t="inlineStr">
        <is>
          <t>5.1</t>
        </is>
      </c>
      <c r="J399" s="7" t="n"/>
      <c r="K399" s="7" t="inlineStr">
        <is>
          <t>Planejamento</t>
        </is>
      </c>
      <c r="L399" s="16" t="inlineStr">
        <is>
          <t>PDS-janeiro(1).docx</t>
        </is>
      </c>
      <c r="M399">
        <f>IF($A399="","",TEXT($A399,"mmmm/yyyy"))</f>
        <v/>
      </c>
      <c r="P399">
        <f>IFERROR(_xludf.XLOOKUP($N399,Base_Enderecos!$A:$A,Base_Enderecos!$B:$B,""),"")</f>
        <v/>
      </c>
      <c r="Q399">
        <f>IFERROR(_xludf.XLOOKUP($N399,Base_Enderecos!$A:$A,Base_Enderecos!$C:$C,""),"")</f>
        <v/>
      </c>
      <c r="R399">
        <f>IF(OR(ISNUMBER(SEARCH("HDD",$F399)),ISNUMBER(SEARCH("MND",$F399)),ISNUMBER(SEARCH("PEAD",$F399)),ISNUMBER(SEARCH("Puxe",$J399)),ISNUMBER(SEARCH("Apoio HDD",$F399))),"MND",IF(OR(ISNUMBER(SEARCH("VCA",$F399)),ISNUMBER(SEARCH("PVC",$F399)),ISNUMBER(SEARCH("vca",$J399)),ISNUMBER(SEARCH("Transformação",$J399))),"VCA",IF(OR(ISNUMBER(SEARCH("crava",$F399)),ISNUMBER(SEARCH("tubo cravado",$F399)),ISNUMBER(SEARCH("shaft",$J399)),ISNUMBER(SEARCH("concreto",$F399))),"TUBO CRAVADO","")))</f>
        <v/>
      </c>
      <c r="T399">
        <f>IF($A399="","",TEXT($A399,"yyyymm")&amp;"|"&amp;$C399&amp;"|"&amp;$F399&amp;"|"&amp;$N399&amp;"|"&amp;$R399)</f>
        <v/>
      </c>
    </row>
    <row r="400" ht="11.55" customHeight="1">
      <c r="A400" s="10" t="n">
        <v>46038</v>
      </c>
      <c r="B400" s="7" t="inlineStr">
        <is>
          <t>Sexta</t>
        </is>
      </c>
      <c r="C400" s="7" t="inlineStr">
        <is>
          <t>CT Lourdes</t>
        </is>
      </c>
      <c r="D400" s="7" t="n"/>
      <c r="E400" s="7" t="inlineStr">
        <is>
          <t>Paulo</t>
        </is>
      </c>
      <c r="F400" s="13" t="inlineStr">
        <is>
          <t>Transformação PV 22</t>
        </is>
      </c>
      <c r="G400" s="7" t="inlineStr">
        <is>
          <t>22</t>
        </is>
      </c>
      <c r="H400" s="7" t="n"/>
      <c r="I400" s="7" t="inlineStr">
        <is>
          <t>22</t>
        </is>
      </c>
      <c r="J400" s="7" t="inlineStr">
        <is>
          <t>Transformação</t>
        </is>
      </c>
      <c r="K400" s="7" t="inlineStr">
        <is>
          <t>Planejamento</t>
        </is>
      </c>
      <c r="L400" s="16" t="inlineStr">
        <is>
          <t>PDS-janeiro(1).docx</t>
        </is>
      </c>
      <c r="M400">
        <f>IF($A400="","",TEXT($A400,"mmmm/yyyy"))</f>
        <v/>
      </c>
      <c r="P400">
        <f>IFERROR(_xludf.XLOOKUP($N400,Base_Enderecos!$A:$A,Base_Enderecos!$B:$B,""),"")</f>
        <v/>
      </c>
      <c r="Q400">
        <f>IFERROR(_xludf.XLOOKUP($N400,Base_Enderecos!$A:$A,Base_Enderecos!$C:$C,""),"")</f>
        <v/>
      </c>
      <c r="R400">
        <f>IF(OR(ISNUMBER(SEARCH("HDD",$F400)),ISNUMBER(SEARCH("MND",$F400)),ISNUMBER(SEARCH("PEAD",$F400)),ISNUMBER(SEARCH("Puxe",$J400)),ISNUMBER(SEARCH("Apoio HDD",$F400))),"MND",IF(OR(ISNUMBER(SEARCH("VCA",$F400)),ISNUMBER(SEARCH("PVC",$F400)),ISNUMBER(SEARCH("vca",$J400)),ISNUMBER(SEARCH("Transformação",$J400))),"VCA",IF(OR(ISNUMBER(SEARCH("crava",$F400)),ISNUMBER(SEARCH("tubo cravado",$F400)),ISNUMBER(SEARCH("shaft",$J400)),ISNUMBER(SEARCH("concreto",$F400))),"TUBO CRAVADO","")))</f>
        <v/>
      </c>
      <c r="T400">
        <f>IF($A400="","",TEXT($A400,"yyyymm")&amp;"|"&amp;$C400&amp;"|"&amp;$F400&amp;"|"&amp;$N400&amp;"|"&amp;$R400)</f>
        <v/>
      </c>
    </row>
    <row r="401" ht="11.55" customHeight="1">
      <c r="A401" s="10" t="n">
        <v>46038</v>
      </c>
      <c r="B401" s="7" t="inlineStr">
        <is>
          <t>Sexta</t>
        </is>
      </c>
      <c r="C401" s="7" t="inlineStr">
        <is>
          <t>CT Lourdes</t>
        </is>
      </c>
      <c r="D401" s="7" t="n"/>
      <c r="E401" s="7" t="inlineStr">
        <is>
          <t>Cesar</t>
        </is>
      </c>
      <c r="F401" s="13" t="inlineStr">
        <is>
          <t>Interligação PV 12</t>
        </is>
      </c>
      <c r="G401" s="7" t="inlineStr">
        <is>
          <t>12</t>
        </is>
      </c>
      <c r="H401" s="7" t="n"/>
      <c r="I401" s="7" t="inlineStr">
        <is>
          <t>12</t>
        </is>
      </c>
      <c r="J401" s="7" t="inlineStr">
        <is>
          <t>Interligação</t>
        </is>
      </c>
      <c r="K401" s="7" t="inlineStr">
        <is>
          <t>Planejamento</t>
        </is>
      </c>
      <c r="L401" s="16" t="inlineStr">
        <is>
          <t>PDS-janeiro(1).docx</t>
        </is>
      </c>
      <c r="M401">
        <f>IF($A401="","",TEXT($A401,"mmmm/yyyy"))</f>
        <v/>
      </c>
      <c r="P401">
        <f>IFERROR(_xludf.XLOOKUP($N401,Base_Enderecos!$A:$A,Base_Enderecos!$B:$B,""),"")</f>
        <v/>
      </c>
      <c r="Q401">
        <f>IFERROR(_xludf.XLOOKUP($N401,Base_Enderecos!$A:$A,Base_Enderecos!$C:$C,""),"")</f>
        <v/>
      </c>
      <c r="R401">
        <f>IF(OR(ISNUMBER(SEARCH("HDD",$F401)),ISNUMBER(SEARCH("MND",$F401)),ISNUMBER(SEARCH("PEAD",$F401)),ISNUMBER(SEARCH("Puxe",$J401)),ISNUMBER(SEARCH("Apoio HDD",$F401))),"MND",IF(OR(ISNUMBER(SEARCH("VCA",$F401)),ISNUMBER(SEARCH("PVC",$F401)),ISNUMBER(SEARCH("vca",$J401)),ISNUMBER(SEARCH("Transformação",$J401))),"VCA",IF(OR(ISNUMBER(SEARCH("crava",$F401)),ISNUMBER(SEARCH("tubo cravado",$F401)),ISNUMBER(SEARCH("shaft",$J401)),ISNUMBER(SEARCH("concreto",$F401))),"TUBO CRAVADO","")))</f>
        <v/>
      </c>
      <c r="T401">
        <f>IF($A401="","",TEXT($A401,"yyyymm")&amp;"|"&amp;$C401&amp;"|"&amp;$F401&amp;"|"&amp;$N401&amp;"|"&amp;$R401)</f>
        <v/>
      </c>
    </row>
    <row r="402" ht="11.55" customHeight="1">
      <c r="A402" s="10" t="n">
        <v>46038</v>
      </c>
      <c r="B402" s="7" t="inlineStr">
        <is>
          <t>Sexta</t>
        </is>
      </c>
      <c r="C402" s="7" t="inlineStr">
        <is>
          <t>CT Mar de Coral</t>
        </is>
      </c>
      <c r="D402" s="7" t="n"/>
      <c r="E402" s="7" t="inlineStr">
        <is>
          <t>Valter</t>
        </is>
      </c>
      <c r="F402" s="13" t="inlineStr">
        <is>
          <t>Transformação PV 01</t>
        </is>
      </c>
      <c r="G402" s="7" t="inlineStr">
        <is>
          <t>01</t>
        </is>
      </c>
      <c r="H402" s="7" t="n"/>
      <c r="I402" s="7" t="inlineStr">
        <is>
          <t>01</t>
        </is>
      </c>
      <c r="J402" s="7" t="inlineStr">
        <is>
          <t>Transformação</t>
        </is>
      </c>
      <c r="K402" s="7" t="inlineStr">
        <is>
          <t>Planejamento</t>
        </is>
      </c>
      <c r="L402" s="16" t="inlineStr">
        <is>
          <t>PDS-janeiro(1).docx</t>
        </is>
      </c>
      <c r="M402">
        <f>IF($A402="","",TEXT($A402,"mmmm/yyyy"))</f>
        <v/>
      </c>
      <c r="P402">
        <f>IFERROR(_xludf.XLOOKUP($N402,Base_Enderecos!$A:$A,Base_Enderecos!$B:$B,""),"")</f>
        <v/>
      </c>
      <c r="Q402">
        <f>IFERROR(_xludf.XLOOKUP($N402,Base_Enderecos!$A:$A,Base_Enderecos!$C:$C,""),"")</f>
        <v/>
      </c>
      <c r="R402">
        <f>IF(OR(ISNUMBER(SEARCH("HDD",$F402)),ISNUMBER(SEARCH("MND",$F402)),ISNUMBER(SEARCH("PEAD",$F402)),ISNUMBER(SEARCH("Puxe",$J402)),ISNUMBER(SEARCH("Apoio HDD",$F402))),"MND",IF(OR(ISNUMBER(SEARCH("VCA",$F402)),ISNUMBER(SEARCH("PVC",$F402)),ISNUMBER(SEARCH("vca",$J402)),ISNUMBER(SEARCH("Transformação",$J402))),"VCA",IF(OR(ISNUMBER(SEARCH("crava",$F402)),ISNUMBER(SEARCH("tubo cravado",$F402)),ISNUMBER(SEARCH("shaft",$J402)),ISNUMBER(SEARCH("concreto",$F402))),"TUBO CRAVADO","")))</f>
        <v/>
      </c>
      <c r="T402">
        <f>IF($A402="","",TEXT($A402,"yyyymm")&amp;"|"&amp;$C402&amp;"|"&amp;$F402&amp;"|"&amp;$N402&amp;"|"&amp;$R402)</f>
        <v/>
      </c>
    </row>
    <row r="403" ht="11.55" customHeight="1">
      <c r="A403" s="10" t="n">
        <v>46038</v>
      </c>
      <c r="B403" s="7" t="inlineStr">
        <is>
          <t>Sexta</t>
        </is>
      </c>
      <c r="C403" s="7" t="inlineStr">
        <is>
          <t>CT Mar de Coral</t>
        </is>
      </c>
      <c r="D403" s="7" t="n"/>
      <c r="E403" s="7" t="inlineStr">
        <is>
          <t>LS 1 (Josivaldo)</t>
        </is>
      </c>
      <c r="F403" s="13" t="inlineStr">
        <is>
          <t>Escavação mecânica e montagem armco PV 26</t>
        </is>
      </c>
      <c r="G403" s="7" t="inlineStr">
        <is>
          <t>26</t>
        </is>
      </c>
      <c r="H403" s="7" t="n"/>
      <c r="I403" s="7" t="inlineStr">
        <is>
          <t>26</t>
        </is>
      </c>
      <c r="J403" s="7" t="inlineStr">
        <is>
          <t>Escavação</t>
        </is>
      </c>
      <c r="K403" s="7" t="inlineStr">
        <is>
          <t>Planejamento</t>
        </is>
      </c>
      <c r="L403" s="16" t="inlineStr">
        <is>
          <t>PDS-janeiro(1).docx</t>
        </is>
      </c>
      <c r="M403">
        <f>IF($A403="","",TEXT($A403,"mmmm/yyyy"))</f>
        <v/>
      </c>
      <c r="P403">
        <f>IFERROR(_xludf.XLOOKUP($N403,Base_Enderecos!$A:$A,Base_Enderecos!$B:$B,""),"")</f>
        <v/>
      </c>
      <c r="Q403">
        <f>IFERROR(_xludf.XLOOKUP($N403,Base_Enderecos!$A:$A,Base_Enderecos!$C:$C,""),"")</f>
        <v/>
      </c>
      <c r="R403">
        <f>IF(OR(ISNUMBER(SEARCH("HDD",$F403)),ISNUMBER(SEARCH("MND",$F403)),ISNUMBER(SEARCH("PEAD",$F403)),ISNUMBER(SEARCH("Puxe",$J403)),ISNUMBER(SEARCH("Apoio HDD",$F403))),"MND",IF(OR(ISNUMBER(SEARCH("VCA",$F403)),ISNUMBER(SEARCH("PVC",$F403)),ISNUMBER(SEARCH("vca",$J403)),ISNUMBER(SEARCH("Transformação",$J403))),"VCA",IF(OR(ISNUMBER(SEARCH("crava",$F403)),ISNUMBER(SEARCH("tubo cravado",$F403)),ISNUMBER(SEARCH("shaft",$J403)),ISNUMBER(SEARCH("concreto",$F403))),"TUBO CRAVADO","")))</f>
        <v/>
      </c>
      <c r="T403">
        <f>IF($A403="","",TEXT($A403,"yyyymm")&amp;"|"&amp;$C403&amp;"|"&amp;$F403&amp;"|"&amp;$N403&amp;"|"&amp;$R403)</f>
        <v/>
      </c>
    </row>
    <row r="404" ht="11.55" customHeight="1">
      <c r="A404" s="10" t="n">
        <v>46038</v>
      </c>
      <c r="B404" s="7" t="inlineStr">
        <is>
          <t>Sexta</t>
        </is>
      </c>
      <c r="C404" s="7" t="inlineStr">
        <is>
          <t>CT Mar de Coral</t>
        </is>
      </c>
      <c r="D404" s="7" t="n"/>
      <c r="E404" s="7" t="inlineStr">
        <is>
          <t>Bruno (Work Drill)</t>
        </is>
      </c>
      <c r="F404" s="13" t="inlineStr">
        <is>
          <t>Execução puxe do tubo 03 ao 04</t>
        </is>
      </c>
      <c r="G404" s="7" t="n"/>
      <c r="H404" s="7" t="n"/>
      <c r="I404" s="7" t="n"/>
      <c r="J404" s="7" t="inlineStr">
        <is>
          <t>Puxe</t>
        </is>
      </c>
      <c r="K404" s="7" t="inlineStr">
        <is>
          <t>Planejamento</t>
        </is>
      </c>
      <c r="L404" s="16" t="inlineStr">
        <is>
          <t>PDS-janeiro(1).docx</t>
        </is>
      </c>
      <c r="M404">
        <f>IF($A404="","",TEXT($A404,"mmmm/yyyy"))</f>
        <v/>
      </c>
      <c r="P404">
        <f>IFERROR(_xludf.XLOOKUP($N404,Base_Enderecos!$A:$A,Base_Enderecos!$B:$B,""),"")</f>
        <v/>
      </c>
      <c r="Q404">
        <f>IFERROR(_xludf.XLOOKUP($N404,Base_Enderecos!$A:$A,Base_Enderecos!$C:$C,""),"")</f>
        <v/>
      </c>
      <c r="R404">
        <f>IF(OR(ISNUMBER(SEARCH("HDD",$F404)),ISNUMBER(SEARCH("MND",$F404)),ISNUMBER(SEARCH("PEAD",$F404)),ISNUMBER(SEARCH("Puxe",$J404)),ISNUMBER(SEARCH("Apoio HDD",$F404))),"MND",IF(OR(ISNUMBER(SEARCH("VCA",$F404)),ISNUMBER(SEARCH("PVC",$F404)),ISNUMBER(SEARCH("vca",$J404)),ISNUMBER(SEARCH("Transformação",$J404))),"VCA",IF(OR(ISNUMBER(SEARCH("crava",$F404)),ISNUMBER(SEARCH("tubo cravado",$F404)),ISNUMBER(SEARCH("shaft",$J404)),ISNUMBER(SEARCH("concreto",$F404))),"TUBO CRAVADO","")))</f>
        <v/>
      </c>
      <c r="T404">
        <f>IF($A404="","",TEXT($A404,"yyyymm")&amp;"|"&amp;$C404&amp;"|"&amp;$F404&amp;"|"&amp;$N404&amp;"|"&amp;$R404)</f>
        <v/>
      </c>
    </row>
    <row r="405" ht="11.55" customHeight="1">
      <c r="A405" s="10" t="n">
        <v>46038</v>
      </c>
      <c r="B405" s="7" t="inlineStr">
        <is>
          <t>Sexta</t>
        </is>
      </c>
      <c r="C405" s="7" t="inlineStr">
        <is>
          <t>CT Mar de Coral</t>
        </is>
      </c>
      <c r="D405" s="7" t="n"/>
      <c r="E405" s="7" t="inlineStr">
        <is>
          <t>Márcio</t>
        </is>
      </c>
      <c r="F405" s="13" t="inlineStr">
        <is>
          <t>Apoio HDD entre PVs 03 ao 04</t>
        </is>
      </c>
      <c r="G405" s="7" t="inlineStr">
        <is>
          <t>03</t>
        </is>
      </c>
      <c r="H405" s="7" t="n"/>
      <c r="I405" s="7" t="inlineStr">
        <is>
          <t>03</t>
        </is>
      </c>
      <c r="J405" s="7" t="inlineStr">
        <is>
          <t>Apoio HDD</t>
        </is>
      </c>
      <c r="K405" s="7" t="inlineStr">
        <is>
          <t>Planejamento</t>
        </is>
      </c>
      <c r="L405" s="16" t="inlineStr">
        <is>
          <t>PDS-janeiro(1).docx</t>
        </is>
      </c>
      <c r="M405">
        <f>IF($A405="","",TEXT($A405,"mmmm/yyyy"))</f>
        <v/>
      </c>
      <c r="P405">
        <f>IFERROR(_xludf.XLOOKUP($N405,Base_Enderecos!$A:$A,Base_Enderecos!$B:$B,""),"")</f>
        <v/>
      </c>
      <c r="Q405">
        <f>IFERROR(_xludf.XLOOKUP($N405,Base_Enderecos!$A:$A,Base_Enderecos!$C:$C,""),"")</f>
        <v/>
      </c>
      <c r="R405">
        <f>IF(OR(ISNUMBER(SEARCH("HDD",$F405)),ISNUMBER(SEARCH("MND",$F405)),ISNUMBER(SEARCH("PEAD",$F405)),ISNUMBER(SEARCH("Puxe",$J405)),ISNUMBER(SEARCH("Apoio HDD",$F405))),"MND",IF(OR(ISNUMBER(SEARCH("VCA",$F405)),ISNUMBER(SEARCH("PVC",$F405)),ISNUMBER(SEARCH("vca",$J405)),ISNUMBER(SEARCH("Transformação",$J405))),"VCA",IF(OR(ISNUMBER(SEARCH("crava",$F405)),ISNUMBER(SEARCH("tubo cravado",$F405)),ISNUMBER(SEARCH("shaft",$J405)),ISNUMBER(SEARCH("concreto",$F405))),"TUBO CRAVADO","")))</f>
        <v/>
      </c>
      <c r="T405">
        <f>IF($A405="","",TEXT($A405,"yyyymm")&amp;"|"&amp;$C405&amp;"|"&amp;$F405&amp;"|"&amp;$N405&amp;"|"&amp;$R405)</f>
        <v/>
      </c>
    </row>
    <row r="406" ht="11.55" customHeight="1">
      <c r="A406" s="10" t="n">
        <v>46038</v>
      </c>
      <c r="B406" s="7" t="inlineStr">
        <is>
          <t>Sexta</t>
        </is>
      </c>
      <c r="C406" s="7" t="inlineStr">
        <is>
          <t>CT Mar de Coral</t>
        </is>
      </c>
      <c r="D406" s="7" t="n"/>
      <c r="E406" s="7" t="inlineStr">
        <is>
          <t>WJ (Edson)</t>
        </is>
      </c>
      <c r="F406" s="13" t="inlineStr">
        <is>
          <t>Execução furo piloto entre PVs 05 ao 5.10</t>
        </is>
      </c>
      <c r="G406" s="7" t="inlineStr">
        <is>
          <t>05</t>
        </is>
      </c>
      <c r="H406" s="7" t="n"/>
      <c r="I406" s="7" t="inlineStr">
        <is>
          <t>05</t>
        </is>
      </c>
      <c r="J406" s="7" t="inlineStr">
        <is>
          <t>Furo piloto</t>
        </is>
      </c>
      <c r="K406" s="7" t="inlineStr">
        <is>
          <t>Planejamento</t>
        </is>
      </c>
      <c r="L406" s="16" t="inlineStr">
        <is>
          <t>PDS-janeiro(1).docx</t>
        </is>
      </c>
      <c r="M406">
        <f>IF($A406="","",TEXT($A406,"mmmm/yyyy"))</f>
        <v/>
      </c>
      <c r="P406">
        <f>IFERROR(_xludf.XLOOKUP($N406,Base_Enderecos!$A:$A,Base_Enderecos!$B:$B,""),"")</f>
        <v/>
      </c>
      <c r="Q406">
        <f>IFERROR(_xludf.XLOOKUP($N406,Base_Enderecos!$A:$A,Base_Enderecos!$C:$C,""),"")</f>
        <v/>
      </c>
      <c r="R406">
        <f>IF(OR(ISNUMBER(SEARCH("HDD",$F406)),ISNUMBER(SEARCH("MND",$F406)),ISNUMBER(SEARCH("PEAD",$F406)),ISNUMBER(SEARCH("Puxe",$J406)),ISNUMBER(SEARCH("Apoio HDD",$F406))),"MND",IF(OR(ISNUMBER(SEARCH("VCA",$F406)),ISNUMBER(SEARCH("PVC",$F406)),ISNUMBER(SEARCH("vca",$J406)),ISNUMBER(SEARCH("Transformação",$J406))),"VCA",IF(OR(ISNUMBER(SEARCH("crava",$F406)),ISNUMBER(SEARCH("tubo cravado",$F406)),ISNUMBER(SEARCH("shaft",$J406)),ISNUMBER(SEARCH("concreto",$F406))),"TUBO CRAVADO","")))</f>
        <v/>
      </c>
      <c r="T406">
        <f>IF($A406="","",TEXT($A406,"yyyymm")&amp;"|"&amp;$C406&amp;"|"&amp;$F406&amp;"|"&amp;$N406&amp;"|"&amp;$R406)</f>
        <v/>
      </c>
    </row>
    <row r="407" ht="11.55" customHeight="1">
      <c r="A407" s="10" t="n">
        <v>46038</v>
      </c>
      <c r="B407" s="7" t="inlineStr">
        <is>
          <t>Sexta</t>
        </is>
      </c>
      <c r="C407" s="7" t="inlineStr">
        <is>
          <t>CT Mar de Coral</t>
        </is>
      </c>
      <c r="D407" s="7" t="n"/>
      <c r="E407" s="7" t="inlineStr">
        <is>
          <t>Natalino</t>
        </is>
      </c>
      <c r="F407" s="13" t="inlineStr">
        <is>
          <t>Apoio HDD entre PVs 05 ao 5.10</t>
        </is>
      </c>
      <c r="G407" s="7" t="inlineStr">
        <is>
          <t>05</t>
        </is>
      </c>
      <c r="H407" s="7" t="n"/>
      <c r="I407" s="7" t="inlineStr">
        <is>
          <t>05</t>
        </is>
      </c>
      <c r="J407" s="7" t="inlineStr">
        <is>
          <t>Apoio HDD</t>
        </is>
      </c>
      <c r="K407" s="7" t="inlineStr">
        <is>
          <t>Planejamento</t>
        </is>
      </c>
      <c r="L407" s="16" t="inlineStr">
        <is>
          <t>PDS-janeiro(1).docx</t>
        </is>
      </c>
      <c r="M407">
        <f>IF($A407="","",TEXT($A407,"mmmm/yyyy"))</f>
        <v/>
      </c>
      <c r="P407">
        <f>IFERROR(_xludf.XLOOKUP($N407,Base_Enderecos!$A:$A,Base_Enderecos!$B:$B,""),"")</f>
        <v/>
      </c>
      <c r="Q407">
        <f>IFERROR(_xludf.XLOOKUP($N407,Base_Enderecos!$A:$A,Base_Enderecos!$C:$C,""),"")</f>
        <v/>
      </c>
      <c r="R407">
        <f>IF(OR(ISNUMBER(SEARCH("HDD",$F407)),ISNUMBER(SEARCH("MND",$F407)),ISNUMBER(SEARCH("PEAD",$F407)),ISNUMBER(SEARCH("Puxe",$J407)),ISNUMBER(SEARCH("Apoio HDD",$F407))),"MND",IF(OR(ISNUMBER(SEARCH("VCA",$F407)),ISNUMBER(SEARCH("PVC",$F407)),ISNUMBER(SEARCH("vca",$J407)),ISNUMBER(SEARCH("Transformação",$J407))),"VCA",IF(OR(ISNUMBER(SEARCH("crava",$F407)),ISNUMBER(SEARCH("tubo cravado",$F407)),ISNUMBER(SEARCH("shaft",$J407)),ISNUMBER(SEARCH("concreto",$F407))),"TUBO CRAVADO","")))</f>
        <v/>
      </c>
      <c r="T407">
        <f>IF($A407="","",TEXT($A407,"yyyymm")&amp;"|"&amp;$C407&amp;"|"&amp;$F407&amp;"|"&amp;$N407&amp;"|"&amp;$R407)</f>
        <v/>
      </c>
    </row>
    <row r="408" ht="11.55" customHeight="1">
      <c r="A408" s="10" t="n">
        <v>46038</v>
      </c>
      <c r="B408" s="7" t="inlineStr">
        <is>
          <t>Sexta</t>
        </is>
      </c>
      <c r="C408" s="7" t="inlineStr">
        <is>
          <t>Vacal</t>
        </is>
      </c>
      <c r="D408" s="7" t="n"/>
      <c r="E408" s="7" t="inlineStr">
        <is>
          <t>Mar de Coral</t>
        </is>
      </c>
      <c r="F408" s="13" t="inlineStr">
        <is>
          <t>Apoio Vacal</t>
        </is>
      </c>
      <c r="G408" s="7" t="n"/>
      <c r="H408" s="7" t="n"/>
      <c r="I408" s="7" t="n"/>
      <c r="J408" s="7" t="inlineStr">
        <is>
          <t>Vacal</t>
        </is>
      </c>
      <c r="K408" s="7" t="inlineStr">
        <is>
          <t>Apoio</t>
        </is>
      </c>
      <c r="L408" s="16" t="inlineStr">
        <is>
          <t>PDS-janeiro(1).docx</t>
        </is>
      </c>
      <c r="M408">
        <f>IF($A408="","",TEXT($A408,"mmmm/yyyy"))</f>
        <v/>
      </c>
      <c r="P408">
        <f>IFERROR(_xludf.XLOOKUP($N408,Base_Enderecos!$A:$A,Base_Enderecos!$B:$B,""),"")</f>
        <v/>
      </c>
      <c r="Q408">
        <f>IFERROR(_xludf.XLOOKUP($N408,Base_Enderecos!$A:$A,Base_Enderecos!$C:$C,""),"")</f>
        <v/>
      </c>
      <c r="R408">
        <f>IF(OR(ISNUMBER(SEARCH("HDD",$F408)),ISNUMBER(SEARCH("MND",$F408)),ISNUMBER(SEARCH("PEAD",$F408)),ISNUMBER(SEARCH("Puxe",$J408)),ISNUMBER(SEARCH("Apoio HDD",$F408))),"MND",IF(OR(ISNUMBER(SEARCH("VCA",$F408)),ISNUMBER(SEARCH("PVC",$F408)),ISNUMBER(SEARCH("vca",$J408)),ISNUMBER(SEARCH("Transformação",$J408))),"VCA",IF(OR(ISNUMBER(SEARCH("crava",$F408)),ISNUMBER(SEARCH("tubo cravado",$F408)),ISNUMBER(SEARCH("shaft",$J408)),ISNUMBER(SEARCH("concreto",$F408))),"TUBO CRAVADO","")))</f>
        <v/>
      </c>
      <c r="T408">
        <f>IF($A408="","",TEXT($A408,"yyyymm")&amp;"|"&amp;$C408&amp;"|"&amp;$F408&amp;"|"&amp;$N408&amp;"|"&amp;$R408)</f>
        <v/>
      </c>
    </row>
    <row r="409" ht="11.55" customHeight="1">
      <c r="A409" s="10" t="n">
        <v>46038</v>
      </c>
      <c r="B409" s="7" t="inlineStr">
        <is>
          <t>Sexta</t>
        </is>
      </c>
      <c r="C409" s="7" t="inlineStr">
        <is>
          <t>Vacal</t>
        </is>
      </c>
      <c r="D409" s="7" t="n"/>
      <c r="E409" s="7" t="inlineStr">
        <is>
          <t>Mar de Coral</t>
        </is>
      </c>
      <c r="F409" s="13" t="inlineStr">
        <is>
          <t>Apoio Vacal</t>
        </is>
      </c>
      <c r="G409" s="7" t="n"/>
      <c r="H409" s="7" t="n"/>
      <c r="I409" s="7" t="n"/>
      <c r="J409" s="7" t="inlineStr">
        <is>
          <t>Vacal</t>
        </is>
      </c>
      <c r="K409" s="7" t="inlineStr">
        <is>
          <t>Apoio</t>
        </is>
      </c>
      <c r="L409" s="16" t="inlineStr">
        <is>
          <t>PDS-janeiro(1).docx</t>
        </is>
      </c>
      <c r="M409">
        <f>IF($A409="","",TEXT($A409,"mmmm/yyyy"))</f>
        <v/>
      </c>
      <c r="P409">
        <f>IFERROR(_xludf.XLOOKUP($N409,Base_Enderecos!$A:$A,Base_Enderecos!$B:$B,""),"")</f>
        <v/>
      </c>
      <c r="Q409">
        <f>IFERROR(_xludf.XLOOKUP($N409,Base_Enderecos!$A:$A,Base_Enderecos!$C:$C,""),"")</f>
        <v/>
      </c>
      <c r="R409">
        <f>IF(OR(ISNUMBER(SEARCH("HDD",$F409)),ISNUMBER(SEARCH("MND",$F409)),ISNUMBER(SEARCH("PEAD",$F409)),ISNUMBER(SEARCH("Puxe",$J409)),ISNUMBER(SEARCH("Apoio HDD",$F409))),"MND",IF(OR(ISNUMBER(SEARCH("VCA",$F409)),ISNUMBER(SEARCH("PVC",$F409)),ISNUMBER(SEARCH("vca",$J409)),ISNUMBER(SEARCH("Transformação",$J409))),"VCA",IF(OR(ISNUMBER(SEARCH("crava",$F409)),ISNUMBER(SEARCH("tubo cravado",$F409)),ISNUMBER(SEARCH("shaft",$J409)),ISNUMBER(SEARCH("concreto",$F409))),"TUBO CRAVADO","")))</f>
        <v/>
      </c>
      <c r="T409">
        <f>IF($A409="","",TEXT($A409,"yyyymm")&amp;"|"&amp;$C409&amp;"|"&amp;$F409&amp;"|"&amp;$N409&amp;"|"&amp;$R409)</f>
        <v/>
      </c>
    </row>
    <row r="410" ht="11.55" customHeight="1">
      <c r="A410" s="10" t="n">
        <v>46038</v>
      </c>
      <c r="B410" s="7" t="inlineStr">
        <is>
          <t>Sexta</t>
        </is>
      </c>
      <c r="C410" s="7" t="inlineStr">
        <is>
          <t>Vacal</t>
        </is>
      </c>
      <c r="D410" s="7" t="n"/>
      <c r="E410" s="7" t="inlineStr">
        <is>
          <t>Mar de Coral</t>
        </is>
      </c>
      <c r="F410" s="13" t="inlineStr">
        <is>
          <t>Apoio Vacal</t>
        </is>
      </c>
      <c r="G410" s="7" t="n"/>
      <c r="H410" s="7" t="n"/>
      <c r="I410" s="7" t="n"/>
      <c r="J410" s="7" t="inlineStr">
        <is>
          <t>Vacal</t>
        </is>
      </c>
      <c r="K410" s="7" t="inlineStr">
        <is>
          <t>Apoio</t>
        </is>
      </c>
      <c r="L410" s="16" t="inlineStr">
        <is>
          <t>PDS-janeiro(1).docx</t>
        </is>
      </c>
      <c r="M410">
        <f>IF($A410="","",TEXT($A410,"mmmm/yyyy"))</f>
        <v/>
      </c>
      <c r="P410">
        <f>IFERROR(_xludf.XLOOKUP($N410,Base_Enderecos!$A:$A,Base_Enderecos!$B:$B,""),"")</f>
        <v/>
      </c>
      <c r="Q410">
        <f>IFERROR(_xludf.XLOOKUP($N410,Base_Enderecos!$A:$A,Base_Enderecos!$C:$C,""),"")</f>
        <v/>
      </c>
      <c r="R410">
        <f>IF(OR(ISNUMBER(SEARCH("HDD",$F410)),ISNUMBER(SEARCH("MND",$F410)),ISNUMBER(SEARCH("PEAD",$F410)),ISNUMBER(SEARCH("Puxe",$J410)),ISNUMBER(SEARCH("Apoio HDD",$F410))),"MND",IF(OR(ISNUMBER(SEARCH("VCA",$F410)),ISNUMBER(SEARCH("PVC",$F410)),ISNUMBER(SEARCH("vca",$J410)),ISNUMBER(SEARCH("Transformação",$J410))),"VCA",IF(OR(ISNUMBER(SEARCH("crava",$F410)),ISNUMBER(SEARCH("tubo cravado",$F410)),ISNUMBER(SEARCH("shaft",$J410)),ISNUMBER(SEARCH("concreto",$F410))),"TUBO CRAVADO","")))</f>
        <v/>
      </c>
      <c r="T410">
        <f>IF($A410="","",TEXT($A410,"yyyymm")&amp;"|"&amp;$C410&amp;"|"&amp;$F410&amp;"|"&amp;$N410&amp;"|"&amp;$R410)</f>
        <v/>
      </c>
    </row>
    <row r="411" ht="11.55" customHeight="1">
      <c r="A411" s="10" t="n">
        <v>46038</v>
      </c>
      <c r="B411" s="7" t="inlineStr">
        <is>
          <t>Sexta</t>
        </is>
      </c>
      <c r="C411" s="7" t="inlineStr">
        <is>
          <t>Vacal</t>
        </is>
      </c>
      <c r="D411" s="7" t="n"/>
      <c r="E411" s="7" t="n"/>
      <c r="F411" s="13" t="inlineStr">
        <is>
          <t>Apoio Vacal</t>
        </is>
      </c>
      <c r="G411" s="7" t="n"/>
      <c r="H411" s="7" t="n"/>
      <c r="I411" s="7" t="n"/>
      <c r="J411" s="7" t="inlineStr">
        <is>
          <t>Vacal</t>
        </is>
      </c>
      <c r="K411" s="7" t="inlineStr">
        <is>
          <t>Apoio</t>
        </is>
      </c>
      <c r="L411" s="16" t="inlineStr">
        <is>
          <t>PDS-janeiro(1).docx</t>
        </is>
      </c>
      <c r="M411">
        <f>IF($A411="","",TEXT($A411,"mmmm/yyyy"))</f>
        <v/>
      </c>
      <c r="P411">
        <f>IFERROR(_xludf.XLOOKUP($N411,Base_Enderecos!$A:$A,Base_Enderecos!$B:$B,""),"")</f>
        <v/>
      </c>
      <c r="Q411">
        <f>IFERROR(_xludf.XLOOKUP($N411,Base_Enderecos!$A:$A,Base_Enderecos!$C:$C,""),"")</f>
        <v/>
      </c>
      <c r="R411">
        <f>IF(OR(ISNUMBER(SEARCH("HDD",$F411)),ISNUMBER(SEARCH("MND",$F411)),ISNUMBER(SEARCH("PEAD",$F411)),ISNUMBER(SEARCH("Puxe",$J411)),ISNUMBER(SEARCH("Apoio HDD",$F411))),"MND",IF(OR(ISNUMBER(SEARCH("VCA",$F411)),ISNUMBER(SEARCH("PVC",$F411)),ISNUMBER(SEARCH("vca",$J411)),ISNUMBER(SEARCH("Transformação",$J411))),"VCA",IF(OR(ISNUMBER(SEARCH("crava",$F411)),ISNUMBER(SEARCH("tubo cravado",$F411)),ISNUMBER(SEARCH("shaft",$J411)),ISNUMBER(SEARCH("concreto",$F411))),"TUBO CRAVADO","")))</f>
        <v/>
      </c>
      <c r="T411">
        <f>IF($A411="","",TEXT($A411,"yyyymm")&amp;"|"&amp;$C411&amp;"|"&amp;$F411&amp;"|"&amp;$N411&amp;"|"&amp;$R411)</f>
        <v/>
      </c>
    </row>
    <row r="412" ht="11.55" customHeight="1">
      <c r="A412" s="10" t="n">
        <v>46038</v>
      </c>
      <c r="B412" s="7" t="inlineStr">
        <is>
          <t>Sexta</t>
        </is>
      </c>
      <c r="C412" s="7" t="inlineStr">
        <is>
          <t>Guindauto</t>
        </is>
      </c>
      <c r="D412" s="7" t="n"/>
      <c r="E412" s="7" t="inlineStr">
        <is>
          <t>Rodrigo Apoio as equipes</t>
        </is>
      </c>
      <c r="F412" s="13" t="inlineStr">
        <is>
          <t>Rodrigo Apoio as equipes</t>
        </is>
      </c>
      <c r="G412" s="7" t="n"/>
      <c r="H412" s="7" t="n"/>
      <c r="I412" s="7" t="n"/>
      <c r="J412" s="7" t="inlineStr">
        <is>
          <t>Guindauto</t>
        </is>
      </c>
      <c r="K412" s="7" t="inlineStr">
        <is>
          <t>Apoio</t>
        </is>
      </c>
      <c r="L412" s="16" t="inlineStr">
        <is>
          <t>PDS-janeiro(1).docx</t>
        </is>
      </c>
      <c r="M412">
        <f>IF($A412="","",TEXT($A412,"mmmm/yyyy"))</f>
        <v/>
      </c>
      <c r="P412">
        <f>IFERROR(_xludf.XLOOKUP($N412,Base_Enderecos!$A:$A,Base_Enderecos!$B:$B,""),"")</f>
        <v/>
      </c>
      <c r="Q412">
        <f>IFERROR(_xludf.XLOOKUP($N412,Base_Enderecos!$A:$A,Base_Enderecos!$C:$C,""),"")</f>
        <v/>
      </c>
      <c r="R412">
        <f>IF(OR(ISNUMBER(SEARCH("HDD",$F412)),ISNUMBER(SEARCH("MND",$F412)),ISNUMBER(SEARCH("PEAD",$F412)),ISNUMBER(SEARCH("Puxe",$J412)),ISNUMBER(SEARCH("Apoio HDD",$F412))),"MND",IF(OR(ISNUMBER(SEARCH("VCA",$F412)),ISNUMBER(SEARCH("PVC",$F412)),ISNUMBER(SEARCH("vca",$J412)),ISNUMBER(SEARCH("Transformação",$J412))),"VCA",IF(OR(ISNUMBER(SEARCH("crava",$F412)),ISNUMBER(SEARCH("tubo cravado",$F412)),ISNUMBER(SEARCH("shaft",$J412)),ISNUMBER(SEARCH("concreto",$F412))),"TUBO CRAVADO","")))</f>
        <v/>
      </c>
      <c r="T412">
        <f>IF($A412="","",TEXT($A412,"yyyymm")&amp;"|"&amp;$C412&amp;"|"&amp;$F412&amp;"|"&amp;$N412&amp;"|"&amp;$R412)</f>
        <v/>
      </c>
    </row>
    <row r="413" ht="11.55" customHeight="1">
      <c r="A413" s="10" t="n">
        <v>46038</v>
      </c>
      <c r="B413" s="7" t="inlineStr">
        <is>
          <t>Sexta</t>
        </is>
      </c>
      <c r="C413" s="7" t="inlineStr">
        <is>
          <t>Guindauto</t>
        </is>
      </c>
      <c r="D413" s="7" t="n"/>
      <c r="E413" s="7" t="inlineStr">
        <is>
          <t>Marcio</t>
        </is>
      </c>
      <c r="F413" s="13" t="inlineStr">
        <is>
          <t>Marcio</t>
        </is>
      </c>
      <c r="G413" s="7" t="n"/>
      <c r="H413" s="7" t="n"/>
      <c r="I413" s="7" t="n"/>
      <c r="J413" s="7" t="inlineStr">
        <is>
          <t>Guindauto</t>
        </is>
      </c>
      <c r="K413" s="7" t="inlineStr">
        <is>
          <t>Apoio</t>
        </is>
      </c>
      <c r="L413" s="16" t="inlineStr">
        <is>
          <t>PDS-janeiro(1).docx</t>
        </is>
      </c>
      <c r="M413">
        <f>IF($A413="","",TEXT($A413,"mmmm/yyyy"))</f>
        <v/>
      </c>
      <c r="P413">
        <f>IFERROR(_xludf.XLOOKUP($N413,Base_Enderecos!$A:$A,Base_Enderecos!$B:$B,""),"")</f>
        <v/>
      </c>
      <c r="Q413">
        <f>IFERROR(_xludf.XLOOKUP($N413,Base_Enderecos!$A:$A,Base_Enderecos!$C:$C,""),"")</f>
        <v/>
      </c>
      <c r="R413">
        <f>IF(OR(ISNUMBER(SEARCH("HDD",$F413)),ISNUMBER(SEARCH("MND",$F413)),ISNUMBER(SEARCH("PEAD",$F413)),ISNUMBER(SEARCH("Puxe",$J413)),ISNUMBER(SEARCH("Apoio HDD",$F413))),"MND",IF(OR(ISNUMBER(SEARCH("VCA",$F413)),ISNUMBER(SEARCH("PVC",$F413)),ISNUMBER(SEARCH("vca",$J413)),ISNUMBER(SEARCH("Transformação",$J413))),"VCA",IF(OR(ISNUMBER(SEARCH("crava",$F413)),ISNUMBER(SEARCH("tubo cravado",$F413)),ISNUMBER(SEARCH("shaft",$J413)),ISNUMBER(SEARCH("concreto",$F413))),"TUBO CRAVADO","")))</f>
        <v/>
      </c>
      <c r="T413">
        <f>IF($A413="","",TEXT($A413,"yyyymm")&amp;"|"&amp;$C413&amp;"|"&amp;$F413&amp;"|"&amp;$N413&amp;"|"&amp;$R413)</f>
        <v/>
      </c>
    </row>
    <row r="414" ht="11.55" customHeight="1">
      <c r="A414" s="10" t="n">
        <v>46041</v>
      </c>
      <c r="B414" s="7" t="inlineStr">
        <is>
          <t>Segunda</t>
        </is>
      </c>
      <c r="C414" s="7" t="inlineStr">
        <is>
          <t>CT Jaraguá</t>
        </is>
      </c>
      <c r="D414" s="7" t="n"/>
      <c r="E414" s="7" t="inlineStr">
        <is>
          <t>Jonathan</t>
        </is>
      </c>
      <c r="F414" s="13" t="inlineStr">
        <is>
          <t>Escavação mecânica e montagem armco PV 02</t>
        </is>
      </c>
      <c r="G414" s="7" t="inlineStr">
        <is>
          <t>02</t>
        </is>
      </c>
      <c r="H414" s="7" t="n"/>
      <c r="I414" s="7" t="inlineStr">
        <is>
          <t>02</t>
        </is>
      </c>
      <c r="J414" s="7" t="inlineStr">
        <is>
          <t>Escavação</t>
        </is>
      </c>
      <c r="K414" s="7" t="inlineStr">
        <is>
          <t>Planejamento</t>
        </is>
      </c>
      <c r="L414" s="16" t="inlineStr">
        <is>
          <t>PDS-janeiro(1).docx</t>
        </is>
      </c>
      <c r="M414">
        <f>IF($A414="","",TEXT($A414,"mmmm/yyyy"))</f>
        <v/>
      </c>
      <c r="P414">
        <f>IFERROR(_xludf.XLOOKUP($N414,Base_Enderecos!$A:$A,Base_Enderecos!$B:$B,""),"")</f>
        <v/>
      </c>
      <c r="Q414">
        <f>IFERROR(_xludf.XLOOKUP($N414,Base_Enderecos!$A:$A,Base_Enderecos!$C:$C,""),"")</f>
        <v/>
      </c>
      <c r="R414">
        <f>IF(OR(ISNUMBER(SEARCH("HDD",$F414)),ISNUMBER(SEARCH("MND",$F414)),ISNUMBER(SEARCH("PEAD",$F414)),ISNUMBER(SEARCH("Puxe",$J414)),ISNUMBER(SEARCH("Apoio HDD",$F414))),"MND",IF(OR(ISNUMBER(SEARCH("VCA",$F414)),ISNUMBER(SEARCH("PVC",$F414)),ISNUMBER(SEARCH("vca",$J414)),ISNUMBER(SEARCH("Transformação",$J414))),"VCA",IF(OR(ISNUMBER(SEARCH("crava",$F414)),ISNUMBER(SEARCH("tubo cravado",$F414)),ISNUMBER(SEARCH("shaft",$J414)),ISNUMBER(SEARCH("concreto",$F414))),"TUBO CRAVADO","")))</f>
        <v/>
      </c>
      <c r="T414">
        <f>IF($A414="","",TEXT($A414,"yyyymm")&amp;"|"&amp;$C414&amp;"|"&amp;$F414&amp;"|"&amp;$N414&amp;"|"&amp;$R414)</f>
        <v/>
      </c>
    </row>
    <row r="415" ht="11.55" customHeight="1">
      <c r="A415" s="10" t="n">
        <v>46041</v>
      </c>
      <c r="B415" s="7" t="inlineStr">
        <is>
          <t>Segunda</t>
        </is>
      </c>
      <c r="C415" s="7" t="inlineStr">
        <is>
          <t>CT Jaraguá</t>
        </is>
      </c>
      <c r="D415" s="7" t="n"/>
      <c r="E415" s="7" t="inlineStr">
        <is>
          <t>Marcelo</t>
        </is>
      </c>
      <c r="F415" s="13" t="inlineStr">
        <is>
          <t>Escavação mecânica e montagem armco PV 10</t>
        </is>
      </c>
      <c r="G415" s="7" t="inlineStr">
        <is>
          <t>10</t>
        </is>
      </c>
      <c r="H415" s="7" t="n"/>
      <c r="I415" s="7" t="inlineStr">
        <is>
          <t>10</t>
        </is>
      </c>
      <c r="J415" s="7" t="inlineStr">
        <is>
          <t>Escavação</t>
        </is>
      </c>
      <c r="K415" s="7" t="inlineStr">
        <is>
          <t>Planejamento</t>
        </is>
      </c>
      <c r="L415" s="16" t="inlineStr">
        <is>
          <t>PDS-janeiro(1).docx</t>
        </is>
      </c>
      <c r="M415">
        <f>IF($A415="","",TEXT($A415,"mmmm/yyyy"))</f>
        <v/>
      </c>
      <c r="P415">
        <f>IFERROR(_xludf.XLOOKUP($N415,Base_Enderecos!$A:$A,Base_Enderecos!$B:$B,""),"")</f>
        <v/>
      </c>
      <c r="Q415">
        <f>IFERROR(_xludf.XLOOKUP($N415,Base_Enderecos!$A:$A,Base_Enderecos!$C:$C,""),"")</f>
        <v/>
      </c>
      <c r="R415">
        <f>IF(OR(ISNUMBER(SEARCH("HDD",$F415)),ISNUMBER(SEARCH("MND",$F415)),ISNUMBER(SEARCH("PEAD",$F415)),ISNUMBER(SEARCH("Puxe",$J415)),ISNUMBER(SEARCH("Apoio HDD",$F415))),"MND",IF(OR(ISNUMBER(SEARCH("VCA",$F415)),ISNUMBER(SEARCH("PVC",$F415)),ISNUMBER(SEARCH("vca",$J415)),ISNUMBER(SEARCH("Transformação",$J415))),"VCA",IF(OR(ISNUMBER(SEARCH("crava",$F415)),ISNUMBER(SEARCH("tubo cravado",$F415)),ISNUMBER(SEARCH("shaft",$J415)),ISNUMBER(SEARCH("concreto",$F415))),"TUBO CRAVADO","")))</f>
        <v/>
      </c>
      <c r="T415">
        <f>IF($A415="","",TEXT($A415,"yyyymm")&amp;"|"&amp;$C415&amp;"|"&amp;$F415&amp;"|"&amp;$N415&amp;"|"&amp;$R415)</f>
        <v/>
      </c>
    </row>
    <row r="416" ht="11.55" customHeight="1">
      <c r="A416" s="10" t="n">
        <v>46041</v>
      </c>
      <c r="B416" s="7" t="inlineStr">
        <is>
          <t>Segunda</t>
        </is>
      </c>
      <c r="C416" s="7" t="inlineStr">
        <is>
          <t>CT Jaraguá</t>
        </is>
      </c>
      <c r="D416" s="7" t="n"/>
      <c r="E416" s="7" t="inlineStr">
        <is>
          <t>LS 1 (Josivaldo)</t>
        </is>
      </c>
      <c r="F416" s="13" t="inlineStr">
        <is>
          <t>Escavação mecânica e montagem armco PV 09</t>
        </is>
      </c>
      <c r="G416" s="7" t="inlineStr">
        <is>
          <t>09</t>
        </is>
      </c>
      <c r="H416" s="7" t="n"/>
      <c r="I416" s="7" t="inlineStr">
        <is>
          <t>09</t>
        </is>
      </c>
      <c r="J416" s="7" t="inlineStr">
        <is>
          <t>Escavação</t>
        </is>
      </c>
      <c r="K416" s="7" t="inlineStr">
        <is>
          <t>Planejamento</t>
        </is>
      </c>
      <c r="L416" s="16" t="inlineStr">
        <is>
          <t>PDS-janeiro(1).docx</t>
        </is>
      </c>
      <c r="M416">
        <f>IF($A416="","",TEXT($A416,"mmmm/yyyy"))</f>
        <v/>
      </c>
      <c r="P416">
        <f>IFERROR(_xludf.XLOOKUP($N416,Base_Enderecos!$A:$A,Base_Enderecos!$B:$B,""),"")</f>
        <v/>
      </c>
      <c r="Q416">
        <f>IFERROR(_xludf.XLOOKUP($N416,Base_Enderecos!$A:$A,Base_Enderecos!$C:$C,""),"")</f>
        <v/>
      </c>
      <c r="R416">
        <f>IF(OR(ISNUMBER(SEARCH("HDD",$F416)),ISNUMBER(SEARCH("MND",$F416)),ISNUMBER(SEARCH("PEAD",$F416)),ISNUMBER(SEARCH("Puxe",$J416)),ISNUMBER(SEARCH("Apoio HDD",$F416))),"MND",IF(OR(ISNUMBER(SEARCH("VCA",$F416)),ISNUMBER(SEARCH("PVC",$F416)),ISNUMBER(SEARCH("vca",$J416)),ISNUMBER(SEARCH("Transformação",$J416))),"VCA",IF(OR(ISNUMBER(SEARCH("crava",$F416)),ISNUMBER(SEARCH("tubo cravado",$F416)),ISNUMBER(SEARCH("shaft",$J416)),ISNUMBER(SEARCH("concreto",$F416))),"TUBO CRAVADO","")))</f>
        <v/>
      </c>
      <c r="T416">
        <f>IF($A416="","",TEXT($A416,"yyyymm")&amp;"|"&amp;$C416&amp;"|"&amp;$F416&amp;"|"&amp;$N416&amp;"|"&amp;$R416)</f>
        <v/>
      </c>
    </row>
    <row r="417" ht="11.55" customHeight="1">
      <c r="A417" s="10" t="n">
        <v>46041</v>
      </c>
      <c r="B417" s="7" t="inlineStr">
        <is>
          <t>Segunda</t>
        </is>
      </c>
      <c r="C417" s="7" t="inlineStr">
        <is>
          <t>CT Lageado</t>
        </is>
      </c>
      <c r="D417" s="7" t="n"/>
      <c r="E417" s="7" t="inlineStr">
        <is>
          <t>Higor</t>
        </is>
      </c>
      <c r="F417" s="13" t="inlineStr">
        <is>
          <t>Ajuste PV 5.1</t>
        </is>
      </c>
      <c r="G417" s="7" t="inlineStr">
        <is>
          <t>5.1</t>
        </is>
      </c>
      <c r="H417" s="7" t="n"/>
      <c r="I417" s="7" t="inlineStr">
        <is>
          <t>5.1</t>
        </is>
      </c>
      <c r="J417" s="7" t="n"/>
      <c r="K417" s="7" t="inlineStr">
        <is>
          <t>Planejamento</t>
        </is>
      </c>
      <c r="L417" s="16" t="inlineStr">
        <is>
          <t>PDS-janeiro(1).docx</t>
        </is>
      </c>
      <c r="M417">
        <f>IF($A417="","",TEXT($A417,"mmmm/yyyy"))</f>
        <v/>
      </c>
      <c r="P417">
        <f>IFERROR(_xludf.XLOOKUP($N417,Base_Enderecos!$A:$A,Base_Enderecos!$B:$B,""),"")</f>
        <v/>
      </c>
      <c r="Q417">
        <f>IFERROR(_xludf.XLOOKUP($N417,Base_Enderecos!$A:$A,Base_Enderecos!$C:$C,""),"")</f>
        <v/>
      </c>
      <c r="R417">
        <f>IF(OR(ISNUMBER(SEARCH("HDD",$F417)),ISNUMBER(SEARCH("MND",$F417)),ISNUMBER(SEARCH("PEAD",$F417)),ISNUMBER(SEARCH("Puxe",$J417)),ISNUMBER(SEARCH("Apoio HDD",$F417))),"MND",IF(OR(ISNUMBER(SEARCH("VCA",$F417)),ISNUMBER(SEARCH("PVC",$F417)),ISNUMBER(SEARCH("vca",$J417)),ISNUMBER(SEARCH("Transformação",$J417))),"VCA",IF(OR(ISNUMBER(SEARCH("crava",$F417)),ISNUMBER(SEARCH("tubo cravado",$F417)),ISNUMBER(SEARCH("shaft",$J417)),ISNUMBER(SEARCH("concreto",$F417))),"TUBO CRAVADO","")))</f>
        <v/>
      </c>
      <c r="T417">
        <f>IF($A417="","",TEXT($A417,"yyyymm")&amp;"|"&amp;$C417&amp;"|"&amp;$F417&amp;"|"&amp;$N417&amp;"|"&amp;$R417)</f>
        <v/>
      </c>
    </row>
    <row r="418" ht="11.55" customHeight="1">
      <c r="A418" s="10" t="n">
        <v>46041</v>
      </c>
      <c r="B418" s="7" t="inlineStr">
        <is>
          <t>Segunda</t>
        </is>
      </c>
      <c r="C418" s="7" t="inlineStr">
        <is>
          <t>CT Lourdes</t>
        </is>
      </c>
      <c r="D418" s="7" t="n"/>
      <c r="E418" s="7" t="inlineStr">
        <is>
          <t>Paulo</t>
        </is>
      </c>
      <c r="F418" s="13" t="inlineStr">
        <is>
          <t>Transformação PV 22</t>
        </is>
      </c>
      <c r="G418" s="7" t="inlineStr">
        <is>
          <t>22</t>
        </is>
      </c>
      <c r="H418" s="7" t="n"/>
      <c r="I418" s="7" t="inlineStr">
        <is>
          <t>22</t>
        </is>
      </c>
      <c r="J418" s="7" t="inlineStr">
        <is>
          <t>Transformação</t>
        </is>
      </c>
      <c r="K418" s="7" t="inlineStr">
        <is>
          <t>Planejamento</t>
        </is>
      </c>
      <c r="L418" s="16" t="inlineStr">
        <is>
          <t>PDS-janeiro(1).docx</t>
        </is>
      </c>
      <c r="M418">
        <f>IF($A418="","",TEXT($A418,"mmmm/yyyy"))</f>
        <v/>
      </c>
      <c r="P418">
        <f>IFERROR(_xludf.XLOOKUP($N418,Base_Enderecos!$A:$A,Base_Enderecos!$B:$B,""),"")</f>
        <v/>
      </c>
      <c r="Q418">
        <f>IFERROR(_xludf.XLOOKUP($N418,Base_Enderecos!$A:$A,Base_Enderecos!$C:$C,""),"")</f>
        <v/>
      </c>
      <c r="R418">
        <f>IF(OR(ISNUMBER(SEARCH("HDD",$F418)),ISNUMBER(SEARCH("MND",$F418)),ISNUMBER(SEARCH("PEAD",$F418)),ISNUMBER(SEARCH("Puxe",$J418)),ISNUMBER(SEARCH("Apoio HDD",$F418))),"MND",IF(OR(ISNUMBER(SEARCH("VCA",$F418)),ISNUMBER(SEARCH("PVC",$F418)),ISNUMBER(SEARCH("vca",$J418)),ISNUMBER(SEARCH("Transformação",$J418))),"VCA",IF(OR(ISNUMBER(SEARCH("crava",$F418)),ISNUMBER(SEARCH("tubo cravado",$F418)),ISNUMBER(SEARCH("shaft",$J418)),ISNUMBER(SEARCH("concreto",$F418))),"TUBO CRAVADO","")))</f>
        <v/>
      </c>
      <c r="T418">
        <f>IF($A418="","",TEXT($A418,"yyyymm")&amp;"|"&amp;$C418&amp;"|"&amp;$F418&amp;"|"&amp;$N418&amp;"|"&amp;$R418)</f>
        <v/>
      </c>
    </row>
    <row r="419" ht="11.55" customHeight="1">
      <c r="A419" s="10" t="n">
        <v>46041</v>
      </c>
      <c r="B419" s="7" t="inlineStr">
        <is>
          <t>Segunda</t>
        </is>
      </c>
      <c r="C419" s="7" t="inlineStr">
        <is>
          <t>CT Lourdes</t>
        </is>
      </c>
      <c r="D419" s="7" t="n"/>
      <c r="E419" s="7" t="inlineStr">
        <is>
          <t>Cesar</t>
        </is>
      </c>
      <c r="F419" s="13" t="inlineStr">
        <is>
          <t>Adequação PV 12</t>
        </is>
      </c>
      <c r="G419" s="7" t="inlineStr">
        <is>
          <t>12</t>
        </is>
      </c>
      <c r="H419" s="7" t="n"/>
      <c r="I419" s="7" t="inlineStr">
        <is>
          <t>12</t>
        </is>
      </c>
      <c r="J419" s="7" t="inlineStr">
        <is>
          <t>Adequação</t>
        </is>
      </c>
      <c r="K419" s="7" t="inlineStr">
        <is>
          <t>Planejamento</t>
        </is>
      </c>
      <c r="L419" s="16" t="inlineStr">
        <is>
          <t>PDS-janeiro(1).docx</t>
        </is>
      </c>
      <c r="M419">
        <f>IF($A419="","",TEXT($A419,"mmmm/yyyy"))</f>
        <v/>
      </c>
      <c r="P419">
        <f>IFERROR(_xludf.XLOOKUP($N419,Base_Enderecos!$A:$A,Base_Enderecos!$B:$B,""),"")</f>
        <v/>
      </c>
      <c r="Q419">
        <f>IFERROR(_xludf.XLOOKUP($N419,Base_Enderecos!$A:$A,Base_Enderecos!$C:$C,""),"")</f>
        <v/>
      </c>
      <c r="R419">
        <f>IF(OR(ISNUMBER(SEARCH("HDD",$F419)),ISNUMBER(SEARCH("MND",$F419)),ISNUMBER(SEARCH("PEAD",$F419)),ISNUMBER(SEARCH("Puxe",$J419)),ISNUMBER(SEARCH("Apoio HDD",$F419))),"MND",IF(OR(ISNUMBER(SEARCH("VCA",$F419)),ISNUMBER(SEARCH("PVC",$F419)),ISNUMBER(SEARCH("vca",$J419)),ISNUMBER(SEARCH("Transformação",$J419))),"VCA",IF(OR(ISNUMBER(SEARCH("crava",$F419)),ISNUMBER(SEARCH("tubo cravado",$F419)),ISNUMBER(SEARCH("shaft",$J419)),ISNUMBER(SEARCH("concreto",$F419))),"TUBO CRAVADO","")))</f>
        <v/>
      </c>
      <c r="T419">
        <f>IF($A419="","",TEXT($A419,"yyyymm")&amp;"|"&amp;$C419&amp;"|"&amp;$F419&amp;"|"&amp;$N419&amp;"|"&amp;$R419)</f>
        <v/>
      </c>
    </row>
    <row r="420" ht="11.55" customHeight="1">
      <c r="A420" s="10" t="n">
        <v>46041</v>
      </c>
      <c r="B420" s="7" t="inlineStr">
        <is>
          <t>Segunda</t>
        </is>
      </c>
      <c r="C420" s="7" t="inlineStr">
        <is>
          <t>CT Mar de Coral</t>
        </is>
      </c>
      <c r="D420" s="7" t="n"/>
      <c r="E420" s="7" t="inlineStr">
        <is>
          <t>Valter</t>
        </is>
      </c>
      <c r="F420" s="13" t="inlineStr">
        <is>
          <t>Transformação PV 03</t>
        </is>
      </c>
      <c r="G420" s="7" t="inlineStr">
        <is>
          <t>03</t>
        </is>
      </c>
      <c r="H420" s="7" t="n"/>
      <c r="I420" s="7" t="inlineStr">
        <is>
          <t>03</t>
        </is>
      </c>
      <c r="J420" s="7" t="inlineStr">
        <is>
          <t>Transformação</t>
        </is>
      </c>
      <c r="K420" s="7" t="inlineStr">
        <is>
          <t>Planejamento</t>
        </is>
      </c>
      <c r="L420" s="16" t="inlineStr">
        <is>
          <t>PDS-janeiro(1).docx</t>
        </is>
      </c>
      <c r="M420">
        <f>IF($A420="","",TEXT($A420,"mmmm/yyyy"))</f>
        <v/>
      </c>
      <c r="P420">
        <f>IFERROR(_xludf.XLOOKUP($N420,Base_Enderecos!$A:$A,Base_Enderecos!$B:$B,""),"")</f>
        <v/>
      </c>
      <c r="Q420">
        <f>IFERROR(_xludf.XLOOKUP($N420,Base_Enderecos!$A:$A,Base_Enderecos!$C:$C,""),"")</f>
        <v/>
      </c>
      <c r="R420">
        <f>IF(OR(ISNUMBER(SEARCH("HDD",$F420)),ISNUMBER(SEARCH("MND",$F420)),ISNUMBER(SEARCH("PEAD",$F420)),ISNUMBER(SEARCH("Puxe",$J420)),ISNUMBER(SEARCH("Apoio HDD",$F420))),"MND",IF(OR(ISNUMBER(SEARCH("VCA",$F420)),ISNUMBER(SEARCH("PVC",$F420)),ISNUMBER(SEARCH("vca",$J420)),ISNUMBER(SEARCH("Transformação",$J420))),"VCA",IF(OR(ISNUMBER(SEARCH("crava",$F420)),ISNUMBER(SEARCH("tubo cravado",$F420)),ISNUMBER(SEARCH("shaft",$J420)),ISNUMBER(SEARCH("concreto",$F420))),"TUBO CRAVADO","")))</f>
        <v/>
      </c>
      <c r="T420">
        <f>IF($A420="","",TEXT($A420,"yyyymm")&amp;"|"&amp;$C420&amp;"|"&amp;$F420&amp;"|"&amp;$N420&amp;"|"&amp;$R420)</f>
        <v/>
      </c>
    </row>
    <row r="421" ht="11.55" customHeight="1">
      <c r="A421" s="10" t="n">
        <v>46041</v>
      </c>
      <c r="B421" s="7" t="inlineStr">
        <is>
          <t>Segunda</t>
        </is>
      </c>
      <c r="C421" s="7" t="inlineStr">
        <is>
          <t>CT Mar de Coral</t>
        </is>
      </c>
      <c r="D421" s="7" t="n"/>
      <c r="E421" s="7" t="inlineStr">
        <is>
          <t>Bruno (Work Drill)</t>
        </is>
      </c>
      <c r="F421" s="13" t="inlineStr">
        <is>
          <t>Execução furo piloto entre PVs 04 ao 05.1</t>
        </is>
      </c>
      <c r="G421" s="7" t="inlineStr">
        <is>
          <t>04</t>
        </is>
      </c>
      <c r="H421" s="7" t="n"/>
      <c r="I421" s="7" t="inlineStr">
        <is>
          <t>04</t>
        </is>
      </c>
      <c r="J421" s="7" t="inlineStr">
        <is>
          <t>Furo piloto</t>
        </is>
      </c>
      <c r="K421" s="7" t="inlineStr">
        <is>
          <t>Planejamento</t>
        </is>
      </c>
      <c r="L421" s="16" t="inlineStr">
        <is>
          <t>PDS-janeiro(1).docx</t>
        </is>
      </c>
      <c r="M421">
        <f>IF($A421="","",TEXT($A421,"mmmm/yyyy"))</f>
        <v/>
      </c>
      <c r="P421">
        <f>IFERROR(_xludf.XLOOKUP($N421,Base_Enderecos!$A:$A,Base_Enderecos!$B:$B,""),"")</f>
        <v/>
      </c>
      <c r="Q421">
        <f>IFERROR(_xludf.XLOOKUP($N421,Base_Enderecos!$A:$A,Base_Enderecos!$C:$C,""),"")</f>
        <v/>
      </c>
      <c r="R421">
        <f>IF(OR(ISNUMBER(SEARCH("HDD",$F421)),ISNUMBER(SEARCH("MND",$F421)),ISNUMBER(SEARCH("PEAD",$F421)),ISNUMBER(SEARCH("Puxe",$J421)),ISNUMBER(SEARCH("Apoio HDD",$F421))),"MND",IF(OR(ISNUMBER(SEARCH("VCA",$F421)),ISNUMBER(SEARCH("PVC",$F421)),ISNUMBER(SEARCH("vca",$J421)),ISNUMBER(SEARCH("Transformação",$J421))),"VCA",IF(OR(ISNUMBER(SEARCH("crava",$F421)),ISNUMBER(SEARCH("tubo cravado",$F421)),ISNUMBER(SEARCH("shaft",$J421)),ISNUMBER(SEARCH("concreto",$F421))),"TUBO CRAVADO","")))</f>
        <v/>
      </c>
      <c r="T421">
        <f>IF($A421="","",TEXT($A421,"yyyymm")&amp;"|"&amp;$C421&amp;"|"&amp;$F421&amp;"|"&amp;$N421&amp;"|"&amp;$R421)</f>
        <v/>
      </c>
    </row>
    <row r="422" ht="11.55" customHeight="1">
      <c r="A422" s="10" t="n">
        <v>46041</v>
      </c>
      <c r="B422" s="7" t="inlineStr">
        <is>
          <t>Segunda</t>
        </is>
      </c>
      <c r="C422" s="7" t="inlineStr">
        <is>
          <t>CT Mar de Coral</t>
        </is>
      </c>
      <c r="D422" s="7" t="n"/>
      <c r="E422" s="7" t="inlineStr">
        <is>
          <t>Márcio</t>
        </is>
      </c>
      <c r="F422" s="13" t="inlineStr">
        <is>
          <t>Apoio HDD entre PVs 04 ao 05.1</t>
        </is>
      </c>
      <c r="G422" s="7" t="inlineStr">
        <is>
          <t>04</t>
        </is>
      </c>
      <c r="H422" s="7" t="n"/>
      <c r="I422" s="7" t="inlineStr">
        <is>
          <t>04</t>
        </is>
      </c>
      <c r="J422" s="7" t="inlineStr">
        <is>
          <t>Apoio HDD</t>
        </is>
      </c>
      <c r="K422" s="7" t="inlineStr">
        <is>
          <t>Planejamento</t>
        </is>
      </c>
      <c r="L422" s="16" t="inlineStr">
        <is>
          <t>PDS-janeiro(1).docx</t>
        </is>
      </c>
      <c r="M422">
        <f>IF($A422="","",TEXT($A422,"mmmm/yyyy"))</f>
        <v/>
      </c>
      <c r="P422">
        <f>IFERROR(_xludf.XLOOKUP($N422,Base_Enderecos!$A:$A,Base_Enderecos!$B:$B,""),"")</f>
        <v/>
      </c>
      <c r="Q422">
        <f>IFERROR(_xludf.XLOOKUP($N422,Base_Enderecos!$A:$A,Base_Enderecos!$C:$C,""),"")</f>
        <v/>
      </c>
      <c r="R422">
        <f>IF(OR(ISNUMBER(SEARCH("HDD",$F422)),ISNUMBER(SEARCH("MND",$F422)),ISNUMBER(SEARCH("PEAD",$F422)),ISNUMBER(SEARCH("Puxe",$J422)),ISNUMBER(SEARCH("Apoio HDD",$F422))),"MND",IF(OR(ISNUMBER(SEARCH("VCA",$F422)),ISNUMBER(SEARCH("PVC",$F422)),ISNUMBER(SEARCH("vca",$J422)),ISNUMBER(SEARCH("Transformação",$J422))),"VCA",IF(OR(ISNUMBER(SEARCH("crava",$F422)),ISNUMBER(SEARCH("tubo cravado",$F422)),ISNUMBER(SEARCH("shaft",$J422)),ISNUMBER(SEARCH("concreto",$F422))),"TUBO CRAVADO","")))</f>
        <v/>
      </c>
      <c r="T422">
        <f>IF($A422="","",TEXT($A422,"yyyymm")&amp;"|"&amp;$C422&amp;"|"&amp;$F422&amp;"|"&amp;$N422&amp;"|"&amp;$R422)</f>
        <v/>
      </c>
    </row>
    <row r="423" ht="11.55" customHeight="1">
      <c r="A423" s="10" t="n">
        <v>46041</v>
      </c>
      <c r="B423" s="7" t="inlineStr">
        <is>
          <t>Segunda</t>
        </is>
      </c>
      <c r="C423" s="7" t="inlineStr">
        <is>
          <t>CT Mar de Coral</t>
        </is>
      </c>
      <c r="D423" s="7" t="n"/>
      <c r="E423" s="7" t="inlineStr">
        <is>
          <t>WJ (Edson)</t>
        </is>
      </c>
      <c r="F423" s="13" t="inlineStr">
        <is>
          <t>Execução furo piloto entre PVs 05 ao 5.10</t>
        </is>
      </c>
      <c r="G423" s="7" t="inlineStr">
        <is>
          <t>05</t>
        </is>
      </c>
      <c r="H423" s="7" t="n"/>
      <c r="I423" s="7" t="inlineStr">
        <is>
          <t>05</t>
        </is>
      </c>
      <c r="J423" s="7" t="inlineStr">
        <is>
          <t>Furo piloto</t>
        </is>
      </c>
      <c r="K423" s="7" t="inlineStr">
        <is>
          <t>Planejamento</t>
        </is>
      </c>
      <c r="L423" s="16" t="inlineStr">
        <is>
          <t>PDS-janeiro(1).docx</t>
        </is>
      </c>
      <c r="M423">
        <f>IF($A423="","",TEXT($A423,"mmmm/yyyy"))</f>
        <v/>
      </c>
      <c r="P423">
        <f>IFERROR(_xludf.XLOOKUP($N423,Base_Enderecos!$A:$A,Base_Enderecos!$B:$B,""),"")</f>
        <v/>
      </c>
      <c r="Q423">
        <f>IFERROR(_xludf.XLOOKUP($N423,Base_Enderecos!$A:$A,Base_Enderecos!$C:$C,""),"")</f>
        <v/>
      </c>
      <c r="R423">
        <f>IF(OR(ISNUMBER(SEARCH("HDD",$F423)),ISNUMBER(SEARCH("MND",$F423)),ISNUMBER(SEARCH("PEAD",$F423)),ISNUMBER(SEARCH("Puxe",$J423)),ISNUMBER(SEARCH("Apoio HDD",$F423))),"MND",IF(OR(ISNUMBER(SEARCH("VCA",$F423)),ISNUMBER(SEARCH("PVC",$F423)),ISNUMBER(SEARCH("vca",$J423)),ISNUMBER(SEARCH("Transformação",$J423))),"VCA",IF(OR(ISNUMBER(SEARCH("crava",$F423)),ISNUMBER(SEARCH("tubo cravado",$F423)),ISNUMBER(SEARCH("shaft",$J423)),ISNUMBER(SEARCH("concreto",$F423))),"TUBO CRAVADO","")))</f>
        <v/>
      </c>
      <c r="T423">
        <f>IF($A423="","",TEXT($A423,"yyyymm")&amp;"|"&amp;$C423&amp;"|"&amp;$F423&amp;"|"&amp;$N423&amp;"|"&amp;$R423)</f>
        <v/>
      </c>
    </row>
    <row r="424" ht="11.55" customHeight="1">
      <c r="A424" s="10" t="n">
        <v>46041</v>
      </c>
      <c r="B424" s="7" t="inlineStr">
        <is>
          <t>Segunda</t>
        </is>
      </c>
      <c r="C424" s="7" t="inlineStr">
        <is>
          <t>CT Mar de Coral</t>
        </is>
      </c>
      <c r="D424" s="7" t="n"/>
      <c r="E424" s="7" t="inlineStr">
        <is>
          <t>Natalino</t>
        </is>
      </c>
      <c r="F424" s="13" t="inlineStr">
        <is>
          <t>Apoio HDD entre PVs 05 ao 5.10</t>
        </is>
      </c>
      <c r="G424" s="7" t="inlineStr">
        <is>
          <t>05</t>
        </is>
      </c>
      <c r="H424" s="7" t="n"/>
      <c r="I424" s="7" t="inlineStr">
        <is>
          <t>05</t>
        </is>
      </c>
      <c r="J424" s="7" t="inlineStr">
        <is>
          <t>Apoio HDD</t>
        </is>
      </c>
      <c r="K424" s="7" t="inlineStr">
        <is>
          <t>Planejamento</t>
        </is>
      </c>
      <c r="L424" s="16" t="inlineStr">
        <is>
          <t>PDS-janeiro(1).docx</t>
        </is>
      </c>
      <c r="M424">
        <f>IF($A424="","",TEXT($A424,"mmmm/yyyy"))</f>
        <v/>
      </c>
      <c r="P424">
        <f>IFERROR(_xludf.XLOOKUP($N424,Base_Enderecos!$A:$A,Base_Enderecos!$B:$B,""),"")</f>
        <v/>
      </c>
      <c r="Q424">
        <f>IFERROR(_xludf.XLOOKUP($N424,Base_Enderecos!$A:$A,Base_Enderecos!$C:$C,""),"")</f>
        <v/>
      </c>
      <c r="R424">
        <f>IF(OR(ISNUMBER(SEARCH("HDD",$F424)),ISNUMBER(SEARCH("MND",$F424)),ISNUMBER(SEARCH("PEAD",$F424)),ISNUMBER(SEARCH("Puxe",$J424)),ISNUMBER(SEARCH("Apoio HDD",$F424))),"MND",IF(OR(ISNUMBER(SEARCH("VCA",$F424)),ISNUMBER(SEARCH("PVC",$F424)),ISNUMBER(SEARCH("vca",$J424)),ISNUMBER(SEARCH("Transformação",$J424))),"VCA",IF(OR(ISNUMBER(SEARCH("crava",$F424)),ISNUMBER(SEARCH("tubo cravado",$F424)),ISNUMBER(SEARCH("shaft",$J424)),ISNUMBER(SEARCH("concreto",$F424))),"TUBO CRAVADO","")))</f>
        <v/>
      </c>
      <c r="T424">
        <f>IF($A424="","",TEXT($A424,"yyyymm")&amp;"|"&amp;$C424&amp;"|"&amp;$F424&amp;"|"&amp;$N424&amp;"|"&amp;$R424)</f>
        <v/>
      </c>
    </row>
    <row r="425" ht="11.55" customHeight="1">
      <c r="A425" s="10" t="n">
        <v>46041</v>
      </c>
      <c r="B425" s="7" t="inlineStr">
        <is>
          <t>Segunda</t>
        </is>
      </c>
      <c r="C425" s="7" t="inlineStr">
        <is>
          <t>Vacal</t>
        </is>
      </c>
      <c r="D425" s="7" t="n"/>
      <c r="E425" s="7" t="inlineStr">
        <is>
          <t>Mar de Coral</t>
        </is>
      </c>
      <c r="F425" s="13" t="inlineStr">
        <is>
          <t>Apoio Vacal</t>
        </is>
      </c>
      <c r="G425" s="7" t="n"/>
      <c r="H425" s="7" t="n"/>
      <c r="I425" s="7" t="n"/>
      <c r="J425" s="7" t="inlineStr">
        <is>
          <t>Vacal</t>
        </is>
      </c>
      <c r="K425" s="7" t="inlineStr">
        <is>
          <t>Apoio</t>
        </is>
      </c>
      <c r="L425" s="16" t="inlineStr">
        <is>
          <t>PDS-janeiro(1).docx</t>
        </is>
      </c>
      <c r="M425">
        <f>IF($A425="","",TEXT($A425,"mmmm/yyyy"))</f>
        <v/>
      </c>
      <c r="P425">
        <f>IFERROR(_xludf.XLOOKUP($N425,Base_Enderecos!$A:$A,Base_Enderecos!$B:$B,""),"")</f>
        <v/>
      </c>
      <c r="Q425">
        <f>IFERROR(_xludf.XLOOKUP($N425,Base_Enderecos!$A:$A,Base_Enderecos!$C:$C,""),"")</f>
        <v/>
      </c>
      <c r="R425">
        <f>IF(OR(ISNUMBER(SEARCH("HDD",$F425)),ISNUMBER(SEARCH("MND",$F425)),ISNUMBER(SEARCH("PEAD",$F425)),ISNUMBER(SEARCH("Puxe",$J425)),ISNUMBER(SEARCH("Apoio HDD",$F425))),"MND",IF(OR(ISNUMBER(SEARCH("VCA",$F425)),ISNUMBER(SEARCH("PVC",$F425)),ISNUMBER(SEARCH("vca",$J425)),ISNUMBER(SEARCH("Transformação",$J425))),"VCA",IF(OR(ISNUMBER(SEARCH("crava",$F425)),ISNUMBER(SEARCH("tubo cravado",$F425)),ISNUMBER(SEARCH("shaft",$J425)),ISNUMBER(SEARCH("concreto",$F425))),"TUBO CRAVADO","")))</f>
        <v/>
      </c>
      <c r="T425">
        <f>IF($A425="","",TEXT($A425,"yyyymm")&amp;"|"&amp;$C425&amp;"|"&amp;$F425&amp;"|"&amp;$N425&amp;"|"&amp;$R425)</f>
        <v/>
      </c>
    </row>
    <row r="426" ht="11.55" customHeight="1">
      <c r="A426" s="10" t="n">
        <v>46041</v>
      </c>
      <c r="B426" s="7" t="inlineStr">
        <is>
          <t>Segunda</t>
        </is>
      </c>
      <c r="C426" s="7" t="inlineStr">
        <is>
          <t>Vacal</t>
        </is>
      </c>
      <c r="D426" s="7" t="n"/>
      <c r="E426" s="7" t="inlineStr">
        <is>
          <t>Mar de Coral</t>
        </is>
      </c>
      <c r="F426" s="13" t="inlineStr">
        <is>
          <t>Apoio Vacal</t>
        </is>
      </c>
      <c r="G426" s="7" t="n"/>
      <c r="H426" s="7" t="n"/>
      <c r="I426" s="7" t="n"/>
      <c r="J426" s="7" t="inlineStr">
        <is>
          <t>Vacal</t>
        </is>
      </c>
      <c r="K426" s="7" t="inlineStr">
        <is>
          <t>Apoio</t>
        </is>
      </c>
      <c r="L426" s="16" t="inlineStr">
        <is>
          <t>PDS-janeiro(1).docx</t>
        </is>
      </c>
      <c r="M426">
        <f>IF($A426="","",TEXT($A426,"mmmm/yyyy"))</f>
        <v/>
      </c>
      <c r="P426">
        <f>IFERROR(_xludf.XLOOKUP($N426,Base_Enderecos!$A:$A,Base_Enderecos!$B:$B,""),"")</f>
        <v/>
      </c>
      <c r="Q426">
        <f>IFERROR(_xludf.XLOOKUP($N426,Base_Enderecos!$A:$A,Base_Enderecos!$C:$C,""),"")</f>
        <v/>
      </c>
      <c r="R426">
        <f>IF(OR(ISNUMBER(SEARCH("HDD",$F426)),ISNUMBER(SEARCH("MND",$F426)),ISNUMBER(SEARCH("PEAD",$F426)),ISNUMBER(SEARCH("Puxe",$J426)),ISNUMBER(SEARCH("Apoio HDD",$F426))),"MND",IF(OR(ISNUMBER(SEARCH("VCA",$F426)),ISNUMBER(SEARCH("PVC",$F426)),ISNUMBER(SEARCH("vca",$J426)),ISNUMBER(SEARCH("Transformação",$J426))),"VCA",IF(OR(ISNUMBER(SEARCH("crava",$F426)),ISNUMBER(SEARCH("tubo cravado",$F426)),ISNUMBER(SEARCH("shaft",$J426)),ISNUMBER(SEARCH("concreto",$F426))),"TUBO CRAVADO","")))</f>
        <v/>
      </c>
      <c r="T426">
        <f>IF($A426="","",TEXT($A426,"yyyymm")&amp;"|"&amp;$C426&amp;"|"&amp;$F426&amp;"|"&amp;$N426&amp;"|"&amp;$R426)</f>
        <v/>
      </c>
    </row>
    <row r="427" ht="11.55" customHeight="1">
      <c r="A427" s="10" t="n">
        <v>46041</v>
      </c>
      <c r="B427" s="7" t="inlineStr">
        <is>
          <t>Segunda</t>
        </is>
      </c>
      <c r="C427" s="7" t="inlineStr">
        <is>
          <t>Vacal</t>
        </is>
      </c>
      <c r="D427" s="7" t="n"/>
      <c r="E427" s="7" t="inlineStr">
        <is>
          <t>Mar de Coral</t>
        </is>
      </c>
      <c r="F427" s="13" t="inlineStr">
        <is>
          <t>Apoio Vacal</t>
        </is>
      </c>
      <c r="G427" s="7" t="n"/>
      <c r="H427" s="7" t="n"/>
      <c r="I427" s="7" t="n"/>
      <c r="J427" s="7" t="inlineStr">
        <is>
          <t>Vacal</t>
        </is>
      </c>
      <c r="K427" s="7" t="inlineStr">
        <is>
          <t>Apoio</t>
        </is>
      </c>
      <c r="L427" s="16" t="inlineStr">
        <is>
          <t>PDS-janeiro(1).docx</t>
        </is>
      </c>
      <c r="M427">
        <f>IF($A427="","",TEXT($A427,"mmmm/yyyy"))</f>
        <v/>
      </c>
      <c r="P427">
        <f>IFERROR(_xludf.XLOOKUP($N427,Base_Enderecos!$A:$A,Base_Enderecos!$B:$B,""),"")</f>
        <v/>
      </c>
      <c r="Q427">
        <f>IFERROR(_xludf.XLOOKUP($N427,Base_Enderecos!$A:$A,Base_Enderecos!$C:$C,""),"")</f>
        <v/>
      </c>
      <c r="R427">
        <f>IF(OR(ISNUMBER(SEARCH("HDD",$F427)),ISNUMBER(SEARCH("MND",$F427)),ISNUMBER(SEARCH("PEAD",$F427)),ISNUMBER(SEARCH("Puxe",$J427)),ISNUMBER(SEARCH("Apoio HDD",$F427))),"MND",IF(OR(ISNUMBER(SEARCH("VCA",$F427)),ISNUMBER(SEARCH("PVC",$F427)),ISNUMBER(SEARCH("vca",$J427)),ISNUMBER(SEARCH("Transformação",$J427))),"VCA",IF(OR(ISNUMBER(SEARCH("crava",$F427)),ISNUMBER(SEARCH("tubo cravado",$F427)),ISNUMBER(SEARCH("shaft",$J427)),ISNUMBER(SEARCH("concreto",$F427))),"TUBO CRAVADO","")))</f>
        <v/>
      </c>
      <c r="T427">
        <f>IF($A427="","",TEXT($A427,"yyyymm")&amp;"|"&amp;$C427&amp;"|"&amp;$F427&amp;"|"&amp;$N427&amp;"|"&amp;$R427)</f>
        <v/>
      </c>
    </row>
    <row r="428" ht="11.55" customHeight="1">
      <c r="A428" s="10" t="n">
        <v>46041</v>
      </c>
      <c r="B428" s="7" t="inlineStr">
        <is>
          <t>Segunda</t>
        </is>
      </c>
      <c r="C428" s="7" t="inlineStr">
        <is>
          <t>Vacal</t>
        </is>
      </c>
      <c r="D428" s="7" t="n"/>
      <c r="E428" s="7" t="n"/>
      <c r="F428" s="13" t="inlineStr">
        <is>
          <t>Apoio Vacal</t>
        </is>
      </c>
      <c r="G428" s="7" t="n"/>
      <c r="H428" s="7" t="n"/>
      <c r="I428" s="7" t="n"/>
      <c r="J428" s="7" t="inlineStr">
        <is>
          <t>Vacal</t>
        </is>
      </c>
      <c r="K428" s="7" t="inlineStr">
        <is>
          <t>Apoio</t>
        </is>
      </c>
      <c r="L428" s="16" t="inlineStr">
        <is>
          <t>PDS-janeiro(1).docx</t>
        </is>
      </c>
      <c r="M428">
        <f>IF($A428="","",TEXT($A428,"mmmm/yyyy"))</f>
        <v/>
      </c>
      <c r="P428">
        <f>IFERROR(_xludf.XLOOKUP($N428,Base_Enderecos!$A:$A,Base_Enderecos!$B:$B,""),"")</f>
        <v/>
      </c>
      <c r="Q428">
        <f>IFERROR(_xludf.XLOOKUP($N428,Base_Enderecos!$A:$A,Base_Enderecos!$C:$C,""),"")</f>
        <v/>
      </c>
      <c r="R428">
        <f>IF(OR(ISNUMBER(SEARCH("HDD",$F428)),ISNUMBER(SEARCH("MND",$F428)),ISNUMBER(SEARCH("PEAD",$F428)),ISNUMBER(SEARCH("Puxe",$J428)),ISNUMBER(SEARCH("Apoio HDD",$F428))),"MND",IF(OR(ISNUMBER(SEARCH("VCA",$F428)),ISNUMBER(SEARCH("PVC",$F428)),ISNUMBER(SEARCH("vca",$J428)),ISNUMBER(SEARCH("Transformação",$J428))),"VCA",IF(OR(ISNUMBER(SEARCH("crava",$F428)),ISNUMBER(SEARCH("tubo cravado",$F428)),ISNUMBER(SEARCH("shaft",$J428)),ISNUMBER(SEARCH("concreto",$F428))),"TUBO CRAVADO","")))</f>
        <v/>
      </c>
      <c r="T428">
        <f>IF($A428="","",TEXT($A428,"yyyymm")&amp;"|"&amp;$C428&amp;"|"&amp;$F428&amp;"|"&amp;$N428&amp;"|"&amp;$R428)</f>
        <v/>
      </c>
    </row>
    <row r="429" ht="11.55" customHeight="1">
      <c r="A429" s="10" t="n">
        <v>46041</v>
      </c>
      <c r="B429" s="7" t="inlineStr">
        <is>
          <t>Segunda</t>
        </is>
      </c>
      <c r="C429" s="7" t="inlineStr">
        <is>
          <t>Guindauto</t>
        </is>
      </c>
      <c r="D429" s="7" t="n"/>
      <c r="E429" s="7" t="inlineStr">
        <is>
          <t>Rodrigo Apoio as equipes</t>
        </is>
      </c>
      <c r="F429" s="13" t="inlineStr">
        <is>
          <t>Rodrigo Apoio as equipes</t>
        </is>
      </c>
      <c r="G429" s="7" t="n"/>
      <c r="H429" s="7" t="n"/>
      <c r="I429" s="7" t="n"/>
      <c r="J429" s="7" t="inlineStr">
        <is>
          <t>Guindauto</t>
        </is>
      </c>
      <c r="K429" s="7" t="inlineStr">
        <is>
          <t>Apoio</t>
        </is>
      </c>
      <c r="L429" s="16" t="inlineStr">
        <is>
          <t>PDS-janeiro(1).docx</t>
        </is>
      </c>
      <c r="M429">
        <f>IF($A429="","",TEXT($A429,"mmmm/yyyy"))</f>
        <v/>
      </c>
      <c r="P429">
        <f>IFERROR(_xludf.XLOOKUP($N429,Base_Enderecos!$A:$A,Base_Enderecos!$B:$B,""),"")</f>
        <v/>
      </c>
      <c r="Q429">
        <f>IFERROR(_xludf.XLOOKUP($N429,Base_Enderecos!$A:$A,Base_Enderecos!$C:$C,""),"")</f>
        <v/>
      </c>
      <c r="R429">
        <f>IF(OR(ISNUMBER(SEARCH("HDD",$F429)),ISNUMBER(SEARCH("MND",$F429)),ISNUMBER(SEARCH("PEAD",$F429)),ISNUMBER(SEARCH("Puxe",$J429)),ISNUMBER(SEARCH("Apoio HDD",$F429))),"MND",IF(OR(ISNUMBER(SEARCH("VCA",$F429)),ISNUMBER(SEARCH("PVC",$F429)),ISNUMBER(SEARCH("vca",$J429)),ISNUMBER(SEARCH("Transformação",$J429))),"VCA",IF(OR(ISNUMBER(SEARCH("crava",$F429)),ISNUMBER(SEARCH("tubo cravado",$F429)),ISNUMBER(SEARCH("shaft",$J429)),ISNUMBER(SEARCH("concreto",$F429))),"TUBO CRAVADO","")))</f>
        <v/>
      </c>
      <c r="T429">
        <f>IF($A429="","",TEXT($A429,"yyyymm")&amp;"|"&amp;$C429&amp;"|"&amp;$F429&amp;"|"&amp;$N429&amp;"|"&amp;$R429)</f>
        <v/>
      </c>
    </row>
    <row r="430" ht="11.55" customHeight="1">
      <c r="A430" s="10" t="n">
        <v>46041</v>
      </c>
      <c r="B430" s="7" t="inlineStr">
        <is>
          <t>Segunda</t>
        </is>
      </c>
      <c r="C430" s="7" t="inlineStr">
        <is>
          <t>Guindauto</t>
        </is>
      </c>
      <c r="D430" s="7" t="n"/>
      <c r="E430" s="7" t="inlineStr">
        <is>
          <t>Marcio</t>
        </is>
      </c>
      <c r="F430" s="13" t="inlineStr">
        <is>
          <t>Marcio</t>
        </is>
      </c>
      <c r="G430" s="7" t="n"/>
      <c r="H430" s="7" t="n"/>
      <c r="I430" s="7" t="n"/>
      <c r="J430" s="7" t="inlineStr">
        <is>
          <t>Guindauto</t>
        </is>
      </c>
      <c r="K430" s="7" t="inlineStr">
        <is>
          <t>Apoio</t>
        </is>
      </c>
      <c r="L430" s="16" t="inlineStr">
        <is>
          <t>PDS-janeiro(1).docx</t>
        </is>
      </c>
      <c r="M430">
        <f>IF($A430="","",TEXT($A430,"mmmm/yyyy"))</f>
        <v/>
      </c>
      <c r="P430">
        <f>IFERROR(_xludf.XLOOKUP($N430,Base_Enderecos!$A:$A,Base_Enderecos!$B:$B,""),"")</f>
        <v/>
      </c>
      <c r="Q430">
        <f>IFERROR(_xludf.XLOOKUP($N430,Base_Enderecos!$A:$A,Base_Enderecos!$C:$C,""),"")</f>
        <v/>
      </c>
      <c r="R430">
        <f>IF(OR(ISNUMBER(SEARCH("HDD",$F430)),ISNUMBER(SEARCH("MND",$F430)),ISNUMBER(SEARCH("PEAD",$F430)),ISNUMBER(SEARCH("Puxe",$J430)),ISNUMBER(SEARCH("Apoio HDD",$F430))),"MND",IF(OR(ISNUMBER(SEARCH("VCA",$F430)),ISNUMBER(SEARCH("PVC",$F430)),ISNUMBER(SEARCH("vca",$J430)),ISNUMBER(SEARCH("Transformação",$J430))),"VCA",IF(OR(ISNUMBER(SEARCH("crava",$F430)),ISNUMBER(SEARCH("tubo cravado",$F430)),ISNUMBER(SEARCH("shaft",$J430)),ISNUMBER(SEARCH("concreto",$F430))),"TUBO CRAVADO","")))</f>
        <v/>
      </c>
      <c r="T430">
        <f>IF($A430="","",TEXT($A430,"yyyymm")&amp;"|"&amp;$C430&amp;"|"&amp;$F430&amp;"|"&amp;$N430&amp;"|"&amp;$R430)</f>
        <v/>
      </c>
    </row>
    <row r="431" ht="11.55" customHeight="1">
      <c r="A431" s="10" t="n">
        <v>46042</v>
      </c>
      <c r="B431" s="7" t="inlineStr">
        <is>
          <t>Terça</t>
        </is>
      </c>
      <c r="C431" s="7" t="inlineStr">
        <is>
          <t>SÃO LUCAS</t>
        </is>
      </c>
      <c r="D431" s="7" t="n"/>
      <c r="E431" s="7" t="inlineStr">
        <is>
          <t>Paulo</t>
        </is>
      </c>
      <c r="F431" s="13" t="inlineStr">
        <is>
          <t>VCA da jusante ao PV 01</t>
        </is>
      </c>
      <c r="G431" s="7" t="inlineStr">
        <is>
          <t>01</t>
        </is>
      </c>
      <c r="H431" s="7" t="n"/>
      <c r="I431" s="7" t="inlineStr">
        <is>
          <t>01</t>
        </is>
      </c>
      <c r="J431" s="7" t="inlineStr">
        <is>
          <t>VCA</t>
        </is>
      </c>
      <c r="K431" s="7" t="inlineStr">
        <is>
          <t>Planejamento</t>
        </is>
      </c>
      <c r="L431" s="16" t="inlineStr">
        <is>
          <t>PDS-janeiro(1).docx</t>
        </is>
      </c>
      <c r="M431">
        <f>IF($A431="","",TEXT($A431,"mmmm/yyyy"))</f>
        <v/>
      </c>
      <c r="P431">
        <f>IFERROR(_xludf.XLOOKUP($N431,Base_Enderecos!$A:$A,Base_Enderecos!$B:$B,""),"")</f>
        <v/>
      </c>
      <c r="Q431">
        <f>IFERROR(_xludf.XLOOKUP($N431,Base_Enderecos!$A:$A,Base_Enderecos!$C:$C,""),"")</f>
        <v/>
      </c>
      <c r="R431">
        <f>IF(OR(ISNUMBER(SEARCH("HDD",$F431)),ISNUMBER(SEARCH("MND",$F431)),ISNUMBER(SEARCH("PEAD",$F431)),ISNUMBER(SEARCH("Puxe",$J431)),ISNUMBER(SEARCH("Apoio HDD",$F431))),"MND",IF(OR(ISNUMBER(SEARCH("VCA",$F431)),ISNUMBER(SEARCH("PVC",$F431)),ISNUMBER(SEARCH("vca",$J431)),ISNUMBER(SEARCH("Transformação",$J431))),"VCA",IF(OR(ISNUMBER(SEARCH("crava",$F431)),ISNUMBER(SEARCH("tubo cravado",$F431)),ISNUMBER(SEARCH("shaft",$J431)),ISNUMBER(SEARCH("concreto",$F431))),"TUBO CRAVADO","")))</f>
        <v/>
      </c>
      <c r="T431">
        <f>IF($A431="","",TEXT($A431,"yyyymm")&amp;"|"&amp;$C431&amp;"|"&amp;$F431&amp;"|"&amp;$N431&amp;"|"&amp;$R431)</f>
        <v/>
      </c>
    </row>
    <row r="432" ht="11.55" customHeight="1">
      <c r="A432" s="10" t="n">
        <v>46042</v>
      </c>
      <c r="B432" s="7" t="inlineStr">
        <is>
          <t>Terça</t>
        </is>
      </c>
      <c r="C432" s="7" t="inlineStr">
        <is>
          <t>SÃO LUCAS</t>
        </is>
      </c>
      <c r="D432" s="7" t="n"/>
      <c r="E432" s="7" t="inlineStr">
        <is>
          <t>Sérgio</t>
        </is>
      </c>
      <c r="F432" s="13" t="inlineStr">
        <is>
          <t>VCA da jusante ao PV 85</t>
        </is>
      </c>
      <c r="G432" s="7" t="inlineStr">
        <is>
          <t>85</t>
        </is>
      </c>
      <c r="H432" s="7" t="n"/>
      <c r="I432" s="7" t="inlineStr">
        <is>
          <t>85</t>
        </is>
      </c>
      <c r="J432" s="7" t="inlineStr">
        <is>
          <t>VCA</t>
        </is>
      </c>
      <c r="K432" s="7" t="inlineStr">
        <is>
          <t>Planejamento</t>
        </is>
      </c>
      <c r="L432" s="16" t="inlineStr">
        <is>
          <t>PDS-janeiro(1).docx</t>
        </is>
      </c>
      <c r="M432">
        <f>IF($A432="","",TEXT($A432,"mmmm/yyyy"))</f>
        <v/>
      </c>
      <c r="P432">
        <f>IFERROR(_xludf.XLOOKUP($N432,Base_Enderecos!$A:$A,Base_Enderecos!$B:$B,""),"")</f>
        <v/>
      </c>
      <c r="Q432">
        <f>IFERROR(_xludf.XLOOKUP($N432,Base_Enderecos!$A:$A,Base_Enderecos!$C:$C,""),"")</f>
        <v/>
      </c>
      <c r="R432">
        <f>IF(OR(ISNUMBER(SEARCH("HDD",$F432)),ISNUMBER(SEARCH("MND",$F432)),ISNUMBER(SEARCH("PEAD",$F432)),ISNUMBER(SEARCH("Puxe",$J432)),ISNUMBER(SEARCH("Apoio HDD",$F432))),"MND",IF(OR(ISNUMBER(SEARCH("VCA",$F432)),ISNUMBER(SEARCH("PVC",$F432)),ISNUMBER(SEARCH("vca",$J432)),ISNUMBER(SEARCH("Transformação",$J432))),"VCA",IF(OR(ISNUMBER(SEARCH("crava",$F432)),ISNUMBER(SEARCH("tubo cravado",$F432)),ISNUMBER(SEARCH("shaft",$J432)),ISNUMBER(SEARCH("concreto",$F432))),"TUBO CRAVADO","")))</f>
        <v/>
      </c>
      <c r="T432">
        <f>IF($A432="","",TEXT($A432,"yyyymm")&amp;"|"&amp;$C432&amp;"|"&amp;$F432&amp;"|"&amp;$N432&amp;"|"&amp;$R432)</f>
        <v/>
      </c>
    </row>
    <row r="433" ht="11.55" customHeight="1">
      <c r="A433" s="10" t="n">
        <v>46042</v>
      </c>
      <c r="B433" s="7" t="inlineStr">
        <is>
          <t>Terça</t>
        </is>
      </c>
      <c r="C433" s="7" t="inlineStr">
        <is>
          <t>CT Souto Maior</t>
        </is>
      </c>
      <c r="D433" s="7" t="n"/>
      <c r="E433" s="7" t="inlineStr">
        <is>
          <t>Cesar</t>
        </is>
      </c>
      <c r="F433" s="13" t="inlineStr">
        <is>
          <t>Ligações rede</t>
        </is>
      </c>
      <c r="G433" s="7" t="n"/>
      <c r="H433" s="7" t="n"/>
      <c r="I433" s="7" t="n"/>
      <c r="J433" s="7" t="inlineStr">
        <is>
          <t>Ligações</t>
        </is>
      </c>
      <c r="K433" s="7" t="inlineStr">
        <is>
          <t>Planejamento</t>
        </is>
      </c>
      <c r="L433" s="16" t="inlineStr">
        <is>
          <t>PDS-janeiro(1).docx</t>
        </is>
      </c>
      <c r="M433">
        <f>IF($A433="","",TEXT($A433,"mmmm/yyyy"))</f>
        <v/>
      </c>
      <c r="P433">
        <f>IFERROR(_xludf.XLOOKUP($N433,Base_Enderecos!$A:$A,Base_Enderecos!$B:$B,""),"")</f>
        <v/>
      </c>
      <c r="Q433">
        <f>IFERROR(_xludf.XLOOKUP($N433,Base_Enderecos!$A:$A,Base_Enderecos!$C:$C,""),"")</f>
        <v/>
      </c>
      <c r="R433">
        <f>IF(OR(ISNUMBER(SEARCH("HDD",$F433)),ISNUMBER(SEARCH("MND",$F433)),ISNUMBER(SEARCH("PEAD",$F433)),ISNUMBER(SEARCH("Puxe",$J433)),ISNUMBER(SEARCH("Apoio HDD",$F433))),"MND",IF(OR(ISNUMBER(SEARCH("VCA",$F433)),ISNUMBER(SEARCH("PVC",$F433)),ISNUMBER(SEARCH("vca",$J433)),ISNUMBER(SEARCH("Transformação",$J433))),"VCA",IF(OR(ISNUMBER(SEARCH("crava",$F433)),ISNUMBER(SEARCH("tubo cravado",$F433)),ISNUMBER(SEARCH("shaft",$J433)),ISNUMBER(SEARCH("concreto",$F433))),"TUBO CRAVADO","")))</f>
        <v/>
      </c>
      <c r="T433">
        <f>IF($A433="","",TEXT($A433,"yyyymm")&amp;"|"&amp;$C433&amp;"|"&amp;$F433&amp;"|"&amp;$N433&amp;"|"&amp;$R433)</f>
        <v/>
      </c>
    </row>
    <row r="434" ht="11.55" customHeight="1">
      <c r="A434" s="10" t="n">
        <v>46042</v>
      </c>
      <c r="B434" s="7" t="inlineStr">
        <is>
          <t>Terça</t>
        </is>
      </c>
      <c r="C434" s="7" t="inlineStr">
        <is>
          <t>CT Jaraguá</t>
        </is>
      </c>
      <c r="D434" s="7" t="n"/>
      <c r="E434" s="7" t="inlineStr">
        <is>
          <t>Jonathan</t>
        </is>
      </c>
      <c r="F434" s="13" t="inlineStr">
        <is>
          <t>Escavação mecânica e montagem armco PV 10</t>
        </is>
      </c>
      <c r="G434" s="7" t="inlineStr">
        <is>
          <t>10</t>
        </is>
      </c>
      <c r="H434" s="7" t="n"/>
      <c r="I434" s="7" t="inlineStr">
        <is>
          <t>10</t>
        </is>
      </c>
      <c r="J434" s="7" t="inlineStr">
        <is>
          <t>Escavação</t>
        </is>
      </c>
      <c r="K434" s="7" t="inlineStr">
        <is>
          <t>Planejamento</t>
        </is>
      </c>
      <c r="L434" s="16" t="inlineStr">
        <is>
          <t>PDS-janeiro(1).docx</t>
        </is>
      </c>
      <c r="M434">
        <f>IF($A434="","",TEXT($A434,"mmmm/yyyy"))</f>
        <v/>
      </c>
      <c r="P434">
        <f>IFERROR(_xludf.XLOOKUP($N434,Base_Enderecos!$A:$A,Base_Enderecos!$B:$B,""),"")</f>
        <v/>
      </c>
      <c r="Q434">
        <f>IFERROR(_xludf.XLOOKUP($N434,Base_Enderecos!$A:$A,Base_Enderecos!$C:$C,""),"")</f>
        <v/>
      </c>
      <c r="R434">
        <f>IF(OR(ISNUMBER(SEARCH("HDD",$F434)),ISNUMBER(SEARCH("MND",$F434)),ISNUMBER(SEARCH("PEAD",$F434)),ISNUMBER(SEARCH("Puxe",$J434)),ISNUMBER(SEARCH("Apoio HDD",$F434))),"MND",IF(OR(ISNUMBER(SEARCH("VCA",$F434)),ISNUMBER(SEARCH("PVC",$F434)),ISNUMBER(SEARCH("vca",$J434)),ISNUMBER(SEARCH("Transformação",$J434))),"VCA",IF(OR(ISNUMBER(SEARCH("crava",$F434)),ISNUMBER(SEARCH("tubo cravado",$F434)),ISNUMBER(SEARCH("shaft",$J434)),ISNUMBER(SEARCH("concreto",$F434))),"TUBO CRAVADO","")))</f>
        <v/>
      </c>
      <c r="T434">
        <f>IF($A434="","",TEXT($A434,"yyyymm")&amp;"|"&amp;$C434&amp;"|"&amp;$F434&amp;"|"&amp;$N434&amp;"|"&amp;$R434)</f>
        <v/>
      </c>
    </row>
    <row r="435" ht="11.55" customHeight="1">
      <c r="A435" s="10" t="n">
        <v>46042</v>
      </c>
      <c r="B435" s="7" t="inlineStr">
        <is>
          <t>Terça</t>
        </is>
      </c>
      <c r="C435" s="7" t="inlineStr">
        <is>
          <t>CT Jaraguá</t>
        </is>
      </c>
      <c r="D435" s="7" t="n"/>
      <c r="E435" s="7" t="inlineStr">
        <is>
          <t>Ribeiro</t>
        </is>
      </c>
      <c r="F435" s="13" t="inlineStr">
        <is>
          <t>Execução furo piloto entre PVs 01 ao 02</t>
        </is>
      </c>
      <c r="G435" s="7" t="inlineStr">
        <is>
          <t>01</t>
        </is>
      </c>
      <c r="H435" s="7" t="n"/>
      <c r="I435" s="7" t="inlineStr">
        <is>
          <t>01</t>
        </is>
      </c>
      <c r="J435" s="7" t="inlineStr">
        <is>
          <t>Furo piloto</t>
        </is>
      </c>
      <c r="K435" s="7" t="inlineStr">
        <is>
          <t>Planejamento</t>
        </is>
      </c>
      <c r="L435" s="16" t="inlineStr">
        <is>
          <t>PDS-janeiro(1).docx</t>
        </is>
      </c>
      <c r="M435">
        <f>IF($A435="","",TEXT($A435,"mmmm/yyyy"))</f>
        <v/>
      </c>
      <c r="P435">
        <f>IFERROR(_xludf.XLOOKUP($N435,Base_Enderecos!$A:$A,Base_Enderecos!$B:$B,""),"")</f>
        <v/>
      </c>
      <c r="Q435">
        <f>IFERROR(_xludf.XLOOKUP($N435,Base_Enderecos!$A:$A,Base_Enderecos!$C:$C,""),"")</f>
        <v/>
      </c>
      <c r="R435">
        <f>IF(OR(ISNUMBER(SEARCH("HDD",$F435)),ISNUMBER(SEARCH("MND",$F435)),ISNUMBER(SEARCH("PEAD",$F435)),ISNUMBER(SEARCH("Puxe",$J435)),ISNUMBER(SEARCH("Apoio HDD",$F435))),"MND",IF(OR(ISNUMBER(SEARCH("VCA",$F435)),ISNUMBER(SEARCH("PVC",$F435)),ISNUMBER(SEARCH("vca",$J435)),ISNUMBER(SEARCH("Transformação",$J435))),"VCA",IF(OR(ISNUMBER(SEARCH("crava",$F435)),ISNUMBER(SEARCH("tubo cravado",$F435)),ISNUMBER(SEARCH("shaft",$J435)),ISNUMBER(SEARCH("concreto",$F435))),"TUBO CRAVADO","")))</f>
        <v/>
      </c>
      <c r="T435">
        <f>IF($A435="","",TEXT($A435,"yyyymm")&amp;"|"&amp;$C435&amp;"|"&amp;$F435&amp;"|"&amp;$N435&amp;"|"&amp;$R435)</f>
        <v/>
      </c>
    </row>
    <row r="436" ht="11.55" customHeight="1">
      <c r="A436" s="10" t="n">
        <v>46042</v>
      </c>
      <c r="B436" s="7" t="inlineStr">
        <is>
          <t>Terça</t>
        </is>
      </c>
      <c r="C436" s="7" t="inlineStr">
        <is>
          <t>CT Jaraguá</t>
        </is>
      </c>
      <c r="D436" s="7" t="n"/>
      <c r="E436" s="7" t="inlineStr">
        <is>
          <t>Marcelo</t>
        </is>
      </c>
      <c r="F436" s="13" t="inlineStr">
        <is>
          <t>Apoio HDD entre PVs 01 ao 02</t>
        </is>
      </c>
      <c r="G436" s="7" t="inlineStr">
        <is>
          <t>01</t>
        </is>
      </c>
      <c r="H436" s="7" t="n"/>
      <c r="I436" s="7" t="inlineStr">
        <is>
          <t>01</t>
        </is>
      </c>
      <c r="J436" s="7" t="inlineStr">
        <is>
          <t>Apoio HDD</t>
        </is>
      </c>
      <c r="K436" s="7" t="inlineStr">
        <is>
          <t>Planejamento</t>
        </is>
      </c>
      <c r="L436" s="16" t="inlineStr">
        <is>
          <t>PDS-janeiro(1).docx</t>
        </is>
      </c>
      <c r="M436">
        <f>IF($A436="","",TEXT($A436,"mmmm/yyyy"))</f>
        <v/>
      </c>
      <c r="P436">
        <f>IFERROR(_xludf.XLOOKUP($N436,Base_Enderecos!$A:$A,Base_Enderecos!$B:$B,""),"")</f>
        <v/>
      </c>
      <c r="Q436">
        <f>IFERROR(_xludf.XLOOKUP($N436,Base_Enderecos!$A:$A,Base_Enderecos!$C:$C,""),"")</f>
        <v/>
      </c>
      <c r="R436">
        <f>IF(OR(ISNUMBER(SEARCH("HDD",$F436)),ISNUMBER(SEARCH("MND",$F436)),ISNUMBER(SEARCH("PEAD",$F436)),ISNUMBER(SEARCH("Puxe",$J436)),ISNUMBER(SEARCH("Apoio HDD",$F436))),"MND",IF(OR(ISNUMBER(SEARCH("VCA",$F436)),ISNUMBER(SEARCH("PVC",$F436)),ISNUMBER(SEARCH("vca",$J436)),ISNUMBER(SEARCH("Transformação",$J436))),"VCA",IF(OR(ISNUMBER(SEARCH("crava",$F436)),ISNUMBER(SEARCH("tubo cravado",$F436)),ISNUMBER(SEARCH("shaft",$J436)),ISNUMBER(SEARCH("concreto",$F436))),"TUBO CRAVADO","")))</f>
        <v/>
      </c>
      <c r="T436">
        <f>IF($A436="","",TEXT($A436,"yyyymm")&amp;"|"&amp;$C436&amp;"|"&amp;$F436&amp;"|"&amp;$N436&amp;"|"&amp;$R436)</f>
        <v/>
      </c>
    </row>
    <row r="437" ht="11.55" customHeight="1">
      <c r="A437" s="10" t="n">
        <v>46042</v>
      </c>
      <c r="B437" s="7" t="inlineStr">
        <is>
          <t>Terça</t>
        </is>
      </c>
      <c r="C437" s="7" t="inlineStr">
        <is>
          <t>CT Jaraguá</t>
        </is>
      </c>
      <c r="D437" s="7" t="n"/>
      <c r="E437" s="7" t="inlineStr">
        <is>
          <t>LS 1 (Josivaldo)</t>
        </is>
      </c>
      <c r="F437" s="13" t="inlineStr">
        <is>
          <t>Escavação mecânica e montagem armco PV 05</t>
        </is>
      </c>
      <c r="G437" s="7" t="inlineStr">
        <is>
          <t>05</t>
        </is>
      </c>
      <c r="H437" s="7" t="n"/>
      <c r="I437" s="7" t="inlineStr">
        <is>
          <t>05</t>
        </is>
      </c>
      <c r="J437" s="7" t="inlineStr">
        <is>
          <t>Escavação</t>
        </is>
      </c>
      <c r="K437" s="7" t="inlineStr">
        <is>
          <t>Planejamento</t>
        </is>
      </c>
      <c r="L437" s="16" t="inlineStr">
        <is>
          <t>PDS-janeiro(1).docx</t>
        </is>
      </c>
      <c r="M437">
        <f>IF($A437="","",TEXT($A437,"mmmm/yyyy"))</f>
        <v/>
      </c>
      <c r="P437">
        <f>IFERROR(_xludf.XLOOKUP($N437,Base_Enderecos!$A:$A,Base_Enderecos!$B:$B,""),"")</f>
        <v/>
      </c>
      <c r="Q437">
        <f>IFERROR(_xludf.XLOOKUP($N437,Base_Enderecos!$A:$A,Base_Enderecos!$C:$C,""),"")</f>
        <v/>
      </c>
      <c r="R437">
        <f>IF(OR(ISNUMBER(SEARCH("HDD",$F437)),ISNUMBER(SEARCH("MND",$F437)),ISNUMBER(SEARCH("PEAD",$F437)),ISNUMBER(SEARCH("Puxe",$J437)),ISNUMBER(SEARCH("Apoio HDD",$F437))),"MND",IF(OR(ISNUMBER(SEARCH("VCA",$F437)),ISNUMBER(SEARCH("PVC",$F437)),ISNUMBER(SEARCH("vca",$J437)),ISNUMBER(SEARCH("Transformação",$J437))),"VCA",IF(OR(ISNUMBER(SEARCH("crava",$F437)),ISNUMBER(SEARCH("tubo cravado",$F437)),ISNUMBER(SEARCH("shaft",$J437)),ISNUMBER(SEARCH("concreto",$F437))),"TUBO CRAVADO","")))</f>
        <v/>
      </c>
      <c r="T437">
        <f>IF($A437="","",TEXT($A437,"yyyymm")&amp;"|"&amp;$C437&amp;"|"&amp;$F437&amp;"|"&amp;$N437&amp;"|"&amp;$R437)</f>
        <v/>
      </c>
    </row>
    <row r="438" ht="11.55" customHeight="1">
      <c r="A438" s="10" t="n">
        <v>46042</v>
      </c>
      <c r="B438" s="7" t="inlineStr">
        <is>
          <t>Terça</t>
        </is>
      </c>
      <c r="C438" s="7" t="inlineStr">
        <is>
          <t>CT Lageado</t>
        </is>
      </c>
      <c r="D438" s="7" t="n"/>
      <c r="E438" s="7" t="inlineStr">
        <is>
          <t>Higor</t>
        </is>
      </c>
      <c r="F438" s="13" t="inlineStr">
        <is>
          <t>Ajuste PV 5.1</t>
        </is>
      </c>
      <c r="G438" s="7" t="inlineStr">
        <is>
          <t>5.1</t>
        </is>
      </c>
      <c r="H438" s="7" t="n"/>
      <c r="I438" s="7" t="inlineStr">
        <is>
          <t>5.1</t>
        </is>
      </c>
      <c r="J438" s="7" t="n"/>
      <c r="K438" s="7" t="inlineStr">
        <is>
          <t>Planejamento</t>
        </is>
      </c>
      <c r="L438" s="16" t="inlineStr">
        <is>
          <t>PDS-janeiro(1).docx</t>
        </is>
      </c>
      <c r="M438">
        <f>IF($A438="","",TEXT($A438,"mmmm/yyyy"))</f>
        <v/>
      </c>
      <c r="P438">
        <f>IFERROR(_xludf.XLOOKUP($N438,Base_Enderecos!$A:$A,Base_Enderecos!$B:$B,""),"")</f>
        <v/>
      </c>
      <c r="Q438">
        <f>IFERROR(_xludf.XLOOKUP($N438,Base_Enderecos!$A:$A,Base_Enderecos!$C:$C,""),"")</f>
        <v/>
      </c>
      <c r="R438">
        <f>IF(OR(ISNUMBER(SEARCH("HDD",$F438)),ISNUMBER(SEARCH("MND",$F438)),ISNUMBER(SEARCH("PEAD",$F438)),ISNUMBER(SEARCH("Puxe",$J438)),ISNUMBER(SEARCH("Apoio HDD",$F438))),"MND",IF(OR(ISNUMBER(SEARCH("VCA",$F438)),ISNUMBER(SEARCH("PVC",$F438)),ISNUMBER(SEARCH("vca",$J438)),ISNUMBER(SEARCH("Transformação",$J438))),"VCA",IF(OR(ISNUMBER(SEARCH("crava",$F438)),ISNUMBER(SEARCH("tubo cravado",$F438)),ISNUMBER(SEARCH("shaft",$J438)),ISNUMBER(SEARCH("concreto",$F438))),"TUBO CRAVADO","")))</f>
        <v/>
      </c>
      <c r="T438">
        <f>IF($A438="","",TEXT($A438,"yyyymm")&amp;"|"&amp;$C438&amp;"|"&amp;$F438&amp;"|"&amp;$N438&amp;"|"&amp;$R438)</f>
        <v/>
      </c>
    </row>
    <row r="439" ht="11.55" customHeight="1">
      <c r="A439" s="10" t="n">
        <v>46042</v>
      </c>
      <c r="B439" s="7" t="inlineStr">
        <is>
          <t>Terça</t>
        </is>
      </c>
      <c r="C439" s="7" t="inlineStr">
        <is>
          <t>CT Lourdes</t>
        </is>
      </c>
      <c r="D439" s="7" t="n"/>
      <c r="E439" s="7" t="inlineStr">
        <is>
          <t>Edivando</t>
        </is>
      </c>
      <c r="F439" s="13" t="inlineStr">
        <is>
          <t>Transformação PV 22</t>
        </is>
      </c>
      <c r="G439" s="7" t="inlineStr">
        <is>
          <t>22</t>
        </is>
      </c>
      <c r="H439" s="7" t="n"/>
      <c r="I439" s="7" t="inlineStr">
        <is>
          <t>22</t>
        </is>
      </c>
      <c r="J439" s="7" t="inlineStr">
        <is>
          <t>Transformação</t>
        </is>
      </c>
      <c r="K439" s="7" t="inlineStr">
        <is>
          <t>Planejamento</t>
        </is>
      </c>
      <c r="L439" s="16" t="inlineStr">
        <is>
          <t>PDS-janeiro(1).docx</t>
        </is>
      </c>
      <c r="M439">
        <f>IF($A439="","",TEXT($A439,"mmmm/yyyy"))</f>
        <v/>
      </c>
      <c r="P439">
        <f>IFERROR(_xludf.XLOOKUP($N439,Base_Enderecos!$A:$A,Base_Enderecos!$B:$B,""),"")</f>
        <v/>
      </c>
      <c r="Q439">
        <f>IFERROR(_xludf.XLOOKUP($N439,Base_Enderecos!$A:$A,Base_Enderecos!$C:$C,""),"")</f>
        <v/>
      </c>
      <c r="R439">
        <f>IF(OR(ISNUMBER(SEARCH("HDD",$F439)),ISNUMBER(SEARCH("MND",$F439)),ISNUMBER(SEARCH("PEAD",$F439)),ISNUMBER(SEARCH("Puxe",$J439)),ISNUMBER(SEARCH("Apoio HDD",$F439))),"MND",IF(OR(ISNUMBER(SEARCH("VCA",$F439)),ISNUMBER(SEARCH("PVC",$F439)),ISNUMBER(SEARCH("vca",$J439)),ISNUMBER(SEARCH("Transformação",$J439))),"VCA",IF(OR(ISNUMBER(SEARCH("crava",$F439)),ISNUMBER(SEARCH("tubo cravado",$F439)),ISNUMBER(SEARCH("shaft",$J439)),ISNUMBER(SEARCH("concreto",$F439))),"TUBO CRAVADO","")))</f>
        <v/>
      </c>
      <c r="T439">
        <f>IF($A439="","",TEXT($A439,"yyyymm")&amp;"|"&amp;$C439&amp;"|"&amp;$F439&amp;"|"&amp;$N439&amp;"|"&amp;$R439)</f>
        <v/>
      </c>
    </row>
    <row r="440" ht="11.55" customHeight="1">
      <c r="A440" s="10" t="n">
        <v>46042</v>
      </c>
      <c r="B440" s="7" t="inlineStr">
        <is>
          <t>Terça</t>
        </is>
      </c>
      <c r="C440" s="7" t="inlineStr">
        <is>
          <t>CT Mar de Coral</t>
        </is>
      </c>
      <c r="D440" s="7" t="n"/>
      <c r="E440" s="7" t="inlineStr">
        <is>
          <t>Valter</t>
        </is>
      </c>
      <c r="F440" s="13" t="inlineStr">
        <is>
          <t>Transformação PV 03</t>
        </is>
      </c>
      <c r="G440" s="7" t="inlineStr">
        <is>
          <t>03</t>
        </is>
      </c>
      <c r="H440" s="7" t="n"/>
      <c r="I440" s="7" t="inlineStr">
        <is>
          <t>03</t>
        </is>
      </c>
      <c r="J440" s="7" t="inlineStr">
        <is>
          <t>Transformação</t>
        </is>
      </c>
      <c r="K440" s="7" t="inlineStr">
        <is>
          <t>Planejamento</t>
        </is>
      </c>
      <c r="L440" s="16" t="inlineStr">
        <is>
          <t>PDS-janeiro(1).docx</t>
        </is>
      </c>
      <c r="M440">
        <f>IF($A440="","",TEXT($A440,"mmmm/yyyy"))</f>
        <v/>
      </c>
      <c r="P440">
        <f>IFERROR(_xludf.XLOOKUP($N440,Base_Enderecos!$A:$A,Base_Enderecos!$B:$B,""),"")</f>
        <v/>
      </c>
      <c r="Q440">
        <f>IFERROR(_xludf.XLOOKUP($N440,Base_Enderecos!$A:$A,Base_Enderecos!$C:$C,""),"")</f>
        <v/>
      </c>
      <c r="R440">
        <f>IF(OR(ISNUMBER(SEARCH("HDD",$F440)),ISNUMBER(SEARCH("MND",$F440)),ISNUMBER(SEARCH("PEAD",$F440)),ISNUMBER(SEARCH("Puxe",$J440)),ISNUMBER(SEARCH("Apoio HDD",$F440))),"MND",IF(OR(ISNUMBER(SEARCH("VCA",$F440)),ISNUMBER(SEARCH("PVC",$F440)),ISNUMBER(SEARCH("vca",$J440)),ISNUMBER(SEARCH("Transformação",$J440))),"VCA",IF(OR(ISNUMBER(SEARCH("crava",$F440)),ISNUMBER(SEARCH("tubo cravado",$F440)),ISNUMBER(SEARCH("shaft",$J440)),ISNUMBER(SEARCH("concreto",$F440))),"TUBO CRAVADO","")))</f>
        <v/>
      </c>
      <c r="T440">
        <f>IF($A440="","",TEXT($A440,"yyyymm")&amp;"|"&amp;$C440&amp;"|"&amp;$F440&amp;"|"&amp;$N440&amp;"|"&amp;$R440)</f>
        <v/>
      </c>
    </row>
    <row r="441" ht="11.55" customHeight="1">
      <c r="A441" s="10" t="n">
        <v>46042</v>
      </c>
      <c r="B441" s="7" t="inlineStr">
        <is>
          <t>Terça</t>
        </is>
      </c>
      <c r="C441" s="7" t="inlineStr">
        <is>
          <t>CT Mar de Coral</t>
        </is>
      </c>
      <c r="D441" s="7" t="n"/>
      <c r="E441" s="7" t="inlineStr">
        <is>
          <t>Bruno (Work Drill)</t>
        </is>
      </c>
      <c r="F441" s="13" t="inlineStr">
        <is>
          <t>Execução furo piloto entre PVs 04 ao 05.1</t>
        </is>
      </c>
      <c r="G441" s="7" t="inlineStr">
        <is>
          <t>04</t>
        </is>
      </c>
      <c r="H441" s="7" t="n"/>
      <c r="I441" s="7" t="inlineStr">
        <is>
          <t>04</t>
        </is>
      </c>
      <c r="J441" s="7" t="inlineStr">
        <is>
          <t>Furo piloto</t>
        </is>
      </c>
      <c r="K441" s="7" t="inlineStr">
        <is>
          <t>Planejamento</t>
        </is>
      </c>
      <c r="L441" s="16" t="inlineStr">
        <is>
          <t>PDS-janeiro(1).docx</t>
        </is>
      </c>
      <c r="M441">
        <f>IF($A441="","",TEXT($A441,"mmmm/yyyy"))</f>
        <v/>
      </c>
      <c r="P441">
        <f>IFERROR(_xludf.XLOOKUP($N441,Base_Enderecos!$A:$A,Base_Enderecos!$B:$B,""),"")</f>
        <v/>
      </c>
      <c r="Q441">
        <f>IFERROR(_xludf.XLOOKUP($N441,Base_Enderecos!$A:$A,Base_Enderecos!$C:$C,""),"")</f>
        <v/>
      </c>
      <c r="R441">
        <f>IF(OR(ISNUMBER(SEARCH("HDD",$F441)),ISNUMBER(SEARCH("MND",$F441)),ISNUMBER(SEARCH("PEAD",$F441)),ISNUMBER(SEARCH("Puxe",$J441)),ISNUMBER(SEARCH("Apoio HDD",$F441))),"MND",IF(OR(ISNUMBER(SEARCH("VCA",$F441)),ISNUMBER(SEARCH("PVC",$F441)),ISNUMBER(SEARCH("vca",$J441)),ISNUMBER(SEARCH("Transformação",$J441))),"VCA",IF(OR(ISNUMBER(SEARCH("crava",$F441)),ISNUMBER(SEARCH("tubo cravado",$F441)),ISNUMBER(SEARCH("shaft",$J441)),ISNUMBER(SEARCH("concreto",$F441))),"TUBO CRAVADO","")))</f>
        <v/>
      </c>
      <c r="T441">
        <f>IF($A441="","",TEXT($A441,"yyyymm")&amp;"|"&amp;$C441&amp;"|"&amp;$F441&amp;"|"&amp;$N441&amp;"|"&amp;$R441)</f>
        <v/>
      </c>
    </row>
    <row r="442" ht="11.55" customHeight="1">
      <c r="A442" s="10" t="n">
        <v>46042</v>
      </c>
      <c r="B442" s="7" t="inlineStr">
        <is>
          <t>Terça</t>
        </is>
      </c>
      <c r="C442" s="7" t="inlineStr">
        <is>
          <t>CT Mar de Coral</t>
        </is>
      </c>
      <c r="D442" s="7" t="n"/>
      <c r="E442" s="7" t="inlineStr">
        <is>
          <t>Márcio</t>
        </is>
      </c>
      <c r="F442" s="13" t="inlineStr">
        <is>
          <t>Apoio HDD entre PVs 04 ao 05.1</t>
        </is>
      </c>
      <c r="G442" s="7" t="inlineStr">
        <is>
          <t>04</t>
        </is>
      </c>
      <c r="H442" s="7" t="n"/>
      <c r="I442" s="7" t="inlineStr">
        <is>
          <t>04</t>
        </is>
      </c>
      <c r="J442" s="7" t="inlineStr">
        <is>
          <t>Apoio HDD</t>
        </is>
      </c>
      <c r="K442" s="7" t="inlineStr">
        <is>
          <t>Planejamento</t>
        </is>
      </c>
      <c r="L442" s="16" t="inlineStr">
        <is>
          <t>PDS-janeiro(1).docx</t>
        </is>
      </c>
      <c r="M442">
        <f>IF($A442="","",TEXT($A442,"mmmm/yyyy"))</f>
        <v/>
      </c>
      <c r="P442">
        <f>IFERROR(_xludf.XLOOKUP($N442,Base_Enderecos!$A:$A,Base_Enderecos!$B:$B,""),"")</f>
        <v/>
      </c>
      <c r="Q442">
        <f>IFERROR(_xludf.XLOOKUP($N442,Base_Enderecos!$A:$A,Base_Enderecos!$C:$C,""),"")</f>
        <v/>
      </c>
      <c r="R442">
        <f>IF(OR(ISNUMBER(SEARCH("HDD",$F442)),ISNUMBER(SEARCH("MND",$F442)),ISNUMBER(SEARCH("PEAD",$F442)),ISNUMBER(SEARCH("Puxe",$J442)),ISNUMBER(SEARCH("Apoio HDD",$F442))),"MND",IF(OR(ISNUMBER(SEARCH("VCA",$F442)),ISNUMBER(SEARCH("PVC",$F442)),ISNUMBER(SEARCH("vca",$J442)),ISNUMBER(SEARCH("Transformação",$J442))),"VCA",IF(OR(ISNUMBER(SEARCH("crava",$F442)),ISNUMBER(SEARCH("tubo cravado",$F442)),ISNUMBER(SEARCH("shaft",$J442)),ISNUMBER(SEARCH("concreto",$F442))),"TUBO CRAVADO","")))</f>
        <v/>
      </c>
      <c r="T442">
        <f>IF($A442="","",TEXT($A442,"yyyymm")&amp;"|"&amp;$C442&amp;"|"&amp;$F442&amp;"|"&amp;$N442&amp;"|"&amp;$R442)</f>
        <v/>
      </c>
    </row>
    <row r="443" ht="11.55" customHeight="1">
      <c r="A443" s="10" t="n">
        <v>46042</v>
      </c>
      <c r="B443" s="7" t="inlineStr">
        <is>
          <t>Terça</t>
        </is>
      </c>
      <c r="C443" s="7" t="inlineStr">
        <is>
          <t>CT Mar de Coral</t>
        </is>
      </c>
      <c r="D443" s="7" t="n"/>
      <c r="E443" s="7" t="inlineStr">
        <is>
          <t>WJ (Edson)</t>
        </is>
      </c>
      <c r="F443" s="13" t="inlineStr">
        <is>
          <t>Execução furo piloto entre PVs 05 ao 5.10</t>
        </is>
      </c>
      <c r="G443" s="7" t="inlineStr">
        <is>
          <t>05</t>
        </is>
      </c>
      <c r="H443" s="7" t="n"/>
      <c r="I443" s="7" t="inlineStr">
        <is>
          <t>05</t>
        </is>
      </c>
      <c r="J443" s="7" t="inlineStr">
        <is>
          <t>Furo piloto</t>
        </is>
      </c>
      <c r="K443" s="7" t="inlineStr">
        <is>
          <t>Planejamento</t>
        </is>
      </c>
      <c r="L443" s="16" t="inlineStr">
        <is>
          <t>PDS-janeiro(1).docx</t>
        </is>
      </c>
      <c r="M443">
        <f>IF($A443="","",TEXT($A443,"mmmm/yyyy"))</f>
        <v/>
      </c>
      <c r="P443">
        <f>IFERROR(_xludf.XLOOKUP($N443,Base_Enderecos!$A:$A,Base_Enderecos!$B:$B,""),"")</f>
        <v/>
      </c>
      <c r="Q443">
        <f>IFERROR(_xludf.XLOOKUP($N443,Base_Enderecos!$A:$A,Base_Enderecos!$C:$C,""),"")</f>
        <v/>
      </c>
      <c r="R443">
        <f>IF(OR(ISNUMBER(SEARCH("HDD",$F443)),ISNUMBER(SEARCH("MND",$F443)),ISNUMBER(SEARCH("PEAD",$F443)),ISNUMBER(SEARCH("Puxe",$J443)),ISNUMBER(SEARCH("Apoio HDD",$F443))),"MND",IF(OR(ISNUMBER(SEARCH("VCA",$F443)),ISNUMBER(SEARCH("PVC",$F443)),ISNUMBER(SEARCH("vca",$J443)),ISNUMBER(SEARCH("Transformação",$J443))),"VCA",IF(OR(ISNUMBER(SEARCH("crava",$F443)),ISNUMBER(SEARCH("tubo cravado",$F443)),ISNUMBER(SEARCH("shaft",$J443)),ISNUMBER(SEARCH("concreto",$F443))),"TUBO CRAVADO","")))</f>
        <v/>
      </c>
      <c r="T443">
        <f>IF($A443="","",TEXT($A443,"yyyymm")&amp;"|"&amp;$C443&amp;"|"&amp;$F443&amp;"|"&amp;$N443&amp;"|"&amp;$R443)</f>
        <v/>
      </c>
    </row>
    <row r="444" ht="11.55" customHeight="1">
      <c r="A444" s="10" t="n">
        <v>46042</v>
      </c>
      <c r="B444" s="7" t="inlineStr">
        <is>
          <t>Terça</t>
        </is>
      </c>
      <c r="C444" s="7" t="inlineStr">
        <is>
          <t>CT Mar de Coral</t>
        </is>
      </c>
      <c r="D444" s="7" t="n"/>
      <c r="E444" s="7" t="inlineStr">
        <is>
          <t>Natalino</t>
        </is>
      </c>
      <c r="F444" s="13" t="inlineStr">
        <is>
          <t>Apoio HDD entre PVs 05 ao 5.10</t>
        </is>
      </c>
      <c r="G444" s="7" t="inlineStr">
        <is>
          <t>05</t>
        </is>
      </c>
      <c r="H444" s="7" t="n"/>
      <c r="I444" s="7" t="inlineStr">
        <is>
          <t>05</t>
        </is>
      </c>
      <c r="J444" s="7" t="inlineStr">
        <is>
          <t>Apoio HDD</t>
        </is>
      </c>
      <c r="K444" s="7" t="inlineStr">
        <is>
          <t>Planejamento</t>
        </is>
      </c>
      <c r="L444" s="16" t="inlineStr">
        <is>
          <t>PDS-janeiro(1).docx</t>
        </is>
      </c>
      <c r="M444">
        <f>IF($A444="","",TEXT($A444,"mmmm/yyyy"))</f>
        <v/>
      </c>
      <c r="P444">
        <f>IFERROR(_xludf.XLOOKUP($N444,Base_Enderecos!$A:$A,Base_Enderecos!$B:$B,""),"")</f>
        <v/>
      </c>
      <c r="Q444">
        <f>IFERROR(_xludf.XLOOKUP($N444,Base_Enderecos!$A:$A,Base_Enderecos!$C:$C,""),"")</f>
        <v/>
      </c>
      <c r="R444">
        <f>IF(OR(ISNUMBER(SEARCH("HDD",$F444)),ISNUMBER(SEARCH("MND",$F444)),ISNUMBER(SEARCH("PEAD",$F444)),ISNUMBER(SEARCH("Puxe",$J444)),ISNUMBER(SEARCH("Apoio HDD",$F444))),"MND",IF(OR(ISNUMBER(SEARCH("VCA",$F444)),ISNUMBER(SEARCH("PVC",$F444)),ISNUMBER(SEARCH("vca",$J444)),ISNUMBER(SEARCH("Transformação",$J444))),"VCA",IF(OR(ISNUMBER(SEARCH("crava",$F444)),ISNUMBER(SEARCH("tubo cravado",$F444)),ISNUMBER(SEARCH("shaft",$J444)),ISNUMBER(SEARCH("concreto",$F444))),"TUBO CRAVADO","")))</f>
        <v/>
      </c>
      <c r="T444">
        <f>IF($A444="","",TEXT($A444,"yyyymm")&amp;"|"&amp;$C444&amp;"|"&amp;$F444&amp;"|"&amp;$N444&amp;"|"&amp;$R444)</f>
        <v/>
      </c>
    </row>
    <row r="445" ht="11.55" customHeight="1">
      <c r="A445" s="10" t="n">
        <v>46042</v>
      </c>
      <c r="B445" s="7" t="inlineStr">
        <is>
          <t>Terça</t>
        </is>
      </c>
      <c r="C445" s="7" t="inlineStr">
        <is>
          <t>Vacal</t>
        </is>
      </c>
      <c r="D445" s="7" t="n"/>
      <c r="E445" s="7" t="inlineStr">
        <is>
          <t>Mar de Coral</t>
        </is>
      </c>
      <c r="F445" s="13" t="inlineStr">
        <is>
          <t>Apoio Vacal</t>
        </is>
      </c>
      <c r="G445" s="7" t="n"/>
      <c r="H445" s="7" t="n"/>
      <c r="I445" s="7" t="n"/>
      <c r="J445" s="7" t="inlineStr">
        <is>
          <t>Vacal</t>
        </is>
      </c>
      <c r="K445" s="7" t="inlineStr">
        <is>
          <t>Apoio</t>
        </is>
      </c>
      <c r="L445" s="16" t="inlineStr">
        <is>
          <t>PDS-janeiro(1).docx</t>
        </is>
      </c>
      <c r="M445">
        <f>IF($A445="","",TEXT($A445,"mmmm/yyyy"))</f>
        <v/>
      </c>
      <c r="P445">
        <f>IFERROR(_xludf.XLOOKUP($N445,Base_Enderecos!$A:$A,Base_Enderecos!$B:$B,""),"")</f>
        <v/>
      </c>
      <c r="Q445">
        <f>IFERROR(_xludf.XLOOKUP($N445,Base_Enderecos!$A:$A,Base_Enderecos!$C:$C,""),"")</f>
        <v/>
      </c>
      <c r="R445">
        <f>IF(OR(ISNUMBER(SEARCH("HDD",$F445)),ISNUMBER(SEARCH("MND",$F445)),ISNUMBER(SEARCH("PEAD",$F445)),ISNUMBER(SEARCH("Puxe",$J445)),ISNUMBER(SEARCH("Apoio HDD",$F445))),"MND",IF(OR(ISNUMBER(SEARCH("VCA",$F445)),ISNUMBER(SEARCH("PVC",$F445)),ISNUMBER(SEARCH("vca",$J445)),ISNUMBER(SEARCH("Transformação",$J445))),"VCA",IF(OR(ISNUMBER(SEARCH("crava",$F445)),ISNUMBER(SEARCH("tubo cravado",$F445)),ISNUMBER(SEARCH("shaft",$J445)),ISNUMBER(SEARCH("concreto",$F445))),"TUBO CRAVADO","")))</f>
        <v/>
      </c>
      <c r="T445">
        <f>IF($A445="","",TEXT($A445,"yyyymm")&amp;"|"&amp;$C445&amp;"|"&amp;$F445&amp;"|"&amp;$N445&amp;"|"&amp;$R445)</f>
        <v/>
      </c>
    </row>
    <row r="446" ht="11.55" customHeight="1">
      <c r="A446" s="10" t="n">
        <v>46042</v>
      </c>
      <c r="B446" s="7" t="inlineStr">
        <is>
          <t>Terça</t>
        </is>
      </c>
      <c r="C446" s="7" t="inlineStr">
        <is>
          <t>Vacal</t>
        </is>
      </c>
      <c r="D446" s="7" t="n"/>
      <c r="E446" s="7" t="inlineStr">
        <is>
          <t>Mar de Coral</t>
        </is>
      </c>
      <c r="F446" s="13" t="inlineStr">
        <is>
          <t>Apoio Vacal</t>
        </is>
      </c>
      <c r="G446" s="7" t="n"/>
      <c r="H446" s="7" t="n"/>
      <c r="I446" s="7" t="n"/>
      <c r="J446" s="7" t="inlineStr">
        <is>
          <t>Vacal</t>
        </is>
      </c>
      <c r="K446" s="7" t="inlineStr">
        <is>
          <t>Apoio</t>
        </is>
      </c>
      <c r="L446" s="16" t="inlineStr">
        <is>
          <t>PDS-janeiro(1).docx</t>
        </is>
      </c>
      <c r="M446">
        <f>IF($A446="","",TEXT($A446,"mmmm/yyyy"))</f>
        <v/>
      </c>
      <c r="P446">
        <f>IFERROR(_xludf.XLOOKUP($N446,Base_Enderecos!$A:$A,Base_Enderecos!$B:$B,""),"")</f>
        <v/>
      </c>
      <c r="Q446">
        <f>IFERROR(_xludf.XLOOKUP($N446,Base_Enderecos!$A:$A,Base_Enderecos!$C:$C,""),"")</f>
        <v/>
      </c>
      <c r="R446">
        <f>IF(OR(ISNUMBER(SEARCH("HDD",$F446)),ISNUMBER(SEARCH("MND",$F446)),ISNUMBER(SEARCH("PEAD",$F446)),ISNUMBER(SEARCH("Puxe",$J446)),ISNUMBER(SEARCH("Apoio HDD",$F446))),"MND",IF(OR(ISNUMBER(SEARCH("VCA",$F446)),ISNUMBER(SEARCH("PVC",$F446)),ISNUMBER(SEARCH("vca",$J446)),ISNUMBER(SEARCH("Transformação",$J446))),"VCA",IF(OR(ISNUMBER(SEARCH("crava",$F446)),ISNUMBER(SEARCH("tubo cravado",$F446)),ISNUMBER(SEARCH("shaft",$J446)),ISNUMBER(SEARCH("concreto",$F446))),"TUBO CRAVADO","")))</f>
        <v/>
      </c>
      <c r="T446">
        <f>IF($A446="","",TEXT($A446,"yyyymm")&amp;"|"&amp;$C446&amp;"|"&amp;$F446&amp;"|"&amp;$N446&amp;"|"&amp;$R446)</f>
        <v/>
      </c>
    </row>
    <row r="447" ht="11.55" customHeight="1">
      <c r="A447" s="10" t="n">
        <v>46042</v>
      </c>
      <c r="B447" s="7" t="inlineStr">
        <is>
          <t>Terça</t>
        </is>
      </c>
      <c r="C447" s="7" t="inlineStr">
        <is>
          <t>Vacal</t>
        </is>
      </c>
      <c r="D447" s="7" t="n"/>
      <c r="E447" s="7" t="inlineStr">
        <is>
          <t>Mar de Coral</t>
        </is>
      </c>
      <c r="F447" s="13" t="inlineStr">
        <is>
          <t>Apoio Vacal</t>
        </is>
      </c>
      <c r="G447" s="7" t="n"/>
      <c r="H447" s="7" t="n"/>
      <c r="I447" s="7" t="n"/>
      <c r="J447" s="7" t="inlineStr">
        <is>
          <t>Vacal</t>
        </is>
      </c>
      <c r="K447" s="7" t="inlineStr">
        <is>
          <t>Apoio</t>
        </is>
      </c>
      <c r="L447" s="16" t="inlineStr">
        <is>
          <t>PDS-janeiro(1).docx</t>
        </is>
      </c>
      <c r="M447">
        <f>IF($A447="","",TEXT($A447,"mmmm/yyyy"))</f>
        <v/>
      </c>
      <c r="P447">
        <f>IFERROR(_xludf.XLOOKUP($N447,Base_Enderecos!$A:$A,Base_Enderecos!$B:$B,""),"")</f>
        <v/>
      </c>
      <c r="Q447">
        <f>IFERROR(_xludf.XLOOKUP($N447,Base_Enderecos!$A:$A,Base_Enderecos!$C:$C,""),"")</f>
        <v/>
      </c>
      <c r="R447">
        <f>IF(OR(ISNUMBER(SEARCH("HDD",$F447)),ISNUMBER(SEARCH("MND",$F447)),ISNUMBER(SEARCH("PEAD",$F447)),ISNUMBER(SEARCH("Puxe",$J447)),ISNUMBER(SEARCH("Apoio HDD",$F447))),"MND",IF(OR(ISNUMBER(SEARCH("VCA",$F447)),ISNUMBER(SEARCH("PVC",$F447)),ISNUMBER(SEARCH("vca",$J447)),ISNUMBER(SEARCH("Transformação",$J447))),"VCA",IF(OR(ISNUMBER(SEARCH("crava",$F447)),ISNUMBER(SEARCH("tubo cravado",$F447)),ISNUMBER(SEARCH("shaft",$J447)),ISNUMBER(SEARCH("concreto",$F447))),"TUBO CRAVADO","")))</f>
        <v/>
      </c>
      <c r="T447">
        <f>IF($A447="","",TEXT($A447,"yyyymm")&amp;"|"&amp;$C447&amp;"|"&amp;$F447&amp;"|"&amp;$N447&amp;"|"&amp;$R447)</f>
        <v/>
      </c>
    </row>
    <row r="448" ht="11.55" customHeight="1">
      <c r="A448" s="10" t="n">
        <v>46042</v>
      </c>
      <c r="B448" s="7" t="inlineStr">
        <is>
          <t>Terça</t>
        </is>
      </c>
      <c r="C448" s="7" t="inlineStr">
        <is>
          <t>Vacal</t>
        </is>
      </c>
      <c r="D448" s="7" t="n"/>
      <c r="E448" s="7" t="inlineStr">
        <is>
          <t>Jaraguá</t>
        </is>
      </c>
      <c r="F448" s="13" t="inlineStr">
        <is>
          <t>Apoio Vacal</t>
        </is>
      </c>
      <c r="G448" s="7" t="n"/>
      <c r="H448" s="7" t="n"/>
      <c r="I448" s="7" t="n"/>
      <c r="J448" s="7" t="inlineStr">
        <is>
          <t>Vacal</t>
        </is>
      </c>
      <c r="K448" s="7" t="inlineStr">
        <is>
          <t>Apoio</t>
        </is>
      </c>
      <c r="L448" s="16" t="inlineStr">
        <is>
          <t>PDS-janeiro(1).docx</t>
        </is>
      </c>
      <c r="M448">
        <f>IF($A448="","",TEXT($A448,"mmmm/yyyy"))</f>
        <v/>
      </c>
      <c r="P448">
        <f>IFERROR(_xludf.XLOOKUP($N448,Base_Enderecos!$A:$A,Base_Enderecos!$B:$B,""),"")</f>
        <v/>
      </c>
      <c r="Q448">
        <f>IFERROR(_xludf.XLOOKUP($N448,Base_Enderecos!$A:$A,Base_Enderecos!$C:$C,""),"")</f>
        <v/>
      </c>
      <c r="R448">
        <f>IF(OR(ISNUMBER(SEARCH("HDD",$F448)),ISNUMBER(SEARCH("MND",$F448)),ISNUMBER(SEARCH("PEAD",$F448)),ISNUMBER(SEARCH("Puxe",$J448)),ISNUMBER(SEARCH("Apoio HDD",$F448))),"MND",IF(OR(ISNUMBER(SEARCH("VCA",$F448)),ISNUMBER(SEARCH("PVC",$F448)),ISNUMBER(SEARCH("vca",$J448)),ISNUMBER(SEARCH("Transformação",$J448))),"VCA",IF(OR(ISNUMBER(SEARCH("crava",$F448)),ISNUMBER(SEARCH("tubo cravado",$F448)),ISNUMBER(SEARCH("shaft",$J448)),ISNUMBER(SEARCH("concreto",$F448))),"TUBO CRAVADO","")))</f>
        <v/>
      </c>
      <c r="T448">
        <f>IF($A448="","",TEXT($A448,"yyyymm")&amp;"|"&amp;$C448&amp;"|"&amp;$F448&amp;"|"&amp;$N448&amp;"|"&amp;$R448)</f>
        <v/>
      </c>
    </row>
    <row r="449" ht="11.55" customHeight="1">
      <c r="A449" s="10" t="n">
        <v>46043</v>
      </c>
      <c r="B449" s="7" t="inlineStr">
        <is>
          <t>Quarta</t>
        </is>
      </c>
      <c r="C449" s="7" t="inlineStr">
        <is>
          <t>SÃO LUCAS</t>
        </is>
      </c>
      <c r="D449" s="7" t="n"/>
      <c r="E449" s="7" t="inlineStr">
        <is>
          <t>Paulo</t>
        </is>
      </c>
      <c r="F449" s="13" t="inlineStr">
        <is>
          <t>VCA da jusante ao PV 01</t>
        </is>
      </c>
      <c r="G449" s="7" t="inlineStr">
        <is>
          <t>01</t>
        </is>
      </c>
      <c r="H449" s="7" t="n"/>
      <c r="I449" s="7" t="inlineStr">
        <is>
          <t>01</t>
        </is>
      </c>
      <c r="J449" s="7" t="inlineStr">
        <is>
          <t>VCA</t>
        </is>
      </c>
      <c r="K449" s="7" t="inlineStr">
        <is>
          <t>Planejamento</t>
        </is>
      </c>
      <c r="L449" s="16" t="inlineStr">
        <is>
          <t>PDS-janeiro(1).docx</t>
        </is>
      </c>
      <c r="M449">
        <f>IF($A449="","",TEXT($A449,"mmmm/yyyy"))</f>
        <v/>
      </c>
      <c r="P449">
        <f>IFERROR(_xludf.XLOOKUP($N449,Base_Enderecos!$A:$A,Base_Enderecos!$B:$B,""),"")</f>
        <v/>
      </c>
      <c r="Q449">
        <f>IFERROR(_xludf.XLOOKUP($N449,Base_Enderecos!$A:$A,Base_Enderecos!$C:$C,""),"")</f>
        <v/>
      </c>
      <c r="R449">
        <f>IF(OR(ISNUMBER(SEARCH("HDD",$F449)),ISNUMBER(SEARCH("MND",$F449)),ISNUMBER(SEARCH("PEAD",$F449)),ISNUMBER(SEARCH("Puxe",$J449)),ISNUMBER(SEARCH("Apoio HDD",$F449))),"MND",IF(OR(ISNUMBER(SEARCH("VCA",$F449)),ISNUMBER(SEARCH("PVC",$F449)),ISNUMBER(SEARCH("vca",$J449)),ISNUMBER(SEARCH("Transformação",$J449))),"VCA",IF(OR(ISNUMBER(SEARCH("crava",$F449)),ISNUMBER(SEARCH("tubo cravado",$F449)),ISNUMBER(SEARCH("shaft",$J449)),ISNUMBER(SEARCH("concreto",$F449))),"TUBO CRAVADO","")))</f>
        <v/>
      </c>
      <c r="T449">
        <f>IF($A449="","",TEXT($A449,"yyyymm")&amp;"|"&amp;$C449&amp;"|"&amp;$F449&amp;"|"&amp;$N449&amp;"|"&amp;$R449)</f>
        <v/>
      </c>
    </row>
    <row r="450" ht="11.55" customHeight="1">
      <c r="A450" s="10" t="n">
        <v>46043</v>
      </c>
      <c r="B450" s="7" t="inlineStr">
        <is>
          <t>Quarta</t>
        </is>
      </c>
      <c r="C450" s="7" t="inlineStr">
        <is>
          <t>SÃO LUCAS</t>
        </is>
      </c>
      <c r="D450" s="7" t="n"/>
      <c r="E450" s="7" t="inlineStr">
        <is>
          <t>Sérgio</t>
        </is>
      </c>
      <c r="F450" s="13" t="inlineStr">
        <is>
          <t>VCA da jusante ao PV 85</t>
        </is>
      </c>
      <c r="G450" s="7" t="inlineStr">
        <is>
          <t>85</t>
        </is>
      </c>
      <c r="H450" s="7" t="n"/>
      <c r="I450" s="7" t="inlineStr">
        <is>
          <t>85</t>
        </is>
      </c>
      <c r="J450" s="7" t="inlineStr">
        <is>
          <t>VCA</t>
        </is>
      </c>
      <c r="K450" s="7" t="inlineStr">
        <is>
          <t>Planejamento</t>
        </is>
      </c>
      <c r="L450" s="16" t="inlineStr">
        <is>
          <t>PDS-janeiro(1).docx</t>
        </is>
      </c>
      <c r="M450">
        <f>IF($A450="","",TEXT($A450,"mmmm/yyyy"))</f>
        <v/>
      </c>
      <c r="P450">
        <f>IFERROR(_xludf.XLOOKUP($N450,Base_Enderecos!$A:$A,Base_Enderecos!$B:$B,""),"")</f>
        <v/>
      </c>
      <c r="Q450">
        <f>IFERROR(_xludf.XLOOKUP($N450,Base_Enderecos!$A:$A,Base_Enderecos!$C:$C,""),"")</f>
        <v/>
      </c>
      <c r="R450">
        <f>IF(OR(ISNUMBER(SEARCH("HDD",$F450)),ISNUMBER(SEARCH("MND",$F450)),ISNUMBER(SEARCH("PEAD",$F450)),ISNUMBER(SEARCH("Puxe",$J450)),ISNUMBER(SEARCH("Apoio HDD",$F450))),"MND",IF(OR(ISNUMBER(SEARCH("VCA",$F450)),ISNUMBER(SEARCH("PVC",$F450)),ISNUMBER(SEARCH("vca",$J450)),ISNUMBER(SEARCH("Transformação",$J450))),"VCA",IF(OR(ISNUMBER(SEARCH("crava",$F450)),ISNUMBER(SEARCH("tubo cravado",$F450)),ISNUMBER(SEARCH("shaft",$J450)),ISNUMBER(SEARCH("concreto",$F450))),"TUBO CRAVADO","")))</f>
        <v/>
      </c>
      <c r="T450">
        <f>IF($A450="","",TEXT($A450,"yyyymm")&amp;"|"&amp;$C450&amp;"|"&amp;$F450&amp;"|"&amp;$N450&amp;"|"&amp;$R450)</f>
        <v/>
      </c>
    </row>
    <row r="451" ht="11.55" customHeight="1">
      <c r="A451" s="10" t="n">
        <v>46043</v>
      </c>
      <c r="B451" s="7" t="inlineStr">
        <is>
          <t>Quarta</t>
        </is>
      </c>
      <c r="C451" s="7" t="inlineStr">
        <is>
          <t>CT Souto Maior</t>
        </is>
      </c>
      <c r="D451" s="7" t="n"/>
      <c r="E451" s="7" t="inlineStr">
        <is>
          <t>Cesar</t>
        </is>
      </c>
      <c r="F451" s="13" t="inlineStr">
        <is>
          <t>Ligações rede</t>
        </is>
      </c>
      <c r="G451" s="7" t="n"/>
      <c r="H451" s="7" t="n"/>
      <c r="I451" s="7" t="n"/>
      <c r="J451" s="7" t="inlineStr">
        <is>
          <t>Ligações</t>
        </is>
      </c>
      <c r="K451" s="7" t="inlineStr">
        <is>
          <t>Planejamento</t>
        </is>
      </c>
      <c r="L451" s="16" t="inlineStr">
        <is>
          <t>PDS-janeiro(1).docx</t>
        </is>
      </c>
      <c r="M451">
        <f>IF($A451="","",TEXT($A451,"mmmm/yyyy"))</f>
        <v/>
      </c>
      <c r="P451">
        <f>IFERROR(_xludf.XLOOKUP($N451,Base_Enderecos!$A:$A,Base_Enderecos!$B:$B,""),"")</f>
        <v/>
      </c>
      <c r="Q451">
        <f>IFERROR(_xludf.XLOOKUP($N451,Base_Enderecos!$A:$A,Base_Enderecos!$C:$C,""),"")</f>
        <v/>
      </c>
      <c r="R451">
        <f>IF(OR(ISNUMBER(SEARCH("HDD",$F451)),ISNUMBER(SEARCH("MND",$F451)),ISNUMBER(SEARCH("PEAD",$F451)),ISNUMBER(SEARCH("Puxe",$J451)),ISNUMBER(SEARCH("Apoio HDD",$F451))),"MND",IF(OR(ISNUMBER(SEARCH("VCA",$F451)),ISNUMBER(SEARCH("PVC",$F451)),ISNUMBER(SEARCH("vca",$J451)),ISNUMBER(SEARCH("Transformação",$J451))),"VCA",IF(OR(ISNUMBER(SEARCH("crava",$F451)),ISNUMBER(SEARCH("tubo cravado",$F451)),ISNUMBER(SEARCH("shaft",$J451)),ISNUMBER(SEARCH("concreto",$F451))),"TUBO CRAVADO","")))</f>
        <v/>
      </c>
      <c r="T451">
        <f>IF($A451="","",TEXT($A451,"yyyymm")&amp;"|"&amp;$C451&amp;"|"&amp;$F451&amp;"|"&amp;$N451&amp;"|"&amp;$R451)</f>
        <v/>
      </c>
    </row>
    <row r="452" ht="11.55" customHeight="1">
      <c r="A452" s="10" t="n">
        <v>46043</v>
      </c>
      <c r="B452" s="7" t="inlineStr">
        <is>
          <t>Quarta</t>
        </is>
      </c>
      <c r="C452" s="7" t="inlineStr">
        <is>
          <t>CT Jaraguá</t>
        </is>
      </c>
      <c r="D452" s="7" t="n"/>
      <c r="E452" s="7" t="inlineStr">
        <is>
          <t>Marcelo</t>
        </is>
      </c>
      <c r="F452" s="13" t="inlineStr">
        <is>
          <t>Transformação PV 01</t>
        </is>
      </c>
      <c r="G452" s="7" t="inlineStr">
        <is>
          <t>01</t>
        </is>
      </c>
      <c r="H452" s="7" t="n"/>
      <c r="I452" s="7" t="inlineStr">
        <is>
          <t>01</t>
        </is>
      </c>
      <c r="J452" s="7" t="inlineStr">
        <is>
          <t>Transformação</t>
        </is>
      </c>
      <c r="K452" s="7" t="inlineStr">
        <is>
          <t>Planejamento</t>
        </is>
      </c>
      <c r="L452" s="16" t="inlineStr">
        <is>
          <t>PDS-janeiro(1).docx</t>
        </is>
      </c>
      <c r="M452">
        <f>IF($A452="","",TEXT($A452,"mmmm/yyyy"))</f>
        <v/>
      </c>
      <c r="P452">
        <f>IFERROR(_xludf.XLOOKUP($N452,Base_Enderecos!$A:$A,Base_Enderecos!$B:$B,""),"")</f>
        <v/>
      </c>
      <c r="Q452">
        <f>IFERROR(_xludf.XLOOKUP($N452,Base_Enderecos!$A:$A,Base_Enderecos!$C:$C,""),"")</f>
        <v/>
      </c>
      <c r="R452">
        <f>IF(OR(ISNUMBER(SEARCH("HDD",$F452)),ISNUMBER(SEARCH("MND",$F452)),ISNUMBER(SEARCH("PEAD",$F452)),ISNUMBER(SEARCH("Puxe",$J452)),ISNUMBER(SEARCH("Apoio HDD",$F452))),"MND",IF(OR(ISNUMBER(SEARCH("VCA",$F452)),ISNUMBER(SEARCH("PVC",$F452)),ISNUMBER(SEARCH("vca",$J452)),ISNUMBER(SEARCH("Transformação",$J452))),"VCA",IF(OR(ISNUMBER(SEARCH("crava",$F452)),ISNUMBER(SEARCH("tubo cravado",$F452)),ISNUMBER(SEARCH("shaft",$J452)),ISNUMBER(SEARCH("concreto",$F452))),"TUBO CRAVADO","")))</f>
        <v/>
      </c>
      <c r="T452">
        <f>IF($A452="","",TEXT($A452,"yyyymm")&amp;"|"&amp;$C452&amp;"|"&amp;$F452&amp;"|"&amp;$N452&amp;"|"&amp;$R452)</f>
        <v/>
      </c>
    </row>
    <row r="453" ht="11.55" customHeight="1">
      <c r="A453" s="10" t="n">
        <v>46043</v>
      </c>
      <c r="B453" s="7" t="inlineStr">
        <is>
          <t>Quarta</t>
        </is>
      </c>
      <c r="C453" s="7" t="inlineStr">
        <is>
          <t>CT Jaraguá</t>
        </is>
      </c>
      <c r="D453" s="7" t="n"/>
      <c r="E453" s="7" t="inlineStr">
        <is>
          <t>Ribeiro</t>
        </is>
      </c>
      <c r="F453" s="13" t="inlineStr">
        <is>
          <t>Execução furo piloto entre PVs 02 ao 08</t>
        </is>
      </c>
      <c r="G453" s="7" t="inlineStr">
        <is>
          <t>02</t>
        </is>
      </c>
      <c r="H453" s="7" t="n"/>
      <c r="I453" s="7" t="inlineStr">
        <is>
          <t>02</t>
        </is>
      </c>
      <c r="J453" s="7" t="inlineStr">
        <is>
          <t>Furo piloto</t>
        </is>
      </c>
      <c r="K453" s="7" t="inlineStr">
        <is>
          <t>Planejamento</t>
        </is>
      </c>
      <c r="L453" s="16" t="inlineStr">
        <is>
          <t>PDS-janeiro(1).docx</t>
        </is>
      </c>
      <c r="M453">
        <f>IF($A453="","",TEXT($A453,"mmmm/yyyy"))</f>
        <v/>
      </c>
      <c r="P453">
        <f>IFERROR(_xludf.XLOOKUP($N453,Base_Enderecos!$A:$A,Base_Enderecos!$B:$B,""),"")</f>
        <v/>
      </c>
      <c r="Q453">
        <f>IFERROR(_xludf.XLOOKUP($N453,Base_Enderecos!$A:$A,Base_Enderecos!$C:$C,""),"")</f>
        <v/>
      </c>
      <c r="R453">
        <f>IF(OR(ISNUMBER(SEARCH("HDD",$F453)),ISNUMBER(SEARCH("MND",$F453)),ISNUMBER(SEARCH("PEAD",$F453)),ISNUMBER(SEARCH("Puxe",$J453)),ISNUMBER(SEARCH("Apoio HDD",$F453))),"MND",IF(OR(ISNUMBER(SEARCH("VCA",$F453)),ISNUMBER(SEARCH("PVC",$F453)),ISNUMBER(SEARCH("vca",$J453)),ISNUMBER(SEARCH("Transformação",$J453))),"VCA",IF(OR(ISNUMBER(SEARCH("crava",$F453)),ISNUMBER(SEARCH("tubo cravado",$F453)),ISNUMBER(SEARCH("shaft",$J453)),ISNUMBER(SEARCH("concreto",$F453))),"TUBO CRAVADO","")))</f>
        <v/>
      </c>
      <c r="T453">
        <f>IF($A453="","",TEXT($A453,"yyyymm")&amp;"|"&amp;$C453&amp;"|"&amp;$F453&amp;"|"&amp;$N453&amp;"|"&amp;$R453)</f>
        <v/>
      </c>
    </row>
    <row r="454" ht="11.55" customHeight="1">
      <c r="A454" s="10" t="n">
        <v>46043</v>
      </c>
      <c r="B454" s="7" t="inlineStr">
        <is>
          <t>Quarta</t>
        </is>
      </c>
      <c r="C454" s="7" t="inlineStr">
        <is>
          <t>CT Jaraguá</t>
        </is>
      </c>
      <c r="D454" s="7" t="n"/>
      <c r="E454" s="7" t="inlineStr">
        <is>
          <t>Jonathan</t>
        </is>
      </c>
      <c r="F454" s="13" t="inlineStr">
        <is>
          <t>Apoio HDD entre PVs 02 ao 08</t>
        </is>
      </c>
      <c r="G454" s="7" t="inlineStr">
        <is>
          <t>02</t>
        </is>
      </c>
      <c r="H454" s="7" t="n"/>
      <c r="I454" s="7" t="inlineStr">
        <is>
          <t>02</t>
        </is>
      </c>
      <c r="J454" s="7" t="inlineStr">
        <is>
          <t>Apoio HDD</t>
        </is>
      </c>
      <c r="K454" s="7" t="inlineStr">
        <is>
          <t>Planejamento</t>
        </is>
      </c>
      <c r="L454" s="16" t="inlineStr">
        <is>
          <t>PDS-janeiro(1).docx</t>
        </is>
      </c>
      <c r="M454">
        <f>IF($A454="","",TEXT($A454,"mmmm/yyyy"))</f>
        <v/>
      </c>
      <c r="P454">
        <f>IFERROR(_xludf.XLOOKUP($N454,Base_Enderecos!$A:$A,Base_Enderecos!$B:$B,""),"")</f>
        <v/>
      </c>
      <c r="Q454">
        <f>IFERROR(_xludf.XLOOKUP($N454,Base_Enderecos!$A:$A,Base_Enderecos!$C:$C,""),"")</f>
        <v/>
      </c>
      <c r="R454">
        <f>IF(OR(ISNUMBER(SEARCH("HDD",$F454)),ISNUMBER(SEARCH("MND",$F454)),ISNUMBER(SEARCH("PEAD",$F454)),ISNUMBER(SEARCH("Puxe",$J454)),ISNUMBER(SEARCH("Apoio HDD",$F454))),"MND",IF(OR(ISNUMBER(SEARCH("VCA",$F454)),ISNUMBER(SEARCH("PVC",$F454)),ISNUMBER(SEARCH("vca",$J454)),ISNUMBER(SEARCH("Transformação",$J454))),"VCA",IF(OR(ISNUMBER(SEARCH("crava",$F454)),ISNUMBER(SEARCH("tubo cravado",$F454)),ISNUMBER(SEARCH("shaft",$J454)),ISNUMBER(SEARCH("concreto",$F454))),"TUBO CRAVADO","")))</f>
        <v/>
      </c>
      <c r="T454">
        <f>IF($A454="","",TEXT($A454,"yyyymm")&amp;"|"&amp;$C454&amp;"|"&amp;$F454&amp;"|"&amp;$N454&amp;"|"&amp;$R454)</f>
        <v/>
      </c>
    </row>
    <row r="455" ht="11.55" customHeight="1">
      <c r="A455" s="10" t="n">
        <v>46043</v>
      </c>
      <c r="B455" s="7" t="inlineStr">
        <is>
          <t>Quarta</t>
        </is>
      </c>
      <c r="C455" s="7" t="inlineStr">
        <is>
          <t>CT Lageado</t>
        </is>
      </c>
      <c r="D455" s="7" t="n"/>
      <c r="E455" s="7" t="inlineStr">
        <is>
          <t>Higor</t>
        </is>
      </c>
      <c r="F455" s="13" t="inlineStr">
        <is>
          <t>Ajuste PV 5.1</t>
        </is>
      </c>
      <c r="G455" s="7" t="inlineStr">
        <is>
          <t>5.1</t>
        </is>
      </c>
      <c r="H455" s="7" t="n"/>
      <c r="I455" s="7" t="inlineStr">
        <is>
          <t>5.1</t>
        </is>
      </c>
      <c r="J455" s="7" t="n"/>
      <c r="K455" s="7" t="inlineStr">
        <is>
          <t>Planejamento</t>
        </is>
      </c>
      <c r="L455" s="16" t="inlineStr">
        <is>
          <t>PDS-janeiro(1).docx</t>
        </is>
      </c>
      <c r="M455">
        <f>IF($A455="","",TEXT($A455,"mmmm/yyyy"))</f>
        <v/>
      </c>
      <c r="P455">
        <f>IFERROR(_xludf.XLOOKUP($N455,Base_Enderecos!$A:$A,Base_Enderecos!$B:$B,""),"")</f>
        <v/>
      </c>
      <c r="Q455">
        <f>IFERROR(_xludf.XLOOKUP($N455,Base_Enderecos!$A:$A,Base_Enderecos!$C:$C,""),"")</f>
        <v/>
      </c>
      <c r="R455">
        <f>IF(OR(ISNUMBER(SEARCH("HDD",$F455)),ISNUMBER(SEARCH("MND",$F455)),ISNUMBER(SEARCH("PEAD",$F455)),ISNUMBER(SEARCH("Puxe",$J455)),ISNUMBER(SEARCH("Apoio HDD",$F455))),"MND",IF(OR(ISNUMBER(SEARCH("VCA",$F455)),ISNUMBER(SEARCH("PVC",$F455)),ISNUMBER(SEARCH("vca",$J455)),ISNUMBER(SEARCH("Transformação",$J455))),"VCA",IF(OR(ISNUMBER(SEARCH("crava",$F455)),ISNUMBER(SEARCH("tubo cravado",$F455)),ISNUMBER(SEARCH("shaft",$J455)),ISNUMBER(SEARCH("concreto",$F455))),"TUBO CRAVADO","")))</f>
        <v/>
      </c>
      <c r="T455">
        <f>IF($A455="","",TEXT($A455,"yyyymm")&amp;"|"&amp;$C455&amp;"|"&amp;$F455&amp;"|"&amp;$N455&amp;"|"&amp;$R455)</f>
        <v/>
      </c>
    </row>
    <row r="456" ht="11.55" customHeight="1">
      <c r="A456" s="10" t="n">
        <v>46043</v>
      </c>
      <c r="B456" s="7" t="inlineStr">
        <is>
          <t>Quarta</t>
        </is>
      </c>
      <c r="C456" s="7" t="inlineStr">
        <is>
          <t>CT Lourdes</t>
        </is>
      </c>
      <c r="D456" s="7" t="n"/>
      <c r="E456" s="7" t="inlineStr">
        <is>
          <t>Edivando</t>
        </is>
      </c>
      <c r="F456" s="13" t="inlineStr">
        <is>
          <t>Transformação PV 22</t>
        </is>
      </c>
      <c r="G456" s="7" t="inlineStr">
        <is>
          <t>22</t>
        </is>
      </c>
      <c r="H456" s="7" t="n"/>
      <c r="I456" s="7" t="inlineStr">
        <is>
          <t>22</t>
        </is>
      </c>
      <c r="J456" s="7" t="inlineStr">
        <is>
          <t>Transformação</t>
        </is>
      </c>
      <c r="K456" s="7" t="inlineStr">
        <is>
          <t>Planejamento</t>
        </is>
      </c>
      <c r="L456" s="16" t="inlineStr">
        <is>
          <t>PDS-janeiro(1).docx</t>
        </is>
      </c>
      <c r="M456">
        <f>IF($A456="","",TEXT($A456,"mmmm/yyyy"))</f>
        <v/>
      </c>
      <c r="P456">
        <f>IFERROR(_xludf.XLOOKUP($N456,Base_Enderecos!$A:$A,Base_Enderecos!$B:$B,""),"")</f>
        <v/>
      </c>
      <c r="Q456">
        <f>IFERROR(_xludf.XLOOKUP($N456,Base_Enderecos!$A:$A,Base_Enderecos!$C:$C,""),"")</f>
        <v/>
      </c>
      <c r="R456">
        <f>IF(OR(ISNUMBER(SEARCH("HDD",$F456)),ISNUMBER(SEARCH("MND",$F456)),ISNUMBER(SEARCH("PEAD",$F456)),ISNUMBER(SEARCH("Puxe",$J456)),ISNUMBER(SEARCH("Apoio HDD",$F456))),"MND",IF(OR(ISNUMBER(SEARCH("VCA",$F456)),ISNUMBER(SEARCH("PVC",$F456)),ISNUMBER(SEARCH("vca",$J456)),ISNUMBER(SEARCH("Transformação",$J456))),"VCA",IF(OR(ISNUMBER(SEARCH("crava",$F456)),ISNUMBER(SEARCH("tubo cravado",$F456)),ISNUMBER(SEARCH("shaft",$J456)),ISNUMBER(SEARCH("concreto",$F456))),"TUBO CRAVADO","")))</f>
        <v/>
      </c>
      <c r="T456">
        <f>IF($A456="","",TEXT($A456,"yyyymm")&amp;"|"&amp;$C456&amp;"|"&amp;$F456&amp;"|"&amp;$N456&amp;"|"&amp;$R456)</f>
        <v/>
      </c>
    </row>
    <row r="457" ht="11.55" customHeight="1">
      <c r="A457" s="10" t="n">
        <v>46043</v>
      </c>
      <c r="B457" s="7" t="inlineStr">
        <is>
          <t>Quarta</t>
        </is>
      </c>
      <c r="C457" s="7" t="inlineStr">
        <is>
          <t>CT Lourdes</t>
        </is>
      </c>
      <c r="D457" s="7" t="n"/>
      <c r="E457" s="7" t="inlineStr">
        <is>
          <t>Natalino</t>
        </is>
      </c>
      <c r="F457" s="13" t="inlineStr">
        <is>
          <t>Limpeza PV 18</t>
        </is>
      </c>
      <c r="G457" s="7" t="inlineStr">
        <is>
          <t>18</t>
        </is>
      </c>
      <c r="H457" s="7" t="n"/>
      <c r="I457" s="7" t="inlineStr">
        <is>
          <t>18</t>
        </is>
      </c>
      <c r="J457" s="7" t="inlineStr">
        <is>
          <t>Limpeza</t>
        </is>
      </c>
      <c r="K457" s="7" t="inlineStr">
        <is>
          <t>Planejamento</t>
        </is>
      </c>
      <c r="L457" s="16" t="inlineStr">
        <is>
          <t>PDS-janeiro(1).docx</t>
        </is>
      </c>
      <c r="M457">
        <f>IF($A457="","",TEXT($A457,"mmmm/yyyy"))</f>
        <v/>
      </c>
      <c r="P457">
        <f>IFERROR(_xludf.XLOOKUP($N457,Base_Enderecos!$A:$A,Base_Enderecos!$B:$B,""),"")</f>
        <v/>
      </c>
      <c r="Q457">
        <f>IFERROR(_xludf.XLOOKUP($N457,Base_Enderecos!$A:$A,Base_Enderecos!$C:$C,""),"")</f>
        <v/>
      </c>
      <c r="R457">
        <f>IF(OR(ISNUMBER(SEARCH("HDD",$F457)),ISNUMBER(SEARCH("MND",$F457)),ISNUMBER(SEARCH("PEAD",$F457)),ISNUMBER(SEARCH("Puxe",$J457)),ISNUMBER(SEARCH("Apoio HDD",$F457))),"MND",IF(OR(ISNUMBER(SEARCH("VCA",$F457)),ISNUMBER(SEARCH("PVC",$F457)),ISNUMBER(SEARCH("vca",$J457)),ISNUMBER(SEARCH("Transformação",$J457))),"VCA",IF(OR(ISNUMBER(SEARCH("crava",$F457)),ISNUMBER(SEARCH("tubo cravado",$F457)),ISNUMBER(SEARCH("shaft",$J457)),ISNUMBER(SEARCH("concreto",$F457))),"TUBO CRAVADO","")))</f>
        <v/>
      </c>
      <c r="T457">
        <f>IF($A457="","",TEXT($A457,"yyyymm")&amp;"|"&amp;$C457&amp;"|"&amp;$F457&amp;"|"&amp;$N457&amp;"|"&amp;$R457)</f>
        <v/>
      </c>
    </row>
    <row r="458" ht="11.55" customHeight="1">
      <c r="A458" s="10" t="n">
        <v>46043</v>
      </c>
      <c r="B458" s="7" t="inlineStr">
        <is>
          <t>Quarta</t>
        </is>
      </c>
      <c r="C458" s="7" t="inlineStr">
        <is>
          <t>CT Lourdes</t>
        </is>
      </c>
      <c r="D458" s="7" t="n"/>
      <c r="E458" s="7" t="inlineStr">
        <is>
          <t>Paulo (Medeiros)</t>
        </is>
      </c>
      <c r="F458" s="13" t="inlineStr">
        <is>
          <t>Readequação da Via</t>
        </is>
      </c>
      <c r="G458" s="7" t="n"/>
      <c r="H458" s="7" t="n"/>
      <c r="I458" s="7" t="n"/>
      <c r="J458" s="7" t="inlineStr">
        <is>
          <t>Adequação</t>
        </is>
      </c>
      <c r="K458" s="7" t="inlineStr">
        <is>
          <t>Planejamento</t>
        </is>
      </c>
      <c r="L458" s="16" t="inlineStr">
        <is>
          <t>PDS-janeiro(1).docx</t>
        </is>
      </c>
      <c r="M458">
        <f>IF($A458="","",TEXT($A458,"mmmm/yyyy"))</f>
        <v/>
      </c>
      <c r="P458">
        <f>IFERROR(_xludf.XLOOKUP($N458,Base_Enderecos!$A:$A,Base_Enderecos!$B:$B,""),"")</f>
        <v/>
      </c>
      <c r="Q458">
        <f>IFERROR(_xludf.XLOOKUP($N458,Base_Enderecos!$A:$A,Base_Enderecos!$C:$C,""),"")</f>
        <v/>
      </c>
      <c r="R458">
        <f>IF(OR(ISNUMBER(SEARCH("HDD",$F458)),ISNUMBER(SEARCH("MND",$F458)),ISNUMBER(SEARCH("PEAD",$F458)),ISNUMBER(SEARCH("Puxe",$J458)),ISNUMBER(SEARCH("Apoio HDD",$F458))),"MND",IF(OR(ISNUMBER(SEARCH("VCA",$F458)),ISNUMBER(SEARCH("PVC",$F458)),ISNUMBER(SEARCH("vca",$J458)),ISNUMBER(SEARCH("Transformação",$J458))),"VCA",IF(OR(ISNUMBER(SEARCH("crava",$F458)),ISNUMBER(SEARCH("tubo cravado",$F458)),ISNUMBER(SEARCH("shaft",$J458)),ISNUMBER(SEARCH("concreto",$F458))),"TUBO CRAVADO","")))</f>
        <v/>
      </c>
      <c r="T458">
        <f>IF($A458="","",TEXT($A458,"yyyymm")&amp;"|"&amp;$C458&amp;"|"&amp;$F458&amp;"|"&amp;$N458&amp;"|"&amp;$R458)</f>
        <v/>
      </c>
    </row>
    <row r="459" ht="11.55" customHeight="1">
      <c r="A459" s="10" t="n">
        <v>46043</v>
      </c>
      <c r="B459" s="7" t="inlineStr">
        <is>
          <t>Quarta</t>
        </is>
      </c>
      <c r="C459" s="7" t="inlineStr">
        <is>
          <t>CT Mar de Coral</t>
        </is>
      </c>
      <c r="D459" s="7" t="n"/>
      <c r="E459" s="7" t="inlineStr">
        <is>
          <t>Valter</t>
        </is>
      </c>
      <c r="F459" s="13" t="inlineStr">
        <is>
          <t>Transformação PV 03</t>
        </is>
      </c>
      <c r="G459" s="7" t="inlineStr">
        <is>
          <t>03</t>
        </is>
      </c>
      <c r="H459" s="7" t="n"/>
      <c r="I459" s="7" t="inlineStr">
        <is>
          <t>03</t>
        </is>
      </c>
      <c r="J459" s="7" t="inlineStr">
        <is>
          <t>Transformação</t>
        </is>
      </c>
      <c r="K459" s="7" t="inlineStr">
        <is>
          <t>Planejamento</t>
        </is>
      </c>
      <c r="L459" s="16" t="inlineStr">
        <is>
          <t>PDS-janeiro(1).docx</t>
        </is>
      </c>
      <c r="M459">
        <f>IF($A459="","",TEXT($A459,"mmmm/yyyy"))</f>
        <v/>
      </c>
      <c r="P459">
        <f>IFERROR(_xludf.XLOOKUP($N459,Base_Enderecos!$A:$A,Base_Enderecos!$B:$B,""),"")</f>
        <v/>
      </c>
      <c r="Q459">
        <f>IFERROR(_xludf.XLOOKUP($N459,Base_Enderecos!$A:$A,Base_Enderecos!$C:$C,""),"")</f>
        <v/>
      </c>
      <c r="R459">
        <f>IF(OR(ISNUMBER(SEARCH("HDD",$F459)),ISNUMBER(SEARCH("MND",$F459)),ISNUMBER(SEARCH("PEAD",$F459)),ISNUMBER(SEARCH("Puxe",$J459)),ISNUMBER(SEARCH("Apoio HDD",$F459))),"MND",IF(OR(ISNUMBER(SEARCH("VCA",$F459)),ISNUMBER(SEARCH("PVC",$F459)),ISNUMBER(SEARCH("vca",$J459)),ISNUMBER(SEARCH("Transformação",$J459))),"VCA",IF(OR(ISNUMBER(SEARCH("crava",$F459)),ISNUMBER(SEARCH("tubo cravado",$F459)),ISNUMBER(SEARCH("shaft",$J459)),ISNUMBER(SEARCH("concreto",$F459))),"TUBO CRAVADO","")))</f>
        <v/>
      </c>
      <c r="T459">
        <f>IF($A459="","",TEXT($A459,"yyyymm")&amp;"|"&amp;$C459&amp;"|"&amp;$F459&amp;"|"&amp;$N459&amp;"|"&amp;$R459)</f>
        <v/>
      </c>
    </row>
    <row r="460" ht="11.55" customHeight="1">
      <c r="A460" s="10" t="n">
        <v>46043</v>
      </c>
      <c r="B460" s="7" t="inlineStr">
        <is>
          <t>Quarta</t>
        </is>
      </c>
      <c r="C460" s="7" t="inlineStr">
        <is>
          <t>CT Mar de Coral</t>
        </is>
      </c>
      <c r="D460" s="7" t="n"/>
      <c r="E460" s="7" t="inlineStr">
        <is>
          <t>Bruno (Work Drill)</t>
        </is>
      </c>
      <c r="F460" s="13" t="inlineStr">
        <is>
          <t>Execução furo piloto entre PVs 04 ao 05.1</t>
        </is>
      </c>
      <c r="G460" s="7" t="inlineStr">
        <is>
          <t>04</t>
        </is>
      </c>
      <c r="H460" s="7" t="n"/>
      <c r="I460" s="7" t="inlineStr">
        <is>
          <t>04</t>
        </is>
      </c>
      <c r="J460" s="7" t="inlineStr">
        <is>
          <t>Furo piloto</t>
        </is>
      </c>
      <c r="K460" s="7" t="inlineStr">
        <is>
          <t>Planejamento</t>
        </is>
      </c>
      <c r="L460" s="16" t="inlineStr">
        <is>
          <t>PDS-janeiro(1).docx</t>
        </is>
      </c>
      <c r="M460">
        <f>IF($A460="","",TEXT($A460,"mmmm/yyyy"))</f>
        <v/>
      </c>
      <c r="P460">
        <f>IFERROR(_xludf.XLOOKUP($N460,Base_Enderecos!$A:$A,Base_Enderecos!$B:$B,""),"")</f>
        <v/>
      </c>
      <c r="Q460">
        <f>IFERROR(_xludf.XLOOKUP($N460,Base_Enderecos!$A:$A,Base_Enderecos!$C:$C,""),"")</f>
        <v/>
      </c>
      <c r="R460">
        <f>IF(OR(ISNUMBER(SEARCH("HDD",$F460)),ISNUMBER(SEARCH("MND",$F460)),ISNUMBER(SEARCH("PEAD",$F460)),ISNUMBER(SEARCH("Puxe",$J460)),ISNUMBER(SEARCH("Apoio HDD",$F460))),"MND",IF(OR(ISNUMBER(SEARCH("VCA",$F460)),ISNUMBER(SEARCH("PVC",$F460)),ISNUMBER(SEARCH("vca",$J460)),ISNUMBER(SEARCH("Transformação",$J460))),"VCA",IF(OR(ISNUMBER(SEARCH("crava",$F460)),ISNUMBER(SEARCH("tubo cravado",$F460)),ISNUMBER(SEARCH("shaft",$J460)),ISNUMBER(SEARCH("concreto",$F460))),"TUBO CRAVADO","")))</f>
        <v/>
      </c>
      <c r="T460">
        <f>IF($A460="","",TEXT($A460,"yyyymm")&amp;"|"&amp;$C460&amp;"|"&amp;$F460&amp;"|"&amp;$N460&amp;"|"&amp;$R460)</f>
        <v/>
      </c>
    </row>
    <row r="461" ht="11.55" customHeight="1">
      <c r="A461" s="10" t="n">
        <v>46043</v>
      </c>
      <c r="B461" s="7" t="inlineStr">
        <is>
          <t>Quarta</t>
        </is>
      </c>
      <c r="C461" s="7" t="inlineStr">
        <is>
          <t>CT Mar de Coral</t>
        </is>
      </c>
      <c r="D461" s="7" t="n"/>
      <c r="E461" s="7" t="inlineStr">
        <is>
          <t>Márcio</t>
        </is>
      </c>
      <c r="F461" s="13" t="inlineStr">
        <is>
          <t>Apoio HDD entre PVs 04 ao 05.1</t>
        </is>
      </c>
      <c r="G461" s="7" t="inlineStr">
        <is>
          <t>04</t>
        </is>
      </c>
      <c r="H461" s="7" t="n"/>
      <c r="I461" s="7" t="inlineStr">
        <is>
          <t>04</t>
        </is>
      </c>
      <c r="J461" s="7" t="inlineStr">
        <is>
          <t>Apoio HDD</t>
        </is>
      </c>
      <c r="K461" s="7" t="inlineStr">
        <is>
          <t>Planejamento</t>
        </is>
      </c>
      <c r="L461" s="16" t="inlineStr">
        <is>
          <t>PDS-janeiro(1).docx</t>
        </is>
      </c>
      <c r="M461">
        <f>IF($A461="","",TEXT($A461,"mmmm/yyyy"))</f>
        <v/>
      </c>
      <c r="P461">
        <f>IFERROR(_xludf.XLOOKUP($N461,Base_Enderecos!$A:$A,Base_Enderecos!$B:$B,""),"")</f>
        <v/>
      </c>
      <c r="Q461">
        <f>IFERROR(_xludf.XLOOKUP($N461,Base_Enderecos!$A:$A,Base_Enderecos!$C:$C,""),"")</f>
        <v/>
      </c>
      <c r="R461">
        <f>IF(OR(ISNUMBER(SEARCH("HDD",$F461)),ISNUMBER(SEARCH("MND",$F461)),ISNUMBER(SEARCH("PEAD",$F461)),ISNUMBER(SEARCH("Puxe",$J461)),ISNUMBER(SEARCH("Apoio HDD",$F461))),"MND",IF(OR(ISNUMBER(SEARCH("VCA",$F461)),ISNUMBER(SEARCH("PVC",$F461)),ISNUMBER(SEARCH("vca",$J461)),ISNUMBER(SEARCH("Transformação",$J461))),"VCA",IF(OR(ISNUMBER(SEARCH("crava",$F461)),ISNUMBER(SEARCH("tubo cravado",$F461)),ISNUMBER(SEARCH("shaft",$J461)),ISNUMBER(SEARCH("concreto",$F461))),"TUBO CRAVADO","")))</f>
        <v/>
      </c>
      <c r="T461">
        <f>IF($A461="","",TEXT($A461,"yyyymm")&amp;"|"&amp;$C461&amp;"|"&amp;$F461&amp;"|"&amp;$N461&amp;"|"&amp;$R461)</f>
        <v/>
      </c>
    </row>
    <row r="462" ht="11.55" customHeight="1">
      <c r="A462" s="10" t="n">
        <v>46043</v>
      </c>
      <c r="B462" s="7" t="inlineStr">
        <is>
          <t>Quarta</t>
        </is>
      </c>
      <c r="C462" s="7" t="inlineStr">
        <is>
          <t>CT Mar de Coral</t>
        </is>
      </c>
      <c r="D462" s="7" t="n"/>
      <c r="E462" s="7" t="inlineStr">
        <is>
          <t>Carlos</t>
        </is>
      </c>
      <c r="F462" s="13" t="inlineStr">
        <is>
          <t>Adequação PVs</t>
        </is>
      </c>
      <c r="G462" s="7" t="n"/>
      <c r="H462" s="7" t="n"/>
      <c r="I462" s="7" t="n"/>
      <c r="J462" s="7" t="inlineStr">
        <is>
          <t>Adequação</t>
        </is>
      </c>
      <c r="K462" s="7" t="inlineStr">
        <is>
          <t>Planejamento</t>
        </is>
      </c>
      <c r="L462" s="16" t="inlineStr">
        <is>
          <t>PDS-janeiro(1).docx</t>
        </is>
      </c>
      <c r="M462">
        <f>IF($A462="","",TEXT($A462,"mmmm/yyyy"))</f>
        <v/>
      </c>
      <c r="P462">
        <f>IFERROR(_xludf.XLOOKUP($N462,Base_Enderecos!$A:$A,Base_Enderecos!$B:$B,""),"")</f>
        <v/>
      </c>
      <c r="Q462">
        <f>IFERROR(_xludf.XLOOKUP($N462,Base_Enderecos!$A:$A,Base_Enderecos!$C:$C,""),"")</f>
        <v/>
      </c>
      <c r="R462">
        <f>IF(OR(ISNUMBER(SEARCH("HDD",$F462)),ISNUMBER(SEARCH("MND",$F462)),ISNUMBER(SEARCH("PEAD",$F462)),ISNUMBER(SEARCH("Puxe",$J462)),ISNUMBER(SEARCH("Apoio HDD",$F462))),"MND",IF(OR(ISNUMBER(SEARCH("VCA",$F462)),ISNUMBER(SEARCH("PVC",$F462)),ISNUMBER(SEARCH("vca",$J462)),ISNUMBER(SEARCH("Transformação",$J462))),"VCA",IF(OR(ISNUMBER(SEARCH("crava",$F462)),ISNUMBER(SEARCH("tubo cravado",$F462)),ISNUMBER(SEARCH("shaft",$J462)),ISNUMBER(SEARCH("concreto",$F462))),"TUBO CRAVADO","")))</f>
        <v/>
      </c>
      <c r="T462">
        <f>IF($A462="","",TEXT($A462,"yyyymm")&amp;"|"&amp;$C462&amp;"|"&amp;$F462&amp;"|"&amp;$N462&amp;"|"&amp;$R462)</f>
        <v/>
      </c>
    </row>
    <row r="463" ht="11.55" customHeight="1">
      <c r="A463" s="10" t="n">
        <v>46043</v>
      </c>
      <c r="B463" s="7" t="inlineStr">
        <is>
          <t>Quarta</t>
        </is>
      </c>
      <c r="C463" s="7" t="inlineStr">
        <is>
          <t>Vacal</t>
        </is>
      </c>
      <c r="D463" s="7" t="n"/>
      <c r="E463" s="7" t="inlineStr">
        <is>
          <t>Lourdes</t>
        </is>
      </c>
      <c r="F463" s="13" t="inlineStr">
        <is>
          <t>Apoio Vacal</t>
        </is>
      </c>
      <c r="G463" s="7" t="n"/>
      <c r="H463" s="7" t="n"/>
      <c r="I463" s="7" t="n"/>
      <c r="J463" s="7" t="inlineStr">
        <is>
          <t>Vacal</t>
        </is>
      </c>
      <c r="K463" s="7" t="inlineStr">
        <is>
          <t>Apoio</t>
        </is>
      </c>
      <c r="L463" s="16" t="inlineStr">
        <is>
          <t>PDS-janeiro(1).docx</t>
        </is>
      </c>
      <c r="M463">
        <f>IF($A463="","",TEXT($A463,"mmmm/yyyy"))</f>
        <v/>
      </c>
      <c r="P463">
        <f>IFERROR(_xludf.XLOOKUP($N463,Base_Enderecos!$A:$A,Base_Enderecos!$B:$B,""),"")</f>
        <v/>
      </c>
      <c r="Q463">
        <f>IFERROR(_xludf.XLOOKUP($N463,Base_Enderecos!$A:$A,Base_Enderecos!$C:$C,""),"")</f>
        <v/>
      </c>
      <c r="R463">
        <f>IF(OR(ISNUMBER(SEARCH("HDD",$F463)),ISNUMBER(SEARCH("MND",$F463)),ISNUMBER(SEARCH("PEAD",$F463)),ISNUMBER(SEARCH("Puxe",$J463)),ISNUMBER(SEARCH("Apoio HDD",$F463))),"MND",IF(OR(ISNUMBER(SEARCH("VCA",$F463)),ISNUMBER(SEARCH("PVC",$F463)),ISNUMBER(SEARCH("vca",$J463)),ISNUMBER(SEARCH("Transformação",$J463))),"VCA",IF(OR(ISNUMBER(SEARCH("crava",$F463)),ISNUMBER(SEARCH("tubo cravado",$F463)),ISNUMBER(SEARCH("shaft",$J463)),ISNUMBER(SEARCH("concreto",$F463))),"TUBO CRAVADO","")))</f>
        <v/>
      </c>
      <c r="T463">
        <f>IF($A463="","",TEXT($A463,"yyyymm")&amp;"|"&amp;$C463&amp;"|"&amp;$F463&amp;"|"&amp;$N463&amp;"|"&amp;$R463)</f>
        <v/>
      </c>
    </row>
    <row r="464" ht="11.55" customHeight="1">
      <c r="A464" s="10" t="n">
        <v>46043</v>
      </c>
      <c r="B464" s="7" t="inlineStr">
        <is>
          <t>Quarta</t>
        </is>
      </c>
      <c r="C464" s="7" t="inlineStr">
        <is>
          <t>Vacal</t>
        </is>
      </c>
      <c r="D464" s="7" t="n"/>
      <c r="E464" s="7" t="inlineStr">
        <is>
          <t>Mar de Coral</t>
        </is>
      </c>
      <c r="F464" s="13" t="inlineStr">
        <is>
          <t>Apoio Vacal</t>
        </is>
      </c>
      <c r="G464" s="7" t="n"/>
      <c r="H464" s="7" t="n"/>
      <c r="I464" s="7" t="n"/>
      <c r="J464" s="7" t="inlineStr">
        <is>
          <t>Vacal</t>
        </is>
      </c>
      <c r="K464" s="7" t="inlineStr">
        <is>
          <t>Apoio</t>
        </is>
      </c>
      <c r="L464" s="16" t="inlineStr">
        <is>
          <t>PDS-janeiro(1).docx</t>
        </is>
      </c>
      <c r="M464">
        <f>IF($A464="","",TEXT($A464,"mmmm/yyyy"))</f>
        <v/>
      </c>
      <c r="P464">
        <f>IFERROR(_xludf.XLOOKUP($N464,Base_Enderecos!$A:$A,Base_Enderecos!$B:$B,""),"")</f>
        <v/>
      </c>
      <c r="Q464">
        <f>IFERROR(_xludf.XLOOKUP($N464,Base_Enderecos!$A:$A,Base_Enderecos!$C:$C,""),"")</f>
        <v/>
      </c>
      <c r="R464">
        <f>IF(OR(ISNUMBER(SEARCH("HDD",$F464)),ISNUMBER(SEARCH("MND",$F464)),ISNUMBER(SEARCH("PEAD",$F464)),ISNUMBER(SEARCH("Puxe",$J464)),ISNUMBER(SEARCH("Apoio HDD",$F464))),"MND",IF(OR(ISNUMBER(SEARCH("VCA",$F464)),ISNUMBER(SEARCH("PVC",$F464)),ISNUMBER(SEARCH("vca",$J464)),ISNUMBER(SEARCH("Transformação",$J464))),"VCA",IF(OR(ISNUMBER(SEARCH("crava",$F464)),ISNUMBER(SEARCH("tubo cravado",$F464)),ISNUMBER(SEARCH("shaft",$J464)),ISNUMBER(SEARCH("concreto",$F464))),"TUBO CRAVADO","")))</f>
        <v/>
      </c>
      <c r="T464">
        <f>IF($A464="","",TEXT($A464,"yyyymm")&amp;"|"&amp;$C464&amp;"|"&amp;$F464&amp;"|"&amp;$N464&amp;"|"&amp;$R464)</f>
        <v/>
      </c>
    </row>
    <row r="465" ht="11.55" customHeight="1">
      <c r="A465" s="10" t="n">
        <v>46043</v>
      </c>
      <c r="B465" s="7" t="inlineStr">
        <is>
          <t>Quarta</t>
        </is>
      </c>
      <c r="C465" s="7" t="inlineStr">
        <is>
          <t>Vacal</t>
        </is>
      </c>
      <c r="D465" s="7" t="n"/>
      <c r="E465" s="7" t="inlineStr">
        <is>
          <t>Mar de Coral</t>
        </is>
      </c>
      <c r="F465" s="13" t="inlineStr">
        <is>
          <t>Apoio Vacal</t>
        </is>
      </c>
      <c r="G465" s="7" t="n"/>
      <c r="H465" s="7" t="n"/>
      <c r="I465" s="7" t="n"/>
      <c r="J465" s="7" t="inlineStr">
        <is>
          <t>Vacal</t>
        </is>
      </c>
      <c r="K465" s="7" t="inlineStr">
        <is>
          <t>Apoio</t>
        </is>
      </c>
      <c r="L465" s="16" t="inlineStr">
        <is>
          <t>PDS-janeiro(1).docx</t>
        </is>
      </c>
      <c r="M465">
        <f>IF($A465="","",TEXT($A465,"mmmm/yyyy"))</f>
        <v/>
      </c>
      <c r="P465">
        <f>IFERROR(_xludf.XLOOKUP($N465,Base_Enderecos!$A:$A,Base_Enderecos!$B:$B,""),"")</f>
        <v/>
      </c>
      <c r="Q465">
        <f>IFERROR(_xludf.XLOOKUP($N465,Base_Enderecos!$A:$A,Base_Enderecos!$C:$C,""),"")</f>
        <v/>
      </c>
      <c r="R465">
        <f>IF(OR(ISNUMBER(SEARCH("HDD",$F465)),ISNUMBER(SEARCH("MND",$F465)),ISNUMBER(SEARCH("PEAD",$F465)),ISNUMBER(SEARCH("Puxe",$J465)),ISNUMBER(SEARCH("Apoio HDD",$F465))),"MND",IF(OR(ISNUMBER(SEARCH("VCA",$F465)),ISNUMBER(SEARCH("PVC",$F465)),ISNUMBER(SEARCH("vca",$J465)),ISNUMBER(SEARCH("Transformação",$J465))),"VCA",IF(OR(ISNUMBER(SEARCH("crava",$F465)),ISNUMBER(SEARCH("tubo cravado",$F465)),ISNUMBER(SEARCH("shaft",$J465)),ISNUMBER(SEARCH("concreto",$F465))),"TUBO CRAVADO","")))</f>
        <v/>
      </c>
      <c r="T465">
        <f>IF($A465="","",TEXT($A465,"yyyymm")&amp;"|"&amp;$C465&amp;"|"&amp;$F465&amp;"|"&amp;$N465&amp;"|"&amp;$R465)</f>
        <v/>
      </c>
    </row>
    <row r="466" ht="11.55" customHeight="1">
      <c r="A466" s="10" t="n">
        <v>46043</v>
      </c>
      <c r="B466" s="7" t="inlineStr">
        <is>
          <t>Quarta</t>
        </is>
      </c>
      <c r="C466" s="7" t="inlineStr">
        <is>
          <t>Vacal</t>
        </is>
      </c>
      <c r="D466" s="7" t="n"/>
      <c r="E466" s="7" t="inlineStr">
        <is>
          <t>Jaragua</t>
        </is>
      </c>
      <c r="F466" s="13" t="inlineStr">
        <is>
          <t>Apoio Vacal</t>
        </is>
      </c>
      <c r="G466" s="7" t="n"/>
      <c r="H466" s="7" t="n"/>
      <c r="I466" s="7" t="n"/>
      <c r="J466" s="7" t="inlineStr">
        <is>
          <t>Vacal</t>
        </is>
      </c>
      <c r="K466" s="7" t="inlineStr">
        <is>
          <t>Apoio</t>
        </is>
      </c>
      <c r="L466" s="16" t="inlineStr">
        <is>
          <t>PDS-janeiro(1).docx</t>
        </is>
      </c>
      <c r="M466">
        <f>IF($A466="","",TEXT($A466,"mmmm/yyyy"))</f>
        <v/>
      </c>
      <c r="P466">
        <f>IFERROR(_xludf.XLOOKUP($N466,Base_Enderecos!$A:$A,Base_Enderecos!$B:$B,""),"")</f>
        <v/>
      </c>
      <c r="Q466">
        <f>IFERROR(_xludf.XLOOKUP($N466,Base_Enderecos!$A:$A,Base_Enderecos!$C:$C,""),"")</f>
        <v/>
      </c>
      <c r="R466">
        <f>IF(OR(ISNUMBER(SEARCH("HDD",$F466)),ISNUMBER(SEARCH("MND",$F466)),ISNUMBER(SEARCH("PEAD",$F466)),ISNUMBER(SEARCH("Puxe",$J466)),ISNUMBER(SEARCH("Apoio HDD",$F466))),"MND",IF(OR(ISNUMBER(SEARCH("VCA",$F466)),ISNUMBER(SEARCH("PVC",$F466)),ISNUMBER(SEARCH("vca",$J466)),ISNUMBER(SEARCH("Transformação",$J466))),"VCA",IF(OR(ISNUMBER(SEARCH("crava",$F466)),ISNUMBER(SEARCH("tubo cravado",$F466)),ISNUMBER(SEARCH("shaft",$J466)),ISNUMBER(SEARCH("concreto",$F466))),"TUBO CRAVADO","")))</f>
        <v/>
      </c>
      <c r="T466">
        <f>IF($A466="","",TEXT($A466,"yyyymm")&amp;"|"&amp;$C466&amp;"|"&amp;$F466&amp;"|"&amp;$N466&amp;"|"&amp;$R466)</f>
        <v/>
      </c>
    </row>
    <row r="467" ht="11.55" customHeight="1">
      <c r="A467" s="10" t="n">
        <v>46043</v>
      </c>
      <c r="B467" s="7" t="inlineStr">
        <is>
          <t>Quarta</t>
        </is>
      </c>
      <c r="C467" s="7" t="inlineStr">
        <is>
          <t>Guindauto</t>
        </is>
      </c>
      <c r="D467" s="7" t="n"/>
      <c r="E467" s="7" t="inlineStr">
        <is>
          <t>Rodrigo Apoio as equipes</t>
        </is>
      </c>
      <c r="F467" s="13" t="inlineStr">
        <is>
          <t>Rodrigo Apoio as equipes</t>
        </is>
      </c>
      <c r="G467" s="7" t="n"/>
      <c r="H467" s="7" t="n"/>
      <c r="I467" s="7" t="n"/>
      <c r="J467" s="7" t="inlineStr">
        <is>
          <t>Guindauto</t>
        </is>
      </c>
      <c r="K467" s="7" t="inlineStr">
        <is>
          <t>Apoio</t>
        </is>
      </c>
      <c r="L467" s="16" t="inlineStr">
        <is>
          <t>PDS-janeiro(1).docx</t>
        </is>
      </c>
      <c r="M467">
        <f>IF($A467="","",TEXT($A467,"mmmm/yyyy"))</f>
        <v/>
      </c>
      <c r="P467">
        <f>IFERROR(_xludf.XLOOKUP($N467,Base_Enderecos!$A:$A,Base_Enderecos!$B:$B,""),"")</f>
        <v/>
      </c>
      <c r="Q467">
        <f>IFERROR(_xludf.XLOOKUP($N467,Base_Enderecos!$A:$A,Base_Enderecos!$C:$C,""),"")</f>
        <v/>
      </c>
      <c r="R467">
        <f>IF(OR(ISNUMBER(SEARCH("HDD",$F467)),ISNUMBER(SEARCH("MND",$F467)),ISNUMBER(SEARCH("PEAD",$F467)),ISNUMBER(SEARCH("Puxe",$J467)),ISNUMBER(SEARCH("Apoio HDD",$F467))),"MND",IF(OR(ISNUMBER(SEARCH("VCA",$F467)),ISNUMBER(SEARCH("PVC",$F467)),ISNUMBER(SEARCH("vca",$J467)),ISNUMBER(SEARCH("Transformação",$J467))),"VCA",IF(OR(ISNUMBER(SEARCH("crava",$F467)),ISNUMBER(SEARCH("tubo cravado",$F467)),ISNUMBER(SEARCH("shaft",$J467)),ISNUMBER(SEARCH("concreto",$F467))),"TUBO CRAVADO","")))</f>
        <v/>
      </c>
      <c r="T467">
        <f>IF($A467="","",TEXT($A467,"yyyymm")&amp;"|"&amp;$C467&amp;"|"&amp;$F467&amp;"|"&amp;$N467&amp;"|"&amp;$R467)</f>
        <v/>
      </c>
    </row>
    <row r="468" ht="11.55" customHeight="1">
      <c r="A468" s="10" t="n">
        <v>46043</v>
      </c>
      <c r="B468" s="7" t="inlineStr">
        <is>
          <t>Quarta</t>
        </is>
      </c>
      <c r="C468" s="7" t="inlineStr">
        <is>
          <t>Guindauto</t>
        </is>
      </c>
      <c r="D468" s="7" t="n"/>
      <c r="E468" s="7" t="inlineStr">
        <is>
          <t>Marcio</t>
        </is>
      </c>
      <c r="F468" s="13" t="inlineStr">
        <is>
          <t>Marcio</t>
        </is>
      </c>
      <c r="G468" s="7" t="n"/>
      <c r="H468" s="7" t="n"/>
      <c r="I468" s="7" t="n"/>
      <c r="J468" s="7" t="inlineStr">
        <is>
          <t>Guindauto</t>
        </is>
      </c>
      <c r="K468" s="7" t="inlineStr">
        <is>
          <t>Apoio</t>
        </is>
      </c>
      <c r="L468" s="16" t="inlineStr">
        <is>
          <t>PDS-janeiro(1).docx</t>
        </is>
      </c>
      <c r="M468">
        <f>IF($A468="","",TEXT($A468,"mmmm/yyyy"))</f>
        <v/>
      </c>
      <c r="P468">
        <f>IFERROR(_xludf.XLOOKUP($N468,Base_Enderecos!$A:$A,Base_Enderecos!$B:$B,""),"")</f>
        <v/>
      </c>
      <c r="Q468">
        <f>IFERROR(_xludf.XLOOKUP($N468,Base_Enderecos!$A:$A,Base_Enderecos!$C:$C,""),"")</f>
        <v/>
      </c>
      <c r="R468">
        <f>IF(OR(ISNUMBER(SEARCH("HDD",$F468)),ISNUMBER(SEARCH("MND",$F468)),ISNUMBER(SEARCH("PEAD",$F468)),ISNUMBER(SEARCH("Puxe",$J468)),ISNUMBER(SEARCH("Apoio HDD",$F468))),"MND",IF(OR(ISNUMBER(SEARCH("VCA",$F468)),ISNUMBER(SEARCH("PVC",$F468)),ISNUMBER(SEARCH("vca",$J468)),ISNUMBER(SEARCH("Transformação",$J468))),"VCA",IF(OR(ISNUMBER(SEARCH("crava",$F468)),ISNUMBER(SEARCH("tubo cravado",$F468)),ISNUMBER(SEARCH("shaft",$J468)),ISNUMBER(SEARCH("concreto",$F468))),"TUBO CRAVADO","")))</f>
        <v/>
      </c>
      <c r="T468">
        <f>IF($A468="","",TEXT($A468,"yyyymm")&amp;"|"&amp;$C468&amp;"|"&amp;$F468&amp;"|"&amp;$N468&amp;"|"&amp;$R468)</f>
        <v/>
      </c>
    </row>
    <row r="469" ht="11.55" customHeight="1">
      <c r="A469" s="10" t="n">
        <v>46044</v>
      </c>
      <c r="B469" s="7" t="inlineStr">
        <is>
          <t>Quinta</t>
        </is>
      </c>
      <c r="C469" s="7" t="inlineStr">
        <is>
          <t>CT BANDEIRANTES</t>
        </is>
      </c>
      <c r="D469" s="7" t="n"/>
      <c r="E469" s="7" t="inlineStr">
        <is>
          <t>Cidão</t>
        </is>
      </c>
      <c r="F469" s="13" t="inlineStr">
        <is>
          <t>Nivelamento tampões</t>
        </is>
      </c>
      <c r="G469" s="7" t="n"/>
      <c r="H469" s="7" t="n"/>
      <c r="I469" s="7" t="n"/>
      <c r="J469" s="7" t="n"/>
      <c r="K469" s="7" t="inlineStr">
        <is>
          <t>Planejamento</t>
        </is>
      </c>
      <c r="L469" s="16" t="inlineStr">
        <is>
          <t>PDS-janeiro(1).docx</t>
        </is>
      </c>
      <c r="M469">
        <f>IF($A469="","",TEXT($A469,"mmmm/yyyy"))</f>
        <v/>
      </c>
      <c r="P469">
        <f>IFERROR(_xludf.XLOOKUP($N469,Base_Enderecos!$A:$A,Base_Enderecos!$B:$B,""),"")</f>
        <v/>
      </c>
      <c r="Q469">
        <f>IFERROR(_xludf.XLOOKUP($N469,Base_Enderecos!$A:$A,Base_Enderecos!$C:$C,""),"")</f>
        <v/>
      </c>
      <c r="R469">
        <f>IF(OR(ISNUMBER(SEARCH("HDD",$F469)),ISNUMBER(SEARCH("MND",$F469)),ISNUMBER(SEARCH("PEAD",$F469)),ISNUMBER(SEARCH("Puxe",$J469)),ISNUMBER(SEARCH("Apoio HDD",$F469))),"MND",IF(OR(ISNUMBER(SEARCH("VCA",$F469)),ISNUMBER(SEARCH("PVC",$F469)),ISNUMBER(SEARCH("vca",$J469)),ISNUMBER(SEARCH("Transformação",$J469))),"VCA",IF(OR(ISNUMBER(SEARCH("crava",$F469)),ISNUMBER(SEARCH("tubo cravado",$F469)),ISNUMBER(SEARCH("shaft",$J469)),ISNUMBER(SEARCH("concreto",$F469))),"TUBO CRAVADO","")))</f>
        <v/>
      </c>
      <c r="T469">
        <f>IF($A469="","",TEXT($A469,"yyyymm")&amp;"|"&amp;$C469&amp;"|"&amp;$F469&amp;"|"&amp;$N469&amp;"|"&amp;$R469)</f>
        <v/>
      </c>
    </row>
    <row r="470" ht="11.55" customHeight="1">
      <c r="A470" s="10" t="n">
        <v>46044</v>
      </c>
      <c r="B470" s="7" t="inlineStr">
        <is>
          <t>Quinta</t>
        </is>
      </c>
      <c r="C470" s="7" t="inlineStr">
        <is>
          <t>CT BANDEIRANTES</t>
        </is>
      </c>
      <c r="D470" s="7" t="n"/>
      <c r="E470" s="7" t="inlineStr">
        <is>
          <t>Paulo</t>
        </is>
      </c>
      <c r="F470" s="13" t="inlineStr">
        <is>
          <t>Plantio grama (escola)</t>
        </is>
      </c>
      <c r="G470" s="7" t="n"/>
      <c r="H470" s="7" t="n"/>
      <c r="I470" s="7" t="n"/>
      <c r="J470" s="7" t="n"/>
      <c r="K470" s="7" t="inlineStr">
        <is>
          <t>Planejamento</t>
        </is>
      </c>
      <c r="L470" s="16" t="inlineStr">
        <is>
          <t>PDS-janeiro(1).docx</t>
        </is>
      </c>
      <c r="M470">
        <f>IF($A470="","",TEXT($A470,"mmmm/yyyy"))</f>
        <v/>
      </c>
      <c r="P470">
        <f>IFERROR(_xludf.XLOOKUP($N470,Base_Enderecos!$A:$A,Base_Enderecos!$B:$B,""),"")</f>
        <v/>
      </c>
      <c r="Q470">
        <f>IFERROR(_xludf.XLOOKUP($N470,Base_Enderecos!$A:$A,Base_Enderecos!$C:$C,""),"")</f>
        <v/>
      </c>
      <c r="R470">
        <f>IF(OR(ISNUMBER(SEARCH("HDD",$F470)),ISNUMBER(SEARCH("MND",$F470)),ISNUMBER(SEARCH("PEAD",$F470)),ISNUMBER(SEARCH("Puxe",$J470)),ISNUMBER(SEARCH("Apoio HDD",$F470))),"MND",IF(OR(ISNUMBER(SEARCH("VCA",$F470)),ISNUMBER(SEARCH("PVC",$F470)),ISNUMBER(SEARCH("vca",$J470)),ISNUMBER(SEARCH("Transformação",$J470))),"VCA",IF(OR(ISNUMBER(SEARCH("crava",$F470)),ISNUMBER(SEARCH("tubo cravado",$F470)),ISNUMBER(SEARCH("shaft",$J470)),ISNUMBER(SEARCH("concreto",$F470))),"TUBO CRAVADO","")))</f>
        <v/>
      </c>
      <c r="T470">
        <f>IF($A470="","",TEXT($A470,"yyyymm")&amp;"|"&amp;$C470&amp;"|"&amp;$F470&amp;"|"&amp;$N470&amp;"|"&amp;$R470)</f>
        <v/>
      </c>
    </row>
    <row r="471" ht="11.55" customHeight="1">
      <c r="A471" s="10" t="n">
        <v>46044</v>
      </c>
      <c r="B471" s="7" t="inlineStr">
        <is>
          <t>Quinta</t>
        </is>
      </c>
      <c r="C471" s="7" t="inlineStr">
        <is>
          <t>CT Jaraguá</t>
        </is>
      </c>
      <c r="D471" s="7" t="n"/>
      <c r="E471" s="7" t="inlineStr">
        <is>
          <t>Marcelo</t>
        </is>
      </c>
      <c r="F471" s="13" t="inlineStr">
        <is>
          <t>Transformação PV 01</t>
        </is>
      </c>
      <c r="G471" s="7" t="inlineStr">
        <is>
          <t>01</t>
        </is>
      </c>
      <c r="H471" s="7" t="n"/>
      <c r="I471" s="7" t="inlineStr">
        <is>
          <t>01</t>
        </is>
      </c>
      <c r="J471" s="7" t="inlineStr">
        <is>
          <t>Transformação</t>
        </is>
      </c>
      <c r="K471" s="7" t="inlineStr">
        <is>
          <t>Planejamento</t>
        </is>
      </c>
      <c r="L471" s="16" t="inlineStr">
        <is>
          <t>PDS-janeiro(1).docx</t>
        </is>
      </c>
      <c r="M471">
        <f>IF($A471="","",TEXT($A471,"mmmm/yyyy"))</f>
        <v/>
      </c>
      <c r="P471">
        <f>IFERROR(_xludf.XLOOKUP($N471,Base_Enderecos!$A:$A,Base_Enderecos!$B:$B,""),"")</f>
        <v/>
      </c>
      <c r="Q471">
        <f>IFERROR(_xludf.XLOOKUP($N471,Base_Enderecos!$A:$A,Base_Enderecos!$C:$C,""),"")</f>
        <v/>
      </c>
      <c r="R471">
        <f>IF(OR(ISNUMBER(SEARCH("HDD",$F471)),ISNUMBER(SEARCH("MND",$F471)),ISNUMBER(SEARCH("PEAD",$F471)),ISNUMBER(SEARCH("Puxe",$J471)),ISNUMBER(SEARCH("Apoio HDD",$F471))),"MND",IF(OR(ISNUMBER(SEARCH("VCA",$F471)),ISNUMBER(SEARCH("PVC",$F471)),ISNUMBER(SEARCH("vca",$J471)),ISNUMBER(SEARCH("Transformação",$J471))),"VCA",IF(OR(ISNUMBER(SEARCH("crava",$F471)),ISNUMBER(SEARCH("tubo cravado",$F471)),ISNUMBER(SEARCH("shaft",$J471)),ISNUMBER(SEARCH("concreto",$F471))),"TUBO CRAVADO","")))</f>
        <v/>
      </c>
      <c r="T471">
        <f>IF($A471="","",TEXT($A471,"yyyymm")&amp;"|"&amp;$C471&amp;"|"&amp;$F471&amp;"|"&amp;$N471&amp;"|"&amp;$R471)</f>
        <v/>
      </c>
    </row>
    <row r="472" ht="11.55" customHeight="1">
      <c r="A472" s="10" t="n">
        <v>46044</v>
      </c>
      <c r="B472" s="7" t="inlineStr">
        <is>
          <t>Quinta</t>
        </is>
      </c>
      <c r="C472" s="7" t="inlineStr">
        <is>
          <t>CT Jaraguá</t>
        </is>
      </c>
      <c r="D472" s="7" t="n"/>
      <c r="E472" s="7" t="inlineStr">
        <is>
          <t>Ribeiro</t>
        </is>
      </c>
      <c r="F472" s="13" t="inlineStr">
        <is>
          <t>alargador e passagem tubo entre PVs 02 ao 08</t>
        </is>
      </c>
      <c r="G472" s="7" t="inlineStr">
        <is>
          <t>02</t>
        </is>
      </c>
      <c r="H472" s="7" t="n"/>
      <c r="I472" s="7" t="inlineStr">
        <is>
          <t>02</t>
        </is>
      </c>
      <c r="J472" s="7" t="n"/>
      <c r="K472" s="7" t="inlineStr">
        <is>
          <t>Planejamento</t>
        </is>
      </c>
      <c r="L472" s="16" t="inlineStr">
        <is>
          <t>PDS-janeiro(1).docx</t>
        </is>
      </c>
      <c r="M472">
        <f>IF($A472="","",TEXT($A472,"mmmm/yyyy"))</f>
        <v/>
      </c>
      <c r="P472">
        <f>IFERROR(_xludf.XLOOKUP($N472,Base_Enderecos!$A:$A,Base_Enderecos!$B:$B,""),"")</f>
        <v/>
      </c>
      <c r="Q472">
        <f>IFERROR(_xludf.XLOOKUP($N472,Base_Enderecos!$A:$A,Base_Enderecos!$C:$C,""),"")</f>
        <v/>
      </c>
      <c r="R472">
        <f>IF(OR(ISNUMBER(SEARCH("HDD",$F472)),ISNUMBER(SEARCH("MND",$F472)),ISNUMBER(SEARCH("PEAD",$F472)),ISNUMBER(SEARCH("Puxe",$J472)),ISNUMBER(SEARCH("Apoio HDD",$F472))),"MND",IF(OR(ISNUMBER(SEARCH("VCA",$F472)),ISNUMBER(SEARCH("PVC",$F472)),ISNUMBER(SEARCH("vca",$J472)),ISNUMBER(SEARCH("Transformação",$J472))),"VCA",IF(OR(ISNUMBER(SEARCH("crava",$F472)),ISNUMBER(SEARCH("tubo cravado",$F472)),ISNUMBER(SEARCH("shaft",$J472)),ISNUMBER(SEARCH("concreto",$F472))),"TUBO CRAVADO","")))</f>
        <v/>
      </c>
      <c r="T472">
        <f>IF($A472="","",TEXT($A472,"yyyymm")&amp;"|"&amp;$C472&amp;"|"&amp;$F472&amp;"|"&amp;$N472&amp;"|"&amp;$R472)</f>
        <v/>
      </c>
    </row>
    <row r="473" ht="11.55" customHeight="1">
      <c r="A473" s="10" t="n">
        <v>46044</v>
      </c>
      <c r="B473" s="7" t="inlineStr">
        <is>
          <t>Quinta</t>
        </is>
      </c>
      <c r="C473" s="7" t="inlineStr">
        <is>
          <t>CT Jaraguá</t>
        </is>
      </c>
      <c r="D473" s="7" t="n"/>
      <c r="E473" s="7" t="inlineStr">
        <is>
          <t>Jonathan</t>
        </is>
      </c>
      <c r="F473" s="13" t="inlineStr">
        <is>
          <t>Apoio HDD entre PVs 02 ao 08</t>
        </is>
      </c>
      <c r="G473" s="7" t="inlineStr">
        <is>
          <t>02</t>
        </is>
      </c>
      <c r="H473" s="7" t="n"/>
      <c r="I473" s="7" t="inlineStr">
        <is>
          <t>02</t>
        </is>
      </c>
      <c r="J473" s="7" t="inlineStr">
        <is>
          <t>Apoio HDD</t>
        </is>
      </c>
      <c r="K473" s="7" t="inlineStr">
        <is>
          <t>Planejamento</t>
        </is>
      </c>
      <c r="L473" s="16" t="inlineStr">
        <is>
          <t>PDS-janeiro(1).docx</t>
        </is>
      </c>
      <c r="M473">
        <f>IF($A473="","",TEXT($A473,"mmmm/yyyy"))</f>
        <v/>
      </c>
      <c r="P473">
        <f>IFERROR(_xludf.XLOOKUP($N473,Base_Enderecos!$A:$A,Base_Enderecos!$B:$B,""),"")</f>
        <v/>
      </c>
      <c r="Q473">
        <f>IFERROR(_xludf.XLOOKUP($N473,Base_Enderecos!$A:$A,Base_Enderecos!$C:$C,""),"")</f>
        <v/>
      </c>
      <c r="R473">
        <f>IF(OR(ISNUMBER(SEARCH("HDD",$F473)),ISNUMBER(SEARCH("MND",$F473)),ISNUMBER(SEARCH("PEAD",$F473)),ISNUMBER(SEARCH("Puxe",$J473)),ISNUMBER(SEARCH("Apoio HDD",$F473))),"MND",IF(OR(ISNUMBER(SEARCH("VCA",$F473)),ISNUMBER(SEARCH("PVC",$F473)),ISNUMBER(SEARCH("vca",$J473)),ISNUMBER(SEARCH("Transformação",$J473))),"VCA",IF(OR(ISNUMBER(SEARCH("crava",$F473)),ISNUMBER(SEARCH("tubo cravado",$F473)),ISNUMBER(SEARCH("shaft",$J473)),ISNUMBER(SEARCH("concreto",$F473))),"TUBO CRAVADO","")))</f>
        <v/>
      </c>
      <c r="T473">
        <f>IF($A473="","",TEXT($A473,"yyyymm")&amp;"|"&amp;$C473&amp;"|"&amp;$F473&amp;"|"&amp;$N473&amp;"|"&amp;$R473)</f>
        <v/>
      </c>
    </row>
    <row r="474" ht="11.55" customHeight="1">
      <c r="A474" s="10" t="n">
        <v>46044</v>
      </c>
      <c r="B474" s="7" t="inlineStr">
        <is>
          <t>Quinta</t>
        </is>
      </c>
      <c r="C474" s="7" t="inlineStr">
        <is>
          <t>CT Lageado</t>
        </is>
      </c>
      <c r="D474" s="7" t="n"/>
      <c r="E474" s="7" t="inlineStr">
        <is>
          <t>Higor</t>
        </is>
      </c>
      <c r="F474" s="13" t="inlineStr">
        <is>
          <t>Ligação PV 5.1</t>
        </is>
      </c>
      <c r="G474" s="7" t="inlineStr">
        <is>
          <t>5.1</t>
        </is>
      </c>
      <c r="H474" s="7" t="n"/>
      <c r="I474" s="7" t="inlineStr">
        <is>
          <t>5.1</t>
        </is>
      </c>
      <c r="J474" s="7" t="n"/>
      <c r="K474" s="7" t="inlineStr">
        <is>
          <t>Planejamento</t>
        </is>
      </c>
      <c r="L474" s="16" t="inlineStr">
        <is>
          <t>PDS-janeiro(1).docx</t>
        </is>
      </c>
      <c r="M474">
        <f>IF($A474="","",TEXT($A474,"mmmm/yyyy"))</f>
        <v/>
      </c>
      <c r="P474">
        <f>IFERROR(_xludf.XLOOKUP($N474,Base_Enderecos!$A:$A,Base_Enderecos!$B:$B,""),"")</f>
        <v/>
      </c>
      <c r="Q474">
        <f>IFERROR(_xludf.XLOOKUP($N474,Base_Enderecos!$A:$A,Base_Enderecos!$C:$C,""),"")</f>
        <v/>
      </c>
      <c r="R474">
        <f>IF(OR(ISNUMBER(SEARCH("HDD",$F474)),ISNUMBER(SEARCH("MND",$F474)),ISNUMBER(SEARCH("PEAD",$F474)),ISNUMBER(SEARCH("Puxe",$J474)),ISNUMBER(SEARCH("Apoio HDD",$F474))),"MND",IF(OR(ISNUMBER(SEARCH("VCA",$F474)),ISNUMBER(SEARCH("PVC",$F474)),ISNUMBER(SEARCH("vca",$J474)),ISNUMBER(SEARCH("Transformação",$J474))),"VCA",IF(OR(ISNUMBER(SEARCH("crava",$F474)),ISNUMBER(SEARCH("tubo cravado",$F474)),ISNUMBER(SEARCH("shaft",$J474)),ISNUMBER(SEARCH("concreto",$F474))),"TUBO CRAVADO","")))</f>
        <v/>
      </c>
      <c r="T474">
        <f>IF($A474="","",TEXT($A474,"yyyymm")&amp;"|"&amp;$C474&amp;"|"&amp;$F474&amp;"|"&amp;$N474&amp;"|"&amp;$R474)</f>
        <v/>
      </c>
    </row>
    <row r="475" ht="11.55" customHeight="1">
      <c r="A475" s="10" t="n">
        <v>46044</v>
      </c>
      <c r="B475" s="7" t="inlineStr">
        <is>
          <t>Quinta</t>
        </is>
      </c>
      <c r="C475" s="7" t="inlineStr">
        <is>
          <t>CT Lageado</t>
        </is>
      </c>
      <c r="D475" s="7" t="n"/>
      <c r="E475" s="7" t="inlineStr">
        <is>
          <t>Sergio</t>
        </is>
      </c>
      <c r="F475" s="13" t="inlineStr">
        <is>
          <t>Ligações PV 18.1</t>
        </is>
      </c>
      <c r="G475" s="7" t="inlineStr">
        <is>
          <t>18.1</t>
        </is>
      </c>
      <c r="H475" s="7" t="n"/>
      <c r="I475" s="7" t="inlineStr">
        <is>
          <t>18.1</t>
        </is>
      </c>
      <c r="J475" s="7" t="inlineStr">
        <is>
          <t>Ligações</t>
        </is>
      </c>
      <c r="K475" s="7" t="inlineStr">
        <is>
          <t>Planejamento</t>
        </is>
      </c>
      <c r="L475" s="16" t="inlineStr">
        <is>
          <t>PDS-janeiro(1).docx</t>
        </is>
      </c>
      <c r="M475">
        <f>IF($A475="","",TEXT($A475,"mmmm/yyyy"))</f>
        <v/>
      </c>
      <c r="P475">
        <f>IFERROR(_xludf.XLOOKUP($N475,Base_Enderecos!$A:$A,Base_Enderecos!$B:$B,""),"")</f>
        <v/>
      </c>
      <c r="Q475">
        <f>IFERROR(_xludf.XLOOKUP($N475,Base_Enderecos!$A:$A,Base_Enderecos!$C:$C,""),"")</f>
        <v/>
      </c>
      <c r="R475">
        <f>IF(OR(ISNUMBER(SEARCH("HDD",$F475)),ISNUMBER(SEARCH("MND",$F475)),ISNUMBER(SEARCH("PEAD",$F475)),ISNUMBER(SEARCH("Puxe",$J475)),ISNUMBER(SEARCH("Apoio HDD",$F475))),"MND",IF(OR(ISNUMBER(SEARCH("VCA",$F475)),ISNUMBER(SEARCH("PVC",$F475)),ISNUMBER(SEARCH("vca",$J475)),ISNUMBER(SEARCH("Transformação",$J475))),"VCA",IF(OR(ISNUMBER(SEARCH("crava",$F475)),ISNUMBER(SEARCH("tubo cravado",$F475)),ISNUMBER(SEARCH("shaft",$J475)),ISNUMBER(SEARCH("concreto",$F475))),"TUBO CRAVADO","")))</f>
        <v/>
      </c>
      <c r="T475">
        <f>IF($A475="","",TEXT($A475,"yyyymm")&amp;"|"&amp;$C475&amp;"|"&amp;$F475&amp;"|"&amp;$N475&amp;"|"&amp;$R475)</f>
        <v/>
      </c>
    </row>
    <row r="476" ht="11.55" customHeight="1">
      <c r="A476" s="10" t="n">
        <v>46044</v>
      </c>
      <c r="B476" s="7" t="inlineStr">
        <is>
          <t>Quinta</t>
        </is>
      </c>
      <c r="C476" s="7" t="inlineStr">
        <is>
          <t>CT Lourdes</t>
        </is>
      </c>
      <c r="D476" s="7" t="n"/>
      <c r="E476" s="7" t="inlineStr">
        <is>
          <t>Cesar</t>
        </is>
      </c>
      <c r="F476" s="13" t="inlineStr">
        <is>
          <t>Limpeza PV 14</t>
        </is>
      </c>
      <c r="G476" s="7" t="inlineStr">
        <is>
          <t>14</t>
        </is>
      </c>
      <c r="H476" s="7" t="n"/>
      <c r="I476" s="7" t="inlineStr">
        <is>
          <t>14</t>
        </is>
      </c>
      <c r="J476" s="7" t="inlineStr">
        <is>
          <t>Limpeza</t>
        </is>
      </c>
      <c r="K476" s="7" t="inlineStr">
        <is>
          <t>Planejamento</t>
        </is>
      </c>
      <c r="L476" s="16" t="inlineStr">
        <is>
          <t>PDS-janeiro(1).docx</t>
        </is>
      </c>
      <c r="M476">
        <f>IF($A476="","",TEXT($A476,"mmmm/yyyy"))</f>
        <v/>
      </c>
      <c r="P476">
        <f>IFERROR(_xludf.XLOOKUP($N476,Base_Enderecos!$A:$A,Base_Enderecos!$B:$B,""),"")</f>
        <v/>
      </c>
      <c r="Q476">
        <f>IFERROR(_xludf.XLOOKUP($N476,Base_Enderecos!$A:$A,Base_Enderecos!$C:$C,""),"")</f>
        <v/>
      </c>
      <c r="R476">
        <f>IF(OR(ISNUMBER(SEARCH("HDD",$F476)),ISNUMBER(SEARCH("MND",$F476)),ISNUMBER(SEARCH("PEAD",$F476)),ISNUMBER(SEARCH("Puxe",$J476)),ISNUMBER(SEARCH("Apoio HDD",$F476))),"MND",IF(OR(ISNUMBER(SEARCH("VCA",$F476)),ISNUMBER(SEARCH("PVC",$F476)),ISNUMBER(SEARCH("vca",$J476)),ISNUMBER(SEARCH("Transformação",$J476))),"VCA",IF(OR(ISNUMBER(SEARCH("crava",$F476)),ISNUMBER(SEARCH("tubo cravado",$F476)),ISNUMBER(SEARCH("shaft",$J476)),ISNUMBER(SEARCH("concreto",$F476))),"TUBO CRAVADO","")))</f>
        <v/>
      </c>
      <c r="T476">
        <f>IF($A476="","",TEXT($A476,"yyyymm")&amp;"|"&amp;$C476&amp;"|"&amp;$F476&amp;"|"&amp;$N476&amp;"|"&amp;$R476)</f>
        <v/>
      </c>
    </row>
    <row r="477" ht="11.55" customHeight="1">
      <c r="A477" s="10" t="n">
        <v>46044</v>
      </c>
      <c r="B477" s="7" t="inlineStr">
        <is>
          <t>Quinta</t>
        </is>
      </c>
      <c r="C477" s="7" t="inlineStr">
        <is>
          <t>CT Lourdes</t>
        </is>
      </c>
      <c r="D477" s="7" t="n"/>
      <c r="E477" s="7" t="inlineStr">
        <is>
          <t>Edivando</t>
        </is>
      </c>
      <c r="F477" s="13" t="inlineStr">
        <is>
          <t>Transformação PV 22</t>
        </is>
      </c>
      <c r="G477" s="7" t="inlineStr">
        <is>
          <t>22</t>
        </is>
      </c>
      <c r="H477" s="7" t="n"/>
      <c r="I477" s="7" t="inlineStr">
        <is>
          <t>22</t>
        </is>
      </c>
      <c r="J477" s="7" t="inlineStr">
        <is>
          <t>Transformação</t>
        </is>
      </c>
      <c r="K477" s="7" t="inlineStr">
        <is>
          <t>Planejamento</t>
        </is>
      </c>
      <c r="L477" s="16" t="inlineStr">
        <is>
          <t>PDS-janeiro(1).docx</t>
        </is>
      </c>
      <c r="M477">
        <f>IF($A477="","",TEXT($A477,"mmmm/yyyy"))</f>
        <v/>
      </c>
      <c r="P477">
        <f>IFERROR(_xludf.XLOOKUP($N477,Base_Enderecos!$A:$A,Base_Enderecos!$B:$B,""),"")</f>
        <v/>
      </c>
      <c r="Q477">
        <f>IFERROR(_xludf.XLOOKUP($N477,Base_Enderecos!$A:$A,Base_Enderecos!$C:$C,""),"")</f>
        <v/>
      </c>
      <c r="R477">
        <f>IF(OR(ISNUMBER(SEARCH("HDD",$F477)),ISNUMBER(SEARCH("MND",$F477)),ISNUMBER(SEARCH("PEAD",$F477)),ISNUMBER(SEARCH("Puxe",$J477)),ISNUMBER(SEARCH("Apoio HDD",$F477))),"MND",IF(OR(ISNUMBER(SEARCH("VCA",$F477)),ISNUMBER(SEARCH("PVC",$F477)),ISNUMBER(SEARCH("vca",$J477)),ISNUMBER(SEARCH("Transformação",$J477))),"VCA",IF(OR(ISNUMBER(SEARCH("crava",$F477)),ISNUMBER(SEARCH("tubo cravado",$F477)),ISNUMBER(SEARCH("shaft",$J477)),ISNUMBER(SEARCH("concreto",$F477))),"TUBO CRAVADO","")))</f>
        <v/>
      </c>
      <c r="T477">
        <f>IF($A477="","",TEXT($A477,"yyyymm")&amp;"|"&amp;$C477&amp;"|"&amp;$F477&amp;"|"&amp;$N477&amp;"|"&amp;$R477)</f>
        <v/>
      </c>
    </row>
    <row r="478" ht="11.55" customHeight="1">
      <c r="A478" s="10" t="n">
        <v>46044</v>
      </c>
      <c r="B478" s="7" t="inlineStr">
        <is>
          <t>Quinta</t>
        </is>
      </c>
      <c r="C478" s="7" t="inlineStr">
        <is>
          <t>CT Lourdes</t>
        </is>
      </c>
      <c r="D478" s="7" t="n"/>
      <c r="E478" s="7" t="inlineStr">
        <is>
          <t>Natalino</t>
        </is>
      </c>
      <c r="F478" s="13" t="inlineStr">
        <is>
          <t>Apoio HDD PV 18</t>
        </is>
      </c>
      <c r="G478" s="7" t="inlineStr">
        <is>
          <t>18</t>
        </is>
      </c>
      <c r="H478" s="7" t="n"/>
      <c r="I478" s="7" t="inlineStr">
        <is>
          <t>18</t>
        </is>
      </c>
      <c r="J478" s="7" t="inlineStr">
        <is>
          <t>Apoio HDD</t>
        </is>
      </c>
      <c r="K478" s="7" t="inlineStr">
        <is>
          <t>Planejamento</t>
        </is>
      </c>
      <c r="L478" s="16" t="inlineStr">
        <is>
          <t>PDS-janeiro(1).docx</t>
        </is>
      </c>
      <c r="M478">
        <f>IF($A478="","",TEXT($A478,"mmmm/yyyy"))</f>
        <v/>
      </c>
      <c r="P478">
        <f>IFERROR(_xludf.XLOOKUP($N478,Base_Enderecos!$A:$A,Base_Enderecos!$B:$B,""),"")</f>
        <v/>
      </c>
      <c r="Q478">
        <f>IFERROR(_xludf.XLOOKUP($N478,Base_Enderecos!$A:$A,Base_Enderecos!$C:$C,""),"")</f>
        <v/>
      </c>
      <c r="R478">
        <f>IF(OR(ISNUMBER(SEARCH("HDD",$F478)),ISNUMBER(SEARCH("MND",$F478)),ISNUMBER(SEARCH("PEAD",$F478)),ISNUMBER(SEARCH("Puxe",$J478)),ISNUMBER(SEARCH("Apoio HDD",$F478))),"MND",IF(OR(ISNUMBER(SEARCH("VCA",$F478)),ISNUMBER(SEARCH("PVC",$F478)),ISNUMBER(SEARCH("vca",$J478)),ISNUMBER(SEARCH("Transformação",$J478))),"VCA",IF(OR(ISNUMBER(SEARCH("crava",$F478)),ISNUMBER(SEARCH("tubo cravado",$F478)),ISNUMBER(SEARCH("shaft",$J478)),ISNUMBER(SEARCH("concreto",$F478))),"TUBO CRAVADO","")))</f>
        <v/>
      </c>
      <c r="T478">
        <f>IF($A478="","",TEXT($A478,"yyyymm")&amp;"|"&amp;$C478&amp;"|"&amp;$F478&amp;"|"&amp;$N478&amp;"|"&amp;$R478)</f>
        <v/>
      </c>
    </row>
    <row r="479" ht="11.55" customHeight="1">
      <c r="A479" s="10" t="n">
        <v>46044</v>
      </c>
      <c r="B479" s="7" t="inlineStr">
        <is>
          <t>Quinta</t>
        </is>
      </c>
      <c r="C479" s="7" t="inlineStr">
        <is>
          <t>CT Lourdes</t>
        </is>
      </c>
      <c r="D479" s="7" t="n"/>
      <c r="E479" s="7" t="inlineStr">
        <is>
          <t>Paulo (Medeiros)</t>
        </is>
      </c>
      <c r="F479" s="13" t="inlineStr">
        <is>
          <t>Readequação da Via</t>
        </is>
      </c>
      <c r="G479" s="7" t="n"/>
      <c r="H479" s="7" t="n"/>
      <c r="I479" s="7" t="n"/>
      <c r="J479" s="7" t="inlineStr">
        <is>
          <t>Adequação</t>
        </is>
      </c>
      <c r="K479" s="7" t="inlineStr">
        <is>
          <t>Planejamento</t>
        </is>
      </c>
      <c r="L479" s="16" t="inlineStr">
        <is>
          <t>PDS-janeiro(1).docx</t>
        </is>
      </c>
      <c r="M479">
        <f>IF($A479="","",TEXT($A479,"mmmm/yyyy"))</f>
        <v/>
      </c>
      <c r="P479">
        <f>IFERROR(_xludf.XLOOKUP($N479,Base_Enderecos!$A:$A,Base_Enderecos!$B:$B,""),"")</f>
        <v/>
      </c>
      <c r="Q479">
        <f>IFERROR(_xludf.XLOOKUP($N479,Base_Enderecos!$A:$A,Base_Enderecos!$C:$C,""),"")</f>
        <v/>
      </c>
      <c r="R479">
        <f>IF(OR(ISNUMBER(SEARCH("HDD",$F479)),ISNUMBER(SEARCH("MND",$F479)),ISNUMBER(SEARCH("PEAD",$F479)),ISNUMBER(SEARCH("Puxe",$J479)),ISNUMBER(SEARCH("Apoio HDD",$F479))),"MND",IF(OR(ISNUMBER(SEARCH("VCA",$F479)),ISNUMBER(SEARCH("PVC",$F479)),ISNUMBER(SEARCH("vca",$J479)),ISNUMBER(SEARCH("Transformação",$J479))),"VCA",IF(OR(ISNUMBER(SEARCH("crava",$F479)),ISNUMBER(SEARCH("tubo cravado",$F479)),ISNUMBER(SEARCH("shaft",$J479)),ISNUMBER(SEARCH("concreto",$F479))),"TUBO CRAVADO","")))</f>
        <v/>
      </c>
      <c r="T479">
        <f>IF($A479="","",TEXT($A479,"yyyymm")&amp;"|"&amp;$C479&amp;"|"&amp;$F479&amp;"|"&amp;$N479&amp;"|"&amp;$R479)</f>
        <v/>
      </c>
    </row>
    <row r="480" ht="11.55" customHeight="1">
      <c r="A480" s="10" t="n">
        <v>46044</v>
      </c>
      <c r="B480" s="7" t="inlineStr">
        <is>
          <t>Quinta</t>
        </is>
      </c>
      <c r="C480" s="7" t="inlineStr">
        <is>
          <t>CT Mar de Coral</t>
        </is>
      </c>
      <c r="D480" s="7" t="n"/>
      <c r="E480" s="7" t="inlineStr">
        <is>
          <t>Valter</t>
        </is>
      </c>
      <c r="F480" s="13" t="inlineStr">
        <is>
          <t>Acabamento PV 03</t>
        </is>
      </c>
      <c r="G480" s="7" t="inlineStr">
        <is>
          <t>03</t>
        </is>
      </c>
      <c r="H480" s="7" t="n"/>
      <c r="I480" s="7" t="inlineStr">
        <is>
          <t>03</t>
        </is>
      </c>
      <c r="J480" s="7" t="inlineStr">
        <is>
          <t>Acabamento</t>
        </is>
      </c>
      <c r="K480" s="7" t="inlineStr">
        <is>
          <t>Planejamento</t>
        </is>
      </c>
      <c r="L480" s="16" t="inlineStr">
        <is>
          <t>PDS-janeiro(1).docx</t>
        </is>
      </c>
      <c r="M480">
        <f>IF($A480="","",TEXT($A480,"mmmm/yyyy"))</f>
        <v/>
      </c>
      <c r="P480">
        <f>IFERROR(_xludf.XLOOKUP($N480,Base_Enderecos!$A:$A,Base_Enderecos!$B:$B,""),"")</f>
        <v/>
      </c>
      <c r="Q480">
        <f>IFERROR(_xludf.XLOOKUP($N480,Base_Enderecos!$A:$A,Base_Enderecos!$C:$C,""),"")</f>
        <v/>
      </c>
      <c r="R480">
        <f>IF(OR(ISNUMBER(SEARCH("HDD",$F480)),ISNUMBER(SEARCH("MND",$F480)),ISNUMBER(SEARCH("PEAD",$F480)),ISNUMBER(SEARCH("Puxe",$J480)),ISNUMBER(SEARCH("Apoio HDD",$F480))),"MND",IF(OR(ISNUMBER(SEARCH("VCA",$F480)),ISNUMBER(SEARCH("PVC",$F480)),ISNUMBER(SEARCH("vca",$J480)),ISNUMBER(SEARCH("Transformação",$J480))),"VCA",IF(OR(ISNUMBER(SEARCH("crava",$F480)),ISNUMBER(SEARCH("tubo cravado",$F480)),ISNUMBER(SEARCH("shaft",$J480)),ISNUMBER(SEARCH("concreto",$F480))),"TUBO CRAVADO","")))</f>
        <v/>
      </c>
      <c r="T480">
        <f>IF($A480="","",TEXT($A480,"yyyymm")&amp;"|"&amp;$C480&amp;"|"&amp;$F480&amp;"|"&amp;$N480&amp;"|"&amp;$R480)</f>
        <v/>
      </c>
    </row>
    <row r="481" ht="11.55" customHeight="1">
      <c r="A481" s="10" t="n">
        <v>46044</v>
      </c>
      <c r="B481" s="7" t="inlineStr">
        <is>
          <t>Quinta</t>
        </is>
      </c>
      <c r="C481" s="7" t="inlineStr">
        <is>
          <t>CT Mar de Coral</t>
        </is>
      </c>
      <c r="D481" s="7" t="n"/>
      <c r="E481" s="7" t="inlineStr">
        <is>
          <t>Bruno (Work Drill)</t>
        </is>
      </c>
      <c r="F481" s="13" t="inlineStr">
        <is>
          <t>Execução furo piloto entre PVs 04 ao 05.1</t>
        </is>
      </c>
      <c r="G481" s="7" t="inlineStr">
        <is>
          <t>04</t>
        </is>
      </c>
      <c r="H481" s="7" t="n"/>
      <c r="I481" s="7" t="inlineStr">
        <is>
          <t>04</t>
        </is>
      </c>
      <c r="J481" s="7" t="inlineStr">
        <is>
          <t>Furo piloto</t>
        </is>
      </c>
      <c r="K481" s="7" t="inlineStr">
        <is>
          <t>Planejamento</t>
        </is>
      </c>
      <c r="L481" s="16" t="inlineStr">
        <is>
          <t>PDS-janeiro(1).docx</t>
        </is>
      </c>
      <c r="M481">
        <f>IF($A481="","",TEXT($A481,"mmmm/yyyy"))</f>
        <v/>
      </c>
      <c r="P481">
        <f>IFERROR(_xludf.XLOOKUP($N481,Base_Enderecos!$A:$A,Base_Enderecos!$B:$B,""),"")</f>
        <v/>
      </c>
      <c r="Q481">
        <f>IFERROR(_xludf.XLOOKUP($N481,Base_Enderecos!$A:$A,Base_Enderecos!$C:$C,""),"")</f>
        <v/>
      </c>
      <c r="R481">
        <f>IF(OR(ISNUMBER(SEARCH("HDD",$F481)),ISNUMBER(SEARCH("MND",$F481)),ISNUMBER(SEARCH("PEAD",$F481)),ISNUMBER(SEARCH("Puxe",$J481)),ISNUMBER(SEARCH("Apoio HDD",$F481))),"MND",IF(OR(ISNUMBER(SEARCH("VCA",$F481)),ISNUMBER(SEARCH("PVC",$F481)),ISNUMBER(SEARCH("vca",$J481)),ISNUMBER(SEARCH("Transformação",$J481))),"VCA",IF(OR(ISNUMBER(SEARCH("crava",$F481)),ISNUMBER(SEARCH("tubo cravado",$F481)),ISNUMBER(SEARCH("shaft",$J481)),ISNUMBER(SEARCH("concreto",$F481))),"TUBO CRAVADO","")))</f>
        <v/>
      </c>
      <c r="T481">
        <f>IF($A481="","",TEXT($A481,"yyyymm")&amp;"|"&amp;$C481&amp;"|"&amp;$F481&amp;"|"&amp;$N481&amp;"|"&amp;$R481)</f>
        <v/>
      </c>
    </row>
    <row r="482" ht="11.55" customHeight="1">
      <c r="A482" s="10" t="n">
        <v>46044</v>
      </c>
      <c r="B482" s="7" t="inlineStr">
        <is>
          <t>Quinta</t>
        </is>
      </c>
      <c r="C482" s="7" t="inlineStr">
        <is>
          <t>CT Mar de Coral</t>
        </is>
      </c>
      <c r="D482" s="7" t="n"/>
      <c r="E482" s="7" t="inlineStr">
        <is>
          <t>Márcio</t>
        </is>
      </c>
      <c r="F482" s="13" t="inlineStr">
        <is>
          <t>Apoio HDD entre PVs 04 ao 05.1</t>
        </is>
      </c>
      <c r="G482" s="7" t="inlineStr">
        <is>
          <t>04</t>
        </is>
      </c>
      <c r="H482" s="7" t="n"/>
      <c r="I482" s="7" t="inlineStr">
        <is>
          <t>04</t>
        </is>
      </c>
      <c r="J482" s="7" t="inlineStr">
        <is>
          <t>Apoio HDD</t>
        </is>
      </c>
      <c r="K482" s="7" t="inlineStr">
        <is>
          <t>Planejamento</t>
        </is>
      </c>
      <c r="L482" s="16" t="inlineStr">
        <is>
          <t>PDS-janeiro(1).docx</t>
        </is>
      </c>
      <c r="M482">
        <f>IF($A482="","",TEXT($A482,"mmmm/yyyy"))</f>
        <v/>
      </c>
      <c r="P482">
        <f>IFERROR(_xludf.XLOOKUP($N482,Base_Enderecos!$A:$A,Base_Enderecos!$B:$B,""),"")</f>
        <v/>
      </c>
      <c r="Q482">
        <f>IFERROR(_xludf.XLOOKUP($N482,Base_Enderecos!$A:$A,Base_Enderecos!$C:$C,""),"")</f>
        <v/>
      </c>
      <c r="R482">
        <f>IF(OR(ISNUMBER(SEARCH("HDD",$F482)),ISNUMBER(SEARCH("MND",$F482)),ISNUMBER(SEARCH("PEAD",$F482)),ISNUMBER(SEARCH("Puxe",$J482)),ISNUMBER(SEARCH("Apoio HDD",$F482))),"MND",IF(OR(ISNUMBER(SEARCH("VCA",$F482)),ISNUMBER(SEARCH("PVC",$F482)),ISNUMBER(SEARCH("vca",$J482)),ISNUMBER(SEARCH("Transformação",$J482))),"VCA",IF(OR(ISNUMBER(SEARCH("crava",$F482)),ISNUMBER(SEARCH("tubo cravado",$F482)),ISNUMBER(SEARCH("shaft",$J482)),ISNUMBER(SEARCH("concreto",$F482))),"TUBO CRAVADO","")))</f>
        <v/>
      </c>
      <c r="T482">
        <f>IF($A482="","",TEXT($A482,"yyyymm")&amp;"|"&amp;$C482&amp;"|"&amp;$F482&amp;"|"&amp;$N482&amp;"|"&amp;$R482)</f>
        <v/>
      </c>
    </row>
    <row r="483" ht="11.55" customHeight="1">
      <c r="A483" s="10" t="n">
        <v>46044</v>
      </c>
      <c r="B483" s="7" t="inlineStr">
        <is>
          <t>Quinta</t>
        </is>
      </c>
      <c r="C483" s="7" t="inlineStr">
        <is>
          <t>CT Mar de Coral</t>
        </is>
      </c>
      <c r="D483" s="7" t="n"/>
      <c r="E483" s="7" t="inlineStr">
        <is>
          <t>Carlos</t>
        </is>
      </c>
      <c r="F483" s="13" t="inlineStr">
        <is>
          <t>Adequação PVs</t>
        </is>
      </c>
      <c r="G483" s="7" t="n"/>
      <c r="H483" s="7" t="n"/>
      <c r="I483" s="7" t="n"/>
      <c r="J483" s="7" t="inlineStr">
        <is>
          <t>Adequação</t>
        </is>
      </c>
      <c r="K483" s="7" t="inlineStr">
        <is>
          <t>Planejamento</t>
        </is>
      </c>
      <c r="L483" s="16" t="inlineStr">
        <is>
          <t>PDS-janeiro(1).docx</t>
        </is>
      </c>
      <c r="M483">
        <f>IF($A483="","",TEXT($A483,"mmmm/yyyy"))</f>
        <v/>
      </c>
      <c r="P483">
        <f>IFERROR(_xludf.XLOOKUP($N483,Base_Enderecos!$A:$A,Base_Enderecos!$B:$B,""),"")</f>
        <v/>
      </c>
      <c r="Q483">
        <f>IFERROR(_xludf.XLOOKUP($N483,Base_Enderecos!$A:$A,Base_Enderecos!$C:$C,""),"")</f>
        <v/>
      </c>
      <c r="R483">
        <f>IF(OR(ISNUMBER(SEARCH("HDD",$F483)),ISNUMBER(SEARCH("MND",$F483)),ISNUMBER(SEARCH("PEAD",$F483)),ISNUMBER(SEARCH("Puxe",$J483)),ISNUMBER(SEARCH("Apoio HDD",$F483))),"MND",IF(OR(ISNUMBER(SEARCH("VCA",$F483)),ISNUMBER(SEARCH("PVC",$F483)),ISNUMBER(SEARCH("vca",$J483)),ISNUMBER(SEARCH("Transformação",$J483))),"VCA",IF(OR(ISNUMBER(SEARCH("crava",$F483)),ISNUMBER(SEARCH("tubo cravado",$F483)),ISNUMBER(SEARCH("shaft",$J483)),ISNUMBER(SEARCH("concreto",$F483))),"TUBO CRAVADO","")))</f>
        <v/>
      </c>
      <c r="T483">
        <f>IF($A483="","",TEXT($A483,"yyyymm")&amp;"|"&amp;$C483&amp;"|"&amp;$F483&amp;"|"&amp;$N483&amp;"|"&amp;$R483)</f>
        <v/>
      </c>
    </row>
    <row r="484" ht="11.55" customHeight="1">
      <c r="A484" s="10" t="n">
        <v>46044</v>
      </c>
      <c r="B484" s="7" t="inlineStr">
        <is>
          <t>Quinta</t>
        </is>
      </c>
      <c r="C484" s="7" t="inlineStr">
        <is>
          <t>Vacal</t>
        </is>
      </c>
      <c r="D484" s="7" t="n"/>
      <c r="E484" s="7" t="inlineStr">
        <is>
          <t>Lourdes</t>
        </is>
      </c>
      <c r="F484" s="13" t="inlineStr">
        <is>
          <t>Apoio Vacal</t>
        </is>
      </c>
      <c r="G484" s="7" t="n"/>
      <c r="H484" s="7" t="n"/>
      <c r="I484" s="7" t="n"/>
      <c r="J484" s="7" t="inlineStr">
        <is>
          <t>Vacal</t>
        </is>
      </c>
      <c r="K484" s="7" t="inlineStr">
        <is>
          <t>Apoio</t>
        </is>
      </c>
      <c r="L484" s="16" t="inlineStr">
        <is>
          <t>PDS-janeiro(1).docx</t>
        </is>
      </c>
      <c r="M484">
        <f>IF($A484="","",TEXT($A484,"mmmm/yyyy"))</f>
        <v/>
      </c>
      <c r="P484">
        <f>IFERROR(_xludf.XLOOKUP($N484,Base_Enderecos!$A:$A,Base_Enderecos!$B:$B,""),"")</f>
        <v/>
      </c>
      <c r="Q484">
        <f>IFERROR(_xludf.XLOOKUP($N484,Base_Enderecos!$A:$A,Base_Enderecos!$C:$C,""),"")</f>
        <v/>
      </c>
      <c r="R484">
        <f>IF(OR(ISNUMBER(SEARCH("HDD",$F484)),ISNUMBER(SEARCH("MND",$F484)),ISNUMBER(SEARCH("PEAD",$F484)),ISNUMBER(SEARCH("Puxe",$J484)),ISNUMBER(SEARCH("Apoio HDD",$F484))),"MND",IF(OR(ISNUMBER(SEARCH("VCA",$F484)),ISNUMBER(SEARCH("PVC",$F484)),ISNUMBER(SEARCH("vca",$J484)),ISNUMBER(SEARCH("Transformação",$J484))),"VCA",IF(OR(ISNUMBER(SEARCH("crava",$F484)),ISNUMBER(SEARCH("tubo cravado",$F484)),ISNUMBER(SEARCH("shaft",$J484)),ISNUMBER(SEARCH("concreto",$F484))),"TUBO CRAVADO","")))</f>
        <v/>
      </c>
      <c r="T484">
        <f>IF($A484="","",TEXT($A484,"yyyymm")&amp;"|"&amp;$C484&amp;"|"&amp;$F484&amp;"|"&amp;$N484&amp;"|"&amp;$R484)</f>
        <v/>
      </c>
    </row>
    <row r="485" ht="11.55" customHeight="1">
      <c r="A485" s="10" t="n">
        <v>46044</v>
      </c>
      <c r="B485" s="7" t="inlineStr">
        <is>
          <t>Quinta</t>
        </is>
      </c>
      <c r="C485" s="7" t="inlineStr">
        <is>
          <t>Vacal</t>
        </is>
      </c>
      <c r="D485" s="7" t="n"/>
      <c r="E485" s="7" t="inlineStr">
        <is>
          <t>Lourdes</t>
        </is>
      </c>
      <c r="F485" s="13" t="inlineStr">
        <is>
          <t>Apoio Vacal</t>
        </is>
      </c>
      <c r="G485" s="7" t="n"/>
      <c r="H485" s="7" t="n"/>
      <c r="I485" s="7" t="n"/>
      <c r="J485" s="7" t="inlineStr">
        <is>
          <t>Vacal</t>
        </is>
      </c>
      <c r="K485" s="7" t="inlineStr">
        <is>
          <t>Apoio</t>
        </is>
      </c>
      <c r="L485" s="16" t="inlineStr">
        <is>
          <t>PDS-janeiro(1).docx</t>
        </is>
      </c>
      <c r="M485">
        <f>IF($A485="","",TEXT($A485,"mmmm/yyyy"))</f>
        <v/>
      </c>
      <c r="P485">
        <f>IFERROR(_xludf.XLOOKUP($N485,Base_Enderecos!$A:$A,Base_Enderecos!$B:$B,""),"")</f>
        <v/>
      </c>
      <c r="Q485">
        <f>IFERROR(_xludf.XLOOKUP($N485,Base_Enderecos!$A:$A,Base_Enderecos!$C:$C,""),"")</f>
        <v/>
      </c>
      <c r="R485">
        <f>IF(OR(ISNUMBER(SEARCH("HDD",$F485)),ISNUMBER(SEARCH("MND",$F485)),ISNUMBER(SEARCH("PEAD",$F485)),ISNUMBER(SEARCH("Puxe",$J485)),ISNUMBER(SEARCH("Apoio HDD",$F485))),"MND",IF(OR(ISNUMBER(SEARCH("VCA",$F485)),ISNUMBER(SEARCH("PVC",$F485)),ISNUMBER(SEARCH("vca",$J485)),ISNUMBER(SEARCH("Transformação",$J485))),"VCA",IF(OR(ISNUMBER(SEARCH("crava",$F485)),ISNUMBER(SEARCH("tubo cravado",$F485)),ISNUMBER(SEARCH("shaft",$J485)),ISNUMBER(SEARCH("concreto",$F485))),"TUBO CRAVADO","")))</f>
        <v/>
      </c>
      <c r="T485">
        <f>IF($A485="","",TEXT($A485,"yyyymm")&amp;"|"&amp;$C485&amp;"|"&amp;$F485&amp;"|"&amp;$N485&amp;"|"&amp;$R485)</f>
        <v/>
      </c>
    </row>
    <row r="486" ht="11.55" customHeight="1">
      <c r="A486" s="10" t="n">
        <v>46044</v>
      </c>
      <c r="B486" s="7" t="inlineStr">
        <is>
          <t>Quinta</t>
        </is>
      </c>
      <c r="C486" s="7" t="inlineStr">
        <is>
          <t>Vacal</t>
        </is>
      </c>
      <c r="D486" s="7" t="n"/>
      <c r="E486" s="7" t="inlineStr">
        <is>
          <t>Mar de Coral</t>
        </is>
      </c>
      <c r="F486" s="13" t="inlineStr">
        <is>
          <t>Apoio Vacal</t>
        </is>
      </c>
      <c r="G486" s="7" t="n"/>
      <c r="H486" s="7" t="n"/>
      <c r="I486" s="7" t="n"/>
      <c r="J486" s="7" t="inlineStr">
        <is>
          <t>Vacal</t>
        </is>
      </c>
      <c r="K486" s="7" t="inlineStr">
        <is>
          <t>Apoio</t>
        </is>
      </c>
      <c r="L486" s="16" t="inlineStr">
        <is>
          <t>PDS-janeiro(1).docx</t>
        </is>
      </c>
      <c r="M486">
        <f>IF($A486="","",TEXT($A486,"mmmm/yyyy"))</f>
        <v/>
      </c>
      <c r="P486">
        <f>IFERROR(_xludf.XLOOKUP($N486,Base_Enderecos!$A:$A,Base_Enderecos!$B:$B,""),"")</f>
        <v/>
      </c>
      <c r="Q486">
        <f>IFERROR(_xludf.XLOOKUP($N486,Base_Enderecos!$A:$A,Base_Enderecos!$C:$C,""),"")</f>
        <v/>
      </c>
      <c r="R486">
        <f>IF(OR(ISNUMBER(SEARCH("HDD",$F486)),ISNUMBER(SEARCH("MND",$F486)),ISNUMBER(SEARCH("PEAD",$F486)),ISNUMBER(SEARCH("Puxe",$J486)),ISNUMBER(SEARCH("Apoio HDD",$F486))),"MND",IF(OR(ISNUMBER(SEARCH("VCA",$F486)),ISNUMBER(SEARCH("PVC",$F486)),ISNUMBER(SEARCH("vca",$J486)),ISNUMBER(SEARCH("Transformação",$J486))),"VCA",IF(OR(ISNUMBER(SEARCH("crava",$F486)),ISNUMBER(SEARCH("tubo cravado",$F486)),ISNUMBER(SEARCH("shaft",$J486)),ISNUMBER(SEARCH("concreto",$F486))),"TUBO CRAVADO","")))</f>
        <v/>
      </c>
      <c r="T486">
        <f>IF($A486="","",TEXT($A486,"yyyymm")&amp;"|"&amp;$C486&amp;"|"&amp;$F486&amp;"|"&amp;$N486&amp;"|"&amp;$R486)</f>
        <v/>
      </c>
    </row>
    <row r="487" ht="11.55" customHeight="1">
      <c r="A487" s="10" t="n">
        <v>46044</v>
      </c>
      <c r="B487" s="7" t="inlineStr">
        <is>
          <t>Quinta</t>
        </is>
      </c>
      <c r="C487" s="7" t="inlineStr">
        <is>
          <t>Vacal</t>
        </is>
      </c>
      <c r="D487" s="7" t="n"/>
      <c r="E487" s="7" t="inlineStr">
        <is>
          <t>Jaraguá</t>
        </is>
      </c>
      <c r="F487" s="13" t="inlineStr">
        <is>
          <t>Apoio Vacal</t>
        </is>
      </c>
      <c r="G487" s="7" t="n"/>
      <c r="H487" s="7" t="n"/>
      <c r="I487" s="7" t="n"/>
      <c r="J487" s="7" t="inlineStr">
        <is>
          <t>Vacal</t>
        </is>
      </c>
      <c r="K487" s="7" t="inlineStr">
        <is>
          <t>Apoio</t>
        </is>
      </c>
      <c r="L487" s="16" t="inlineStr">
        <is>
          <t>PDS-janeiro(1).docx</t>
        </is>
      </c>
      <c r="M487">
        <f>IF($A487="","",TEXT($A487,"mmmm/yyyy"))</f>
        <v/>
      </c>
      <c r="P487">
        <f>IFERROR(_xludf.XLOOKUP($N487,Base_Enderecos!$A:$A,Base_Enderecos!$B:$B,""),"")</f>
        <v/>
      </c>
      <c r="Q487">
        <f>IFERROR(_xludf.XLOOKUP($N487,Base_Enderecos!$A:$A,Base_Enderecos!$C:$C,""),"")</f>
        <v/>
      </c>
      <c r="R487">
        <f>IF(OR(ISNUMBER(SEARCH("HDD",$F487)),ISNUMBER(SEARCH("MND",$F487)),ISNUMBER(SEARCH("PEAD",$F487)),ISNUMBER(SEARCH("Puxe",$J487)),ISNUMBER(SEARCH("Apoio HDD",$F487))),"MND",IF(OR(ISNUMBER(SEARCH("VCA",$F487)),ISNUMBER(SEARCH("PVC",$F487)),ISNUMBER(SEARCH("vca",$J487)),ISNUMBER(SEARCH("Transformação",$J487))),"VCA",IF(OR(ISNUMBER(SEARCH("crava",$F487)),ISNUMBER(SEARCH("tubo cravado",$F487)),ISNUMBER(SEARCH("shaft",$J487)),ISNUMBER(SEARCH("concreto",$F487))),"TUBO CRAVADO","")))</f>
        <v/>
      </c>
      <c r="T487">
        <f>IF($A487="","",TEXT($A487,"yyyymm")&amp;"|"&amp;$C487&amp;"|"&amp;$F487&amp;"|"&amp;$N487&amp;"|"&amp;$R487)</f>
        <v/>
      </c>
    </row>
    <row r="488" ht="11.55" customHeight="1">
      <c r="A488" s="10" t="n">
        <v>46044</v>
      </c>
      <c r="B488" s="7" t="inlineStr">
        <is>
          <t>Quinta</t>
        </is>
      </c>
      <c r="C488" s="7" t="inlineStr">
        <is>
          <t>Guindauto</t>
        </is>
      </c>
      <c r="D488" s="7" t="n"/>
      <c r="E488" s="7" t="inlineStr">
        <is>
          <t>Rodrigo Apoio as equipes</t>
        </is>
      </c>
      <c r="F488" s="13" t="inlineStr">
        <is>
          <t>Rodrigo Apoio as equipes</t>
        </is>
      </c>
      <c r="G488" s="7" t="n"/>
      <c r="H488" s="7" t="n"/>
      <c r="I488" s="7" t="n"/>
      <c r="J488" s="7" t="inlineStr">
        <is>
          <t>Guindauto</t>
        </is>
      </c>
      <c r="K488" s="7" t="inlineStr">
        <is>
          <t>Apoio</t>
        </is>
      </c>
      <c r="L488" s="16" t="inlineStr">
        <is>
          <t>PDS-janeiro(1).docx</t>
        </is>
      </c>
      <c r="M488">
        <f>IF($A488="","",TEXT($A488,"mmmm/yyyy"))</f>
        <v/>
      </c>
      <c r="P488">
        <f>IFERROR(_xludf.XLOOKUP($N488,Base_Enderecos!$A:$A,Base_Enderecos!$B:$B,""),"")</f>
        <v/>
      </c>
      <c r="Q488">
        <f>IFERROR(_xludf.XLOOKUP($N488,Base_Enderecos!$A:$A,Base_Enderecos!$C:$C,""),"")</f>
        <v/>
      </c>
      <c r="R488">
        <f>IF(OR(ISNUMBER(SEARCH("HDD",$F488)),ISNUMBER(SEARCH("MND",$F488)),ISNUMBER(SEARCH("PEAD",$F488)),ISNUMBER(SEARCH("Puxe",$J488)),ISNUMBER(SEARCH("Apoio HDD",$F488))),"MND",IF(OR(ISNUMBER(SEARCH("VCA",$F488)),ISNUMBER(SEARCH("PVC",$F488)),ISNUMBER(SEARCH("vca",$J488)),ISNUMBER(SEARCH("Transformação",$J488))),"VCA",IF(OR(ISNUMBER(SEARCH("crava",$F488)),ISNUMBER(SEARCH("tubo cravado",$F488)),ISNUMBER(SEARCH("shaft",$J488)),ISNUMBER(SEARCH("concreto",$F488))),"TUBO CRAVADO","")))</f>
        <v/>
      </c>
      <c r="T488">
        <f>IF($A488="","",TEXT($A488,"yyyymm")&amp;"|"&amp;$C488&amp;"|"&amp;$F488&amp;"|"&amp;$N488&amp;"|"&amp;$R488)</f>
        <v/>
      </c>
    </row>
    <row r="489" ht="11.55" customHeight="1">
      <c r="A489" s="10" t="n">
        <v>46044</v>
      </c>
      <c r="B489" s="7" t="inlineStr">
        <is>
          <t>Quinta</t>
        </is>
      </c>
      <c r="C489" s="7" t="inlineStr">
        <is>
          <t>Guindauto</t>
        </is>
      </c>
      <c r="D489" s="7" t="n"/>
      <c r="E489" s="7" t="inlineStr">
        <is>
          <t>Marcio</t>
        </is>
      </c>
      <c r="F489" s="13" t="inlineStr">
        <is>
          <t>Marcio</t>
        </is>
      </c>
      <c r="G489" s="7" t="n"/>
      <c r="H489" s="7" t="n"/>
      <c r="I489" s="7" t="n"/>
      <c r="J489" s="7" t="inlineStr">
        <is>
          <t>Guindauto</t>
        </is>
      </c>
      <c r="K489" s="7" t="inlineStr">
        <is>
          <t>Apoio</t>
        </is>
      </c>
      <c r="L489" s="16" t="inlineStr">
        <is>
          <t>PDS-janeiro(1).docx</t>
        </is>
      </c>
      <c r="M489">
        <f>IF($A489="","",TEXT($A489,"mmmm/yyyy"))</f>
        <v/>
      </c>
      <c r="P489">
        <f>IFERROR(_xludf.XLOOKUP($N489,Base_Enderecos!$A:$A,Base_Enderecos!$B:$B,""),"")</f>
        <v/>
      </c>
      <c r="Q489">
        <f>IFERROR(_xludf.XLOOKUP($N489,Base_Enderecos!$A:$A,Base_Enderecos!$C:$C,""),"")</f>
        <v/>
      </c>
      <c r="R489">
        <f>IF(OR(ISNUMBER(SEARCH("HDD",$F489)),ISNUMBER(SEARCH("MND",$F489)),ISNUMBER(SEARCH("PEAD",$F489)),ISNUMBER(SEARCH("Puxe",$J489)),ISNUMBER(SEARCH("Apoio HDD",$F489))),"MND",IF(OR(ISNUMBER(SEARCH("VCA",$F489)),ISNUMBER(SEARCH("PVC",$F489)),ISNUMBER(SEARCH("vca",$J489)),ISNUMBER(SEARCH("Transformação",$J489))),"VCA",IF(OR(ISNUMBER(SEARCH("crava",$F489)),ISNUMBER(SEARCH("tubo cravado",$F489)),ISNUMBER(SEARCH("shaft",$J489)),ISNUMBER(SEARCH("concreto",$F489))),"TUBO CRAVADO","")))</f>
        <v/>
      </c>
      <c r="T489">
        <f>IF($A489="","",TEXT($A489,"yyyymm")&amp;"|"&amp;$C489&amp;"|"&amp;$F489&amp;"|"&amp;$N489&amp;"|"&amp;$R489)</f>
        <v/>
      </c>
    </row>
    <row r="490" ht="11.55" customHeight="1">
      <c r="A490" s="10" t="n">
        <v>46045</v>
      </c>
      <c r="B490" s="7" t="inlineStr">
        <is>
          <t>Sexta</t>
        </is>
      </c>
      <c r="C490" s="7" t="inlineStr">
        <is>
          <t>SOUTO MAIOR</t>
        </is>
      </c>
      <c r="D490" s="7" t="n"/>
      <c r="E490" s="7" t="inlineStr">
        <is>
          <t>Paulo</t>
        </is>
      </c>
      <c r="F490" s="13" t="inlineStr">
        <is>
          <t>Ligações</t>
        </is>
      </c>
      <c r="G490" s="7" t="n"/>
      <c r="H490" s="7" t="n"/>
      <c r="I490" s="7" t="n"/>
      <c r="J490" s="7" t="inlineStr">
        <is>
          <t>Ligações</t>
        </is>
      </c>
      <c r="K490" s="7" t="inlineStr">
        <is>
          <t>Planejamento</t>
        </is>
      </c>
      <c r="L490" s="16" t="inlineStr">
        <is>
          <t>PDS-janeiro(1).docx</t>
        </is>
      </c>
      <c r="M490">
        <f>IF($A490="","",TEXT($A490,"mmmm/yyyy"))</f>
        <v/>
      </c>
      <c r="P490">
        <f>IFERROR(_xludf.XLOOKUP($N490,Base_Enderecos!$A:$A,Base_Enderecos!$B:$B,""),"")</f>
        <v/>
      </c>
      <c r="Q490">
        <f>IFERROR(_xludf.XLOOKUP($N490,Base_Enderecos!$A:$A,Base_Enderecos!$C:$C,""),"")</f>
        <v/>
      </c>
      <c r="R490">
        <f>IF(OR(ISNUMBER(SEARCH("HDD",$F490)),ISNUMBER(SEARCH("MND",$F490)),ISNUMBER(SEARCH("PEAD",$F490)),ISNUMBER(SEARCH("Puxe",$J490)),ISNUMBER(SEARCH("Apoio HDD",$F490))),"MND",IF(OR(ISNUMBER(SEARCH("VCA",$F490)),ISNUMBER(SEARCH("PVC",$F490)),ISNUMBER(SEARCH("vca",$J490)),ISNUMBER(SEARCH("Transformação",$J490))),"VCA",IF(OR(ISNUMBER(SEARCH("crava",$F490)),ISNUMBER(SEARCH("tubo cravado",$F490)),ISNUMBER(SEARCH("shaft",$J490)),ISNUMBER(SEARCH("concreto",$F490))),"TUBO CRAVADO","")))</f>
        <v/>
      </c>
      <c r="T490">
        <f>IF($A490="","",TEXT($A490,"yyyymm")&amp;"|"&amp;$C490&amp;"|"&amp;$F490&amp;"|"&amp;$N490&amp;"|"&amp;$R490)</f>
        <v/>
      </c>
    </row>
    <row r="491" ht="11.55" customHeight="1">
      <c r="A491" s="10" t="n">
        <v>46045</v>
      </c>
      <c r="B491" s="7" t="inlineStr">
        <is>
          <t>Sexta</t>
        </is>
      </c>
      <c r="C491" s="7" t="inlineStr">
        <is>
          <t>CT MIRIAM</t>
        </is>
      </c>
      <c r="D491" s="7" t="n"/>
      <c r="E491" s="7" t="inlineStr">
        <is>
          <t>Valter</t>
        </is>
      </c>
      <c r="F491" s="13" t="inlineStr">
        <is>
          <t>Acabamento PI 57.2</t>
        </is>
      </c>
      <c r="G491" s="7" t="n"/>
      <c r="H491" s="7" t="n"/>
      <c r="I491" s="7" t="n"/>
      <c r="J491" s="7" t="inlineStr">
        <is>
          <t>Acabamento</t>
        </is>
      </c>
      <c r="K491" s="7" t="inlineStr">
        <is>
          <t>Planejamento</t>
        </is>
      </c>
      <c r="L491" s="16" t="inlineStr">
        <is>
          <t>PDS-janeiro(1).docx</t>
        </is>
      </c>
      <c r="M491">
        <f>IF($A491="","",TEXT($A491,"mmmm/yyyy"))</f>
        <v/>
      </c>
      <c r="P491">
        <f>IFERROR(_xludf.XLOOKUP($N491,Base_Enderecos!$A:$A,Base_Enderecos!$B:$B,""),"")</f>
        <v/>
      </c>
      <c r="Q491">
        <f>IFERROR(_xludf.XLOOKUP($N491,Base_Enderecos!$A:$A,Base_Enderecos!$C:$C,""),"")</f>
        <v/>
      </c>
      <c r="R491">
        <f>IF(OR(ISNUMBER(SEARCH("HDD",$F491)),ISNUMBER(SEARCH("MND",$F491)),ISNUMBER(SEARCH("PEAD",$F491)),ISNUMBER(SEARCH("Puxe",$J491)),ISNUMBER(SEARCH("Apoio HDD",$F491))),"MND",IF(OR(ISNUMBER(SEARCH("VCA",$F491)),ISNUMBER(SEARCH("PVC",$F491)),ISNUMBER(SEARCH("vca",$J491)),ISNUMBER(SEARCH("Transformação",$J491))),"VCA",IF(OR(ISNUMBER(SEARCH("crava",$F491)),ISNUMBER(SEARCH("tubo cravado",$F491)),ISNUMBER(SEARCH("shaft",$J491)),ISNUMBER(SEARCH("concreto",$F491))),"TUBO CRAVADO","")))</f>
        <v/>
      </c>
      <c r="T491">
        <f>IF($A491="","",TEXT($A491,"yyyymm")&amp;"|"&amp;$C491&amp;"|"&amp;$F491&amp;"|"&amp;$N491&amp;"|"&amp;$R491)</f>
        <v/>
      </c>
    </row>
    <row r="492" ht="11.55" customHeight="1">
      <c r="A492" s="10" t="n">
        <v>46045</v>
      </c>
      <c r="B492" s="7" t="inlineStr">
        <is>
          <t>Sexta</t>
        </is>
      </c>
      <c r="C492" s="7" t="inlineStr">
        <is>
          <t>SÃO LUCAS</t>
        </is>
      </c>
      <c r="D492" s="7" t="n"/>
      <c r="E492" s="7" t="inlineStr">
        <is>
          <t>Sergio</t>
        </is>
      </c>
      <c r="F492" s="13" t="inlineStr">
        <is>
          <t>VCA Jusante PV 85</t>
        </is>
      </c>
      <c r="G492" s="7" t="inlineStr">
        <is>
          <t>85</t>
        </is>
      </c>
      <c r="H492" s="7" t="n"/>
      <c r="I492" s="7" t="inlineStr">
        <is>
          <t>85</t>
        </is>
      </c>
      <c r="J492" s="7" t="inlineStr">
        <is>
          <t>VCA</t>
        </is>
      </c>
      <c r="K492" s="7" t="inlineStr">
        <is>
          <t>Planejamento</t>
        </is>
      </c>
      <c r="L492" s="16" t="inlineStr">
        <is>
          <t>PDS-janeiro(1).docx</t>
        </is>
      </c>
      <c r="M492">
        <f>IF($A492="","",TEXT($A492,"mmmm/yyyy"))</f>
        <v/>
      </c>
      <c r="P492">
        <f>IFERROR(_xludf.XLOOKUP($N492,Base_Enderecos!$A:$A,Base_Enderecos!$B:$B,""),"")</f>
        <v/>
      </c>
      <c r="Q492">
        <f>IFERROR(_xludf.XLOOKUP($N492,Base_Enderecos!$A:$A,Base_Enderecos!$C:$C,""),"")</f>
        <v/>
      </c>
      <c r="R492">
        <f>IF(OR(ISNUMBER(SEARCH("HDD",$F492)),ISNUMBER(SEARCH("MND",$F492)),ISNUMBER(SEARCH("PEAD",$F492)),ISNUMBER(SEARCH("Puxe",$J492)),ISNUMBER(SEARCH("Apoio HDD",$F492))),"MND",IF(OR(ISNUMBER(SEARCH("VCA",$F492)),ISNUMBER(SEARCH("PVC",$F492)),ISNUMBER(SEARCH("vca",$J492)),ISNUMBER(SEARCH("Transformação",$J492))),"VCA",IF(OR(ISNUMBER(SEARCH("crava",$F492)),ISNUMBER(SEARCH("tubo cravado",$F492)),ISNUMBER(SEARCH("shaft",$J492)),ISNUMBER(SEARCH("concreto",$F492))),"TUBO CRAVADO","")))</f>
        <v/>
      </c>
      <c r="T492">
        <f>IF($A492="","",TEXT($A492,"yyyymm")&amp;"|"&amp;$C492&amp;"|"&amp;$F492&amp;"|"&amp;$N492&amp;"|"&amp;$R492)</f>
        <v/>
      </c>
    </row>
    <row r="493" ht="11.55" customHeight="1">
      <c r="A493" s="10" t="n">
        <v>46045</v>
      </c>
      <c r="B493" s="7" t="inlineStr">
        <is>
          <t>Sexta</t>
        </is>
      </c>
      <c r="C493" s="7" t="inlineStr">
        <is>
          <t>CT Jaraguá</t>
        </is>
      </c>
      <c r="D493" s="7" t="n"/>
      <c r="E493" s="7" t="inlineStr">
        <is>
          <t>Marcelo</t>
        </is>
      </c>
      <c r="F493" s="13" t="inlineStr">
        <is>
          <t>Acabamento PV 01</t>
        </is>
      </c>
      <c r="G493" s="7" t="inlineStr">
        <is>
          <t>01</t>
        </is>
      </c>
      <c r="H493" s="7" t="n"/>
      <c r="I493" s="7" t="inlineStr">
        <is>
          <t>01</t>
        </is>
      </c>
      <c r="J493" s="7" t="inlineStr">
        <is>
          <t>Acabamento</t>
        </is>
      </c>
      <c r="K493" s="7" t="inlineStr">
        <is>
          <t>Planejamento</t>
        </is>
      </c>
      <c r="L493" s="16" t="inlineStr">
        <is>
          <t>PDS-janeiro(1).docx</t>
        </is>
      </c>
      <c r="M493">
        <f>IF($A493="","",TEXT($A493,"mmmm/yyyy"))</f>
        <v/>
      </c>
      <c r="P493">
        <f>IFERROR(_xludf.XLOOKUP($N493,Base_Enderecos!$A:$A,Base_Enderecos!$B:$B,""),"")</f>
        <v/>
      </c>
      <c r="Q493">
        <f>IFERROR(_xludf.XLOOKUP($N493,Base_Enderecos!$A:$A,Base_Enderecos!$C:$C,""),"")</f>
        <v/>
      </c>
      <c r="R493">
        <f>IF(OR(ISNUMBER(SEARCH("HDD",$F493)),ISNUMBER(SEARCH("MND",$F493)),ISNUMBER(SEARCH("PEAD",$F493)),ISNUMBER(SEARCH("Puxe",$J493)),ISNUMBER(SEARCH("Apoio HDD",$F493))),"MND",IF(OR(ISNUMBER(SEARCH("VCA",$F493)),ISNUMBER(SEARCH("PVC",$F493)),ISNUMBER(SEARCH("vca",$J493)),ISNUMBER(SEARCH("Transformação",$J493))),"VCA",IF(OR(ISNUMBER(SEARCH("crava",$F493)),ISNUMBER(SEARCH("tubo cravado",$F493)),ISNUMBER(SEARCH("shaft",$J493)),ISNUMBER(SEARCH("concreto",$F493))),"TUBO CRAVADO","")))</f>
        <v/>
      </c>
      <c r="T493">
        <f>IF($A493="","",TEXT($A493,"yyyymm")&amp;"|"&amp;$C493&amp;"|"&amp;$F493&amp;"|"&amp;$N493&amp;"|"&amp;$R493)</f>
        <v/>
      </c>
    </row>
    <row r="494" ht="11.55" customHeight="1">
      <c r="A494" s="10" t="n">
        <v>46045</v>
      </c>
      <c r="B494" s="7" t="inlineStr">
        <is>
          <t>Sexta</t>
        </is>
      </c>
      <c r="C494" s="7" t="inlineStr">
        <is>
          <t>CT Jaraguá</t>
        </is>
      </c>
      <c r="D494" s="7" t="n"/>
      <c r="E494" s="7" t="inlineStr">
        <is>
          <t>Ribeiro</t>
        </is>
      </c>
      <c r="F494" s="13" t="inlineStr">
        <is>
          <t>Passagem tubo entre PVs 02 ao 08</t>
        </is>
      </c>
      <c r="G494" s="7" t="inlineStr">
        <is>
          <t>02</t>
        </is>
      </c>
      <c r="H494" s="7" t="n"/>
      <c r="I494" s="7" t="inlineStr">
        <is>
          <t>02</t>
        </is>
      </c>
      <c r="J494" s="7" t="n"/>
      <c r="K494" s="7" t="inlineStr">
        <is>
          <t>Planejamento</t>
        </is>
      </c>
      <c r="L494" s="16" t="inlineStr">
        <is>
          <t>PDS-janeiro(1).docx</t>
        </is>
      </c>
      <c r="M494">
        <f>IF($A494="","",TEXT($A494,"mmmm/yyyy"))</f>
        <v/>
      </c>
      <c r="P494">
        <f>IFERROR(_xludf.XLOOKUP($N494,Base_Enderecos!$A:$A,Base_Enderecos!$B:$B,""),"")</f>
        <v/>
      </c>
      <c r="Q494">
        <f>IFERROR(_xludf.XLOOKUP($N494,Base_Enderecos!$A:$A,Base_Enderecos!$C:$C,""),"")</f>
        <v/>
      </c>
      <c r="R494">
        <f>IF(OR(ISNUMBER(SEARCH("HDD",$F494)),ISNUMBER(SEARCH("MND",$F494)),ISNUMBER(SEARCH("PEAD",$F494)),ISNUMBER(SEARCH("Puxe",$J494)),ISNUMBER(SEARCH("Apoio HDD",$F494))),"MND",IF(OR(ISNUMBER(SEARCH("VCA",$F494)),ISNUMBER(SEARCH("PVC",$F494)),ISNUMBER(SEARCH("vca",$J494)),ISNUMBER(SEARCH("Transformação",$J494))),"VCA",IF(OR(ISNUMBER(SEARCH("crava",$F494)),ISNUMBER(SEARCH("tubo cravado",$F494)),ISNUMBER(SEARCH("shaft",$J494)),ISNUMBER(SEARCH("concreto",$F494))),"TUBO CRAVADO","")))</f>
        <v/>
      </c>
      <c r="T494">
        <f>IF($A494="","",TEXT($A494,"yyyymm")&amp;"|"&amp;$C494&amp;"|"&amp;$F494&amp;"|"&amp;$N494&amp;"|"&amp;$R494)</f>
        <v/>
      </c>
    </row>
    <row r="495" ht="11.55" customHeight="1">
      <c r="A495" s="10" t="n">
        <v>46045</v>
      </c>
      <c r="B495" s="7" t="inlineStr">
        <is>
          <t>Sexta</t>
        </is>
      </c>
      <c r="C495" s="7" t="inlineStr">
        <is>
          <t>CT Jaraguá</t>
        </is>
      </c>
      <c r="D495" s="7" t="n"/>
      <c r="E495" s="7" t="inlineStr">
        <is>
          <t>Jonathan</t>
        </is>
      </c>
      <c r="F495" s="13" t="inlineStr">
        <is>
          <t>Apoio HDD entre PVs 02 ao 08</t>
        </is>
      </c>
      <c r="G495" s="7" t="inlineStr">
        <is>
          <t>02</t>
        </is>
      </c>
      <c r="H495" s="7" t="n"/>
      <c r="I495" s="7" t="inlineStr">
        <is>
          <t>02</t>
        </is>
      </c>
      <c r="J495" s="7" t="inlineStr">
        <is>
          <t>Apoio HDD</t>
        </is>
      </c>
      <c r="K495" s="7" t="inlineStr">
        <is>
          <t>Planejamento</t>
        </is>
      </c>
      <c r="L495" s="16" t="inlineStr">
        <is>
          <t>PDS-janeiro(1).docx</t>
        </is>
      </c>
      <c r="M495">
        <f>IF($A495="","",TEXT($A495,"mmmm/yyyy"))</f>
        <v/>
      </c>
      <c r="P495">
        <f>IFERROR(_xludf.XLOOKUP($N495,Base_Enderecos!$A:$A,Base_Enderecos!$B:$B,""),"")</f>
        <v/>
      </c>
      <c r="Q495">
        <f>IFERROR(_xludf.XLOOKUP($N495,Base_Enderecos!$A:$A,Base_Enderecos!$C:$C,""),"")</f>
        <v/>
      </c>
      <c r="R495">
        <f>IF(OR(ISNUMBER(SEARCH("HDD",$F495)),ISNUMBER(SEARCH("MND",$F495)),ISNUMBER(SEARCH("PEAD",$F495)),ISNUMBER(SEARCH("Puxe",$J495)),ISNUMBER(SEARCH("Apoio HDD",$F495))),"MND",IF(OR(ISNUMBER(SEARCH("VCA",$F495)),ISNUMBER(SEARCH("PVC",$F495)),ISNUMBER(SEARCH("vca",$J495)),ISNUMBER(SEARCH("Transformação",$J495))),"VCA",IF(OR(ISNUMBER(SEARCH("crava",$F495)),ISNUMBER(SEARCH("tubo cravado",$F495)),ISNUMBER(SEARCH("shaft",$J495)),ISNUMBER(SEARCH("concreto",$F495))),"TUBO CRAVADO","")))</f>
        <v/>
      </c>
      <c r="T495">
        <f>IF($A495="","",TEXT($A495,"yyyymm")&amp;"|"&amp;$C495&amp;"|"&amp;$F495&amp;"|"&amp;$N495&amp;"|"&amp;$R495)</f>
        <v/>
      </c>
    </row>
    <row r="496" ht="11.55" customHeight="1">
      <c r="A496" s="10" t="n">
        <v>46045</v>
      </c>
      <c r="B496" s="7" t="inlineStr">
        <is>
          <t>Sexta</t>
        </is>
      </c>
      <c r="C496" s="7" t="inlineStr">
        <is>
          <t>CT Jaraguá</t>
        </is>
      </c>
      <c r="D496" s="7" t="n"/>
      <c r="E496" s="7" t="inlineStr">
        <is>
          <t>Higor</t>
        </is>
      </c>
      <c r="F496" s="13" t="inlineStr">
        <is>
          <t>Shaft PV 05</t>
        </is>
      </c>
      <c r="G496" s="7" t="inlineStr">
        <is>
          <t>05</t>
        </is>
      </c>
      <c r="H496" s="7" t="n"/>
      <c r="I496" s="7" t="inlineStr">
        <is>
          <t>05</t>
        </is>
      </c>
      <c r="J496" s="7" t="inlineStr">
        <is>
          <t>Shaft</t>
        </is>
      </c>
      <c r="K496" s="7" t="inlineStr">
        <is>
          <t>Planejamento</t>
        </is>
      </c>
      <c r="L496" s="16" t="inlineStr">
        <is>
          <t>PDS-janeiro(1).docx</t>
        </is>
      </c>
      <c r="M496">
        <f>IF($A496="","",TEXT($A496,"mmmm/yyyy"))</f>
        <v/>
      </c>
      <c r="P496">
        <f>IFERROR(_xludf.XLOOKUP($N496,Base_Enderecos!$A:$A,Base_Enderecos!$B:$B,""),"")</f>
        <v/>
      </c>
      <c r="Q496">
        <f>IFERROR(_xludf.XLOOKUP($N496,Base_Enderecos!$A:$A,Base_Enderecos!$C:$C,""),"")</f>
        <v/>
      </c>
      <c r="R496">
        <f>IF(OR(ISNUMBER(SEARCH("HDD",$F496)),ISNUMBER(SEARCH("MND",$F496)),ISNUMBER(SEARCH("PEAD",$F496)),ISNUMBER(SEARCH("Puxe",$J496)),ISNUMBER(SEARCH("Apoio HDD",$F496))),"MND",IF(OR(ISNUMBER(SEARCH("VCA",$F496)),ISNUMBER(SEARCH("PVC",$F496)),ISNUMBER(SEARCH("vca",$J496)),ISNUMBER(SEARCH("Transformação",$J496))),"VCA",IF(OR(ISNUMBER(SEARCH("crava",$F496)),ISNUMBER(SEARCH("tubo cravado",$F496)),ISNUMBER(SEARCH("shaft",$J496)),ISNUMBER(SEARCH("concreto",$F496))),"TUBO CRAVADO","")))</f>
        <v/>
      </c>
      <c r="T496">
        <f>IF($A496="","",TEXT($A496,"yyyymm")&amp;"|"&amp;$C496&amp;"|"&amp;$F496&amp;"|"&amp;$N496&amp;"|"&amp;$R496)</f>
        <v/>
      </c>
    </row>
    <row r="497" ht="11.55" customHeight="1">
      <c r="A497" s="10" t="n">
        <v>46045</v>
      </c>
      <c r="B497" s="7" t="inlineStr">
        <is>
          <t>Sexta</t>
        </is>
      </c>
      <c r="C497" s="7" t="inlineStr">
        <is>
          <t>CT Lourdes</t>
        </is>
      </c>
      <c r="D497" s="7" t="n"/>
      <c r="E497" s="7" t="inlineStr">
        <is>
          <t>Cesar</t>
        </is>
      </c>
      <c r="F497" s="13" t="inlineStr">
        <is>
          <t>Limpeza PV 14</t>
        </is>
      </c>
      <c r="G497" s="7" t="inlineStr">
        <is>
          <t>14</t>
        </is>
      </c>
      <c r="H497" s="7" t="n"/>
      <c r="I497" s="7" t="inlineStr">
        <is>
          <t>14</t>
        </is>
      </c>
      <c r="J497" s="7" t="inlineStr">
        <is>
          <t>Limpeza</t>
        </is>
      </c>
      <c r="K497" s="7" t="inlineStr">
        <is>
          <t>Planejamento</t>
        </is>
      </c>
      <c r="L497" s="16" t="inlineStr">
        <is>
          <t>PDS-janeiro(1).docx</t>
        </is>
      </c>
      <c r="M497">
        <f>IF($A497="","",TEXT($A497,"mmmm/yyyy"))</f>
        <v/>
      </c>
      <c r="P497">
        <f>IFERROR(_xludf.XLOOKUP($N497,Base_Enderecos!$A:$A,Base_Enderecos!$B:$B,""),"")</f>
        <v/>
      </c>
      <c r="Q497">
        <f>IFERROR(_xludf.XLOOKUP($N497,Base_Enderecos!$A:$A,Base_Enderecos!$C:$C,""),"")</f>
        <v/>
      </c>
      <c r="R497">
        <f>IF(OR(ISNUMBER(SEARCH("HDD",$F497)),ISNUMBER(SEARCH("MND",$F497)),ISNUMBER(SEARCH("PEAD",$F497)),ISNUMBER(SEARCH("Puxe",$J497)),ISNUMBER(SEARCH("Apoio HDD",$F497))),"MND",IF(OR(ISNUMBER(SEARCH("VCA",$F497)),ISNUMBER(SEARCH("PVC",$F497)),ISNUMBER(SEARCH("vca",$J497)),ISNUMBER(SEARCH("Transformação",$J497))),"VCA",IF(OR(ISNUMBER(SEARCH("crava",$F497)),ISNUMBER(SEARCH("tubo cravado",$F497)),ISNUMBER(SEARCH("shaft",$J497)),ISNUMBER(SEARCH("concreto",$F497))),"TUBO CRAVADO","")))</f>
        <v/>
      </c>
      <c r="T497">
        <f>IF($A497="","",TEXT($A497,"yyyymm")&amp;"|"&amp;$C497&amp;"|"&amp;$F497&amp;"|"&amp;$N497&amp;"|"&amp;$R497)</f>
        <v/>
      </c>
    </row>
    <row r="498" ht="11.55" customHeight="1">
      <c r="A498" s="10" t="n">
        <v>46045</v>
      </c>
      <c r="B498" s="7" t="inlineStr">
        <is>
          <t>Sexta</t>
        </is>
      </c>
      <c r="C498" s="7" t="inlineStr">
        <is>
          <t>CT Lourdes</t>
        </is>
      </c>
      <c r="D498" s="7" t="n"/>
      <c r="E498" s="7" t="inlineStr">
        <is>
          <t>Edivando</t>
        </is>
      </c>
      <c r="F498" s="13" t="inlineStr">
        <is>
          <t>Transformação PV 22</t>
        </is>
      </c>
      <c r="G498" s="7" t="inlineStr">
        <is>
          <t>22</t>
        </is>
      </c>
      <c r="H498" s="7" t="n"/>
      <c r="I498" s="7" t="inlineStr">
        <is>
          <t>22</t>
        </is>
      </c>
      <c r="J498" s="7" t="inlineStr">
        <is>
          <t>Transformação</t>
        </is>
      </c>
      <c r="K498" s="7" t="inlineStr">
        <is>
          <t>Planejamento</t>
        </is>
      </c>
      <c r="L498" s="16" t="inlineStr">
        <is>
          <t>PDS-janeiro(1).docx</t>
        </is>
      </c>
      <c r="M498">
        <f>IF($A498="","",TEXT($A498,"mmmm/yyyy"))</f>
        <v/>
      </c>
      <c r="P498">
        <f>IFERROR(_xludf.XLOOKUP($N498,Base_Enderecos!$A:$A,Base_Enderecos!$B:$B,""),"")</f>
        <v/>
      </c>
      <c r="Q498">
        <f>IFERROR(_xludf.XLOOKUP($N498,Base_Enderecos!$A:$A,Base_Enderecos!$C:$C,""),"")</f>
        <v/>
      </c>
      <c r="R498">
        <f>IF(OR(ISNUMBER(SEARCH("HDD",$F498)),ISNUMBER(SEARCH("MND",$F498)),ISNUMBER(SEARCH("PEAD",$F498)),ISNUMBER(SEARCH("Puxe",$J498)),ISNUMBER(SEARCH("Apoio HDD",$F498))),"MND",IF(OR(ISNUMBER(SEARCH("VCA",$F498)),ISNUMBER(SEARCH("PVC",$F498)),ISNUMBER(SEARCH("vca",$J498)),ISNUMBER(SEARCH("Transformação",$J498))),"VCA",IF(OR(ISNUMBER(SEARCH("crava",$F498)),ISNUMBER(SEARCH("tubo cravado",$F498)),ISNUMBER(SEARCH("shaft",$J498)),ISNUMBER(SEARCH("concreto",$F498))),"TUBO CRAVADO","")))</f>
        <v/>
      </c>
      <c r="T498">
        <f>IF($A498="","",TEXT($A498,"yyyymm")&amp;"|"&amp;$C498&amp;"|"&amp;$F498&amp;"|"&amp;$N498&amp;"|"&amp;$R498)</f>
        <v/>
      </c>
    </row>
    <row r="499" ht="11.55" customHeight="1">
      <c r="A499" s="10" t="n">
        <v>46045</v>
      </c>
      <c r="B499" s="7" t="inlineStr">
        <is>
          <t>Sexta</t>
        </is>
      </c>
      <c r="C499" s="7" t="inlineStr">
        <is>
          <t>CT Lourdes</t>
        </is>
      </c>
      <c r="D499" s="7" t="n"/>
      <c r="E499" s="7" t="inlineStr">
        <is>
          <t>Natalino</t>
        </is>
      </c>
      <c r="F499" s="13" t="inlineStr">
        <is>
          <t>Apoio HDD PV 14 ao PV 18</t>
        </is>
      </c>
      <c r="G499" s="7" t="inlineStr">
        <is>
          <t>14</t>
        </is>
      </c>
      <c r="H499" s="7" t="inlineStr">
        <is>
          <t>18</t>
        </is>
      </c>
      <c r="I499" s="7" t="inlineStr">
        <is>
          <t>14, 18</t>
        </is>
      </c>
      <c r="J499" s="7" t="inlineStr">
        <is>
          <t>Apoio HDD</t>
        </is>
      </c>
      <c r="K499" s="7" t="inlineStr">
        <is>
          <t>Planejamento</t>
        </is>
      </c>
      <c r="L499" s="16" t="inlineStr">
        <is>
          <t>PDS-janeiro(1).docx</t>
        </is>
      </c>
      <c r="M499">
        <f>IF($A499="","",TEXT($A499,"mmmm/yyyy"))</f>
        <v/>
      </c>
      <c r="P499">
        <f>IFERROR(_xludf.XLOOKUP($N499,Base_Enderecos!$A:$A,Base_Enderecos!$B:$B,""),"")</f>
        <v/>
      </c>
      <c r="Q499">
        <f>IFERROR(_xludf.XLOOKUP($N499,Base_Enderecos!$A:$A,Base_Enderecos!$C:$C,""),"")</f>
        <v/>
      </c>
      <c r="R499">
        <f>IF(OR(ISNUMBER(SEARCH("HDD",$F499)),ISNUMBER(SEARCH("MND",$F499)),ISNUMBER(SEARCH("PEAD",$F499)),ISNUMBER(SEARCH("Puxe",$J499)),ISNUMBER(SEARCH("Apoio HDD",$F499))),"MND",IF(OR(ISNUMBER(SEARCH("VCA",$F499)),ISNUMBER(SEARCH("PVC",$F499)),ISNUMBER(SEARCH("vca",$J499)),ISNUMBER(SEARCH("Transformação",$J499))),"VCA",IF(OR(ISNUMBER(SEARCH("crava",$F499)),ISNUMBER(SEARCH("tubo cravado",$F499)),ISNUMBER(SEARCH("shaft",$J499)),ISNUMBER(SEARCH("concreto",$F499))),"TUBO CRAVADO","")))</f>
        <v/>
      </c>
      <c r="T499">
        <f>IF($A499="","",TEXT($A499,"yyyymm")&amp;"|"&amp;$C499&amp;"|"&amp;$F499&amp;"|"&amp;$N499&amp;"|"&amp;$R499)</f>
        <v/>
      </c>
    </row>
    <row r="500" ht="11.55" customHeight="1">
      <c r="A500" s="10" t="n">
        <v>46045</v>
      </c>
      <c r="B500" s="7" t="inlineStr">
        <is>
          <t>Sexta</t>
        </is>
      </c>
      <c r="C500" s="7" t="inlineStr">
        <is>
          <t>CT Lourdes</t>
        </is>
      </c>
      <c r="D500" s="7" t="n"/>
      <c r="E500" s="7" t="inlineStr">
        <is>
          <t>Paulo (Medeiros)</t>
        </is>
      </c>
      <c r="F500" s="13" t="inlineStr">
        <is>
          <t>Readequação da Via</t>
        </is>
      </c>
      <c r="G500" s="7" t="n"/>
      <c r="H500" s="7" t="n"/>
      <c r="I500" s="7" t="n"/>
      <c r="J500" s="7" t="inlineStr">
        <is>
          <t>Adequação</t>
        </is>
      </c>
      <c r="K500" s="7" t="inlineStr">
        <is>
          <t>Planejamento</t>
        </is>
      </c>
      <c r="L500" s="16" t="inlineStr">
        <is>
          <t>PDS-janeiro(1).docx</t>
        </is>
      </c>
      <c r="M500">
        <f>IF($A500="","",TEXT($A500,"mmmm/yyyy"))</f>
        <v/>
      </c>
      <c r="P500">
        <f>IFERROR(_xludf.XLOOKUP($N500,Base_Enderecos!$A:$A,Base_Enderecos!$B:$B,""),"")</f>
        <v/>
      </c>
      <c r="Q500">
        <f>IFERROR(_xludf.XLOOKUP($N500,Base_Enderecos!$A:$A,Base_Enderecos!$C:$C,""),"")</f>
        <v/>
      </c>
      <c r="R500">
        <f>IF(OR(ISNUMBER(SEARCH("HDD",$F500)),ISNUMBER(SEARCH("MND",$F500)),ISNUMBER(SEARCH("PEAD",$F500)),ISNUMBER(SEARCH("Puxe",$J500)),ISNUMBER(SEARCH("Apoio HDD",$F500))),"MND",IF(OR(ISNUMBER(SEARCH("VCA",$F500)),ISNUMBER(SEARCH("PVC",$F500)),ISNUMBER(SEARCH("vca",$J500)),ISNUMBER(SEARCH("Transformação",$J500))),"VCA",IF(OR(ISNUMBER(SEARCH("crava",$F500)),ISNUMBER(SEARCH("tubo cravado",$F500)),ISNUMBER(SEARCH("shaft",$J500)),ISNUMBER(SEARCH("concreto",$F500))),"TUBO CRAVADO","")))</f>
        <v/>
      </c>
      <c r="T500">
        <f>IF($A500="","",TEXT($A500,"yyyymm")&amp;"|"&amp;$C500&amp;"|"&amp;$F500&amp;"|"&amp;$N500&amp;"|"&amp;$R500)</f>
        <v/>
      </c>
    </row>
    <row r="501" ht="11.55" customHeight="1">
      <c r="A501" s="10" t="n">
        <v>46045</v>
      </c>
      <c r="B501" s="7" t="inlineStr">
        <is>
          <t>Sexta</t>
        </is>
      </c>
      <c r="C501" s="7" t="inlineStr">
        <is>
          <t>CT Mar de Coral</t>
        </is>
      </c>
      <c r="D501" s="7" t="n"/>
      <c r="E501" s="7" t="inlineStr">
        <is>
          <t>Bruno (Work Drill)</t>
        </is>
      </c>
      <c r="F501" s="13" t="inlineStr">
        <is>
          <t>Execução furo piloto entre PVs 04 ao 05.1</t>
        </is>
      </c>
      <c r="G501" s="7" t="inlineStr">
        <is>
          <t>04</t>
        </is>
      </c>
      <c r="H501" s="7" t="n"/>
      <c r="I501" s="7" t="inlineStr">
        <is>
          <t>04</t>
        </is>
      </c>
      <c r="J501" s="7" t="inlineStr">
        <is>
          <t>Furo piloto</t>
        </is>
      </c>
      <c r="K501" s="7" t="inlineStr">
        <is>
          <t>Planejamento</t>
        </is>
      </c>
      <c r="L501" s="16" t="inlineStr">
        <is>
          <t>PDS-janeiro(1).docx</t>
        </is>
      </c>
      <c r="M501">
        <f>IF($A501="","",TEXT($A501,"mmmm/yyyy"))</f>
        <v/>
      </c>
      <c r="P501">
        <f>IFERROR(_xludf.XLOOKUP($N501,Base_Enderecos!$A:$A,Base_Enderecos!$B:$B,""),"")</f>
        <v/>
      </c>
      <c r="Q501">
        <f>IFERROR(_xludf.XLOOKUP($N501,Base_Enderecos!$A:$A,Base_Enderecos!$C:$C,""),"")</f>
        <v/>
      </c>
      <c r="R501">
        <f>IF(OR(ISNUMBER(SEARCH("HDD",$F501)),ISNUMBER(SEARCH("MND",$F501)),ISNUMBER(SEARCH("PEAD",$F501)),ISNUMBER(SEARCH("Puxe",$J501)),ISNUMBER(SEARCH("Apoio HDD",$F501))),"MND",IF(OR(ISNUMBER(SEARCH("VCA",$F501)),ISNUMBER(SEARCH("PVC",$F501)),ISNUMBER(SEARCH("vca",$J501)),ISNUMBER(SEARCH("Transformação",$J501))),"VCA",IF(OR(ISNUMBER(SEARCH("crava",$F501)),ISNUMBER(SEARCH("tubo cravado",$F501)),ISNUMBER(SEARCH("shaft",$J501)),ISNUMBER(SEARCH("concreto",$F501))),"TUBO CRAVADO","")))</f>
        <v/>
      </c>
      <c r="T501">
        <f>IF($A501="","",TEXT($A501,"yyyymm")&amp;"|"&amp;$C501&amp;"|"&amp;$F501&amp;"|"&amp;$N501&amp;"|"&amp;$R501)</f>
        <v/>
      </c>
    </row>
    <row r="502" ht="11.55" customHeight="1">
      <c r="A502" s="10" t="n">
        <v>46045</v>
      </c>
      <c r="B502" s="7" t="inlineStr">
        <is>
          <t>Sexta</t>
        </is>
      </c>
      <c r="C502" s="7" t="inlineStr">
        <is>
          <t>CT Mar de Coral</t>
        </is>
      </c>
      <c r="D502" s="7" t="n"/>
      <c r="E502" s="7" t="inlineStr">
        <is>
          <t>Márcio</t>
        </is>
      </c>
      <c r="F502" s="13" t="inlineStr">
        <is>
          <t>Apoio HDD entre PVs 04 ao 05.1</t>
        </is>
      </c>
      <c r="G502" s="7" t="inlineStr">
        <is>
          <t>04</t>
        </is>
      </c>
      <c r="H502" s="7" t="n"/>
      <c r="I502" s="7" t="inlineStr">
        <is>
          <t>04</t>
        </is>
      </c>
      <c r="J502" s="7" t="inlineStr">
        <is>
          <t>Apoio HDD</t>
        </is>
      </c>
      <c r="K502" s="7" t="inlineStr">
        <is>
          <t>Planejamento</t>
        </is>
      </c>
      <c r="L502" s="16" t="inlineStr">
        <is>
          <t>PDS-janeiro(1).docx</t>
        </is>
      </c>
      <c r="M502">
        <f>IF($A502="","",TEXT($A502,"mmmm/yyyy"))</f>
        <v/>
      </c>
      <c r="P502">
        <f>IFERROR(_xludf.XLOOKUP($N502,Base_Enderecos!$A:$A,Base_Enderecos!$B:$B,""),"")</f>
        <v/>
      </c>
      <c r="Q502">
        <f>IFERROR(_xludf.XLOOKUP($N502,Base_Enderecos!$A:$A,Base_Enderecos!$C:$C,""),"")</f>
        <v/>
      </c>
      <c r="R502">
        <f>IF(OR(ISNUMBER(SEARCH("HDD",$F502)),ISNUMBER(SEARCH("MND",$F502)),ISNUMBER(SEARCH("PEAD",$F502)),ISNUMBER(SEARCH("Puxe",$J502)),ISNUMBER(SEARCH("Apoio HDD",$F502))),"MND",IF(OR(ISNUMBER(SEARCH("VCA",$F502)),ISNUMBER(SEARCH("PVC",$F502)),ISNUMBER(SEARCH("vca",$J502)),ISNUMBER(SEARCH("Transformação",$J502))),"VCA",IF(OR(ISNUMBER(SEARCH("crava",$F502)),ISNUMBER(SEARCH("tubo cravado",$F502)),ISNUMBER(SEARCH("shaft",$J502)),ISNUMBER(SEARCH("concreto",$F502))),"TUBO CRAVADO","")))</f>
        <v/>
      </c>
      <c r="T502">
        <f>IF($A502="","",TEXT($A502,"yyyymm")&amp;"|"&amp;$C502&amp;"|"&amp;$F502&amp;"|"&amp;$N502&amp;"|"&amp;$R502)</f>
        <v/>
      </c>
    </row>
    <row r="503" ht="11.55" customHeight="1">
      <c r="A503" s="10" t="n">
        <v>46045</v>
      </c>
      <c r="B503" s="7" t="inlineStr">
        <is>
          <t>Sexta</t>
        </is>
      </c>
      <c r="C503" s="7" t="inlineStr">
        <is>
          <t>CT Mar de Coral</t>
        </is>
      </c>
      <c r="D503" s="7" t="n"/>
      <c r="E503" s="7" t="inlineStr">
        <is>
          <t>Carlos</t>
        </is>
      </c>
      <c r="F503" s="13" t="inlineStr">
        <is>
          <t>Adequação PV 05; Acabamento PV 02 e 03</t>
        </is>
      </c>
      <c r="G503" s="7" t="inlineStr">
        <is>
          <t>05</t>
        </is>
      </c>
      <c r="H503" s="7" t="inlineStr">
        <is>
          <t>02</t>
        </is>
      </c>
      <c r="I503" s="7" t="inlineStr">
        <is>
          <t>05, 02</t>
        </is>
      </c>
      <c r="J503" s="7" t="inlineStr">
        <is>
          <t>Adequação</t>
        </is>
      </c>
      <c r="K503" s="7" t="inlineStr">
        <is>
          <t>Planejamento</t>
        </is>
      </c>
      <c r="L503" s="16" t="inlineStr">
        <is>
          <t>PDS-janeiro(1).docx</t>
        </is>
      </c>
      <c r="M503">
        <f>IF($A503="","",TEXT($A503,"mmmm/yyyy"))</f>
        <v/>
      </c>
      <c r="P503">
        <f>IFERROR(_xludf.XLOOKUP($N503,Base_Enderecos!$A:$A,Base_Enderecos!$B:$B,""),"")</f>
        <v/>
      </c>
      <c r="Q503">
        <f>IFERROR(_xludf.XLOOKUP($N503,Base_Enderecos!$A:$A,Base_Enderecos!$C:$C,""),"")</f>
        <v/>
      </c>
      <c r="R503">
        <f>IF(OR(ISNUMBER(SEARCH("HDD",$F503)),ISNUMBER(SEARCH("MND",$F503)),ISNUMBER(SEARCH("PEAD",$F503)),ISNUMBER(SEARCH("Puxe",$J503)),ISNUMBER(SEARCH("Apoio HDD",$F503))),"MND",IF(OR(ISNUMBER(SEARCH("VCA",$F503)),ISNUMBER(SEARCH("PVC",$F503)),ISNUMBER(SEARCH("vca",$J503)),ISNUMBER(SEARCH("Transformação",$J503))),"VCA",IF(OR(ISNUMBER(SEARCH("crava",$F503)),ISNUMBER(SEARCH("tubo cravado",$F503)),ISNUMBER(SEARCH("shaft",$J503)),ISNUMBER(SEARCH("concreto",$F503))),"TUBO CRAVADO","")))</f>
        <v/>
      </c>
      <c r="T503">
        <f>IF($A503="","",TEXT($A503,"yyyymm")&amp;"|"&amp;$C503&amp;"|"&amp;$F503&amp;"|"&amp;$N503&amp;"|"&amp;$R503)</f>
        <v/>
      </c>
    </row>
    <row r="504" ht="11.55" customHeight="1">
      <c r="A504" s="10" t="n">
        <v>46045</v>
      </c>
      <c r="B504" s="7" t="inlineStr">
        <is>
          <t>Sexta</t>
        </is>
      </c>
      <c r="C504" s="7" t="inlineStr">
        <is>
          <t>CT Mar de Coral</t>
        </is>
      </c>
      <c r="D504" s="7" t="n"/>
      <c r="E504" s="7" t="inlineStr">
        <is>
          <t>Cidão</t>
        </is>
      </c>
      <c r="F504" s="13" t="inlineStr">
        <is>
          <t>Apoio HDD PVs 08 ao 09</t>
        </is>
      </c>
      <c r="G504" s="7" t="inlineStr">
        <is>
          <t>08</t>
        </is>
      </c>
      <c r="H504" s="7" t="n"/>
      <c r="I504" s="7" t="inlineStr">
        <is>
          <t>08</t>
        </is>
      </c>
      <c r="J504" s="7" t="inlineStr">
        <is>
          <t>Apoio HDD</t>
        </is>
      </c>
      <c r="K504" s="7" t="inlineStr">
        <is>
          <t>Planejamento</t>
        </is>
      </c>
      <c r="L504" s="16" t="inlineStr">
        <is>
          <t>PDS-janeiro(1).docx</t>
        </is>
      </c>
      <c r="M504">
        <f>IF($A504="","",TEXT($A504,"mmmm/yyyy"))</f>
        <v/>
      </c>
      <c r="P504">
        <f>IFERROR(_xludf.XLOOKUP($N504,Base_Enderecos!$A:$A,Base_Enderecos!$B:$B,""),"")</f>
        <v/>
      </c>
      <c r="Q504">
        <f>IFERROR(_xludf.XLOOKUP($N504,Base_Enderecos!$A:$A,Base_Enderecos!$C:$C,""),"")</f>
        <v/>
      </c>
      <c r="R504">
        <f>IF(OR(ISNUMBER(SEARCH("HDD",$F504)),ISNUMBER(SEARCH("MND",$F504)),ISNUMBER(SEARCH("PEAD",$F504)),ISNUMBER(SEARCH("Puxe",$J504)),ISNUMBER(SEARCH("Apoio HDD",$F504))),"MND",IF(OR(ISNUMBER(SEARCH("VCA",$F504)),ISNUMBER(SEARCH("PVC",$F504)),ISNUMBER(SEARCH("vca",$J504)),ISNUMBER(SEARCH("Transformação",$J504))),"VCA",IF(OR(ISNUMBER(SEARCH("crava",$F504)),ISNUMBER(SEARCH("tubo cravado",$F504)),ISNUMBER(SEARCH("shaft",$J504)),ISNUMBER(SEARCH("concreto",$F504))),"TUBO CRAVADO","")))</f>
        <v/>
      </c>
      <c r="T504">
        <f>IF($A504="","",TEXT($A504,"yyyymm")&amp;"|"&amp;$C504&amp;"|"&amp;$F504&amp;"|"&amp;$N504&amp;"|"&amp;$R504)</f>
        <v/>
      </c>
    </row>
    <row r="505" ht="11.55" customHeight="1">
      <c r="A505" s="10" t="n">
        <v>46045</v>
      </c>
      <c r="B505" s="7" t="inlineStr">
        <is>
          <t>Sexta</t>
        </is>
      </c>
      <c r="C505" s="7" t="inlineStr">
        <is>
          <t>Vacal</t>
        </is>
      </c>
      <c r="D505" s="7" t="n"/>
      <c r="E505" s="7" t="inlineStr">
        <is>
          <t>Lourdes</t>
        </is>
      </c>
      <c r="F505" s="13" t="inlineStr">
        <is>
          <t>Apoio Vacal</t>
        </is>
      </c>
      <c r="G505" s="7" t="n"/>
      <c r="H505" s="7" t="n"/>
      <c r="I505" s="7" t="n"/>
      <c r="J505" s="7" t="inlineStr">
        <is>
          <t>Vacal</t>
        </is>
      </c>
      <c r="K505" s="7" t="inlineStr">
        <is>
          <t>Apoio</t>
        </is>
      </c>
      <c r="L505" s="16" t="inlineStr">
        <is>
          <t>PDS-janeiro(1).docx</t>
        </is>
      </c>
      <c r="M505">
        <f>IF($A505="","",TEXT($A505,"mmmm/yyyy"))</f>
        <v/>
      </c>
      <c r="P505">
        <f>IFERROR(_xludf.XLOOKUP($N505,Base_Enderecos!$A:$A,Base_Enderecos!$B:$B,""),"")</f>
        <v/>
      </c>
      <c r="Q505">
        <f>IFERROR(_xludf.XLOOKUP($N505,Base_Enderecos!$A:$A,Base_Enderecos!$C:$C,""),"")</f>
        <v/>
      </c>
      <c r="R505">
        <f>IF(OR(ISNUMBER(SEARCH("HDD",$F505)),ISNUMBER(SEARCH("MND",$F505)),ISNUMBER(SEARCH("PEAD",$F505)),ISNUMBER(SEARCH("Puxe",$J505)),ISNUMBER(SEARCH("Apoio HDD",$F505))),"MND",IF(OR(ISNUMBER(SEARCH("VCA",$F505)),ISNUMBER(SEARCH("PVC",$F505)),ISNUMBER(SEARCH("vca",$J505)),ISNUMBER(SEARCH("Transformação",$J505))),"VCA",IF(OR(ISNUMBER(SEARCH("crava",$F505)),ISNUMBER(SEARCH("tubo cravado",$F505)),ISNUMBER(SEARCH("shaft",$J505)),ISNUMBER(SEARCH("concreto",$F505))),"TUBO CRAVADO","")))</f>
        <v/>
      </c>
      <c r="T505">
        <f>IF($A505="","",TEXT($A505,"yyyymm")&amp;"|"&amp;$C505&amp;"|"&amp;$F505&amp;"|"&amp;$N505&amp;"|"&amp;$R505)</f>
        <v/>
      </c>
    </row>
    <row r="506" ht="11.55" customHeight="1">
      <c r="A506" s="10" t="n">
        <v>46045</v>
      </c>
      <c r="B506" s="7" t="inlineStr">
        <is>
          <t>Sexta</t>
        </is>
      </c>
      <c r="C506" s="7" t="inlineStr">
        <is>
          <t>Vacal</t>
        </is>
      </c>
      <c r="D506" s="7" t="n"/>
      <c r="E506" s="7" t="inlineStr">
        <is>
          <t>Lourdes</t>
        </is>
      </c>
      <c r="F506" s="13" t="inlineStr">
        <is>
          <t>Apoio Vacal</t>
        </is>
      </c>
      <c r="G506" s="7" t="n"/>
      <c r="H506" s="7" t="n"/>
      <c r="I506" s="7" t="n"/>
      <c r="J506" s="7" t="inlineStr">
        <is>
          <t>Vacal</t>
        </is>
      </c>
      <c r="K506" s="7" t="inlineStr">
        <is>
          <t>Apoio</t>
        </is>
      </c>
      <c r="L506" s="16" t="inlineStr">
        <is>
          <t>PDS-janeiro(1).docx</t>
        </is>
      </c>
      <c r="M506">
        <f>IF($A506="","",TEXT($A506,"mmmm/yyyy"))</f>
        <v/>
      </c>
      <c r="P506">
        <f>IFERROR(_xludf.XLOOKUP($N506,Base_Enderecos!$A:$A,Base_Enderecos!$B:$B,""),"")</f>
        <v/>
      </c>
      <c r="Q506">
        <f>IFERROR(_xludf.XLOOKUP($N506,Base_Enderecos!$A:$A,Base_Enderecos!$C:$C,""),"")</f>
        <v/>
      </c>
      <c r="R506">
        <f>IF(OR(ISNUMBER(SEARCH("HDD",$F506)),ISNUMBER(SEARCH("MND",$F506)),ISNUMBER(SEARCH("PEAD",$F506)),ISNUMBER(SEARCH("Puxe",$J506)),ISNUMBER(SEARCH("Apoio HDD",$F506))),"MND",IF(OR(ISNUMBER(SEARCH("VCA",$F506)),ISNUMBER(SEARCH("PVC",$F506)),ISNUMBER(SEARCH("vca",$J506)),ISNUMBER(SEARCH("Transformação",$J506))),"VCA",IF(OR(ISNUMBER(SEARCH("crava",$F506)),ISNUMBER(SEARCH("tubo cravado",$F506)),ISNUMBER(SEARCH("shaft",$J506)),ISNUMBER(SEARCH("concreto",$F506))),"TUBO CRAVADO","")))</f>
        <v/>
      </c>
      <c r="T506">
        <f>IF($A506="","",TEXT($A506,"yyyymm")&amp;"|"&amp;$C506&amp;"|"&amp;$F506&amp;"|"&amp;$N506&amp;"|"&amp;$R506)</f>
        <v/>
      </c>
    </row>
    <row r="507" ht="11.55" customHeight="1">
      <c r="A507" s="10" t="n">
        <v>46045</v>
      </c>
      <c r="B507" s="7" t="inlineStr">
        <is>
          <t>Sexta</t>
        </is>
      </c>
      <c r="C507" s="7" t="inlineStr">
        <is>
          <t>Vacal</t>
        </is>
      </c>
      <c r="D507" s="7" t="n"/>
      <c r="E507" s="7" t="inlineStr">
        <is>
          <t>Mar de Coral</t>
        </is>
      </c>
      <c r="F507" s="13" t="inlineStr">
        <is>
          <t>Apoio Vacal</t>
        </is>
      </c>
      <c r="G507" s="7" t="n"/>
      <c r="H507" s="7" t="n"/>
      <c r="I507" s="7" t="n"/>
      <c r="J507" s="7" t="inlineStr">
        <is>
          <t>Vacal</t>
        </is>
      </c>
      <c r="K507" s="7" t="inlineStr">
        <is>
          <t>Apoio</t>
        </is>
      </c>
      <c r="L507" s="16" t="inlineStr">
        <is>
          <t>PDS-janeiro(1).docx</t>
        </is>
      </c>
      <c r="M507">
        <f>IF($A507="","",TEXT($A507,"mmmm/yyyy"))</f>
        <v/>
      </c>
      <c r="P507">
        <f>IFERROR(_xludf.XLOOKUP($N507,Base_Enderecos!$A:$A,Base_Enderecos!$B:$B,""),"")</f>
        <v/>
      </c>
      <c r="Q507">
        <f>IFERROR(_xludf.XLOOKUP($N507,Base_Enderecos!$A:$A,Base_Enderecos!$C:$C,""),"")</f>
        <v/>
      </c>
      <c r="R507">
        <f>IF(OR(ISNUMBER(SEARCH("HDD",$F507)),ISNUMBER(SEARCH("MND",$F507)),ISNUMBER(SEARCH("PEAD",$F507)),ISNUMBER(SEARCH("Puxe",$J507)),ISNUMBER(SEARCH("Apoio HDD",$F507))),"MND",IF(OR(ISNUMBER(SEARCH("VCA",$F507)),ISNUMBER(SEARCH("PVC",$F507)),ISNUMBER(SEARCH("vca",$J507)),ISNUMBER(SEARCH("Transformação",$J507))),"VCA",IF(OR(ISNUMBER(SEARCH("crava",$F507)),ISNUMBER(SEARCH("tubo cravado",$F507)),ISNUMBER(SEARCH("shaft",$J507)),ISNUMBER(SEARCH("concreto",$F507))),"TUBO CRAVADO","")))</f>
        <v/>
      </c>
      <c r="T507">
        <f>IF($A507="","",TEXT($A507,"yyyymm")&amp;"|"&amp;$C507&amp;"|"&amp;$F507&amp;"|"&amp;$N507&amp;"|"&amp;$R507)</f>
        <v/>
      </c>
    </row>
    <row r="508" ht="11.55" customHeight="1">
      <c r="A508" s="10" t="n">
        <v>46045</v>
      </c>
      <c r="B508" s="7" t="inlineStr">
        <is>
          <t>Sexta</t>
        </is>
      </c>
      <c r="C508" s="7" t="inlineStr">
        <is>
          <t>Vacal</t>
        </is>
      </c>
      <c r="D508" s="7" t="n"/>
      <c r="E508" s="7" t="inlineStr">
        <is>
          <t>Jaraguá</t>
        </is>
      </c>
      <c r="F508" s="13" t="inlineStr">
        <is>
          <t>Apoio Vacal</t>
        </is>
      </c>
      <c r="G508" s="7" t="n"/>
      <c r="H508" s="7" t="n"/>
      <c r="I508" s="7" t="n"/>
      <c r="J508" s="7" t="inlineStr">
        <is>
          <t>Vacal</t>
        </is>
      </c>
      <c r="K508" s="7" t="inlineStr">
        <is>
          <t>Apoio</t>
        </is>
      </c>
      <c r="L508" s="16" t="inlineStr">
        <is>
          <t>PDS-janeiro(1).docx</t>
        </is>
      </c>
      <c r="M508">
        <f>IF($A508="","",TEXT($A508,"mmmm/yyyy"))</f>
        <v/>
      </c>
      <c r="P508">
        <f>IFERROR(_xludf.XLOOKUP($N508,Base_Enderecos!$A:$A,Base_Enderecos!$B:$B,""),"")</f>
        <v/>
      </c>
      <c r="Q508">
        <f>IFERROR(_xludf.XLOOKUP($N508,Base_Enderecos!$A:$A,Base_Enderecos!$C:$C,""),"")</f>
        <v/>
      </c>
      <c r="R508">
        <f>IF(OR(ISNUMBER(SEARCH("HDD",$F508)),ISNUMBER(SEARCH("MND",$F508)),ISNUMBER(SEARCH("PEAD",$F508)),ISNUMBER(SEARCH("Puxe",$J508)),ISNUMBER(SEARCH("Apoio HDD",$F508))),"MND",IF(OR(ISNUMBER(SEARCH("VCA",$F508)),ISNUMBER(SEARCH("PVC",$F508)),ISNUMBER(SEARCH("vca",$J508)),ISNUMBER(SEARCH("Transformação",$J508))),"VCA",IF(OR(ISNUMBER(SEARCH("crava",$F508)),ISNUMBER(SEARCH("tubo cravado",$F508)),ISNUMBER(SEARCH("shaft",$J508)),ISNUMBER(SEARCH("concreto",$F508))),"TUBO CRAVADO","")))</f>
        <v/>
      </c>
      <c r="T508">
        <f>IF($A508="","",TEXT($A508,"yyyymm")&amp;"|"&amp;$C508&amp;"|"&amp;$F508&amp;"|"&amp;$N508&amp;"|"&amp;$R508)</f>
        <v/>
      </c>
    </row>
    <row r="509" ht="11.55" customHeight="1">
      <c r="A509" s="10" t="n">
        <v>46045</v>
      </c>
      <c r="B509" s="7" t="inlineStr">
        <is>
          <t>Sexta</t>
        </is>
      </c>
      <c r="C509" s="7" t="inlineStr">
        <is>
          <t>Guindauto</t>
        </is>
      </c>
      <c r="D509" s="7" t="n"/>
      <c r="E509" s="7" t="inlineStr">
        <is>
          <t>Rodrigo Apoio as equipes</t>
        </is>
      </c>
      <c r="F509" s="13" t="inlineStr">
        <is>
          <t>Rodrigo Apoio as equipes</t>
        </is>
      </c>
      <c r="G509" s="7" t="n"/>
      <c r="H509" s="7" t="n"/>
      <c r="I509" s="7" t="n"/>
      <c r="J509" s="7" t="inlineStr">
        <is>
          <t>Guindauto</t>
        </is>
      </c>
      <c r="K509" s="7" t="inlineStr">
        <is>
          <t>Apoio</t>
        </is>
      </c>
      <c r="L509" s="16" t="inlineStr">
        <is>
          <t>PDS-janeiro(1).docx</t>
        </is>
      </c>
      <c r="M509">
        <f>IF($A509="","",TEXT($A509,"mmmm/yyyy"))</f>
        <v/>
      </c>
      <c r="P509">
        <f>IFERROR(_xludf.XLOOKUP($N509,Base_Enderecos!$A:$A,Base_Enderecos!$B:$B,""),"")</f>
        <v/>
      </c>
      <c r="Q509">
        <f>IFERROR(_xludf.XLOOKUP($N509,Base_Enderecos!$A:$A,Base_Enderecos!$C:$C,""),"")</f>
        <v/>
      </c>
      <c r="R509">
        <f>IF(OR(ISNUMBER(SEARCH("HDD",$F509)),ISNUMBER(SEARCH("MND",$F509)),ISNUMBER(SEARCH("PEAD",$F509)),ISNUMBER(SEARCH("Puxe",$J509)),ISNUMBER(SEARCH("Apoio HDD",$F509))),"MND",IF(OR(ISNUMBER(SEARCH("VCA",$F509)),ISNUMBER(SEARCH("PVC",$F509)),ISNUMBER(SEARCH("vca",$J509)),ISNUMBER(SEARCH("Transformação",$J509))),"VCA",IF(OR(ISNUMBER(SEARCH("crava",$F509)),ISNUMBER(SEARCH("tubo cravado",$F509)),ISNUMBER(SEARCH("shaft",$J509)),ISNUMBER(SEARCH("concreto",$F509))),"TUBO CRAVADO","")))</f>
        <v/>
      </c>
      <c r="T509">
        <f>IF($A509="","",TEXT($A509,"yyyymm")&amp;"|"&amp;$C509&amp;"|"&amp;$F509&amp;"|"&amp;$N509&amp;"|"&amp;$R509)</f>
        <v/>
      </c>
    </row>
    <row r="510" ht="11.55" customHeight="1">
      <c r="A510" s="10" t="n">
        <v>46045</v>
      </c>
      <c r="B510" s="7" t="inlineStr">
        <is>
          <t>Sexta</t>
        </is>
      </c>
      <c r="C510" s="7" t="inlineStr">
        <is>
          <t>Guindauto</t>
        </is>
      </c>
      <c r="D510" s="7" t="n"/>
      <c r="E510" s="7" t="inlineStr">
        <is>
          <t>Marcio</t>
        </is>
      </c>
      <c r="F510" s="13" t="inlineStr">
        <is>
          <t>Marcio</t>
        </is>
      </c>
      <c r="G510" s="7" t="n"/>
      <c r="H510" s="7" t="n"/>
      <c r="I510" s="7" t="n"/>
      <c r="J510" s="7" t="inlineStr">
        <is>
          <t>Guindauto</t>
        </is>
      </c>
      <c r="K510" s="7" t="inlineStr">
        <is>
          <t>Apoio</t>
        </is>
      </c>
      <c r="L510" s="16" t="inlineStr">
        <is>
          <t>PDS-janeiro(1).docx</t>
        </is>
      </c>
      <c r="M510">
        <f>IF($A510="","",TEXT($A510,"mmmm/yyyy"))</f>
        <v/>
      </c>
      <c r="P510">
        <f>IFERROR(_xludf.XLOOKUP($N510,Base_Enderecos!$A:$A,Base_Enderecos!$B:$B,""),"")</f>
        <v/>
      </c>
      <c r="Q510">
        <f>IFERROR(_xludf.XLOOKUP($N510,Base_Enderecos!$A:$A,Base_Enderecos!$C:$C,""),"")</f>
        <v/>
      </c>
      <c r="R510">
        <f>IF(OR(ISNUMBER(SEARCH("HDD",$F510)),ISNUMBER(SEARCH("MND",$F510)),ISNUMBER(SEARCH("PEAD",$F510)),ISNUMBER(SEARCH("Puxe",$J510)),ISNUMBER(SEARCH("Apoio HDD",$F510))),"MND",IF(OR(ISNUMBER(SEARCH("VCA",$F510)),ISNUMBER(SEARCH("PVC",$F510)),ISNUMBER(SEARCH("vca",$J510)),ISNUMBER(SEARCH("Transformação",$J510))),"VCA",IF(OR(ISNUMBER(SEARCH("crava",$F510)),ISNUMBER(SEARCH("tubo cravado",$F510)),ISNUMBER(SEARCH("shaft",$J510)),ISNUMBER(SEARCH("concreto",$F510))),"TUBO CRAVADO","")))</f>
        <v/>
      </c>
      <c r="T510">
        <f>IF($A510="","",TEXT($A510,"yyyymm")&amp;"|"&amp;$C510&amp;"|"&amp;$F510&amp;"|"&amp;$N510&amp;"|"&amp;$R510)</f>
        <v/>
      </c>
    </row>
    <row r="511" ht="11.55" customHeight="1">
      <c r="A511" s="10" t="n">
        <v>46048</v>
      </c>
      <c r="B511" s="7" t="inlineStr">
        <is>
          <t>Segunda</t>
        </is>
      </c>
      <c r="C511" s="7" t="inlineStr">
        <is>
          <t>CT Jaraguá</t>
        </is>
      </c>
      <c r="D511" s="7" t="n"/>
      <c r="E511" s="7" t="inlineStr">
        <is>
          <t>Marcelo</t>
        </is>
      </c>
      <c r="F511" s="13" t="inlineStr">
        <is>
          <t>Transformação PV 08 e 11</t>
        </is>
      </c>
      <c r="G511" s="7" t="inlineStr">
        <is>
          <t>08</t>
        </is>
      </c>
      <c r="H511" s="7" t="n"/>
      <c r="I511" s="7" t="inlineStr">
        <is>
          <t>08</t>
        </is>
      </c>
      <c r="J511" s="7" t="inlineStr">
        <is>
          <t>Transformação</t>
        </is>
      </c>
      <c r="K511" s="7" t="inlineStr">
        <is>
          <t>Planejamento</t>
        </is>
      </c>
      <c r="L511" s="16" t="inlineStr">
        <is>
          <t>PDS-janeiro(1).docx</t>
        </is>
      </c>
      <c r="M511">
        <f>IF($A511="","",TEXT($A511,"mmmm/yyyy"))</f>
        <v/>
      </c>
      <c r="P511">
        <f>IFERROR(_xludf.XLOOKUP($N511,Base_Enderecos!$A:$A,Base_Enderecos!$B:$B,""),"")</f>
        <v/>
      </c>
      <c r="Q511">
        <f>IFERROR(_xludf.XLOOKUP($N511,Base_Enderecos!$A:$A,Base_Enderecos!$C:$C,""),"")</f>
        <v/>
      </c>
      <c r="R511">
        <f>IF(OR(ISNUMBER(SEARCH("HDD",$F511)),ISNUMBER(SEARCH("MND",$F511)),ISNUMBER(SEARCH("PEAD",$F511)),ISNUMBER(SEARCH("Puxe",$J511)),ISNUMBER(SEARCH("Apoio HDD",$F511))),"MND",IF(OR(ISNUMBER(SEARCH("VCA",$F511)),ISNUMBER(SEARCH("PVC",$F511)),ISNUMBER(SEARCH("vca",$J511)),ISNUMBER(SEARCH("Transformação",$J511))),"VCA",IF(OR(ISNUMBER(SEARCH("crava",$F511)),ISNUMBER(SEARCH("tubo cravado",$F511)),ISNUMBER(SEARCH("shaft",$J511)),ISNUMBER(SEARCH("concreto",$F511))),"TUBO CRAVADO","")))</f>
        <v/>
      </c>
      <c r="T511">
        <f>IF($A511="","",TEXT($A511,"yyyymm")&amp;"|"&amp;$C511&amp;"|"&amp;$F511&amp;"|"&amp;$N511&amp;"|"&amp;$R511)</f>
        <v/>
      </c>
    </row>
    <row r="512" ht="11.55" customHeight="1">
      <c r="A512" s="10" t="n">
        <v>46048</v>
      </c>
      <c r="B512" s="7" t="inlineStr">
        <is>
          <t>Segunda</t>
        </is>
      </c>
      <c r="C512" s="7" t="inlineStr">
        <is>
          <t>CT Jaraguá</t>
        </is>
      </c>
      <c r="D512" s="7" t="n"/>
      <c r="E512" s="7" t="inlineStr">
        <is>
          <t>Cesar</t>
        </is>
      </c>
      <c r="F512" s="13" t="inlineStr">
        <is>
          <t>Transformação PV 09</t>
        </is>
      </c>
      <c r="G512" s="7" t="inlineStr">
        <is>
          <t>09</t>
        </is>
      </c>
      <c r="H512" s="7" t="n"/>
      <c r="I512" s="7" t="inlineStr">
        <is>
          <t>09</t>
        </is>
      </c>
      <c r="J512" s="7" t="inlineStr">
        <is>
          <t>Transformação</t>
        </is>
      </c>
      <c r="K512" s="7" t="inlineStr">
        <is>
          <t>Planejamento</t>
        </is>
      </c>
      <c r="L512" s="16" t="inlineStr">
        <is>
          <t>PDS-janeiro(1).docx</t>
        </is>
      </c>
      <c r="M512">
        <f>IF($A512="","",TEXT($A512,"mmmm/yyyy"))</f>
        <v/>
      </c>
      <c r="P512">
        <f>IFERROR(_xludf.XLOOKUP($N512,Base_Enderecos!$A:$A,Base_Enderecos!$B:$B,""),"")</f>
        <v/>
      </c>
      <c r="Q512">
        <f>IFERROR(_xludf.XLOOKUP($N512,Base_Enderecos!$A:$A,Base_Enderecos!$C:$C,""),"")</f>
        <v/>
      </c>
      <c r="R512">
        <f>IF(OR(ISNUMBER(SEARCH("HDD",$F512)),ISNUMBER(SEARCH("MND",$F512)),ISNUMBER(SEARCH("PEAD",$F512)),ISNUMBER(SEARCH("Puxe",$J512)),ISNUMBER(SEARCH("Apoio HDD",$F512))),"MND",IF(OR(ISNUMBER(SEARCH("VCA",$F512)),ISNUMBER(SEARCH("PVC",$F512)),ISNUMBER(SEARCH("vca",$J512)),ISNUMBER(SEARCH("Transformação",$J512))),"VCA",IF(OR(ISNUMBER(SEARCH("crava",$F512)),ISNUMBER(SEARCH("tubo cravado",$F512)),ISNUMBER(SEARCH("shaft",$J512)),ISNUMBER(SEARCH("concreto",$F512))),"TUBO CRAVADO","")))</f>
        <v/>
      </c>
      <c r="T512">
        <f>IF($A512="","",TEXT($A512,"yyyymm")&amp;"|"&amp;$C512&amp;"|"&amp;$F512&amp;"|"&amp;$N512&amp;"|"&amp;$R512)</f>
        <v/>
      </c>
    </row>
    <row r="513" ht="11.55" customHeight="1">
      <c r="A513" s="10" t="n">
        <v>46048</v>
      </c>
      <c r="B513" s="7" t="inlineStr">
        <is>
          <t>Segunda</t>
        </is>
      </c>
      <c r="C513" s="7" t="inlineStr">
        <is>
          <t>CT Jaraguá</t>
        </is>
      </c>
      <c r="D513" s="7" t="n"/>
      <c r="E513" s="7" t="inlineStr">
        <is>
          <t>Cidão</t>
        </is>
      </c>
      <c r="F513" s="13" t="inlineStr">
        <is>
          <t>Transformação PV 02</t>
        </is>
      </c>
      <c r="G513" s="7" t="inlineStr">
        <is>
          <t>02</t>
        </is>
      </c>
      <c r="H513" s="7" t="n"/>
      <c r="I513" s="7" t="inlineStr">
        <is>
          <t>02</t>
        </is>
      </c>
      <c r="J513" s="7" t="inlineStr">
        <is>
          <t>Transformação</t>
        </is>
      </c>
      <c r="K513" s="7" t="inlineStr">
        <is>
          <t>Planejamento</t>
        </is>
      </c>
      <c r="L513" s="16" t="inlineStr">
        <is>
          <t>PDS-janeiro(1).docx</t>
        </is>
      </c>
      <c r="M513">
        <f>IF($A513="","",TEXT($A513,"mmmm/yyyy"))</f>
        <v/>
      </c>
      <c r="P513">
        <f>IFERROR(_xludf.XLOOKUP($N513,Base_Enderecos!$A:$A,Base_Enderecos!$B:$B,""),"")</f>
        <v/>
      </c>
      <c r="Q513">
        <f>IFERROR(_xludf.XLOOKUP($N513,Base_Enderecos!$A:$A,Base_Enderecos!$C:$C,""),"")</f>
        <v/>
      </c>
      <c r="R513">
        <f>IF(OR(ISNUMBER(SEARCH("HDD",$F513)),ISNUMBER(SEARCH("MND",$F513)),ISNUMBER(SEARCH("PEAD",$F513)),ISNUMBER(SEARCH("Puxe",$J513)),ISNUMBER(SEARCH("Apoio HDD",$F513))),"MND",IF(OR(ISNUMBER(SEARCH("VCA",$F513)),ISNUMBER(SEARCH("PVC",$F513)),ISNUMBER(SEARCH("vca",$J513)),ISNUMBER(SEARCH("Transformação",$J513))),"VCA",IF(OR(ISNUMBER(SEARCH("crava",$F513)),ISNUMBER(SEARCH("tubo cravado",$F513)),ISNUMBER(SEARCH("shaft",$J513)),ISNUMBER(SEARCH("concreto",$F513))),"TUBO CRAVADO","")))</f>
        <v/>
      </c>
      <c r="T513">
        <f>IF($A513="","",TEXT($A513,"yyyymm")&amp;"|"&amp;$C513&amp;"|"&amp;$F513&amp;"|"&amp;$N513&amp;"|"&amp;$R513)</f>
        <v/>
      </c>
    </row>
    <row r="514" ht="11.55" customHeight="1">
      <c r="A514" s="10" t="n">
        <v>46048</v>
      </c>
      <c r="B514" s="7" t="inlineStr">
        <is>
          <t>Segunda</t>
        </is>
      </c>
      <c r="C514" s="7" t="inlineStr">
        <is>
          <t>CT Jaraguá</t>
        </is>
      </c>
      <c r="D514" s="7" t="n"/>
      <c r="E514" s="7" t="inlineStr">
        <is>
          <t>Carlos</t>
        </is>
      </c>
      <c r="F514" s="13" t="inlineStr">
        <is>
          <t>Transformação PV 10</t>
        </is>
      </c>
      <c r="G514" s="7" t="inlineStr">
        <is>
          <t>10</t>
        </is>
      </c>
      <c r="H514" s="7" t="n"/>
      <c r="I514" s="7" t="inlineStr">
        <is>
          <t>10</t>
        </is>
      </c>
      <c r="J514" s="7" t="inlineStr">
        <is>
          <t>Transformação</t>
        </is>
      </c>
      <c r="K514" s="7" t="inlineStr">
        <is>
          <t>Planejamento</t>
        </is>
      </c>
      <c r="L514" s="16" t="inlineStr">
        <is>
          <t>PDS-janeiro(1).docx</t>
        </is>
      </c>
      <c r="M514">
        <f>IF($A514="","",TEXT($A514,"mmmm/yyyy"))</f>
        <v/>
      </c>
      <c r="P514">
        <f>IFERROR(_xludf.XLOOKUP($N514,Base_Enderecos!$A:$A,Base_Enderecos!$B:$B,""),"")</f>
        <v/>
      </c>
      <c r="Q514">
        <f>IFERROR(_xludf.XLOOKUP($N514,Base_Enderecos!$A:$A,Base_Enderecos!$C:$C,""),"")</f>
        <v/>
      </c>
      <c r="R514">
        <f>IF(OR(ISNUMBER(SEARCH("HDD",$F514)),ISNUMBER(SEARCH("MND",$F514)),ISNUMBER(SEARCH("PEAD",$F514)),ISNUMBER(SEARCH("Puxe",$J514)),ISNUMBER(SEARCH("Apoio HDD",$F514))),"MND",IF(OR(ISNUMBER(SEARCH("VCA",$F514)),ISNUMBER(SEARCH("PVC",$F514)),ISNUMBER(SEARCH("vca",$J514)),ISNUMBER(SEARCH("Transformação",$J514))),"VCA",IF(OR(ISNUMBER(SEARCH("crava",$F514)),ISNUMBER(SEARCH("tubo cravado",$F514)),ISNUMBER(SEARCH("shaft",$J514)),ISNUMBER(SEARCH("concreto",$F514))),"TUBO CRAVADO","")))</f>
        <v/>
      </c>
      <c r="T514">
        <f>IF($A514="","",TEXT($A514,"yyyymm")&amp;"|"&amp;$C514&amp;"|"&amp;$F514&amp;"|"&amp;$N514&amp;"|"&amp;$R514)</f>
        <v/>
      </c>
    </row>
    <row r="515" ht="11.55" customHeight="1">
      <c r="A515" s="10" t="n">
        <v>46048</v>
      </c>
      <c r="B515" s="7" t="inlineStr">
        <is>
          <t>Segunda</t>
        </is>
      </c>
      <c r="C515" s="7" t="inlineStr">
        <is>
          <t>CT Jaraguá</t>
        </is>
      </c>
      <c r="D515" s="7" t="n"/>
      <c r="E515" s="7" t="inlineStr">
        <is>
          <t>Higor</t>
        </is>
      </c>
      <c r="F515" s="13" t="inlineStr">
        <is>
          <t>Transformação PV 05 e 04</t>
        </is>
      </c>
      <c r="G515" s="7" t="inlineStr">
        <is>
          <t>05</t>
        </is>
      </c>
      <c r="H515" s="7" t="n"/>
      <c r="I515" s="7" t="inlineStr">
        <is>
          <t>05</t>
        </is>
      </c>
      <c r="J515" s="7" t="inlineStr">
        <is>
          <t>Transformação</t>
        </is>
      </c>
      <c r="K515" s="7" t="inlineStr">
        <is>
          <t>Planejamento</t>
        </is>
      </c>
      <c r="L515" s="16" t="inlineStr">
        <is>
          <t>PDS-janeiro(1).docx</t>
        </is>
      </c>
      <c r="M515">
        <f>IF($A515="","",TEXT($A515,"mmmm/yyyy"))</f>
        <v/>
      </c>
      <c r="P515">
        <f>IFERROR(_xludf.XLOOKUP($N515,Base_Enderecos!$A:$A,Base_Enderecos!$B:$B,""),"")</f>
        <v/>
      </c>
      <c r="Q515">
        <f>IFERROR(_xludf.XLOOKUP($N515,Base_Enderecos!$A:$A,Base_Enderecos!$C:$C,""),"")</f>
        <v/>
      </c>
      <c r="R515">
        <f>IF(OR(ISNUMBER(SEARCH("HDD",$F515)),ISNUMBER(SEARCH("MND",$F515)),ISNUMBER(SEARCH("PEAD",$F515)),ISNUMBER(SEARCH("Puxe",$J515)),ISNUMBER(SEARCH("Apoio HDD",$F515))),"MND",IF(OR(ISNUMBER(SEARCH("VCA",$F515)),ISNUMBER(SEARCH("PVC",$F515)),ISNUMBER(SEARCH("vca",$J515)),ISNUMBER(SEARCH("Transformação",$J515))),"VCA",IF(OR(ISNUMBER(SEARCH("crava",$F515)),ISNUMBER(SEARCH("tubo cravado",$F515)),ISNUMBER(SEARCH("shaft",$J515)),ISNUMBER(SEARCH("concreto",$F515))),"TUBO CRAVADO","")))</f>
        <v/>
      </c>
      <c r="T515">
        <f>IF($A515="","",TEXT($A515,"yyyymm")&amp;"|"&amp;$C515&amp;"|"&amp;$F515&amp;"|"&amp;$N515&amp;"|"&amp;$R515)</f>
        <v/>
      </c>
    </row>
    <row r="516" ht="11.55" customHeight="1">
      <c r="A516" s="10" t="n">
        <v>46048</v>
      </c>
      <c r="B516" s="7" t="inlineStr">
        <is>
          <t>Segunda</t>
        </is>
      </c>
      <c r="C516" s="7" t="inlineStr">
        <is>
          <t>CT Lourdes</t>
        </is>
      </c>
      <c r="D516" s="7" t="n"/>
      <c r="E516" s="7" t="inlineStr">
        <is>
          <t>Edivando</t>
        </is>
      </c>
      <c r="F516" s="13" t="inlineStr">
        <is>
          <t>Transformação PV 18</t>
        </is>
      </c>
      <c r="G516" s="7" t="inlineStr">
        <is>
          <t>18</t>
        </is>
      </c>
      <c r="H516" s="7" t="n"/>
      <c r="I516" s="7" t="inlineStr">
        <is>
          <t>18</t>
        </is>
      </c>
      <c r="J516" s="7" t="inlineStr">
        <is>
          <t>Transformação</t>
        </is>
      </c>
      <c r="K516" s="7" t="inlineStr">
        <is>
          <t>Planejamento</t>
        </is>
      </c>
      <c r="L516" s="16" t="inlineStr">
        <is>
          <t>PDS-janeiro(1).docx</t>
        </is>
      </c>
      <c r="M516">
        <f>IF($A516="","",TEXT($A516,"mmmm/yyyy"))</f>
        <v/>
      </c>
      <c r="P516">
        <f>IFERROR(_xludf.XLOOKUP($N516,Base_Enderecos!$A:$A,Base_Enderecos!$B:$B,""),"")</f>
        <v/>
      </c>
      <c r="Q516">
        <f>IFERROR(_xludf.XLOOKUP($N516,Base_Enderecos!$A:$A,Base_Enderecos!$C:$C,""),"")</f>
        <v/>
      </c>
      <c r="R516">
        <f>IF(OR(ISNUMBER(SEARCH("HDD",$F516)),ISNUMBER(SEARCH("MND",$F516)),ISNUMBER(SEARCH("PEAD",$F516)),ISNUMBER(SEARCH("Puxe",$J516)),ISNUMBER(SEARCH("Apoio HDD",$F516))),"MND",IF(OR(ISNUMBER(SEARCH("VCA",$F516)),ISNUMBER(SEARCH("PVC",$F516)),ISNUMBER(SEARCH("vca",$J516)),ISNUMBER(SEARCH("Transformação",$J516))),"VCA",IF(OR(ISNUMBER(SEARCH("crava",$F516)),ISNUMBER(SEARCH("tubo cravado",$F516)),ISNUMBER(SEARCH("shaft",$J516)),ISNUMBER(SEARCH("concreto",$F516))),"TUBO CRAVADO","")))</f>
        <v/>
      </c>
      <c r="T516">
        <f>IF($A516="","",TEXT($A516,"yyyymm")&amp;"|"&amp;$C516&amp;"|"&amp;$F516&amp;"|"&amp;$N516&amp;"|"&amp;$R516)</f>
        <v/>
      </c>
    </row>
    <row r="517" ht="11.55" customHeight="1">
      <c r="A517" s="10" t="n">
        <v>46048</v>
      </c>
      <c r="B517" s="7" t="inlineStr">
        <is>
          <t>Segunda</t>
        </is>
      </c>
      <c r="C517" s="7" t="inlineStr">
        <is>
          <t>CT Lourdes</t>
        </is>
      </c>
      <c r="D517" s="7" t="n"/>
      <c r="E517" s="7" t="inlineStr">
        <is>
          <t>Natalino</t>
        </is>
      </c>
      <c r="F517" s="13" t="inlineStr">
        <is>
          <t>Apoio HDD entre PVs 14 ao 13</t>
        </is>
      </c>
      <c r="G517" s="7" t="inlineStr">
        <is>
          <t>14</t>
        </is>
      </c>
      <c r="H517" s="7" t="n"/>
      <c r="I517" s="7" t="inlineStr">
        <is>
          <t>14</t>
        </is>
      </c>
      <c r="J517" s="7" t="inlineStr">
        <is>
          <t>Apoio HDD</t>
        </is>
      </c>
      <c r="K517" s="7" t="inlineStr">
        <is>
          <t>Planejamento</t>
        </is>
      </c>
      <c r="L517" s="16" t="inlineStr">
        <is>
          <t>PDS-janeiro(1).docx</t>
        </is>
      </c>
      <c r="M517">
        <f>IF($A517="","",TEXT($A517,"mmmm/yyyy"))</f>
        <v/>
      </c>
      <c r="P517">
        <f>IFERROR(_xludf.XLOOKUP($N517,Base_Enderecos!$A:$A,Base_Enderecos!$B:$B,""),"")</f>
        <v/>
      </c>
      <c r="Q517">
        <f>IFERROR(_xludf.XLOOKUP($N517,Base_Enderecos!$A:$A,Base_Enderecos!$C:$C,""),"")</f>
        <v/>
      </c>
      <c r="R517">
        <f>IF(OR(ISNUMBER(SEARCH("HDD",$F517)),ISNUMBER(SEARCH("MND",$F517)),ISNUMBER(SEARCH("PEAD",$F517)),ISNUMBER(SEARCH("Puxe",$J517)),ISNUMBER(SEARCH("Apoio HDD",$F517))),"MND",IF(OR(ISNUMBER(SEARCH("VCA",$F517)),ISNUMBER(SEARCH("PVC",$F517)),ISNUMBER(SEARCH("vca",$J517)),ISNUMBER(SEARCH("Transformação",$J517))),"VCA",IF(OR(ISNUMBER(SEARCH("crava",$F517)),ISNUMBER(SEARCH("tubo cravado",$F517)),ISNUMBER(SEARCH("shaft",$J517)),ISNUMBER(SEARCH("concreto",$F517))),"TUBO CRAVADO","")))</f>
        <v/>
      </c>
      <c r="T517">
        <f>IF($A517="","",TEXT($A517,"yyyymm")&amp;"|"&amp;$C517&amp;"|"&amp;$F517&amp;"|"&amp;$N517&amp;"|"&amp;$R517)</f>
        <v/>
      </c>
    </row>
    <row r="518" ht="11.55" customHeight="1">
      <c r="A518" s="10" t="n">
        <v>46048</v>
      </c>
      <c r="B518" s="7" t="inlineStr">
        <is>
          <t>Segunda</t>
        </is>
      </c>
      <c r="C518" s="7" t="inlineStr">
        <is>
          <t>CT Mar de Coral</t>
        </is>
      </c>
      <c r="D518" s="7" t="n"/>
      <c r="E518" s="7" t="inlineStr">
        <is>
          <t>Jonathan</t>
        </is>
      </c>
      <c r="F518" s="13" t="inlineStr">
        <is>
          <t>Apoio HDD entre PVs 13 ao 16</t>
        </is>
      </c>
      <c r="G518" s="7" t="inlineStr">
        <is>
          <t>13</t>
        </is>
      </c>
      <c r="H518" s="7" t="n"/>
      <c r="I518" s="7" t="inlineStr">
        <is>
          <t>13</t>
        </is>
      </c>
      <c r="J518" s="7" t="inlineStr">
        <is>
          <t>Apoio HDD</t>
        </is>
      </c>
      <c r="K518" s="7" t="inlineStr">
        <is>
          <t>Planejamento</t>
        </is>
      </c>
      <c r="L518" s="16" t="inlineStr">
        <is>
          <t>PDS-janeiro(1).docx</t>
        </is>
      </c>
      <c r="M518">
        <f>IF($A518="","",TEXT($A518,"mmmm/yyyy"))</f>
        <v/>
      </c>
      <c r="P518">
        <f>IFERROR(_xludf.XLOOKUP($N518,Base_Enderecos!$A:$A,Base_Enderecos!$B:$B,""),"")</f>
        <v/>
      </c>
      <c r="Q518">
        <f>IFERROR(_xludf.XLOOKUP($N518,Base_Enderecos!$A:$A,Base_Enderecos!$C:$C,""),"")</f>
        <v/>
      </c>
      <c r="R518">
        <f>IF(OR(ISNUMBER(SEARCH("HDD",$F518)),ISNUMBER(SEARCH("MND",$F518)),ISNUMBER(SEARCH("PEAD",$F518)),ISNUMBER(SEARCH("Puxe",$J518)),ISNUMBER(SEARCH("Apoio HDD",$F518))),"MND",IF(OR(ISNUMBER(SEARCH("VCA",$F518)),ISNUMBER(SEARCH("PVC",$F518)),ISNUMBER(SEARCH("vca",$J518)),ISNUMBER(SEARCH("Transformação",$J518))),"VCA",IF(OR(ISNUMBER(SEARCH("crava",$F518)),ISNUMBER(SEARCH("tubo cravado",$F518)),ISNUMBER(SEARCH("shaft",$J518)),ISNUMBER(SEARCH("concreto",$F518))),"TUBO CRAVADO","")))</f>
        <v/>
      </c>
      <c r="T518">
        <f>IF($A518="","",TEXT($A518,"yyyymm")&amp;"|"&amp;$C518&amp;"|"&amp;$F518&amp;"|"&amp;$N518&amp;"|"&amp;$R518)</f>
        <v/>
      </c>
    </row>
    <row r="519" ht="11.55" customHeight="1">
      <c r="A519" s="10" t="n">
        <v>46048</v>
      </c>
      <c r="B519" s="7" t="inlineStr">
        <is>
          <t>Segunda</t>
        </is>
      </c>
      <c r="C519" s="7" t="inlineStr">
        <is>
          <t>CT Mar de Coral</t>
        </is>
      </c>
      <c r="D519" s="7" t="n"/>
      <c r="E519" s="7" t="inlineStr">
        <is>
          <t>Márcio</t>
        </is>
      </c>
      <c r="F519" s="13" t="inlineStr">
        <is>
          <t>Apoio HDD entre PVs 08 ao 09</t>
        </is>
      </c>
      <c r="G519" s="7" t="inlineStr">
        <is>
          <t>08</t>
        </is>
      </c>
      <c r="H519" s="7" t="n"/>
      <c r="I519" s="7" t="inlineStr">
        <is>
          <t>08</t>
        </is>
      </c>
      <c r="J519" s="7" t="inlineStr">
        <is>
          <t>Apoio HDD</t>
        </is>
      </c>
      <c r="K519" s="7" t="inlineStr">
        <is>
          <t>Planejamento</t>
        </is>
      </c>
      <c r="L519" s="16" t="inlineStr">
        <is>
          <t>PDS-janeiro(1).docx</t>
        </is>
      </c>
      <c r="M519">
        <f>IF($A519="","",TEXT($A519,"mmmm/yyyy"))</f>
        <v/>
      </c>
      <c r="P519">
        <f>IFERROR(_xludf.XLOOKUP($N519,Base_Enderecos!$A:$A,Base_Enderecos!$B:$B,""),"")</f>
        <v/>
      </c>
      <c r="Q519">
        <f>IFERROR(_xludf.XLOOKUP($N519,Base_Enderecos!$A:$A,Base_Enderecos!$C:$C,""),"")</f>
        <v/>
      </c>
      <c r="R519">
        <f>IF(OR(ISNUMBER(SEARCH("HDD",$F519)),ISNUMBER(SEARCH("MND",$F519)),ISNUMBER(SEARCH("PEAD",$F519)),ISNUMBER(SEARCH("Puxe",$J519)),ISNUMBER(SEARCH("Apoio HDD",$F519))),"MND",IF(OR(ISNUMBER(SEARCH("VCA",$F519)),ISNUMBER(SEARCH("PVC",$F519)),ISNUMBER(SEARCH("vca",$J519)),ISNUMBER(SEARCH("Transformação",$J519))),"VCA",IF(OR(ISNUMBER(SEARCH("crava",$F519)),ISNUMBER(SEARCH("tubo cravado",$F519)),ISNUMBER(SEARCH("shaft",$J519)),ISNUMBER(SEARCH("concreto",$F519))),"TUBO CRAVADO","")))</f>
        <v/>
      </c>
      <c r="T519">
        <f>IF($A519="","",TEXT($A519,"yyyymm")&amp;"|"&amp;$C519&amp;"|"&amp;$F519&amp;"|"&amp;$N519&amp;"|"&amp;$R519)</f>
        <v/>
      </c>
    </row>
    <row r="520" ht="11.55" customHeight="1">
      <c r="A520" s="10" t="n">
        <v>46048</v>
      </c>
      <c r="B520" s="7" t="inlineStr">
        <is>
          <t>Segunda</t>
        </is>
      </c>
      <c r="C520" s="7" t="inlineStr">
        <is>
          <t>CT Mar de Coral</t>
        </is>
      </c>
      <c r="D520" s="7" t="n"/>
      <c r="E520" s="7" t="inlineStr">
        <is>
          <t>Valter</t>
        </is>
      </c>
      <c r="F520" s="13" t="inlineStr">
        <is>
          <t>Transformação PV 05</t>
        </is>
      </c>
      <c r="G520" s="7" t="inlineStr">
        <is>
          <t>05</t>
        </is>
      </c>
      <c r="H520" s="7" t="n"/>
      <c r="I520" s="7" t="inlineStr">
        <is>
          <t>05</t>
        </is>
      </c>
      <c r="J520" s="7" t="inlineStr">
        <is>
          <t>Transformação</t>
        </is>
      </c>
      <c r="K520" s="7" t="inlineStr">
        <is>
          <t>Planejamento</t>
        </is>
      </c>
      <c r="L520" s="16" t="inlineStr">
        <is>
          <t>PDS-janeiro(1).docx</t>
        </is>
      </c>
      <c r="M520">
        <f>IF($A520="","",TEXT($A520,"mmmm/yyyy"))</f>
        <v/>
      </c>
      <c r="P520">
        <f>IFERROR(_xludf.XLOOKUP($N520,Base_Enderecos!$A:$A,Base_Enderecos!$B:$B,""),"")</f>
        <v/>
      </c>
      <c r="Q520">
        <f>IFERROR(_xludf.XLOOKUP($N520,Base_Enderecos!$A:$A,Base_Enderecos!$C:$C,""),"")</f>
        <v/>
      </c>
      <c r="R520">
        <f>IF(OR(ISNUMBER(SEARCH("HDD",$F520)),ISNUMBER(SEARCH("MND",$F520)),ISNUMBER(SEARCH("PEAD",$F520)),ISNUMBER(SEARCH("Puxe",$J520)),ISNUMBER(SEARCH("Apoio HDD",$F520))),"MND",IF(OR(ISNUMBER(SEARCH("VCA",$F520)),ISNUMBER(SEARCH("PVC",$F520)),ISNUMBER(SEARCH("vca",$J520)),ISNUMBER(SEARCH("Transformação",$J520))),"VCA",IF(OR(ISNUMBER(SEARCH("crava",$F520)),ISNUMBER(SEARCH("tubo cravado",$F520)),ISNUMBER(SEARCH("shaft",$J520)),ISNUMBER(SEARCH("concreto",$F520))),"TUBO CRAVADO","")))</f>
        <v/>
      </c>
      <c r="T520">
        <f>IF($A520="","",TEXT($A520,"yyyymm")&amp;"|"&amp;$C520&amp;"|"&amp;$F520&amp;"|"&amp;$N520&amp;"|"&amp;$R520)</f>
        <v/>
      </c>
    </row>
    <row r="521" ht="11.55" customHeight="1">
      <c r="A521" s="10" t="n">
        <v>46048</v>
      </c>
      <c r="B521" s="7" t="inlineStr">
        <is>
          <t>Segunda</t>
        </is>
      </c>
      <c r="C521" s="7" t="inlineStr">
        <is>
          <t>CT Mar de Coral</t>
        </is>
      </c>
      <c r="D521" s="7" t="n"/>
      <c r="E521" s="7" t="inlineStr">
        <is>
          <t>Paulo (Medeiros)</t>
        </is>
      </c>
      <c r="F521" s="13" t="inlineStr">
        <is>
          <t>Apoio HDD entre PVs 19 ao 23</t>
        </is>
      </c>
      <c r="G521" s="7" t="inlineStr">
        <is>
          <t>19</t>
        </is>
      </c>
      <c r="H521" s="7" t="n"/>
      <c r="I521" s="7" t="inlineStr">
        <is>
          <t>19</t>
        </is>
      </c>
      <c r="J521" s="7" t="inlineStr">
        <is>
          <t>Apoio HDD</t>
        </is>
      </c>
      <c r="K521" s="7" t="inlineStr">
        <is>
          <t>Planejamento</t>
        </is>
      </c>
      <c r="L521" s="16" t="inlineStr">
        <is>
          <t>PDS-janeiro(1).docx</t>
        </is>
      </c>
      <c r="M521">
        <f>IF($A521="","",TEXT($A521,"mmmm/yyyy"))</f>
        <v/>
      </c>
      <c r="P521">
        <f>IFERROR(_xludf.XLOOKUP($N521,Base_Enderecos!$A:$A,Base_Enderecos!$B:$B,""),"")</f>
        <v/>
      </c>
      <c r="Q521">
        <f>IFERROR(_xludf.XLOOKUP($N521,Base_Enderecos!$A:$A,Base_Enderecos!$C:$C,""),"")</f>
        <v/>
      </c>
      <c r="R521">
        <f>IF(OR(ISNUMBER(SEARCH("HDD",$F521)),ISNUMBER(SEARCH("MND",$F521)),ISNUMBER(SEARCH("PEAD",$F521)),ISNUMBER(SEARCH("Puxe",$J521)),ISNUMBER(SEARCH("Apoio HDD",$F521))),"MND",IF(OR(ISNUMBER(SEARCH("VCA",$F521)),ISNUMBER(SEARCH("PVC",$F521)),ISNUMBER(SEARCH("vca",$J521)),ISNUMBER(SEARCH("Transformação",$J521))),"VCA",IF(OR(ISNUMBER(SEARCH("crava",$F521)),ISNUMBER(SEARCH("tubo cravado",$F521)),ISNUMBER(SEARCH("shaft",$J521)),ISNUMBER(SEARCH("concreto",$F521))),"TUBO CRAVADO","")))</f>
        <v/>
      </c>
      <c r="T521">
        <f>IF($A521="","",TEXT($A521,"yyyymm")&amp;"|"&amp;$C521&amp;"|"&amp;$F521&amp;"|"&amp;$N521&amp;"|"&amp;$R521)</f>
        <v/>
      </c>
    </row>
    <row r="522" ht="11.55" customHeight="1">
      <c r="A522" s="10" t="n">
        <v>46048</v>
      </c>
      <c r="B522" s="7" t="inlineStr">
        <is>
          <t>Segunda</t>
        </is>
      </c>
      <c r="C522" s="7" t="inlineStr">
        <is>
          <t>CT Mar de Coral</t>
        </is>
      </c>
      <c r="D522" s="7" t="n"/>
      <c r="E522" s="7" t="inlineStr">
        <is>
          <t>Paulo</t>
        </is>
      </c>
      <c r="F522" s="13" t="inlineStr">
        <is>
          <t>Transformação PV 5.1 + Interligações</t>
        </is>
      </c>
      <c r="G522" s="7" t="inlineStr">
        <is>
          <t>5.1</t>
        </is>
      </c>
      <c r="H522" s="7" t="n"/>
      <c r="I522" s="7" t="inlineStr">
        <is>
          <t>5.1</t>
        </is>
      </c>
      <c r="J522" s="7" t="inlineStr">
        <is>
          <t>Transformação</t>
        </is>
      </c>
      <c r="K522" s="7" t="inlineStr">
        <is>
          <t>Planejamento</t>
        </is>
      </c>
      <c r="L522" s="16" t="inlineStr">
        <is>
          <t>PDS-janeiro(1).docx</t>
        </is>
      </c>
      <c r="M522">
        <f>IF($A522="","",TEXT($A522,"mmmm/yyyy"))</f>
        <v/>
      </c>
      <c r="P522">
        <f>IFERROR(_xludf.XLOOKUP($N522,Base_Enderecos!$A:$A,Base_Enderecos!$B:$B,""),"")</f>
        <v/>
      </c>
      <c r="Q522">
        <f>IFERROR(_xludf.XLOOKUP($N522,Base_Enderecos!$A:$A,Base_Enderecos!$C:$C,""),"")</f>
        <v/>
      </c>
      <c r="R522">
        <f>IF(OR(ISNUMBER(SEARCH("HDD",$F522)),ISNUMBER(SEARCH("MND",$F522)),ISNUMBER(SEARCH("PEAD",$F522)),ISNUMBER(SEARCH("Puxe",$J522)),ISNUMBER(SEARCH("Apoio HDD",$F522))),"MND",IF(OR(ISNUMBER(SEARCH("VCA",$F522)),ISNUMBER(SEARCH("PVC",$F522)),ISNUMBER(SEARCH("vca",$J522)),ISNUMBER(SEARCH("Transformação",$J522))),"VCA",IF(OR(ISNUMBER(SEARCH("crava",$F522)),ISNUMBER(SEARCH("tubo cravado",$F522)),ISNUMBER(SEARCH("shaft",$J522)),ISNUMBER(SEARCH("concreto",$F522))),"TUBO CRAVADO","")))</f>
        <v/>
      </c>
      <c r="T522">
        <f>IF($A522="","",TEXT($A522,"yyyymm")&amp;"|"&amp;$C522&amp;"|"&amp;$F522&amp;"|"&amp;$N522&amp;"|"&amp;$R522)</f>
        <v/>
      </c>
    </row>
    <row r="523" ht="11.55" customHeight="1">
      <c r="A523" s="10" t="n">
        <v>46048</v>
      </c>
      <c r="B523" s="7" t="inlineStr">
        <is>
          <t>Segunda</t>
        </is>
      </c>
      <c r="C523" s="7" t="inlineStr">
        <is>
          <t>CT Mar de Coral</t>
        </is>
      </c>
      <c r="D523" s="7" t="n"/>
      <c r="E523" s="7" t="inlineStr">
        <is>
          <t>Sergio</t>
        </is>
      </c>
      <c r="F523" s="13" t="inlineStr">
        <is>
          <t>Transformação PV 04</t>
        </is>
      </c>
      <c r="G523" s="7" t="inlineStr">
        <is>
          <t>04</t>
        </is>
      </c>
      <c r="H523" s="7" t="n"/>
      <c r="I523" s="7" t="inlineStr">
        <is>
          <t>04</t>
        </is>
      </c>
      <c r="J523" s="7" t="inlineStr">
        <is>
          <t>Transformação</t>
        </is>
      </c>
      <c r="K523" s="7" t="inlineStr">
        <is>
          <t>Planejamento</t>
        </is>
      </c>
      <c r="L523" s="16" t="inlineStr">
        <is>
          <t>PDS-janeiro(1).docx</t>
        </is>
      </c>
      <c r="M523">
        <f>IF($A523="","",TEXT($A523,"mmmm/yyyy"))</f>
        <v/>
      </c>
      <c r="P523">
        <f>IFERROR(_xludf.XLOOKUP($N523,Base_Enderecos!$A:$A,Base_Enderecos!$B:$B,""),"")</f>
        <v/>
      </c>
      <c r="Q523">
        <f>IFERROR(_xludf.XLOOKUP($N523,Base_Enderecos!$A:$A,Base_Enderecos!$C:$C,""),"")</f>
        <v/>
      </c>
      <c r="R523">
        <f>IF(OR(ISNUMBER(SEARCH("HDD",$F523)),ISNUMBER(SEARCH("MND",$F523)),ISNUMBER(SEARCH("PEAD",$F523)),ISNUMBER(SEARCH("Puxe",$J523)),ISNUMBER(SEARCH("Apoio HDD",$F523))),"MND",IF(OR(ISNUMBER(SEARCH("VCA",$F523)),ISNUMBER(SEARCH("PVC",$F523)),ISNUMBER(SEARCH("vca",$J523)),ISNUMBER(SEARCH("Transformação",$J523))),"VCA",IF(OR(ISNUMBER(SEARCH("crava",$F523)),ISNUMBER(SEARCH("tubo cravado",$F523)),ISNUMBER(SEARCH("shaft",$J523)),ISNUMBER(SEARCH("concreto",$F523))),"TUBO CRAVADO","")))</f>
        <v/>
      </c>
      <c r="T523">
        <f>IF($A523="","",TEXT($A523,"yyyymm")&amp;"|"&amp;$C523&amp;"|"&amp;$F523&amp;"|"&amp;$N523&amp;"|"&amp;$R523)</f>
        <v/>
      </c>
    </row>
    <row r="524" ht="11.55" customHeight="1">
      <c r="A524" s="10" t="n">
        <v>46048</v>
      </c>
      <c r="B524" s="7" t="inlineStr">
        <is>
          <t>Segunda</t>
        </is>
      </c>
      <c r="C524" s="7" t="inlineStr">
        <is>
          <t>Vacal</t>
        </is>
      </c>
      <c r="D524" s="7" t="n"/>
      <c r="E524" s="7" t="inlineStr">
        <is>
          <t>Mar de Coral</t>
        </is>
      </c>
      <c r="F524" s="13" t="inlineStr">
        <is>
          <t>Apoio Vacal</t>
        </is>
      </c>
      <c r="G524" s="7" t="n"/>
      <c r="H524" s="7" t="n"/>
      <c r="I524" s="7" t="n"/>
      <c r="J524" s="7" t="inlineStr">
        <is>
          <t>Vacal</t>
        </is>
      </c>
      <c r="K524" s="7" t="inlineStr">
        <is>
          <t>Apoio</t>
        </is>
      </c>
      <c r="L524" s="16" t="inlineStr">
        <is>
          <t>PDS-janeiro(1).docx</t>
        </is>
      </c>
      <c r="M524">
        <f>IF($A524="","",TEXT($A524,"mmmm/yyyy"))</f>
        <v/>
      </c>
      <c r="P524">
        <f>IFERROR(_xludf.XLOOKUP($N524,Base_Enderecos!$A:$A,Base_Enderecos!$B:$B,""),"")</f>
        <v/>
      </c>
      <c r="Q524">
        <f>IFERROR(_xludf.XLOOKUP($N524,Base_Enderecos!$A:$A,Base_Enderecos!$C:$C,""),"")</f>
        <v/>
      </c>
      <c r="R524">
        <f>IF(OR(ISNUMBER(SEARCH("HDD",$F524)),ISNUMBER(SEARCH("MND",$F524)),ISNUMBER(SEARCH("PEAD",$F524)),ISNUMBER(SEARCH("Puxe",$J524)),ISNUMBER(SEARCH("Apoio HDD",$F524))),"MND",IF(OR(ISNUMBER(SEARCH("VCA",$F524)),ISNUMBER(SEARCH("PVC",$F524)),ISNUMBER(SEARCH("vca",$J524)),ISNUMBER(SEARCH("Transformação",$J524))),"VCA",IF(OR(ISNUMBER(SEARCH("crava",$F524)),ISNUMBER(SEARCH("tubo cravado",$F524)),ISNUMBER(SEARCH("shaft",$J524)),ISNUMBER(SEARCH("concreto",$F524))),"TUBO CRAVADO","")))</f>
        <v/>
      </c>
      <c r="T524">
        <f>IF($A524="","",TEXT($A524,"yyyymm")&amp;"|"&amp;$C524&amp;"|"&amp;$F524&amp;"|"&amp;$N524&amp;"|"&amp;$R524)</f>
        <v/>
      </c>
    </row>
    <row r="525" ht="11.55" customHeight="1">
      <c r="A525" s="10" t="n">
        <v>46048</v>
      </c>
      <c r="B525" s="7" t="inlineStr">
        <is>
          <t>Segunda</t>
        </is>
      </c>
      <c r="C525" s="7" t="inlineStr">
        <is>
          <t>Vacal</t>
        </is>
      </c>
      <c r="D525" s="7" t="n"/>
      <c r="E525" s="7" t="inlineStr">
        <is>
          <t>Mar de Coral</t>
        </is>
      </c>
      <c r="F525" s="13" t="inlineStr">
        <is>
          <t>Apoio Vacal</t>
        </is>
      </c>
      <c r="G525" s="7" t="n"/>
      <c r="H525" s="7" t="n"/>
      <c r="I525" s="7" t="n"/>
      <c r="J525" s="7" t="inlineStr">
        <is>
          <t>Vacal</t>
        </is>
      </c>
      <c r="K525" s="7" t="inlineStr">
        <is>
          <t>Apoio</t>
        </is>
      </c>
      <c r="L525" s="16" t="inlineStr">
        <is>
          <t>PDS-janeiro(1).docx</t>
        </is>
      </c>
      <c r="M525">
        <f>IF($A525="","",TEXT($A525,"mmmm/yyyy"))</f>
        <v/>
      </c>
      <c r="P525">
        <f>IFERROR(_xludf.XLOOKUP($N525,Base_Enderecos!$A:$A,Base_Enderecos!$B:$B,""),"")</f>
        <v/>
      </c>
      <c r="Q525">
        <f>IFERROR(_xludf.XLOOKUP($N525,Base_Enderecos!$A:$A,Base_Enderecos!$C:$C,""),"")</f>
        <v/>
      </c>
      <c r="R525">
        <f>IF(OR(ISNUMBER(SEARCH("HDD",$F525)),ISNUMBER(SEARCH("MND",$F525)),ISNUMBER(SEARCH("PEAD",$F525)),ISNUMBER(SEARCH("Puxe",$J525)),ISNUMBER(SEARCH("Apoio HDD",$F525))),"MND",IF(OR(ISNUMBER(SEARCH("VCA",$F525)),ISNUMBER(SEARCH("PVC",$F525)),ISNUMBER(SEARCH("vca",$J525)),ISNUMBER(SEARCH("Transformação",$J525))),"VCA",IF(OR(ISNUMBER(SEARCH("crava",$F525)),ISNUMBER(SEARCH("tubo cravado",$F525)),ISNUMBER(SEARCH("shaft",$J525)),ISNUMBER(SEARCH("concreto",$F525))),"TUBO CRAVADO","")))</f>
        <v/>
      </c>
      <c r="T525">
        <f>IF($A525="","",TEXT($A525,"yyyymm")&amp;"|"&amp;$C525&amp;"|"&amp;$F525&amp;"|"&amp;$N525&amp;"|"&amp;$R525)</f>
        <v/>
      </c>
    </row>
    <row r="526" ht="11.55" customHeight="1">
      <c r="A526" s="10" t="n">
        <v>46048</v>
      </c>
      <c r="B526" s="7" t="inlineStr">
        <is>
          <t>Segunda</t>
        </is>
      </c>
      <c r="C526" s="7" t="inlineStr">
        <is>
          <t>Vacal</t>
        </is>
      </c>
      <c r="D526" s="7" t="n"/>
      <c r="E526" s="7" t="inlineStr">
        <is>
          <t>Mar de Coral</t>
        </is>
      </c>
      <c r="F526" s="13" t="inlineStr">
        <is>
          <t>Apoio Vacal</t>
        </is>
      </c>
      <c r="G526" s="7" t="n"/>
      <c r="H526" s="7" t="n"/>
      <c r="I526" s="7" t="n"/>
      <c r="J526" s="7" t="inlineStr">
        <is>
          <t>Vacal</t>
        </is>
      </c>
      <c r="K526" s="7" t="inlineStr">
        <is>
          <t>Apoio</t>
        </is>
      </c>
      <c r="L526" s="16" t="inlineStr">
        <is>
          <t>PDS-janeiro(1).docx</t>
        </is>
      </c>
      <c r="M526">
        <f>IF($A526="","",TEXT($A526,"mmmm/yyyy"))</f>
        <v/>
      </c>
      <c r="P526">
        <f>IFERROR(_xludf.XLOOKUP($N526,Base_Enderecos!$A:$A,Base_Enderecos!$B:$B,""),"")</f>
        <v/>
      </c>
      <c r="Q526">
        <f>IFERROR(_xludf.XLOOKUP($N526,Base_Enderecos!$A:$A,Base_Enderecos!$C:$C,""),"")</f>
        <v/>
      </c>
      <c r="R526">
        <f>IF(OR(ISNUMBER(SEARCH("HDD",$F526)),ISNUMBER(SEARCH("MND",$F526)),ISNUMBER(SEARCH("PEAD",$F526)),ISNUMBER(SEARCH("Puxe",$J526)),ISNUMBER(SEARCH("Apoio HDD",$F526))),"MND",IF(OR(ISNUMBER(SEARCH("VCA",$F526)),ISNUMBER(SEARCH("PVC",$F526)),ISNUMBER(SEARCH("vca",$J526)),ISNUMBER(SEARCH("Transformação",$J526))),"VCA",IF(OR(ISNUMBER(SEARCH("crava",$F526)),ISNUMBER(SEARCH("tubo cravado",$F526)),ISNUMBER(SEARCH("shaft",$J526)),ISNUMBER(SEARCH("concreto",$F526))),"TUBO CRAVADO","")))</f>
        <v/>
      </c>
      <c r="T526">
        <f>IF($A526="","",TEXT($A526,"yyyymm")&amp;"|"&amp;$C526&amp;"|"&amp;$F526&amp;"|"&amp;$N526&amp;"|"&amp;$R526)</f>
        <v/>
      </c>
    </row>
    <row r="527" ht="11.55" customHeight="1">
      <c r="A527" s="10" t="n">
        <v>46048</v>
      </c>
      <c r="B527" s="7" t="inlineStr">
        <is>
          <t>Segunda</t>
        </is>
      </c>
      <c r="C527" s="7" t="inlineStr">
        <is>
          <t>Vacal</t>
        </is>
      </c>
      <c r="D527" s="7" t="n"/>
      <c r="E527" s="7" t="inlineStr">
        <is>
          <t>Lourdes</t>
        </is>
      </c>
      <c r="F527" s="13" t="inlineStr">
        <is>
          <t>Apoio Vacal</t>
        </is>
      </c>
      <c r="G527" s="7" t="n"/>
      <c r="H527" s="7" t="n"/>
      <c r="I527" s="7" t="n"/>
      <c r="J527" s="7" t="inlineStr">
        <is>
          <t>Vacal</t>
        </is>
      </c>
      <c r="K527" s="7" t="inlineStr">
        <is>
          <t>Apoio</t>
        </is>
      </c>
      <c r="L527" s="16" t="inlineStr">
        <is>
          <t>PDS-janeiro(1).docx</t>
        </is>
      </c>
      <c r="M527">
        <f>IF($A527="","",TEXT($A527,"mmmm/yyyy"))</f>
        <v/>
      </c>
      <c r="P527">
        <f>IFERROR(_xludf.XLOOKUP($N527,Base_Enderecos!$A:$A,Base_Enderecos!$B:$B,""),"")</f>
        <v/>
      </c>
      <c r="Q527">
        <f>IFERROR(_xludf.XLOOKUP($N527,Base_Enderecos!$A:$A,Base_Enderecos!$C:$C,""),"")</f>
        <v/>
      </c>
      <c r="R527">
        <f>IF(OR(ISNUMBER(SEARCH("HDD",$F527)),ISNUMBER(SEARCH("MND",$F527)),ISNUMBER(SEARCH("PEAD",$F527)),ISNUMBER(SEARCH("Puxe",$J527)),ISNUMBER(SEARCH("Apoio HDD",$F527))),"MND",IF(OR(ISNUMBER(SEARCH("VCA",$F527)),ISNUMBER(SEARCH("PVC",$F527)),ISNUMBER(SEARCH("vca",$J527)),ISNUMBER(SEARCH("Transformação",$J527))),"VCA",IF(OR(ISNUMBER(SEARCH("crava",$F527)),ISNUMBER(SEARCH("tubo cravado",$F527)),ISNUMBER(SEARCH("shaft",$J527)),ISNUMBER(SEARCH("concreto",$F527))),"TUBO CRAVADO","")))</f>
        <v/>
      </c>
      <c r="T527">
        <f>IF($A527="","",TEXT($A527,"yyyymm")&amp;"|"&amp;$C527&amp;"|"&amp;$F527&amp;"|"&amp;$N527&amp;"|"&amp;$R527)</f>
        <v/>
      </c>
    </row>
    <row r="528" ht="11.55" customHeight="1">
      <c r="A528" s="10" t="n">
        <v>46048</v>
      </c>
      <c r="B528" s="7" t="inlineStr">
        <is>
          <t>Segunda</t>
        </is>
      </c>
      <c r="C528" s="7" t="inlineStr">
        <is>
          <t>Guindauto</t>
        </is>
      </c>
      <c r="D528" s="7" t="n"/>
      <c r="E528" s="7" t="inlineStr">
        <is>
          <t>Rodrigo Apoio as equipes</t>
        </is>
      </c>
      <c r="F528" s="13" t="inlineStr">
        <is>
          <t>Rodrigo Apoio as equipes</t>
        </is>
      </c>
      <c r="G528" s="7" t="n"/>
      <c r="H528" s="7" t="n"/>
      <c r="I528" s="7" t="n"/>
      <c r="J528" s="7" t="inlineStr">
        <is>
          <t>Guindauto</t>
        </is>
      </c>
      <c r="K528" s="7" t="inlineStr">
        <is>
          <t>Apoio</t>
        </is>
      </c>
      <c r="L528" s="16" t="inlineStr">
        <is>
          <t>PDS-janeiro(1).docx</t>
        </is>
      </c>
      <c r="M528">
        <f>IF($A528="","",TEXT($A528,"mmmm/yyyy"))</f>
        <v/>
      </c>
      <c r="P528">
        <f>IFERROR(_xludf.XLOOKUP($N528,Base_Enderecos!$A:$A,Base_Enderecos!$B:$B,""),"")</f>
        <v/>
      </c>
      <c r="Q528">
        <f>IFERROR(_xludf.XLOOKUP($N528,Base_Enderecos!$A:$A,Base_Enderecos!$C:$C,""),"")</f>
        <v/>
      </c>
      <c r="R528">
        <f>IF(OR(ISNUMBER(SEARCH("HDD",$F528)),ISNUMBER(SEARCH("MND",$F528)),ISNUMBER(SEARCH("PEAD",$F528)),ISNUMBER(SEARCH("Puxe",$J528)),ISNUMBER(SEARCH("Apoio HDD",$F528))),"MND",IF(OR(ISNUMBER(SEARCH("VCA",$F528)),ISNUMBER(SEARCH("PVC",$F528)),ISNUMBER(SEARCH("vca",$J528)),ISNUMBER(SEARCH("Transformação",$J528))),"VCA",IF(OR(ISNUMBER(SEARCH("crava",$F528)),ISNUMBER(SEARCH("tubo cravado",$F528)),ISNUMBER(SEARCH("shaft",$J528)),ISNUMBER(SEARCH("concreto",$F528))),"TUBO CRAVADO","")))</f>
        <v/>
      </c>
      <c r="T528">
        <f>IF($A528="","",TEXT($A528,"yyyymm")&amp;"|"&amp;$C528&amp;"|"&amp;$F528&amp;"|"&amp;$N528&amp;"|"&amp;$R528)</f>
        <v/>
      </c>
    </row>
    <row r="529" ht="11.55" customHeight="1">
      <c r="A529" s="10" t="n">
        <v>46048</v>
      </c>
      <c r="B529" s="7" t="inlineStr">
        <is>
          <t>Segunda</t>
        </is>
      </c>
      <c r="C529" s="7" t="inlineStr">
        <is>
          <t>Guindauto</t>
        </is>
      </c>
      <c r="D529" s="7" t="n"/>
      <c r="E529" s="7" t="inlineStr">
        <is>
          <t>Marcio Apoio as equipes</t>
        </is>
      </c>
      <c r="F529" s="13" t="inlineStr">
        <is>
          <t>Marcio Apoio as equipes</t>
        </is>
      </c>
      <c r="G529" s="7" t="n"/>
      <c r="H529" s="7" t="n"/>
      <c r="I529" s="7" t="n"/>
      <c r="J529" s="7" t="inlineStr">
        <is>
          <t>Guindauto</t>
        </is>
      </c>
      <c r="K529" s="7" t="inlineStr">
        <is>
          <t>Apoio</t>
        </is>
      </c>
      <c r="L529" s="16" t="inlineStr">
        <is>
          <t>PDS-janeiro(1).docx</t>
        </is>
      </c>
      <c r="M529">
        <f>IF($A529="","",TEXT($A529,"mmmm/yyyy"))</f>
        <v/>
      </c>
      <c r="P529">
        <f>IFERROR(_xludf.XLOOKUP($N529,Base_Enderecos!$A:$A,Base_Enderecos!$B:$B,""),"")</f>
        <v/>
      </c>
      <c r="Q529">
        <f>IFERROR(_xludf.XLOOKUP($N529,Base_Enderecos!$A:$A,Base_Enderecos!$C:$C,""),"")</f>
        <v/>
      </c>
      <c r="R529">
        <f>IF(OR(ISNUMBER(SEARCH("HDD",$F529)),ISNUMBER(SEARCH("MND",$F529)),ISNUMBER(SEARCH("PEAD",$F529)),ISNUMBER(SEARCH("Puxe",$J529)),ISNUMBER(SEARCH("Apoio HDD",$F529))),"MND",IF(OR(ISNUMBER(SEARCH("VCA",$F529)),ISNUMBER(SEARCH("PVC",$F529)),ISNUMBER(SEARCH("vca",$J529)),ISNUMBER(SEARCH("Transformação",$J529))),"VCA",IF(OR(ISNUMBER(SEARCH("crava",$F529)),ISNUMBER(SEARCH("tubo cravado",$F529)),ISNUMBER(SEARCH("shaft",$J529)),ISNUMBER(SEARCH("concreto",$F529))),"TUBO CRAVADO","")))</f>
        <v/>
      </c>
      <c r="T529">
        <f>IF($A529="","",TEXT($A529,"yyyymm")&amp;"|"&amp;$C529&amp;"|"&amp;$F529&amp;"|"&amp;$N529&amp;"|"&amp;$R529)</f>
        <v/>
      </c>
    </row>
    <row r="530" ht="11.55" customHeight="1">
      <c r="A530" s="10" t="n">
        <v>46049</v>
      </c>
      <c r="B530" s="7" t="inlineStr">
        <is>
          <t>Terça</t>
        </is>
      </c>
      <c r="C530" s="7" t="inlineStr">
        <is>
          <t>CT MAR DE CORAL (ELOÍZIO e LEANDRO e SILVESTRE)</t>
        </is>
      </c>
      <c r="D530" s="7" t="n"/>
      <c r="E530" s="7" t="inlineStr">
        <is>
          <t>Sergio (Goiânia)</t>
        </is>
      </c>
      <c r="F530" s="13" t="inlineStr">
        <is>
          <t>Transformação PV 04</t>
        </is>
      </c>
      <c r="G530" s="7" t="inlineStr">
        <is>
          <t>04</t>
        </is>
      </c>
      <c r="H530" s="7" t="n"/>
      <c r="I530" s="7" t="inlineStr">
        <is>
          <t>04</t>
        </is>
      </c>
      <c r="J530" s="7" t="inlineStr">
        <is>
          <t>Transformação</t>
        </is>
      </c>
      <c r="K530" s="7" t="inlineStr">
        <is>
          <t>Planejamento</t>
        </is>
      </c>
      <c r="L530" s="16" t="inlineStr">
        <is>
          <t>PDS-janeiro(1).docx</t>
        </is>
      </c>
      <c r="M530">
        <f>IF($A530="","",TEXT($A530,"mmmm/yyyy"))</f>
        <v/>
      </c>
      <c r="P530">
        <f>IFERROR(_xludf.XLOOKUP($N530,Base_Enderecos!$A:$A,Base_Enderecos!$B:$B,""),"")</f>
        <v/>
      </c>
      <c r="Q530">
        <f>IFERROR(_xludf.XLOOKUP($N530,Base_Enderecos!$A:$A,Base_Enderecos!$C:$C,""),"")</f>
        <v/>
      </c>
      <c r="R530">
        <f>IF(OR(ISNUMBER(SEARCH("HDD",$F530)),ISNUMBER(SEARCH("MND",$F530)),ISNUMBER(SEARCH("PEAD",$F530)),ISNUMBER(SEARCH("Puxe",$J530)),ISNUMBER(SEARCH("Apoio HDD",$F530))),"MND",IF(OR(ISNUMBER(SEARCH("VCA",$F530)),ISNUMBER(SEARCH("PVC",$F530)),ISNUMBER(SEARCH("vca",$J530)),ISNUMBER(SEARCH("Transformação",$J530))),"VCA",IF(OR(ISNUMBER(SEARCH("crava",$F530)),ISNUMBER(SEARCH("tubo cravado",$F530)),ISNUMBER(SEARCH("shaft",$J530)),ISNUMBER(SEARCH("concreto",$F530))),"TUBO CRAVADO","")))</f>
        <v/>
      </c>
      <c r="T530">
        <f>IF($A530="","",TEXT($A530,"yyyymm")&amp;"|"&amp;$C530&amp;"|"&amp;$F530&amp;"|"&amp;$N530&amp;"|"&amp;$R530)</f>
        <v/>
      </c>
    </row>
    <row r="531" ht="11.55" customHeight="1">
      <c r="A531" s="10" t="n">
        <v>46049</v>
      </c>
      <c r="B531" s="7" t="inlineStr">
        <is>
          <t>Terça</t>
        </is>
      </c>
      <c r="C531" s="7" t="inlineStr">
        <is>
          <t>CT MAR DE CORAL (ELOÍZIO e LEANDRO e SILVESTRE)</t>
        </is>
      </c>
      <c r="D531" s="7" t="n"/>
      <c r="E531" s="7" t="inlineStr">
        <is>
          <t>Valter</t>
        </is>
      </c>
      <c r="F531" s="13" t="inlineStr">
        <is>
          <t>Transformação PV 05</t>
        </is>
      </c>
      <c r="G531" s="7" t="inlineStr">
        <is>
          <t>05</t>
        </is>
      </c>
      <c r="H531" s="7" t="n"/>
      <c r="I531" s="7" t="inlineStr">
        <is>
          <t>05</t>
        </is>
      </c>
      <c r="J531" s="7" t="inlineStr">
        <is>
          <t>Transformação</t>
        </is>
      </c>
      <c r="K531" s="7" t="inlineStr">
        <is>
          <t>Planejamento</t>
        </is>
      </c>
      <c r="L531" s="16" t="inlineStr">
        <is>
          <t>PDS-janeiro(1).docx</t>
        </is>
      </c>
      <c r="M531">
        <f>IF($A531="","",TEXT($A531,"mmmm/yyyy"))</f>
        <v/>
      </c>
      <c r="P531">
        <f>IFERROR(_xludf.XLOOKUP($N531,Base_Enderecos!$A:$A,Base_Enderecos!$B:$B,""),"")</f>
        <v/>
      </c>
      <c r="Q531">
        <f>IFERROR(_xludf.XLOOKUP($N531,Base_Enderecos!$A:$A,Base_Enderecos!$C:$C,""),"")</f>
        <v/>
      </c>
      <c r="R531">
        <f>IF(OR(ISNUMBER(SEARCH("HDD",$F531)),ISNUMBER(SEARCH("MND",$F531)),ISNUMBER(SEARCH("PEAD",$F531)),ISNUMBER(SEARCH("Puxe",$J531)),ISNUMBER(SEARCH("Apoio HDD",$F531))),"MND",IF(OR(ISNUMBER(SEARCH("VCA",$F531)),ISNUMBER(SEARCH("PVC",$F531)),ISNUMBER(SEARCH("vca",$J531)),ISNUMBER(SEARCH("Transformação",$J531))),"VCA",IF(OR(ISNUMBER(SEARCH("crava",$F531)),ISNUMBER(SEARCH("tubo cravado",$F531)),ISNUMBER(SEARCH("shaft",$J531)),ISNUMBER(SEARCH("concreto",$F531))),"TUBO CRAVADO","")))</f>
        <v/>
      </c>
      <c r="T531">
        <f>IF($A531="","",TEXT($A531,"yyyymm")&amp;"|"&amp;$C531&amp;"|"&amp;$F531&amp;"|"&amp;$N531&amp;"|"&amp;$R531)</f>
        <v/>
      </c>
    </row>
    <row r="532" ht="11.55" customHeight="1">
      <c r="A532" s="10" t="n">
        <v>46049</v>
      </c>
      <c r="B532" s="7" t="inlineStr">
        <is>
          <t>Terça</t>
        </is>
      </c>
      <c r="C532" s="7" t="inlineStr">
        <is>
          <t>CT MAR DE CORAL (ELOÍZIO e LEANDRO e SILVESTRE)</t>
        </is>
      </c>
      <c r="D532" s="7" t="n"/>
      <c r="E532" s="7" t="inlineStr">
        <is>
          <t>Paulo (Goiânia)</t>
        </is>
      </c>
      <c r="F532" s="13" t="inlineStr">
        <is>
          <t>Transformação PV 05.1 + Interlig.</t>
        </is>
      </c>
      <c r="G532" s="7" t="inlineStr">
        <is>
          <t>05.1</t>
        </is>
      </c>
      <c r="H532" s="7" t="n"/>
      <c r="I532" s="7" t="inlineStr">
        <is>
          <t>05.1</t>
        </is>
      </c>
      <c r="J532" s="7" t="inlineStr">
        <is>
          <t>Transformação</t>
        </is>
      </c>
      <c r="K532" s="7" t="inlineStr">
        <is>
          <t>Planejamento</t>
        </is>
      </c>
      <c r="L532" s="16" t="inlineStr">
        <is>
          <t>PDS-janeiro(1).docx</t>
        </is>
      </c>
      <c r="M532">
        <f>IF($A532="","",TEXT($A532,"mmmm/yyyy"))</f>
        <v/>
      </c>
      <c r="P532">
        <f>IFERROR(_xludf.XLOOKUP($N532,Base_Enderecos!$A:$A,Base_Enderecos!$B:$B,""),"")</f>
        <v/>
      </c>
      <c r="Q532">
        <f>IFERROR(_xludf.XLOOKUP($N532,Base_Enderecos!$A:$A,Base_Enderecos!$C:$C,""),"")</f>
        <v/>
      </c>
      <c r="R532">
        <f>IF(OR(ISNUMBER(SEARCH("HDD",$F532)),ISNUMBER(SEARCH("MND",$F532)),ISNUMBER(SEARCH("PEAD",$F532)),ISNUMBER(SEARCH("Puxe",$J532)),ISNUMBER(SEARCH("Apoio HDD",$F532))),"MND",IF(OR(ISNUMBER(SEARCH("VCA",$F532)),ISNUMBER(SEARCH("PVC",$F532)),ISNUMBER(SEARCH("vca",$J532)),ISNUMBER(SEARCH("Transformação",$J532))),"VCA",IF(OR(ISNUMBER(SEARCH("crava",$F532)),ISNUMBER(SEARCH("tubo cravado",$F532)),ISNUMBER(SEARCH("shaft",$J532)),ISNUMBER(SEARCH("concreto",$F532))),"TUBO CRAVADO","")))</f>
        <v/>
      </c>
      <c r="T532">
        <f>IF($A532="","",TEXT($A532,"yyyymm")&amp;"|"&amp;$C532&amp;"|"&amp;$F532&amp;"|"&amp;$N532&amp;"|"&amp;$R532)</f>
        <v/>
      </c>
    </row>
    <row r="533" ht="11.55" customHeight="1">
      <c r="A533" s="10" t="n">
        <v>46049</v>
      </c>
      <c r="B533" s="7" t="inlineStr">
        <is>
          <t>Terça</t>
        </is>
      </c>
      <c r="C533" s="7" t="inlineStr">
        <is>
          <t>CT MAR DE CORAL (ELOÍZIO e LEANDRO e SILVESTRE)</t>
        </is>
      </c>
      <c r="D533" s="7" t="n"/>
      <c r="E533" s="7" t="inlineStr">
        <is>
          <t>Work Drill</t>
        </is>
      </c>
      <c r="F533" s="13" t="inlineStr">
        <is>
          <t>Alargador entre PVs 18 ao 23</t>
        </is>
      </c>
      <c r="G533" s="7" t="inlineStr">
        <is>
          <t>18</t>
        </is>
      </c>
      <c r="H533" s="7" t="n"/>
      <c r="I533" s="7" t="inlineStr">
        <is>
          <t>18</t>
        </is>
      </c>
      <c r="J533" s="7" t="n"/>
      <c r="K533" s="7" t="inlineStr">
        <is>
          <t>Planejamento</t>
        </is>
      </c>
      <c r="L533" s="16" t="inlineStr">
        <is>
          <t>PDS-janeiro(1).docx</t>
        </is>
      </c>
      <c r="M533">
        <f>IF($A533="","",TEXT($A533,"mmmm/yyyy"))</f>
        <v/>
      </c>
      <c r="P533">
        <f>IFERROR(_xludf.XLOOKUP($N533,Base_Enderecos!$A:$A,Base_Enderecos!$B:$B,""),"")</f>
        <v/>
      </c>
      <c r="Q533">
        <f>IFERROR(_xludf.XLOOKUP($N533,Base_Enderecos!$A:$A,Base_Enderecos!$C:$C,""),"")</f>
        <v/>
      </c>
      <c r="R533">
        <f>IF(OR(ISNUMBER(SEARCH("HDD",$F533)),ISNUMBER(SEARCH("MND",$F533)),ISNUMBER(SEARCH("PEAD",$F533)),ISNUMBER(SEARCH("Puxe",$J533)),ISNUMBER(SEARCH("Apoio HDD",$F533))),"MND",IF(OR(ISNUMBER(SEARCH("VCA",$F533)),ISNUMBER(SEARCH("PVC",$F533)),ISNUMBER(SEARCH("vca",$J533)),ISNUMBER(SEARCH("Transformação",$J533))),"VCA",IF(OR(ISNUMBER(SEARCH("crava",$F533)),ISNUMBER(SEARCH("tubo cravado",$F533)),ISNUMBER(SEARCH("shaft",$J533)),ISNUMBER(SEARCH("concreto",$F533))),"TUBO CRAVADO","")))</f>
        <v/>
      </c>
      <c r="T533">
        <f>IF($A533="","",TEXT($A533,"yyyymm")&amp;"|"&amp;$C533&amp;"|"&amp;$F533&amp;"|"&amp;$N533&amp;"|"&amp;$R533)</f>
        <v/>
      </c>
    </row>
    <row r="534" ht="11.55" customHeight="1">
      <c r="A534" s="10" t="n">
        <v>46049</v>
      </c>
      <c r="B534" s="7" t="inlineStr">
        <is>
          <t>Terça</t>
        </is>
      </c>
      <c r="C534" s="7" t="inlineStr">
        <is>
          <t>CT MAR DE CORAL (ELOÍZIO e LEANDRO e SILVESTRE)</t>
        </is>
      </c>
      <c r="D534" s="7" t="n"/>
      <c r="E534" s="7" t="inlineStr">
        <is>
          <t>Paulo (Medeiros)</t>
        </is>
      </c>
      <c r="F534" s="13" t="inlineStr">
        <is>
          <t>Apoio HDD entre os PVs 18 ao PV 23</t>
        </is>
      </c>
      <c r="G534" s="7" t="inlineStr">
        <is>
          <t>18</t>
        </is>
      </c>
      <c r="H534" s="7" t="inlineStr">
        <is>
          <t>23</t>
        </is>
      </c>
      <c r="I534" s="7" t="inlineStr">
        <is>
          <t>18, 23</t>
        </is>
      </c>
      <c r="J534" s="7" t="inlineStr">
        <is>
          <t>Apoio HDD</t>
        </is>
      </c>
      <c r="K534" s="7" t="inlineStr">
        <is>
          <t>Planejamento</t>
        </is>
      </c>
      <c r="L534" s="16" t="inlineStr">
        <is>
          <t>PDS-janeiro(1).docx</t>
        </is>
      </c>
      <c r="M534">
        <f>IF($A534="","",TEXT($A534,"mmmm/yyyy"))</f>
        <v/>
      </c>
      <c r="P534">
        <f>IFERROR(_xludf.XLOOKUP($N534,Base_Enderecos!$A:$A,Base_Enderecos!$B:$B,""),"")</f>
        <v/>
      </c>
      <c r="Q534">
        <f>IFERROR(_xludf.XLOOKUP($N534,Base_Enderecos!$A:$A,Base_Enderecos!$C:$C,""),"")</f>
        <v/>
      </c>
      <c r="R534">
        <f>IF(OR(ISNUMBER(SEARCH("HDD",$F534)),ISNUMBER(SEARCH("MND",$F534)),ISNUMBER(SEARCH("PEAD",$F534)),ISNUMBER(SEARCH("Puxe",$J534)),ISNUMBER(SEARCH("Apoio HDD",$F534))),"MND",IF(OR(ISNUMBER(SEARCH("VCA",$F534)),ISNUMBER(SEARCH("PVC",$F534)),ISNUMBER(SEARCH("vca",$J534)),ISNUMBER(SEARCH("Transformação",$J534))),"VCA",IF(OR(ISNUMBER(SEARCH("crava",$F534)),ISNUMBER(SEARCH("tubo cravado",$F534)),ISNUMBER(SEARCH("shaft",$J534)),ISNUMBER(SEARCH("concreto",$F534))),"TUBO CRAVADO","")))</f>
        <v/>
      </c>
      <c r="T534">
        <f>IF($A534="","",TEXT($A534,"yyyymm")&amp;"|"&amp;$C534&amp;"|"&amp;$F534&amp;"|"&amp;$N534&amp;"|"&amp;$R534)</f>
        <v/>
      </c>
    </row>
    <row r="535" ht="11.55" customHeight="1">
      <c r="A535" s="10" t="n">
        <v>46049</v>
      </c>
      <c r="B535" s="7" t="inlineStr">
        <is>
          <t>Terça</t>
        </is>
      </c>
      <c r="C535" s="7" t="inlineStr">
        <is>
          <t>CT MAR DE CORAL (ELOÍZIO e LEANDRO e SILVESTRE)</t>
        </is>
      </c>
      <c r="D535" s="7" t="n"/>
      <c r="E535" s="7" t="inlineStr">
        <is>
          <t>GR Ribeiro</t>
        </is>
      </c>
      <c r="F535" s="13" t="inlineStr">
        <is>
          <t>Furo piloto entre PVs 16 ao 13</t>
        </is>
      </c>
      <c r="G535" s="7" t="inlineStr">
        <is>
          <t>16</t>
        </is>
      </c>
      <c r="H535" s="7" t="n"/>
      <c r="I535" s="7" t="inlineStr">
        <is>
          <t>16</t>
        </is>
      </c>
      <c r="J535" s="7" t="inlineStr">
        <is>
          <t>Furo piloto</t>
        </is>
      </c>
      <c r="K535" s="7" t="inlineStr">
        <is>
          <t>Planejamento</t>
        </is>
      </c>
      <c r="L535" s="16" t="inlineStr">
        <is>
          <t>PDS-janeiro(1).docx</t>
        </is>
      </c>
      <c r="M535">
        <f>IF($A535="","",TEXT($A535,"mmmm/yyyy"))</f>
        <v/>
      </c>
      <c r="P535">
        <f>IFERROR(_xludf.XLOOKUP($N535,Base_Enderecos!$A:$A,Base_Enderecos!$B:$B,""),"")</f>
        <v/>
      </c>
      <c r="Q535">
        <f>IFERROR(_xludf.XLOOKUP($N535,Base_Enderecos!$A:$A,Base_Enderecos!$C:$C,""),"")</f>
        <v/>
      </c>
      <c r="R535">
        <f>IF(OR(ISNUMBER(SEARCH("HDD",$F535)),ISNUMBER(SEARCH("MND",$F535)),ISNUMBER(SEARCH("PEAD",$F535)),ISNUMBER(SEARCH("Puxe",$J535)),ISNUMBER(SEARCH("Apoio HDD",$F535))),"MND",IF(OR(ISNUMBER(SEARCH("VCA",$F535)),ISNUMBER(SEARCH("PVC",$F535)),ISNUMBER(SEARCH("vca",$J535)),ISNUMBER(SEARCH("Transformação",$J535))),"VCA",IF(OR(ISNUMBER(SEARCH("crava",$F535)),ISNUMBER(SEARCH("tubo cravado",$F535)),ISNUMBER(SEARCH("shaft",$J535)),ISNUMBER(SEARCH("concreto",$F535))),"TUBO CRAVADO","")))</f>
        <v/>
      </c>
      <c r="T535">
        <f>IF($A535="","",TEXT($A535,"yyyymm")&amp;"|"&amp;$C535&amp;"|"&amp;$F535&amp;"|"&amp;$N535&amp;"|"&amp;$R535)</f>
        <v/>
      </c>
    </row>
    <row r="536" ht="11.55" customHeight="1">
      <c r="A536" s="10" t="n">
        <v>46049</v>
      </c>
      <c r="B536" s="7" t="inlineStr">
        <is>
          <t>Terça</t>
        </is>
      </c>
      <c r="C536" s="7" t="inlineStr">
        <is>
          <t>CT MAR DE CORAL (ELOÍZIO e LEANDRO e SILVESTRE)</t>
        </is>
      </c>
      <c r="D536" s="7" t="n"/>
      <c r="E536" s="7" t="inlineStr">
        <is>
          <t>Jhonatan</t>
        </is>
      </c>
      <c r="F536" s="13" t="inlineStr">
        <is>
          <t>Apoio HDD entre PVs 16 ao 13</t>
        </is>
      </c>
      <c r="G536" s="7" t="inlineStr">
        <is>
          <t>16</t>
        </is>
      </c>
      <c r="H536" s="7" t="n"/>
      <c r="I536" s="7" t="inlineStr">
        <is>
          <t>16</t>
        </is>
      </c>
      <c r="J536" s="7" t="inlineStr">
        <is>
          <t>Apoio HDD</t>
        </is>
      </c>
      <c r="K536" s="7" t="inlineStr">
        <is>
          <t>Planejamento</t>
        </is>
      </c>
      <c r="L536" s="16" t="inlineStr">
        <is>
          <t>PDS-janeiro(1).docx</t>
        </is>
      </c>
      <c r="M536">
        <f>IF($A536="","",TEXT($A536,"mmmm/yyyy"))</f>
        <v/>
      </c>
      <c r="P536">
        <f>IFERROR(_xludf.XLOOKUP($N536,Base_Enderecos!$A:$A,Base_Enderecos!$B:$B,""),"")</f>
        <v/>
      </c>
      <c r="Q536">
        <f>IFERROR(_xludf.XLOOKUP($N536,Base_Enderecos!$A:$A,Base_Enderecos!$C:$C,""),"")</f>
        <v/>
      </c>
      <c r="R536">
        <f>IF(OR(ISNUMBER(SEARCH("HDD",$F536)),ISNUMBER(SEARCH("MND",$F536)),ISNUMBER(SEARCH("PEAD",$F536)),ISNUMBER(SEARCH("Puxe",$J536)),ISNUMBER(SEARCH("Apoio HDD",$F536))),"MND",IF(OR(ISNUMBER(SEARCH("VCA",$F536)),ISNUMBER(SEARCH("PVC",$F536)),ISNUMBER(SEARCH("vca",$J536)),ISNUMBER(SEARCH("Transformação",$J536))),"VCA",IF(OR(ISNUMBER(SEARCH("crava",$F536)),ISNUMBER(SEARCH("tubo cravado",$F536)),ISNUMBER(SEARCH("shaft",$J536)),ISNUMBER(SEARCH("concreto",$F536))),"TUBO CRAVADO","")))</f>
        <v/>
      </c>
      <c r="T536">
        <f>IF($A536="","",TEXT($A536,"yyyymm")&amp;"|"&amp;$C536&amp;"|"&amp;$F536&amp;"|"&amp;$N536&amp;"|"&amp;$R536)</f>
        <v/>
      </c>
    </row>
    <row r="537" ht="11.55" customHeight="1">
      <c r="A537" s="10" t="n">
        <v>46049</v>
      </c>
      <c r="B537" s="7" t="inlineStr">
        <is>
          <t>Terça</t>
        </is>
      </c>
      <c r="C537" s="7" t="inlineStr">
        <is>
          <t>CT MAR DE CORAL (ELOÍZIO e LEANDRO e SILVESTRE)</t>
        </is>
      </c>
      <c r="D537" s="7" t="n"/>
      <c r="E537" s="7" t="inlineStr">
        <is>
          <t>WJ - 01</t>
        </is>
      </c>
      <c r="F537" s="13" t="inlineStr">
        <is>
          <t>Furo piloto e puxe entre PVs 08 ao 09</t>
        </is>
      </c>
      <c r="G537" s="7" t="inlineStr">
        <is>
          <t>08</t>
        </is>
      </c>
      <c r="H537" s="7" t="n"/>
      <c r="I537" s="7" t="inlineStr">
        <is>
          <t>08</t>
        </is>
      </c>
      <c r="J537" s="7" t="inlineStr">
        <is>
          <t>Furo piloto</t>
        </is>
      </c>
      <c r="K537" s="7" t="inlineStr">
        <is>
          <t>Planejamento</t>
        </is>
      </c>
      <c r="L537" s="16" t="inlineStr">
        <is>
          <t>PDS-janeiro(1).docx</t>
        </is>
      </c>
      <c r="M537">
        <f>IF($A537="","",TEXT($A537,"mmmm/yyyy"))</f>
        <v/>
      </c>
      <c r="P537">
        <f>IFERROR(_xludf.XLOOKUP($N537,Base_Enderecos!$A:$A,Base_Enderecos!$B:$B,""),"")</f>
        <v/>
      </c>
      <c r="Q537">
        <f>IFERROR(_xludf.XLOOKUP($N537,Base_Enderecos!$A:$A,Base_Enderecos!$C:$C,""),"")</f>
        <v/>
      </c>
      <c r="R537">
        <f>IF(OR(ISNUMBER(SEARCH("HDD",$F537)),ISNUMBER(SEARCH("MND",$F537)),ISNUMBER(SEARCH("PEAD",$F537)),ISNUMBER(SEARCH("Puxe",$J537)),ISNUMBER(SEARCH("Apoio HDD",$F537))),"MND",IF(OR(ISNUMBER(SEARCH("VCA",$F537)),ISNUMBER(SEARCH("PVC",$F537)),ISNUMBER(SEARCH("vca",$J537)),ISNUMBER(SEARCH("Transformação",$J537))),"VCA",IF(OR(ISNUMBER(SEARCH("crava",$F537)),ISNUMBER(SEARCH("tubo cravado",$F537)),ISNUMBER(SEARCH("shaft",$J537)),ISNUMBER(SEARCH("concreto",$F537))),"TUBO CRAVADO","")))</f>
        <v/>
      </c>
      <c r="T537">
        <f>IF($A537="","",TEXT($A537,"yyyymm")&amp;"|"&amp;$C537&amp;"|"&amp;$F537&amp;"|"&amp;$N537&amp;"|"&amp;$R537)</f>
        <v/>
      </c>
    </row>
    <row r="538" ht="11.55" customHeight="1">
      <c r="A538" s="10" t="n">
        <v>46049</v>
      </c>
      <c r="B538" s="7" t="inlineStr">
        <is>
          <t>Terça</t>
        </is>
      </c>
      <c r="C538" s="7" t="inlineStr">
        <is>
          <t>CT MAR DE CORAL (ELOÍZIO e LEANDRO e SILVESTRE)</t>
        </is>
      </c>
      <c r="D538" s="7" t="n"/>
      <c r="E538" s="7" t="inlineStr">
        <is>
          <t>Márcio</t>
        </is>
      </c>
      <c r="F538" s="13" t="inlineStr">
        <is>
          <t>Apoio HDD entre PVs 08 ao 09</t>
        </is>
      </c>
      <c r="G538" s="7" t="inlineStr">
        <is>
          <t>08</t>
        </is>
      </c>
      <c r="H538" s="7" t="n"/>
      <c r="I538" s="7" t="inlineStr">
        <is>
          <t>08</t>
        </is>
      </c>
      <c r="J538" s="7" t="inlineStr">
        <is>
          <t>Apoio HDD</t>
        </is>
      </c>
      <c r="K538" s="7" t="inlineStr">
        <is>
          <t>Planejamento</t>
        </is>
      </c>
      <c r="L538" s="16" t="inlineStr">
        <is>
          <t>PDS-janeiro(1).docx</t>
        </is>
      </c>
      <c r="M538">
        <f>IF($A538="","",TEXT($A538,"mmmm/yyyy"))</f>
        <v/>
      </c>
      <c r="P538">
        <f>IFERROR(_xludf.XLOOKUP($N538,Base_Enderecos!$A:$A,Base_Enderecos!$B:$B,""),"")</f>
        <v/>
      </c>
      <c r="Q538">
        <f>IFERROR(_xludf.XLOOKUP($N538,Base_Enderecos!$A:$A,Base_Enderecos!$C:$C,""),"")</f>
        <v/>
      </c>
      <c r="R538">
        <f>IF(OR(ISNUMBER(SEARCH("HDD",$F538)),ISNUMBER(SEARCH("MND",$F538)),ISNUMBER(SEARCH("PEAD",$F538)),ISNUMBER(SEARCH("Puxe",$J538)),ISNUMBER(SEARCH("Apoio HDD",$F538))),"MND",IF(OR(ISNUMBER(SEARCH("VCA",$F538)),ISNUMBER(SEARCH("PVC",$F538)),ISNUMBER(SEARCH("vca",$J538)),ISNUMBER(SEARCH("Transformação",$J538))),"VCA",IF(OR(ISNUMBER(SEARCH("crava",$F538)),ISNUMBER(SEARCH("tubo cravado",$F538)),ISNUMBER(SEARCH("shaft",$J538)),ISNUMBER(SEARCH("concreto",$F538))),"TUBO CRAVADO","")))</f>
        <v/>
      </c>
      <c r="T538">
        <f>IF($A538="","",TEXT($A538,"yyyymm")&amp;"|"&amp;$C538&amp;"|"&amp;$F538&amp;"|"&amp;$N538&amp;"|"&amp;$R538)</f>
        <v/>
      </c>
    </row>
    <row r="539" ht="11.55" customHeight="1">
      <c r="A539" s="10" t="n">
        <v>46049</v>
      </c>
      <c r="B539" s="7" t="inlineStr">
        <is>
          <t>Terça</t>
        </is>
      </c>
      <c r="C539" s="7" t="inlineStr">
        <is>
          <t>CT LOURDES (ROBSON e VALMIR)</t>
        </is>
      </c>
      <c r="D539" s="7" t="n"/>
      <c r="E539" s="7" t="inlineStr">
        <is>
          <t>Edvando</t>
        </is>
      </c>
      <c r="F539" s="13" t="inlineStr">
        <is>
          <t>Transformação PV 18</t>
        </is>
      </c>
      <c r="G539" s="7" t="inlineStr">
        <is>
          <t>18</t>
        </is>
      </c>
      <c r="H539" s="7" t="n"/>
      <c r="I539" s="7" t="inlineStr">
        <is>
          <t>18</t>
        </is>
      </c>
      <c r="J539" s="7" t="inlineStr">
        <is>
          <t>Transformação</t>
        </is>
      </c>
      <c r="K539" s="7" t="inlineStr">
        <is>
          <t>Planejamento</t>
        </is>
      </c>
      <c r="L539" s="16" t="inlineStr">
        <is>
          <t>PDS-janeiro(1).docx</t>
        </is>
      </c>
      <c r="M539">
        <f>IF($A539="","",TEXT($A539,"mmmm/yyyy"))</f>
        <v/>
      </c>
      <c r="P539">
        <f>IFERROR(_xludf.XLOOKUP($N539,Base_Enderecos!$A:$A,Base_Enderecos!$B:$B,""),"")</f>
        <v/>
      </c>
      <c r="Q539">
        <f>IFERROR(_xludf.XLOOKUP($N539,Base_Enderecos!$A:$A,Base_Enderecos!$C:$C,""),"")</f>
        <v/>
      </c>
      <c r="R539">
        <f>IF(OR(ISNUMBER(SEARCH("HDD",$F539)),ISNUMBER(SEARCH("MND",$F539)),ISNUMBER(SEARCH("PEAD",$F539)),ISNUMBER(SEARCH("Puxe",$J539)),ISNUMBER(SEARCH("Apoio HDD",$F539))),"MND",IF(OR(ISNUMBER(SEARCH("VCA",$F539)),ISNUMBER(SEARCH("PVC",$F539)),ISNUMBER(SEARCH("vca",$J539)),ISNUMBER(SEARCH("Transformação",$J539))),"VCA",IF(OR(ISNUMBER(SEARCH("crava",$F539)),ISNUMBER(SEARCH("tubo cravado",$F539)),ISNUMBER(SEARCH("shaft",$J539)),ISNUMBER(SEARCH("concreto",$F539))),"TUBO CRAVADO","")))</f>
        <v/>
      </c>
      <c r="T539">
        <f>IF($A539="","",TEXT($A539,"yyyymm")&amp;"|"&amp;$C539&amp;"|"&amp;$F539&amp;"|"&amp;$N539&amp;"|"&amp;$R539)</f>
        <v/>
      </c>
    </row>
    <row r="540" ht="11.55" customHeight="1">
      <c r="A540" s="10" t="n">
        <v>46049</v>
      </c>
      <c r="B540" s="7" t="inlineStr">
        <is>
          <t>Terça</t>
        </is>
      </c>
      <c r="C540" s="7" t="inlineStr">
        <is>
          <t>CT LOURDES (ROBSON e VALMIR)</t>
        </is>
      </c>
      <c r="D540" s="7" t="n"/>
      <c r="E540" s="7" t="inlineStr">
        <is>
          <t>WJ - 02</t>
        </is>
      </c>
      <c r="F540" s="13" t="inlineStr">
        <is>
          <t>Furo piloto entre PVs 13 ao 14</t>
        </is>
      </c>
      <c r="G540" s="7" t="inlineStr">
        <is>
          <t>13</t>
        </is>
      </c>
      <c r="H540" s="7" t="n"/>
      <c r="I540" s="7" t="inlineStr">
        <is>
          <t>13</t>
        </is>
      </c>
      <c r="J540" s="7" t="inlineStr">
        <is>
          <t>Furo piloto</t>
        </is>
      </c>
      <c r="K540" s="7" t="inlineStr">
        <is>
          <t>Planejamento</t>
        </is>
      </c>
      <c r="L540" s="16" t="inlineStr">
        <is>
          <t>PDS-janeiro(1).docx</t>
        </is>
      </c>
      <c r="M540">
        <f>IF($A540="","",TEXT($A540,"mmmm/yyyy"))</f>
        <v/>
      </c>
      <c r="P540">
        <f>IFERROR(_xludf.XLOOKUP($N540,Base_Enderecos!$A:$A,Base_Enderecos!$B:$B,""),"")</f>
        <v/>
      </c>
      <c r="Q540">
        <f>IFERROR(_xludf.XLOOKUP($N540,Base_Enderecos!$A:$A,Base_Enderecos!$C:$C,""),"")</f>
        <v/>
      </c>
      <c r="R540">
        <f>IF(OR(ISNUMBER(SEARCH("HDD",$F540)),ISNUMBER(SEARCH("MND",$F540)),ISNUMBER(SEARCH("PEAD",$F540)),ISNUMBER(SEARCH("Puxe",$J540)),ISNUMBER(SEARCH("Apoio HDD",$F540))),"MND",IF(OR(ISNUMBER(SEARCH("VCA",$F540)),ISNUMBER(SEARCH("PVC",$F540)),ISNUMBER(SEARCH("vca",$J540)),ISNUMBER(SEARCH("Transformação",$J540))),"VCA",IF(OR(ISNUMBER(SEARCH("crava",$F540)),ISNUMBER(SEARCH("tubo cravado",$F540)),ISNUMBER(SEARCH("shaft",$J540)),ISNUMBER(SEARCH("concreto",$F540))),"TUBO CRAVADO","")))</f>
        <v/>
      </c>
      <c r="T540">
        <f>IF($A540="","",TEXT($A540,"yyyymm")&amp;"|"&amp;$C540&amp;"|"&amp;$F540&amp;"|"&amp;$N540&amp;"|"&amp;$R540)</f>
        <v/>
      </c>
    </row>
    <row r="541" ht="11.55" customHeight="1">
      <c r="A541" s="10" t="n">
        <v>46049</v>
      </c>
      <c r="B541" s="7" t="inlineStr">
        <is>
          <t>Terça</t>
        </is>
      </c>
      <c r="C541" s="7" t="inlineStr">
        <is>
          <t>CT LOURDES (ROBSON e VALMIR)</t>
        </is>
      </c>
      <c r="D541" s="7" t="n"/>
      <c r="E541" s="7" t="inlineStr">
        <is>
          <t>Natalino</t>
        </is>
      </c>
      <c r="F541" s="13" t="inlineStr">
        <is>
          <t>Apoio HDD entre os PVs 13 ao PV 14</t>
        </is>
      </c>
      <c r="G541" s="7" t="inlineStr">
        <is>
          <t>13</t>
        </is>
      </c>
      <c r="H541" s="7" t="inlineStr">
        <is>
          <t>14</t>
        </is>
      </c>
      <c r="I541" s="7" t="inlineStr">
        <is>
          <t>13, 14</t>
        </is>
      </c>
      <c r="J541" s="7" t="inlineStr">
        <is>
          <t>Apoio HDD</t>
        </is>
      </c>
      <c r="K541" s="7" t="inlineStr">
        <is>
          <t>Planejamento</t>
        </is>
      </c>
      <c r="L541" s="16" t="inlineStr">
        <is>
          <t>PDS-janeiro(1).docx</t>
        </is>
      </c>
      <c r="M541">
        <f>IF($A541="","",TEXT($A541,"mmmm/yyyy"))</f>
        <v/>
      </c>
      <c r="P541">
        <f>IFERROR(_xludf.XLOOKUP($N541,Base_Enderecos!$A:$A,Base_Enderecos!$B:$B,""),"")</f>
        <v/>
      </c>
      <c r="Q541">
        <f>IFERROR(_xludf.XLOOKUP($N541,Base_Enderecos!$A:$A,Base_Enderecos!$C:$C,""),"")</f>
        <v/>
      </c>
      <c r="R541">
        <f>IF(OR(ISNUMBER(SEARCH("HDD",$F541)),ISNUMBER(SEARCH("MND",$F541)),ISNUMBER(SEARCH("PEAD",$F541)),ISNUMBER(SEARCH("Puxe",$J541)),ISNUMBER(SEARCH("Apoio HDD",$F541))),"MND",IF(OR(ISNUMBER(SEARCH("VCA",$F541)),ISNUMBER(SEARCH("PVC",$F541)),ISNUMBER(SEARCH("vca",$J541)),ISNUMBER(SEARCH("Transformação",$J541))),"VCA",IF(OR(ISNUMBER(SEARCH("crava",$F541)),ISNUMBER(SEARCH("tubo cravado",$F541)),ISNUMBER(SEARCH("shaft",$J541)),ISNUMBER(SEARCH("concreto",$F541))),"TUBO CRAVADO","")))</f>
        <v/>
      </c>
      <c r="T541">
        <f>IF($A541="","",TEXT($A541,"yyyymm")&amp;"|"&amp;$C541&amp;"|"&amp;$F541&amp;"|"&amp;$N541&amp;"|"&amp;$R541)</f>
        <v/>
      </c>
    </row>
    <row r="542" ht="11.55" customHeight="1">
      <c r="A542" s="10" t="n">
        <v>46049</v>
      </c>
      <c r="B542" s="7" t="inlineStr">
        <is>
          <t>Terça</t>
        </is>
      </c>
      <c r="C542" s="7" t="inlineStr">
        <is>
          <t>CT JARAGUÁ (CAROLINE e FÁBIO)</t>
        </is>
      </c>
      <c r="D542" s="7" t="n"/>
      <c r="E542" s="7" t="inlineStr">
        <is>
          <t>Cidão</t>
        </is>
      </c>
      <c r="F542" s="13" t="inlineStr">
        <is>
          <t>Transformação PV 02</t>
        </is>
      </c>
      <c r="G542" s="7" t="inlineStr">
        <is>
          <t>02</t>
        </is>
      </c>
      <c r="H542" s="7" t="n"/>
      <c r="I542" s="7" t="inlineStr">
        <is>
          <t>02</t>
        </is>
      </c>
      <c r="J542" s="7" t="inlineStr">
        <is>
          <t>Transformação</t>
        </is>
      </c>
      <c r="K542" s="7" t="inlineStr">
        <is>
          <t>Planejamento</t>
        </is>
      </c>
      <c r="L542" s="16" t="inlineStr">
        <is>
          <t>PDS-janeiro(1).docx</t>
        </is>
      </c>
      <c r="M542">
        <f>IF($A542="","",TEXT($A542,"mmmm/yyyy"))</f>
        <v/>
      </c>
      <c r="P542">
        <f>IFERROR(_xludf.XLOOKUP($N542,Base_Enderecos!$A:$A,Base_Enderecos!$B:$B,""),"")</f>
        <v/>
      </c>
      <c r="Q542">
        <f>IFERROR(_xludf.XLOOKUP($N542,Base_Enderecos!$A:$A,Base_Enderecos!$C:$C,""),"")</f>
        <v/>
      </c>
      <c r="R542">
        <f>IF(OR(ISNUMBER(SEARCH("HDD",$F542)),ISNUMBER(SEARCH("MND",$F542)),ISNUMBER(SEARCH("PEAD",$F542)),ISNUMBER(SEARCH("Puxe",$J542)),ISNUMBER(SEARCH("Apoio HDD",$F542))),"MND",IF(OR(ISNUMBER(SEARCH("VCA",$F542)),ISNUMBER(SEARCH("PVC",$F542)),ISNUMBER(SEARCH("vca",$J542)),ISNUMBER(SEARCH("Transformação",$J542))),"VCA",IF(OR(ISNUMBER(SEARCH("crava",$F542)),ISNUMBER(SEARCH("tubo cravado",$F542)),ISNUMBER(SEARCH("shaft",$J542)),ISNUMBER(SEARCH("concreto",$F542))),"TUBO CRAVADO","")))</f>
        <v/>
      </c>
      <c r="T542">
        <f>IF($A542="","",TEXT($A542,"yyyymm")&amp;"|"&amp;$C542&amp;"|"&amp;$F542&amp;"|"&amp;$N542&amp;"|"&amp;$R542)</f>
        <v/>
      </c>
    </row>
    <row r="543" ht="11.55" customHeight="1">
      <c r="A543" s="10" t="n">
        <v>46049</v>
      </c>
      <c r="B543" s="7" t="inlineStr">
        <is>
          <t>Terça</t>
        </is>
      </c>
      <c r="C543" s="7" t="inlineStr">
        <is>
          <t>CT JARAGUÁ (CAROLINE e FÁBIO)</t>
        </is>
      </c>
      <c r="D543" s="7" t="n"/>
      <c r="E543" s="7" t="inlineStr">
        <is>
          <t>Cesar</t>
        </is>
      </c>
      <c r="F543" s="13" t="inlineStr">
        <is>
          <t>Acabamento PV 09</t>
        </is>
      </c>
      <c r="G543" s="7" t="inlineStr">
        <is>
          <t>09</t>
        </is>
      </c>
      <c r="H543" s="7" t="n"/>
      <c r="I543" s="7" t="inlineStr">
        <is>
          <t>09</t>
        </is>
      </c>
      <c r="J543" s="7" t="inlineStr">
        <is>
          <t>Acabamento</t>
        </is>
      </c>
      <c r="K543" s="7" t="inlineStr">
        <is>
          <t>Planejamento</t>
        </is>
      </c>
      <c r="L543" s="16" t="inlineStr">
        <is>
          <t>PDS-janeiro(1).docx</t>
        </is>
      </c>
      <c r="M543">
        <f>IF($A543="","",TEXT($A543,"mmmm/yyyy"))</f>
        <v/>
      </c>
      <c r="P543">
        <f>IFERROR(_xludf.XLOOKUP($N543,Base_Enderecos!$A:$A,Base_Enderecos!$B:$B,""),"")</f>
        <v/>
      </c>
      <c r="Q543">
        <f>IFERROR(_xludf.XLOOKUP($N543,Base_Enderecos!$A:$A,Base_Enderecos!$C:$C,""),"")</f>
        <v/>
      </c>
      <c r="R543">
        <f>IF(OR(ISNUMBER(SEARCH("HDD",$F543)),ISNUMBER(SEARCH("MND",$F543)),ISNUMBER(SEARCH("PEAD",$F543)),ISNUMBER(SEARCH("Puxe",$J543)),ISNUMBER(SEARCH("Apoio HDD",$F543))),"MND",IF(OR(ISNUMBER(SEARCH("VCA",$F543)),ISNUMBER(SEARCH("PVC",$F543)),ISNUMBER(SEARCH("vca",$J543)),ISNUMBER(SEARCH("Transformação",$J543))),"VCA",IF(OR(ISNUMBER(SEARCH("crava",$F543)),ISNUMBER(SEARCH("tubo cravado",$F543)),ISNUMBER(SEARCH("shaft",$J543)),ISNUMBER(SEARCH("concreto",$F543))),"TUBO CRAVADO","")))</f>
        <v/>
      </c>
      <c r="T543">
        <f>IF($A543="","",TEXT($A543,"yyyymm")&amp;"|"&amp;$C543&amp;"|"&amp;$F543&amp;"|"&amp;$N543&amp;"|"&amp;$R543)</f>
        <v/>
      </c>
    </row>
    <row r="544" ht="11.55" customHeight="1">
      <c r="A544" s="10" t="n">
        <v>46049</v>
      </c>
      <c r="B544" s="7" t="inlineStr">
        <is>
          <t>Terça</t>
        </is>
      </c>
      <c r="C544" s="7" t="inlineStr">
        <is>
          <t>CT JARAGUÁ (CAROLINE e FÁBIO)</t>
        </is>
      </c>
      <c r="D544" s="7" t="n"/>
      <c r="E544" s="7" t="inlineStr">
        <is>
          <t>Marcelo</t>
        </is>
      </c>
      <c r="F544" s="13" t="inlineStr">
        <is>
          <t>Transformação PV 08 / 11</t>
        </is>
      </c>
      <c r="G544" s="7" t="inlineStr">
        <is>
          <t>08</t>
        </is>
      </c>
      <c r="H544" s="7" t="n"/>
      <c r="I544" s="7" t="inlineStr">
        <is>
          <t>08</t>
        </is>
      </c>
      <c r="J544" s="7" t="inlineStr">
        <is>
          <t>Transformação</t>
        </is>
      </c>
      <c r="K544" s="7" t="inlineStr">
        <is>
          <t>Planejamento</t>
        </is>
      </c>
      <c r="L544" s="16" t="inlineStr">
        <is>
          <t>PDS-janeiro(1).docx</t>
        </is>
      </c>
      <c r="M544">
        <f>IF($A544="","",TEXT($A544,"mmmm/yyyy"))</f>
        <v/>
      </c>
      <c r="P544">
        <f>IFERROR(_xludf.XLOOKUP($N544,Base_Enderecos!$A:$A,Base_Enderecos!$B:$B,""),"")</f>
        <v/>
      </c>
      <c r="Q544">
        <f>IFERROR(_xludf.XLOOKUP($N544,Base_Enderecos!$A:$A,Base_Enderecos!$C:$C,""),"")</f>
        <v/>
      </c>
      <c r="R544">
        <f>IF(OR(ISNUMBER(SEARCH("HDD",$F544)),ISNUMBER(SEARCH("MND",$F544)),ISNUMBER(SEARCH("PEAD",$F544)),ISNUMBER(SEARCH("Puxe",$J544)),ISNUMBER(SEARCH("Apoio HDD",$F544))),"MND",IF(OR(ISNUMBER(SEARCH("VCA",$F544)),ISNUMBER(SEARCH("PVC",$F544)),ISNUMBER(SEARCH("vca",$J544)),ISNUMBER(SEARCH("Transformação",$J544))),"VCA",IF(OR(ISNUMBER(SEARCH("crava",$F544)),ISNUMBER(SEARCH("tubo cravado",$F544)),ISNUMBER(SEARCH("shaft",$J544)),ISNUMBER(SEARCH("concreto",$F544))),"TUBO CRAVADO","")))</f>
        <v/>
      </c>
      <c r="T544">
        <f>IF($A544="","",TEXT($A544,"yyyymm")&amp;"|"&amp;$C544&amp;"|"&amp;$F544&amp;"|"&amp;$N544&amp;"|"&amp;$R544)</f>
        <v/>
      </c>
    </row>
    <row r="545" ht="11.55" customHeight="1">
      <c r="A545" s="10" t="n">
        <v>46049</v>
      </c>
      <c r="B545" s="7" t="inlineStr">
        <is>
          <t>Terça</t>
        </is>
      </c>
      <c r="C545" s="7" t="inlineStr">
        <is>
          <t>CT JARAGUÁ (CAROLINE e FÁBIO)</t>
        </is>
      </c>
      <c r="D545" s="7" t="n"/>
      <c r="E545" s="7" t="inlineStr">
        <is>
          <t>Higor</t>
        </is>
      </c>
      <c r="F545" s="13" t="inlineStr">
        <is>
          <t>Transformação PV 05 / 04</t>
        </is>
      </c>
      <c r="G545" s="7" t="inlineStr">
        <is>
          <t>05</t>
        </is>
      </c>
      <c r="H545" s="7" t="n"/>
      <c r="I545" s="7" t="inlineStr">
        <is>
          <t>05</t>
        </is>
      </c>
      <c r="J545" s="7" t="inlineStr">
        <is>
          <t>Transformação</t>
        </is>
      </c>
      <c r="K545" s="7" t="inlineStr">
        <is>
          <t>Planejamento</t>
        </is>
      </c>
      <c r="L545" s="16" t="inlineStr">
        <is>
          <t>PDS-janeiro(1).docx</t>
        </is>
      </c>
      <c r="M545">
        <f>IF($A545="","",TEXT($A545,"mmmm/yyyy"))</f>
        <v/>
      </c>
      <c r="P545">
        <f>IFERROR(_xludf.XLOOKUP($N545,Base_Enderecos!$A:$A,Base_Enderecos!$B:$B,""),"")</f>
        <v/>
      </c>
      <c r="Q545">
        <f>IFERROR(_xludf.XLOOKUP($N545,Base_Enderecos!$A:$A,Base_Enderecos!$C:$C,""),"")</f>
        <v/>
      </c>
      <c r="R545">
        <f>IF(OR(ISNUMBER(SEARCH("HDD",$F545)),ISNUMBER(SEARCH("MND",$F545)),ISNUMBER(SEARCH("PEAD",$F545)),ISNUMBER(SEARCH("Puxe",$J545)),ISNUMBER(SEARCH("Apoio HDD",$F545))),"MND",IF(OR(ISNUMBER(SEARCH("VCA",$F545)),ISNUMBER(SEARCH("PVC",$F545)),ISNUMBER(SEARCH("vca",$J545)),ISNUMBER(SEARCH("Transformação",$J545))),"VCA",IF(OR(ISNUMBER(SEARCH("crava",$F545)),ISNUMBER(SEARCH("tubo cravado",$F545)),ISNUMBER(SEARCH("shaft",$J545)),ISNUMBER(SEARCH("concreto",$F545))),"TUBO CRAVADO","")))</f>
        <v/>
      </c>
      <c r="T545">
        <f>IF($A545="","",TEXT($A545,"yyyymm")&amp;"|"&amp;$C545&amp;"|"&amp;$F545&amp;"|"&amp;$N545&amp;"|"&amp;$R545)</f>
        <v/>
      </c>
    </row>
    <row r="546" ht="11.55" customHeight="1">
      <c r="A546" s="10" t="n">
        <v>46049</v>
      </c>
      <c r="B546" s="7" t="inlineStr">
        <is>
          <t>Terça</t>
        </is>
      </c>
      <c r="C546" s="7" t="inlineStr">
        <is>
          <t>CT JARAGUÁ (CAROLINE e FÁBIO)</t>
        </is>
      </c>
      <c r="D546" s="7" t="n"/>
      <c r="E546" s="7" t="inlineStr">
        <is>
          <t>Carlos</t>
        </is>
      </c>
      <c r="F546" s="13" t="inlineStr">
        <is>
          <t>Transformação PV 10</t>
        </is>
      </c>
      <c r="G546" s="7" t="inlineStr">
        <is>
          <t>10</t>
        </is>
      </c>
      <c r="H546" s="7" t="n"/>
      <c r="I546" s="7" t="inlineStr">
        <is>
          <t>10</t>
        </is>
      </c>
      <c r="J546" s="7" t="inlineStr">
        <is>
          <t>Transformação</t>
        </is>
      </c>
      <c r="K546" s="7" t="inlineStr">
        <is>
          <t>Planejamento</t>
        </is>
      </c>
      <c r="L546" s="16" t="inlineStr">
        <is>
          <t>PDS-janeiro(1).docx</t>
        </is>
      </c>
      <c r="M546">
        <f>IF($A546="","",TEXT($A546,"mmmm/yyyy"))</f>
        <v/>
      </c>
      <c r="P546">
        <f>IFERROR(_xludf.XLOOKUP($N546,Base_Enderecos!$A:$A,Base_Enderecos!$B:$B,""),"")</f>
        <v/>
      </c>
      <c r="Q546">
        <f>IFERROR(_xludf.XLOOKUP($N546,Base_Enderecos!$A:$A,Base_Enderecos!$C:$C,""),"")</f>
        <v/>
      </c>
      <c r="R546">
        <f>IF(OR(ISNUMBER(SEARCH("HDD",$F546)),ISNUMBER(SEARCH("MND",$F546)),ISNUMBER(SEARCH("PEAD",$F546)),ISNUMBER(SEARCH("Puxe",$J546)),ISNUMBER(SEARCH("Apoio HDD",$F546))),"MND",IF(OR(ISNUMBER(SEARCH("VCA",$F546)),ISNUMBER(SEARCH("PVC",$F546)),ISNUMBER(SEARCH("vca",$J546)),ISNUMBER(SEARCH("Transformação",$J546))),"VCA",IF(OR(ISNUMBER(SEARCH("crava",$F546)),ISNUMBER(SEARCH("tubo cravado",$F546)),ISNUMBER(SEARCH("shaft",$J546)),ISNUMBER(SEARCH("concreto",$F546))),"TUBO CRAVADO","")))</f>
        <v/>
      </c>
      <c r="T546">
        <f>IF($A546="","",TEXT($A546,"yyyymm")&amp;"|"&amp;$C546&amp;"|"&amp;$F546&amp;"|"&amp;$N546&amp;"|"&amp;$R546)</f>
        <v/>
      </c>
    </row>
    <row r="547" ht="11.55" customHeight="1">
      <c r="A547" s="10" t="n">
        <v>46049</v>
      </c>
      <c r="B547" s="7" t="inlineStr">
        <is>
          <t>Terça</t>
        </is>
      </c>
      <c r="C547" s="7" t="inlineStr">
        <is>
          <t>Vacal</t>
        </is>
      </c>
      <c r="D547" s="7" t="n"/>
      <c r="E547" s="7" t="inlineStr">
        <is>
          <t>WJ - 01</t>
        </is>
      </c>
      <c r="F547" s="13" t="inlineStr">
        <is>
          <t>Apoio Vacal</t>
        </is>
      </c>
      <c r="G547" s="7" t="n"/>
      <c r="H547" s="7" t="n"/>
      <c r="I547" s="7" t="n"/>
      <c r="J547" s="7" t="inlineStr">
        <is>
          <t>Vacal</t>
        </is>
      </c>
      <c r="K547" s="7" t="inlineStr">
        <is>
          <t>Apoio</t>
        </is>
      </c>
      <c r="L547" s="16" t="inlineStr">
        <is>
          <t>PDS-janeiro(1).docx</t>
        </is>
      </c>
      <c r="M547">
        <f>IF($A547="","",TEXT($A547,"mmmm/yyyy"))</f>
        <v/>
      </c>
      <c r="P547">
        <f>IFERROR(_xludf.XLOOKUP($N547,Base_Enderecos!$A:$A,Base_Enderecos!$B:$B,""),"")</f>
        <v/>
      </c>
      <c r="Q547">
        <f>IFERROR(_xludf.XLOOKUP($N547,Base_Enderecos!$A:$A,Base_Enderecos!$C:$C,""),"")</f>
        <v/>
      </c>
      <c r="R547">
        <f>IF(OR(ISNUMBER(SEARCH("HDD",$F547)),ISNUMBER(SEARCH("MND",$F547)),ISNUMBER(SEARCH("PEAD",$F547)),ISNUMBER(SEARCH("Puxe",$J547)),ISNUMBER(SEARCH("Apoio HDD",$F547))),"MND",IF(OR(ISNUMBER(SEARCH("VCA",$F547)),ISNUMBER(SEARCH("PVC",$F547)),ISNUMBER(SEARCH("vca",$J547)),ISNUMBER(SEARCH("Transformação",$J547))),"VCA",IF(OR(ISNUMBER(SEARCH("crava",$F547)),ISNUMBER(SEARCH("tubo cravado",$F547)),ISNUMBER(SEARCH("shaft",$J547)),ISNUMBER(SEARCH("concreto",$F547))),"TUBO CRAVADO","")))</f>
        <v/>
      </c>
      <c r="T547">
        <f>IF($A547="","",TEXT($A547,"yyyymm")&amp;"|"&amp;$C547&amp;"|"&amp;$F547&amp;"|"&amp;$N547&amp;"|"&amp;$R547)</f>
        <v/>
      </c>
    </row>
    <row r="548" ht="11.55" customHeight="1">
      <c r="A548" s="10" t="n">
        <v>46049</v>
      </c>
      <c r="B548" s="7" t="inlineStr">
        <is>
          <t>Terça</t>
        </is>
      </c>
      <c r="C548" s="7" t="inlineStr">
        <is>
          <t>Vacal</t>
        </is>
      </c>
      <c r="D548" s="7" t="n"/>
      <c r="E548" s="7" t="inlineStr">
        <is>
          <t>WJ - 02</t>
        </is>
      </c>
      <c r="F548" s="13" t="inlineStr">
        <is>
          <t>Apoio Vacal</t>
        </is>
      </c>
      <c r="G548" s="7" t="n"/>
      <c r="H548" s="7" t="n"/>
      <c r="I548" s="7" t="n"/>
      <c r="J548" s="7" t="inlineStr">
        <is>
          <t>Vacal</t>
        </is>
      </c>
      <c r="K548" s="7" t="inlineStr">
        <is>
          <t>Apoio</t>
        </is>
      </c>
      <c r="L548" s="16" t="inlineStr">
        <is>
          <t>PDS-janeiro(1).docx</t>
        </is>
      </c>
      <c r="M548">
        <f>IF($A548="","",TEXT($A548,"mmmm/yyyy"))</f>
        <v/>
      </c>
      <c r="P548">
        <f>IFERROR(_xludf.XLOOKUP($N548,Base_Enderecos!$A:$A,Base_Enderecos!$B:$B,""),"")</f>
        <v/>
      </c>
      <c r="Q548">
        <f>IFERROR(_xludf.XLOOKUP($N548,Base_Enderecos!$A:$A,Base_Enderecos!$C:$C,""),"")</f>
        <v/>
      </c>
      <c r="R548">
        <f>IF(OR(ISNUMBER(SEARCH("HDD",$F548)),ISNUMBER(SEARCH("MND",$F548)),ISNUMBER(SEARCH("PEAD",$F548)),ISNUMBER(SEARCH("Puxe",$J548)),ISNUMBER(SEARCH("Apoio HDD",$F548))),"MND",IF(OR(ISNUMBER(SEARCH("VCA",$F548)),ISNUMBER(SEARCH("PVC",$F548)),ISNUMBER(SEARCH("vca",$J548)),ISNUMBER(SEARCH("Transformação",$J548))),"VCA",IF(OR(ISNUMBER(SEARCH("crava",$F548)),ISNUMBER(SEARCH("tubo cravado",$F548)),ISNUMBER(SEARCH("shaft",$J548)),ISNUMBER(SEARCH("concreto",$F548))),"TUBO CRAVADO","")))</f>
        <v/>
      </c>
      <c r="T548">
        <f>IF($A548="","",TEXT($A548,"yyyymm")&amp;"|"&amp;$C548&amp;"|"&amp;$F548&amp;"|"&amp;$N548&amp;"|"&amp;$R548)</f>
        <v/>
      </c>
    </row>
    <row r="549" ht="11.55" customHeight="1">
      <c r="A549" s="10" t="n">
        <v>46049</v>
      </c>
      <c r="B549" s="7" t="inlineStr">
        <is>
          <t>Terça</t>
        </is>
      </c>
      <c r="C549" s="7" t="inlineStr">
        <is>
          <t>Vacal</t>
        </is>
      </c>
      <c r="D549" s="7" t="n"/>
      <c r="E549" s="7" t="inlineStr">
        <is>
          <t>Work Drill</t>
        </is>
      </c>
      <c r="F549" s="13" t="inlineStr">
        <is>
          <t>Apoio Vacal</t>
        </is>
      </c>
      <c r="G549" s="7" t="n"/>
      <c r="H549" s="7" t="n"/>
      <c r="I549" s="7" t="n"/>
      <c r="J549" s="7" t="inlineStr">
        <is>
          <t>Vacal</t>
        </is>
      </c>
      <c r="K549" s="7" t="inlineStr">
        <is>
          <t>Apoio</t>
        </is>
      </c>
      <c r="L549" s="16" t="inlineStr">
        <is>
          <t>PDS-janeiro(1).docx</t>
        </is>
      </c>
      <c r="M549">
        <f>IF($A549="","",TEXT($A549,"mmmm/yyyy"))</f>
        <v/>
      </c>
      <c r="P549">
        <f>IFERROR(_xludf.XLOOKUP($N549,Base_Enderecos!$A:$A,Base_Enderecos!$B:$B,""),"")</f>
        <v/>
      </c>
      <c r="Q549">
        <f>IFERROR(_xludf.XLOOKUP($N549,Base_Enderecos!$A:$A,Base_Enderecos!$C:$C,""),"")</f>
        <v/>
      </c>
      <c r="R549">
        <f>IF(OR(ISNUMBER(SEARCH("HDD",$F549)),ISNUMBER(SEARCH("MND",$F549)),ISNUMBER(SEARCH("PEAD",$F549)),ISNUMBER(SEARCH("Puxe",$J549)),ISNUMBER(SEARCH("Apoio HDD",$F549))),"MND",IF(OR(ISNUMBER(SEARCH("VCA",$F549)),ISNUMBER(SEARCH("PVC",$F549)),ISNUMBER(SEARCH("vca",$J549)),ISNUMBER(SEARCH("Transformação",$J549))),"VCA",IF(OR(ISNUMBER(SEARCH("crava",$F549)),ISNUMBER(SEARCH("tubo cravado",$F549)),ISNUMBER(SEARCH("shaft",$J549)),ISNUMBER(SEARCH("concreto",$F549))),"TUBO CRAVADO","")))</f>
        <v/>
      </c>
      <c r="T549">
        <f>IF($A549="","",TEXT($A549,"yyyymm")&amp;"|"&amp;$C549&amp;"|"&amp;$F549&amp;"|"&amp;$N549&amp;"|"&amp;$R549)</f>
        <v/>
      </c>
    </row>
    <row r="550" ht="11.55" customHeight="1">
      <c r="A550" s="10" t="n">
        <v>46049</v>
      </c>
      <c r="B550" s="7" t="inlineStr">
        <is>
          <t>Terça</t>
        </is>
      </c>
      <c r="C550" s="7" t="inlineStr">
        <is>
          <t>Vacal</t>
        </is>
      </c>
      <c r="D550" s="7" t="n"/>
      <c r="E550" s="7" t="inlineStr">
        <is>
          <t>GR Ribeiro</t>
        </is>
      </c>
      <c r="F550" s="13" t="inlineStr">
        <is>
          <t>Apoio Vacal</t>
        </is>
      </c>
      <c r="G550" s="7" t="n"/>
      <c r="H550" s="7" t="n"/>
      <c r="I550" s="7" t="n"/>
      <c r="J550" s="7" t="inlineStr">
        <is>
          <t>Vacal</t>
        </is>
      </c>
      <c r="K550" s="7" t="inlineStr">
        <is>
          <t>Apoio</t>
        </is>
      </c>
      <c r="L550" s="16" t="inlineStr">
        <is>
          <t>PDS-janeiro(1).docx</t>
        </is>
      </c>
      <c r="M550">
        <f>IF($A550="","",TEXT($A550,"mmmm/yyyy"))</f>
        <v/>
      </c>
      <c r="P550">
        <f>IFERROR(_xludf.XLOOKUP($N550,Base_Enderecos!$A:$A,Base_Enderecos!$B:$B,""),"")</f>
        <v/>
      </c>
      <c r="Q550">
        <f>IFERROR(_xludf.XLOOKUP($N550,Base_Enderecos!$A:$A,Base_Enderecos!$C:$C,""),"")</f>
        <v/>
      </c>
      <c r="R550">
        <f>IF(OR(ISNUMBER(SEARCH("HDD",$F550)),ISNUMBER(SEARCH("MND",$F550)),ISNUMBER(SEARCH("PEAD",$F550)),ISNUMBER(SEARCH("Puxe",$J550)),ISNUMBER(SEARCH("Apoio HDD",$F550))),"MND",IF(OR(ISNUMBER(SEARCH("VCA",$F550)),ISNUMBER(SEARCH("PVC",$F550)),ISNUMBER(SEARCH("vca",$J550)),ISNUMBER(SEARCH("Transformação",$J550))),"VCA",IF(OR(ISNUMBER(SEARCH("crava",$F550)),ISNUMBER(SEARCH("tubo cravado",$F550)),ISNUMBER(SEARCH("shaft",$J550)),ISNUMBER(SEARCH("concreto",$F550))),"TUBO CRAVADO","")))</f>
        <v/>
      </c>
      <c r="T550">
        <f>IF($A550="","",TEXT($A550,"yyyymm")&amp;"|"&amp;$C550&amp;"|"&amp;$F550&amp;"|"&amp;$N550&amp;"|"&amp;$R550)</f>
        <v/>
      </c>
    </row>
    <row r="551" ht="11.55" customHeight="1">
      <c r="A551" s="10" t="n">
        <v>46049</v>
      </c>
      <c r="B551" s="7" t="inlineStr">
        <is>
          <t>Terça</t>
        </is>
      </c>
      <c r="C551" s="7" t="inlineStr">
        <is>
          <t>Guindauto</t>
        </is>
      </c>
      <c r="D551" s="7" t="n"/>
      <c r="E551" s="7" t="inlineStr">
        <is>
          <t>Rodrigo</t>
        </is>
      </c>
      <c r="F551" s="13" t="inlineStr">
        <is>
          <t>Rodrigo - Apoio as equipes</t>
        </is>
      </c>
      <c r="G551" s="7" t="n"/>
      <c r="H551" s="7" t="n"/>
      <c r="I551" s="7" t="n"/>
      <c r="J551" s="7" t="inlineStr">
        <is>
          <t>Guindauto</t>
        </is>
      </c>
      <c r="K551" s="7" t="inlineStr">
        <is>
          <t>Apoio</t>
        </is>
      </c>
      <c r="L551" s="16" t="inlineStr">
        <is>
          <t>PDS-janeiro(1).docx</t>
        </is>
      </c>
      <c r="M551">
        <f>IF($A551="","",TEXT($A551,"mmmm/yyyy"))</f>
        <v/>
      </c>
      <c r="P551">
        <f>IFERROR(_xludf.XLOOKUP($N551,Base_Enderecos!$A:$A,Base_Enderecos!$B:$B,""),"")</f>
        <v/>
      </c>
      <c r="Q551">
        <f>IFERROR(_xludf.XLOOKUP($N551,Base_Enderecos!$A:$A,Base_Enderecos!$C:$C,""),"")</f>
        <v/>
      </c>
      <c r="R551">
        <f>IF(OR(ISNUMBER(SEARCH("HDD",$F551)),ISNUMBER(SEARCH("MND",$F551)),ISNUMBER(SEARCH("PEAD",$F551)),ISNUMBER(SEARCH("Puxe",$J551)),ISNUMBER(SEARCH("Apoio HDD",$F551))),"MND",IF(OR(ISNUMBER(SEARCH("VCA",$F551)),ISNUMBER(SEARCH("PVC",$F551)),ISNUMBER(SEARCH("vca",$J551)),ISNUMBER(SEARCH("Transformação",$J551))),"VCA",IF(OR(ISNUMBER(SEARCH("crava",$F551)),ISNUMBER(SEARCH("tubo cravado",$F551)),ISNUMBER(SEARCH("shaft",$J551)),ISNUMBER(SEARCH("concreto",$F551))),"TUBO CRAVADO","")))</f>
        <v/>
      </c>
      <c r="T551">
        <f>IF($A551="","",TEXT($A551,"yyyymm")&amp;"|"&amp;$C551&amp;"|"&amp;$F551&amp;"|"&amp;$N551&amp;"|"&amp;$R551)</f>
        <v/>
      </c>
    </row>
    <row r="552" ht="11.55" customHeight="1">
      <c r="A552" s="10" t="n">
        <v>46049</v>
      </c>
      <c r="B552" s="7" t="inlineStr">
        <is>
          <t>Terça</t>
        </is>
      </c>
      <c r="C552" s="7" t="inlineStr">
        <is>
          <t>Guindauto</t>
        </is>
      </c>
      <c r="D552" s="7" t="n"/>
      <c r="E552" s="7" t="inlineStr">
        <is>
          <t>Marcio</t>
        </is>
      </c>
      <c r="F552" s="13" t="inlineStr">
        <is>
          <t>Marcio - Apoio as equipes</t>
        </is>
      </c>
      <c r="G552" s="7" t="n"/>
      <c r="H552" s="7" t="n"/>
      <c r="I552" s="7" t="n"/>
      <c r="J552" s="7" t="inlineStr">
        <is>
          <t>Guindauto</t>
        </is>
      </c>
      <c r="K552" s="7" t="inlineStr">
        <is>
          <t>Apoio</t>
        </is>
      </c>
      <c r="L552" s="16" t="inlineStr">
        <is>
          <t>PDS-janeiro(1).docx</t>
        </is>
      </c>
      <c r="M552">
        <f>IF($A552="","",TEXT($A552,"mmmm/yyyy"))</f>
        <v/>
      </c>
      <c r="P552">
        <f>IFERROR(_xludf.XLOOKUP($N552,Base_Enderecos!$A:$A,Base_Enderecos!$B:$B,""),"")</f>
        <v/>
      </c>
      <c r="Q552">
        <f>IFERROR(_xludf.XLOOKUP($N552,Base_Enderecos!$A:$A,Base_Enderecos!$C:$C,""),"")</f>
        <v/>
      </c>
      <c r="R552">
        <f>IF(OR(ISNUMBER(SEARCH("HDD",$F552)),ISNUMBER(SEARCH("MND",$F552)),ISNUMBER(SEARCH("PEAD",$F552)),ISNUMBER(SEARCH("Puxe",$J552)),ISNUMBER(SEARCH("Apoio HDD",$F552))),"MND",IF(OR(ISNUMBER(SEARCH("VCA",$F552)),ISNUMBER(SEARCH("PVC",$F552)),ISNUMBER(SEARCH("vca",$J552)),ISNUMBER(SEARCH("Transformação",$J552))),"VCA",IF(OR(ISNUMBER(SEARCH("crava",$F552)),ISNUMBER(SEARCH("tubo cravado",$F552)),ISNUMBER(SEARCH("shaft",$J552)),ISNUMBER(SEARCH("concreto",$F552))),"TUBO CRAVADO","")))</f>
        <v/>
      </c>
      <c r="T552">
        <f>IF($A552="","",TEXT($A552,"yyyymm")&amp;"|"&amp;$C552&amp;"|"&amp;$F552&amp;"|"&amp;$N552&amp;"|"&amp;$R552)</f>
        <v/>
      </c>
    </row>
    <row r="553" ht="11.55" customHeight="1">
      <c r="A553" s="10" t="n">
        <v>46050</v>
      </c>
      <c r="B553" s="7" t="inlineStr">
        <is>
          <t>Quarta</t>
        </is>
      </c>
      <c r="C553" s="7" t="inlineStr">
        <is>
          <t>CT MAR DE CORAL</t>
        </is>
      </c>
      <c r="D553" s="7" t="inlineStr">
        <is>
          <t>ELOÍZIO e LEANDRO e SILVESTRE</t>
        </is>
      </c>
      <c r="E553" s="7" t="inlineStr">
        <is>
          <t>Sergio (Goiânia)</t>
        </is>
      </c>
      <c r="F553" s="13" t="inlineStr">
        <is>
          <t>Transformação PV 04</t>
        </is>
      </c>
      <c r="G553" s="7" t="inlineStr">
        <is>
          <t>04</t>
        </is>
      </c>
      <c r="H553" s="7" t="n"/>
      <c r="I553" s="7" t="inlineStr">
        <is>
          <t>04</t>
        </is>
      </c>
      <c r="J553" s="7" t="inlineStr">
        <is>
          <t>Transformação</t>
        </is>
      </c>
      <c r="K553" s="7" t="inlineStr">
        <is>
          <t>Planejamento</t>
        </is>
      </c>
      <c r="L553" s="16" t="inlineStr">
        <is>
          <t>PDS-janeiro(1).docx</t>
        </is>
      </c>
      <c r="M553">
        <f>IF($A553="","",TEXT($A553,"mmmm/yyyy"))</f>
        <v/>
      </c>
      <c r="P553">
        <f>IFERROR(_xludf.XLOOKUP($N553,Base_Enderecos!$A:$A,Base_Enderecos!$B:$B,""),"")</f>
        <v/>
      </c>
      <c r="Q553">
        <f>IFERROR(_xludf.XLOOKUP($N553,Base_Enderecos!$A:$A,Base_Enderecos!$C:$C,""),"")</f>
        <v/>
      </c>
      <c r="R553">
        <f>IF(OR(ISNUMBER(SEARCH("HDD",$F553)),ISNUMBER(SEARCH("MND",$F553)),ISNUMBER(SEARCH("PEAD",$F553)),ISNUMBER(SEARCH("Puxe",$J553)),ISNUMBER(SEARCH("Apoio HDD",$F553))),"MND",IF(OR(ISNUMBER(SEARCH("VCA",$F553)),ISNUMBER(SEARCH("PVC",$F553)),ISNUMBER(SEARCH("vca",$J553)),ISNUMBER(SEARCH("Transformação",$J553))),"VCA",IF(OR(ISNUMBER(SEARCH("crava",$F553)),ISNUMBER(SEARCH("tubo cravado",$F553)),ISNUMBER(SEARCH("shaft",$J553)),ISNUMBER(SEARCH("concreto",$F553))),"TUBO CRAVADO","")))</f>
        <v/>
      </c>
      <c r="T553">
        <f>IF($A553="","",TEXT($A553,"yyyymm")&amp;"|"&amp;$C553&amp;"|"&amp;$F553&amp;"|"&amp;$N553&amp;"|"&amp;$R553)</f>
        <v/>
      </c>
    </row>
    <row r="554" ht="11.55" customHeight="1">
      <c r="A554" s="10" t="n">
        <v>46050</v>
      </c>
      <c r="B554" s="7" t="inlineStr">
        <is>
          <t>Quarta</t>
        </is>
      </c>
      <c r="C554" s="7" t="inlineStr">
        <is>
          <t>CT MAR DE CORAL</t>
        </is>
      </c>
      <c r="D554" s="7" t="inlineStr">
        <is>
          <t>ELOÍZIO e LEANDRO e SILVESTRE</t>
        </is>
      </c>
      <c r="E554" s="7" t="inlineStr">
        <is>
          <t>Valter</t>
        </is>
      </c>
      <c r="F554" s="13" t="inlineStr">
        <is>
          <t>Transformação PV 05</t>
        </is>
      </c>
      <c r="G554" s="7" t="inlineStr">
        <is>
          <t>05</t>
        </is>
      </c>
      <c r="H554" s="7" t="n"/>
      <c r="I554" s="7" t="inlineStr">
        <is>
          <t>05</t>
        </is>
      </c>
      <c r="J554" s="7" t="inlineStr">
        <is>
          <t>Transformação</t>
        </is>
      </c>
      <c r="K554" s="7" t="inlineStr">
        <is>
          <t>Planejamento</t>
        </is>
      </c>
      <c r="L554" s="16" t="inlineStr">
        <is>
          <t>PDS-janeiro(1).docx</t>
        </is>
      </c>
      <c r="M554">
        <f>IF($A554="","",TEXT($A554,"mmmm/yyyy"))</f>
        <v/>
      </c>
      <c r="P554">
        <f>IFERROR(_xludf.XLOOKUP($N554,Base_Enderecos!$A:$A,Base_Enderecos!$B:$B,""),"")</f>
        <v/>
      </c>
      <c r="Q554">
        <f>IFERROR(_xludf.XLOOKUP($N554,Base_Enderecos!$A:$A,Base_Enderecos!$C:$C,""),"")</f>
        <v/>
      </c>
      <c r="R554">
        <f>IF(OR(ISNUMBER(SEARCH("HDD",$F554)),ISNUMBER(SEARCH("MND",$F554)),ISNUMBER(SEARCH("PEAD",$F554)),ISNUMBER(SEARCH("Puxe",$J554)),ISNUMBER(SEARCH("Apoio HDD",$F554))),"MND",IF(OR(ISNUMBER(SEARCH("VCA",$F554)),ISNUMBER(SEARCH("PVC",$F554)),ISNUMBER(SEARCH("vca",$J554)),ISNUMBER(SEARCH("Transformação",$J554))),"VCA",IF(OR(ISNUMBER(SEARCH("crava",$F554)),ISNUMBER(SEARCH("tubo cravado",$F554)),ISNUMBER(SEARCH("shaft",$J554)),ISNUMBER(SEARCH("concreto",$F554))),"TUBO CRAVADO","")))</f>
        <v/>
      </c>
      <c r="T554">
        <f>IF($A554="","",TEXT($A554,"yyyymm")&amp;"|"&amp;$C554&amp;"|"&amp;$F554&amp;"|"&amp;$N554&amp;"|"&amp;$R554)</f>
        <v/>
      </c>
    </row>
    <row r="555" ht="11.55" customHeight="1">
      <c r="A555" s="10" t="n">
        <v>46050</v>
      </c>
      <c r="B555" s="7" t="inlineStr">
        <is>
          <t>Quarta</t>
        </is>
      </c>
      <c r="C555" s="7" t="inlineStr">
        <is>
          <t>CT MAR DE CORAL</t>
        </is>
      </c>
      <c r="D555" s="7" t="inlineStr">
        <is>
          <t>ELOÍZIO e LEANDRO e SILVESTRE</t>
        </is>
      </c>
      <c r="E555" s="7" t="inlineStr">
        <is>
          <t>Paulo (Goiânia)</t>
        </is>
      </c>
      <c r="F555" s="13" t="inlineStr">
        <is>
          <t>Transformação PV 05.1 + Interlig.</t>
        </is>
      </c>
      <c r="G555" s="7" t="inlineStr">
        <is>
          <t>05.1</t>
        </is>
      </c>
      <c r="H555" s="7" t="n"/>
      <c r="I555" s="7" t="inlineStr">
        <is>
          <t>05.1</t>
        </is>
      </c>
      <c r="J555" s="7" t="inlineStr">
        <is>
          <t>Transformação</t>
        </is>
      </c>
      <c r="K555" s="7" t="inlineStr">
        <is>
          <t>Planejamento</t>
        </is>
      </c>
      <c r="L555" s="16" t="inlineStr">
        <is>
          <t>PDS-janeiro(1).docx</t>
        </is>
      </c>
      <c r="M555">
        <f>IF($A555="","",TEXT($A555,"mmmm/yyyy"))</f>
        <v/>
      </c>
      <c r="P555">
        <f>IFERROR(_xludf.XLOOKUP($N555,Base_Enderecos!$A:$A,Base_Enderecos!$B:$B,""),"")</f>
        <v/>
      </c>
      <c r="Q555">
        <f>IFERROR(_xludf.XLOOKUP($N555,Base_Enderecos!$A:$A,Base_Enderecos!$C:$C,""),"")</f>
        <v/>
      </c>
      <c r="R555">
        <f>IF(OR(ISNUMBER(SEARCH("HDD",$F555)),ISNUMBER(SEARCH("MND",$F555)),ISNUMBER(SEARCH("PEAD",$F555)),ISNUMBER(SEARCH("Puxe",$J555)),ISNUMBER(SEARCH("Apoio HDD",$F555))),"MND",IF(OR(ISNUMBER(SEARCH("VCA",$F555)),ISNUMBER(SEARCH("PVC",$F555)),ISNUMBER(SEARCH("vca",$J555)),ISNUMBER(SEARCH("Transformação",$J555))),"VCA",IF(OR(ISNUMBER(SEARCH("crava",$F555)),ISNUMBER(SEARCH("tubo cravado",$F555)),ISNUMBER(SEARCH("shaft",$J555)),ISNUMBER(SEARCH("concreto",$F555))),"TUBO CRAVADO","")))</f>
        <v/>
      </c>
      <c r="T555">
        <f>IF($A555="","",TEXT($A555,"yyyymm")&amp;"|"&amp;$C555&amp;"|"&amp;$F555&amp;"|"&amp;$N555&amp;"|"&amp;$R555)</f>
        <v/>
      </c>
    </row>
    <row r="556" ht="11.55" customHeight="1">
      <c r="A556" s="10" t="n">
        <v>46050</v>
      </c>
      <c r="B556" s="7" t="inlineStr">
        <is>
          <t>Quarta</t>
        </is>
      </c>
      <c r="C556" s="7" t="inlineStr">
        <is>
          <t>CT MAR DE CORAL</t>
        </is>
      </c>
      <c r="D556" s="7" t="inlineStr">
        <is>
          <t>ELOÍZIO e LEANDRO e SILVESTRE</t>
        </is>
      </c>
      <c r="E556" s="7" t="inlineStr">
        <is>
          <t>Work Drill</t>
        </is>
      </c>
      <c r="F556" s="13" t="inlineStr">
        <is>
          <t>Alargador e Puxe entre PVs 18 ao 23</t>
        </is>
      </c>
      <c r="G556" s="7" t="inlineStr">
        <is>
          <t>18</t>
        </is>
      </c>
      <c r="H556" s="7" t="n"/>
      <c r="I556" s="7" t="inlineStr">
        <is>
          <t>18</t>
        </is>
      </c>
      <c r="J556" s="7" t="inlineStr">
        <is>
          <t>Puxe</t>
        </is>
      </c>
      <c r="K556" s="7" t="inlineStr">
        <is>
          <t>Planejamento</t>
        </is>
      </c>
      <c r="L556" s="16" t="inlineStr">
        <is>
          <t>PDS-janeiro(1).docx</t>
        </is>
      </c>
      <c r="M556">
        <f>IF($A556="","",TEXT($A556,"mmmm/yyyy"))</f>
        <v/>
      </c>
      <c r="P556">
        <f>IFERROR(_xludf.XLOOKUP($N556,Base_Enderecos!$A:$A,Base_Enderecos!$B:$B,""),"")</f>
        <v/>
      </c>
      <c r="Q556">
        <f>IFERROR(_xludf.XLOOKUP($N556,Base_Enderecos!$A:$A,Base_Enderecos!$C:$C,""),"")</f>
        <v/>
      </c>
      <c r="R556">
        <f>IF(OR(ISNUMBER(SEARCH("HDD",$F556)),ISNUMBER(SEARCH("MND",$F556)),ISNUMBER(SEARCH("PEAD",$F556)),ISNUMBER(SEARCH("Puxe",$J556)),ISNUMBER(SEARCH("Apoio HDD",$F556))),"MND",IF(OR(ISNUMBER(SEARCH("VCA",$F556)),ISNUMBER(SEARCH("PVC",$F556)),ISNUMBER(SEARCH("vca",$J556)),ISNUMBER(SEARCH("Transformação",$J556))),"VCA",IF(OR(ISNUMBER(SEARCH("crava",$F556)),ISNUMBER(SEARCH("tubo cravado",$F556)),ISNUMBER(SEARCH("shaft",$J556)),ISNUMBER(SEARCH("concreto",$F556))),"TUBO CRAVADO","")))</f>
        <v/>
      </c>
      <c r="T556">
        <f>IF($A556="","",TEXT($A556,"yyyymm")&amp;"|"&amp;$C556&amp;"|"&amp;$F556&amp;"|"&amp;$N556&amp;"|"&amp;$R556)</f>
        <v/>
      </c>
    </row>
    <row r="557" ht="11.55" customHeight="1">
      <c r="A557" s="10" t="n">
        <v>46050</v>
      </c>
      <c r="B557" s="7" t="inlineStr">
        <is>
          <t>Quarta</t>
        </is>
      </c>
      <c r="C557" s="7" t="inlineStr">
        <is>
          <t>CT MAR DE CORAL</t>
        </is>
      </c>
      <c r="D557" s="7" t="inlineStr">
        <is>
          <t>ELOÍZIO e LEANDRO e SILVESTRE</t>
        </is>
      </c>
      <c r="E557" s="7" t="inlineStr">
        <is>
          <t>Paulo (Medeiros)</t>
        </is>
      </c>
      <c r="F557" s="13" t="inlineStr">
        <is>
          <t>Apoio HDD entre os PVs 18 ao PV 23</t>
        </is>
      </c>
      <c r="G557" s="7" t="inlineStr">
        <is>
          <t>18</t>
        </is>
      </c>
      <c r="H557" s="7" t="inlineStr">
        <is>
          <t>23</t>
        </is>
      </c>
      <c r="I557" s="7" t="inlineStr">
        <is>
          <t>18, 23</t>
        </is>
      </c>
      <c r="J557" s="7" t="inlineStr">
        <is>
          <t>Apoio HDD</t>
        </is>
      </c>
      <c r="K557" s="7" t="inlineStr">
        <is>
          <t>Planejamento</t>
        </is>
      </c>
      <c r="L557" s="16" t="inlineStr">
        <is>
          <t>PDS-janeiro(1).docx</t>
        </is>
      </c>
      <c r="M557">
        <f>IF($A557="","",TEXT($A557,"mmmm/yyyy"))</f>
        <v/>
      </c>
      <c r="P557">
        <f>IFERROR(_xludf.XLOOKUP($N557,Base_Enderecos!$A:$A,Base_Enderecos!$B:$B,""),"")</f>
        <v/>
      </c>
      <c r="Q557">
        <f>IFERROR(_xludf.XLOOKUP($N557,Base_Enderecos!$A:$A,Base_Enderecos!$C:$C,""),"")</f>
        <v/>
      </c>
      <c r="R557">
        <f>IF(OR(ISNUMBER(SEARCH("HDD",$F557)),ISNUMBER(SEARCH("MND",$F557)),ISNUMBER(SEARCH("PEAD",$F557)),ISNUMBER(SEARCH("Puxe",$J557)),ISNUMBER(SEARCH("Apoio HDD",$F557))),"MND",IF(OR(ISNUMBER(SEARCH("VCA",$F557)),ISNUMBER(SEARCH("PVC",$F557)),ISNUMBER(SEARCH("vca",$J557)),ISNUMBER(SEARCH("Transformação",$J557))),"VCA",IF(OR(ISNUMBER(SEARCH("crava",$F557)),ISNUMBER(SEARCH("tubo cravado",$F557)),ISNUMBER(SEARCH("shaft",$J557)),ISNUMBER(SEARCH("concreto",$F557))),"TUBO CRAVADO","")))</f>
        <v/>
      </c>
      <c r="T557">
        <f>IF($A557="","",TEXT($A557,"yyyymm")&amp;"|"&amp;$C557&amp;"|"&amp;$F557&amp;"|"&amp;$N557&amp;"|"&amp;$R557)</f>
        <v/>
      </c>
    </row>
    <row r="558" ht="11.55" customHeight="1">
      <c r="A558" s="10" t="n">
        <v>46050</v>
      </c>
      <c r="B558" s="7" t="inlineStr">
        <is>
          <t>Quarta</t>
        </is>
      </c>
      <c r="C558" s="7" t="inlineStr">
        <is>
          <t>CT MAR DE CORAL</t>
        </is>
      </c>
      <c r="D558" s="7" t="inlineStr">
        <is>
          <t>ELOÍZIO e LEANDRO e SILVESTRE</t>
        </is>
      </c>
      <c r="E558" s="7" t="inlineStr">
        <is>
          <t>GR Ribeiro</t>
        </is>
      </c>
      <c r="F558" s="13" t="inlineStr">
        <is>
          <t>Alargador e Puxe entre PVs 16 ao 13</t>
        </is>
      </c>
      <c r="G558" s="7" t="inlineStr">
        <is>
          <t>16</t>
        </is>
      </c>
      <c r="H558" s="7" t="n"/>
      <c r="I558" s="7" t="inlineStr">
        <is>
          <t>16</t>
        </is>
      </c>
      <c r="J558" s="7" t="inlineStr">
        <is>
          <t>Puxe</t>
        </is>
      </c>
      <c r="K558" s="7" t="inlineStr">
        <is>
          <t>Planejamento</t>
        </is>
      </c>
      <c r="L558" s="16" t="inlineStr">
        <is>
          <t>PDS-janeiro(1).docx</t>
        </is>
      </c>
      <c r="M558">
        <f>IF($A558="","",TEXT($A558,"mmmm/yyyy"))</f>
        <v/>
      </c>
      <c r="P558">
        <f>IFERROR(_xludf.XLOOKUP($N558,Base_Enderecos!$A:$A,Base_Enderecos!$B:$B,""),"")</f>
        <v/>
      </c>
      <c r="Q558">
        <f>IFERROR(_xludf.XLOOKUP($N558,Base_Enderecos!$A:$A,Base_Enderecos!$C:$C,""),"")</f>
        <v/>
      </c>
      <c r="R558">
        <f>IF(OR(ISNUMBER(SEARCH("HDD",$F558)),ISNUMBER(SEARCH("MND",$F558)),ISNUMBER(SEARCH("PEAD",$F558)),ISNUMBER(SEARCH("Puxe",$J558)),ISNUMBER(SEARCH("Apoio HDD",$F558))),"MND",IF(OR(ISNUMBER(SEARCH("VCA",$F558)),ISNUMBER(SEARCH("PVC",$F558)),ISNUMBER(SEARCH("vca",$J558)),ISNUMBER(SEARCH("Transformação",$J558))),"VCA",IF(OR(ISNUMBER(SEARCH("crava",$F558)),ISNUMBER(SEARCH("tubo cravado",$F558)),ISNUMBER(SEARCH("shaft",$J558)),ISNUMBER(SEARCH("concreto",$F558))),"TUBO CRAVADO","")))</f>
        <v/>
      </c>
      <c r="T558">
        <f>IF($A558="","",TEXT($A558,"yyyymm")&amp;"|"&amp;$C558&amp;"|"&amp;$F558&amp;"|"&amp;$N558&amp;"|"&amp;$R558)</f>
        <v/>
      </c>
    </row>
    <row r="559" ht="11.55" customHeight="1">
      <c r="A559" s="10" t="n">
        <v>46050</v>
      </c>
      <c r="B559" s="7" t="inlineStr">
        <is>
          <t>Quarta</t>
        </is>
      </c>
      <c r="C559" s="7" t="inlineStr">
        <is>
          <t>CT MAR DE CORAL</t>
        </is>
      </c>
      <c r="D559" s="7" t="inlineStr">
        <is>
          <t>ELOÍZIO e LEANDRO e SILVESTRE</t>
        </is>
      </c>
      <c r="E559" s="7" t="inlineStr">
        <is>
          <t>Jhonatan</t>
        </is>
      </c>
      <c r="F559" s="13" t="inlineStr">
        <is>
          <t>Apoio HDD entre PVs 16 ao 13</t>
        </is>
      </c>
      <c r="G559" s="7" t="inlineStr">
        <is>
          <t>16</t>
        </is>
      </c>
      <c r="H559" s="7" t="n"/>
      <c r="I559" s="7" t="inlineStr">
        <is>
          <t>16</t>
        </is>
      </c>
      <c r="J559" s="7" t="inlineStr">
        <is>
          <t>Apoio HDD</t>
        </is>
      </c>
      <c r="K559" s="7" t="inlineStr">
        <is>
          <t>Planejamento</t>
        </is>
      </c>
      <c r="L559" s="16" t="inlineStr">
        <is>
          <t>PDS-janeiro(1).docx</t>
        </is>
      </c>
      <c r="M559">
        <f>IF($A559="","",TEXT($A559,"mmmm/yyyy"))</f>
        <v/>
      </c>
      <c r="P559">
        <f>IFERROR(_xludf.XLOOKUP($N559,Base_Enderecos!$A:$A,Base_Enderecos!$B:$B,""),"")</f>
        <v/>
      </c>
      <c r="Q559">
        <f>IFERROR(_xludf.XLOOKUP($N559,Base_Enderecos!$A:$A,Base_Enderecos!$C:$C,""),"")</f>
        <v/>
      </c>
      <c r="R559">
        <f>IF(OR(ISNUMBER(SEARCH("HDD",$F559)),ISNUMBER(SEARCH("MND",$F559)),ISNUMBER(SEARCH("PEAD",$F559)),ISNUMBER(SEARCH("Puxe",$J559)),ISNUMBER(SEARCH("Apoio HDD",$F559))),"MND",IF(OR(ISNUMBER(SEARCH("VCA",$F559)),ISNUMBER(SEARCH("PVC",$F559)),ISNUMBER(SEARCH("vca",$J559)),ISNUMBER(SEARCH("Transformação",$J559))),"VCA",IF(OR(ISNUMBER(SEARCH("crava",$F559)),ISNUMBER(SEARCH("tubo cravado",$F559)),ISNUMBER(SEARCH("shaft",$J559)),ISNUMBER(SEARCH("concreto",$F559))),"TUBO CRAVADO","")))</f>
        <v/>
      </c>
      <c r="T559">
        <f>IF($A559="","",TEXT($A559,"yyyymm")&amp;"|"&amp;$C559&amp;"|"&amp;$F559&amp;"|"&amp;$N559&amp;"|"&amp;$R559)</f>
        <v/>
      </c>
    </row>
    <row r="560" ht="11.55" customHeight="1">
      <c r="A560" s="10" t="n">
        <v>46050</v>
      </c>
      <c r="B560" s="7" t="inlineStr">
        <is>
          <t>Quarta</t>
        </is>
      </c>
      <c r="C560" s="7" t="inlineStr">
        <is>
          <t>CT MAR DE CORAL</t>
        </is>
      </c>
      <c r="D560" s="7" t="inlineStr">
        <is>
          <t>ELOÍZIO e LEANDRO e SILVESTRE</t>
        </is>
      </c>
      <c r="E560" s="7" t="inlineStr">
        <is>
          <t>WJ - 01</t>
        </is>
      </c>
      <c r="F560" s="13" t="inlineStr">
        <is>
          <t>Furo piloto e puxe entre PVs 08 ao 09</t>
        </is>
      </c>
      <c r="G560" s="7" t="inlineStr">
        <is>
          <t>08</t>
        </is>
      </c>
      <c r="H560" s="7" t="n"/>
      <c r="I560" s="7" t="inlineStr">
        <is>
          <t>08</t>
        </is>
      </c>
      <c r="J560" s="7" t="inlineStr">
        <is>
          <t>Furo piloto</t>
        </is>
      </c>
      <c r="K560" s="7" t="inlineStr">
        <is>
          <t>Planejamento</t>
        </is>
      </c>
      <c r="L560" s="16" t="inlineStr">
        <is>
          <t>PDS-janeiro(1).docx</t>
        </is>
      </c>
      <c r="M560">
        <f>IF($A560="","",TEXT($A560,"mmmm/yyyy"))</f>
        <v/>
      </c>
      <c r="P560">
        <f>IFERROR(_xludf.XLOOKUP($N560,Base_Enderecos!$A:$A,Base_Enderecos!$B:$B,""),"")</f>
        <v/>
      </c>
      <c r="Q560">
        <f>IFERROR(_xludf.XLOOKUP($N560,Base_Enderecos!$A:$A,Base_Enderecos!$C:$C,""),"")</f>
        <v/>
      </c>
      <c r="R560">
        <f>IF(OR(ISNUMBER(SEARCH("HDD",$F560)),ISNUMBER(SEARCH("MND",$F560)),ISNUMBER(SEARCH("PEAD",$F560)),ISNUMBER(SEARCH("Puxe",$J560)),ISNUMBER(SEARCH("Apoio HDD",$F560))),"MND",IF(OR(ISNUMBER(SEARCH("VCA",$F560)),ISNUMBER(SEARCH("PVC",$F560)),ISNUMBER(SEARCH("vca",$J560)),ISNUMBER(SEARCH("Transformação",$J560))),"VCA",IF(OR(ISNUMBER(SEARCH("crava",$F560)),ISNUMBER(SEARCH("tubo cravado",$F560)),ISNUMBER(SEARCH("shaft",$J560)),ISNUMBER(SEARCH("concreto",$F560))),"TUBO CRAVADO","")))</f>
        <v/>
      </c>
      <c r="T560">
        <f>IF($A560="","",TEXT($A560,"yyyymm")&amp;"|"&amp;$C560&amp;"|"&amp;$F560&amp;"|"&amp;$N560&amp;"|"&amp;$R560)</f>
        <v/>
      </c>
    </row>
    <row r="561" ht="11.55" customHeight="1">
      <c r="A561" s="10" t="n">
        <v>46050</v>
      </c>
      <c r="B561" s="7" t="inlineStr">
        <is>
          <t>Quarta</t>
        </is>
      </c>
      <c r="C561" s="7" t="inlineStr">
        <is>
          <t>CT MAR DE CORAL</t>
        </is>
      </c>
      <c r="D561" s="7" t="inlineStr">
        <is>
          <t>ELOÍZIO e LEANDRO e SILVESTRE</t>
        </is>
      </c>
      <c r="E561" s="7" t="inlineStr">
        <is>
          <t>Márcio</t>
        </is>
      </c>
      <c r="F561" s="13" t="inlineStr">
        <is>
          <t>Apoio HDD entre PVs 08 ao 09</t>
        </is>
      </c>
      <c r="G561" s="7" t="inlineStr">
        <is>
          <t>08</t>
        </is>
      </c>
      <c r="H561" s="7" t="n"/>
      <c r="I561" s="7" t="inlineStr">
        <is>
          <t>08</t>
        </is>
      </c>
      <c r="J561" s="7" t="inlineStr">
        <is>
          <t>Apoio HDD</t>
        </is>
      </c>
      <c r="K561" s="7" t="inlineStr">
        <is>
          <t>Planejamento</t>
        </is>
      </c>
      <c r="L561" s="16" t="inlineStr">
        <is>
          <t>PDS-janeiro(1).docx</t>
        </is>
      </c>
      <c r="M561">
        <f>IF($A561="","",TEXT($A561,"mmmm/yyyy"))</f>
        <v/>
      </c>
      <c r="P561">
        <f>IFERROR(_xludf.XLOOKUP($N561,Base_Enderecos!$A:$A,Base_Enderecos!$B:$B,""),"")</f>
        <v/>
      </c>
      <c r="Q561">
        <f>IFERROR(_xludf.XLOOKUP($N561,Base_Enderecos!$A:$A,Base_Enderecos!$C:$C,""),"")</f>
        <v/>
      </c>
      <c r="R561">
        <f>IF(OR(ISNUMBER(SEARCH("HDD",$F561)),ISNUMBER(SEARCH("MND",$F561)),ISNUMBER(SEARCH("PEAD",$F561)),ISNUMBER(SEARCH("Puxe",$J561)),ISNUMBER(SEARCH("Apoio HDD",$F561))),"MND",IF(OR(ISNUMBER(SEARCH("VCA",$F561)),ISNUMBER(SEARCH("PVC",$F561)),ISNUMBER(SEARCH("vca",$J561)),ISNUMBER(SEARCH("Transformação",$J561))),"VCA",IF(OR(ISNUMBER(SEARCH("crava",$F561)),ISNUMBER(SEARCH("tubo cravado",$F561)),ISNUMBER(SEARCH("shaft",$J561)),ISNUMBER(SEARCH("concreto",$F561))),"TUBO CRAVADO","")))</f>
        <v/>
      </c>
      <c r="T561">
        <f>IF($A561="","",TEXT($A561,"yyyymm")&amp;"|"&amp;$C561&amp;"|"&amp;$F561&amp;"|"&amp;$N561&amp;"|"&amp;$R561)</f>
        <v/>
      </c>
    </row>
    <row r="562" ht="11.55" customHeight="1">
      <c r="A562" s="10" t="n">
        <v>46050</v>
      </c>
      <c r="B562" s="7" t="inlineStr">
        <is>
          <t>Quarta</t>
        </is>
      </c>
      <c r="C562" s="7" t="inlineStr">
        <is>
          <t>CT LOURDES</t>
        </is>
      </c>
      <c r="D562" s="7" t="inlineStr">
        <is>
          <t>ROBSON e VALMIR</t>
        </is>
      </c>
      <c r="E562" s="7" t="inlineStr">
        <is>
          <t>Edvando</t>
        </is>
      </c>
      <c r="F562" s="13" t="inlineStr">
        <is>
          <t>Transformação PV 18</t>
        </is>
      </c>
      <c r="G562" s="7" t="inlineStr">
        <is>
          <t>18</t>
        </is>
      </c>
      <c r="H562" s="7" t="n"/>
      <c r="I562" s="7" t="inlineStr">
        <is>
          <t>18</t>
        </is>
      </c>
      <c r="J562" s="7" t="inlineStr">
        <is>
          <t>Transformação</t>
        </is>
      </c>
      <c r="K562" s="7" t="inlineStr">
        <is>
          <t>Planejamento</t>
        </is>
      </c>
      <c r="L562" s="16" t="inlineStr">
        <is>
          <t>PDS-janeiro(1).docx</t>
        </is>
      </c>
      <c r="M562">
        <f>IF($A562="","",TEXT($A562,"mmmm/yyyy"))</f>
        <v/>
      </c>
      <c r="P562">
        <f>IFERROR(_xludf.XLOOKUP($N562,Base_Enderecos!$A:$A,Base_Enderecos!$B:$B,""),"")</f>
        <v/>
      </c>
      <c r="Q562">
        <f>IFERROR(_xludf.XLOOKUP($N562,Base_Enderecos!$A:$A,Base_Enderecos!$C:$C,""),"")</f>
        <v/>
      </c>
      <c r="R562">
        <f>IF(OR(ISNUMBER(SEARCH("HDD",$F562)),ISNUMBER(SEARCH("MND",$F562)),ISNUMBER(SEARCH("PEAD",$F562)),ISNUMBER(SEARCH("Puxe",$J562)),ISNUMBER(SEARCH("Apoio HDD",$F562))),"MND",IF(OR(ISNUMBER(SEARCH("VCA",$F562)),ISNUMBER(SEARCH("PVC",$F562)),ISNUMBER(SEARCH("vca",$J562)),ISNUMBER(SEARCH("Transformação",$J562))),"VCA",IF(OR(ISNUMBER(SEARCH("crava",$F562)),ISNUMBER(SEARCH("tubo cravado",$F562)),ISNUMBER(SEARCH("shaft",$J562)),ISNUMBER(SEARCH("concreto",$F562))),"TUBO CRAVADO","")))</f>
        <v/>
      </c>
      <c r="T562">
        <f>IF($A562="","",TEXT($A562,"yyyymm")&amp;"|"&amp;$C562&amp;"|"&amp;$F562&amp;"|"&amp;$N562&amp;"|"&amp;$R562)</f>
        <v/>
      </c>
    </row>
    <row r="563" ht="11.55" customHeight="1">
      <c r="A563" s="10" t="n">
        <v>46050</v>
      </c>
      <c r="B563" s="7" t="inlineStr">
        <is>
          <t>Quarta</t>
        </is>
      </c>
      <c r="C563" s="7" t="inlineStr">
        <is>
          <t>CT LOURDES</t>
        </is>
      </c>
      <c r="D563" s="7" t="inlineStr">
        <is>
          <t>ROBSON e VALMIR</t>
        </is>
      </c>
      <c r="E563" s="7" t="inlineStr">
        <is>
          <t>WJ - 02</t>
        </is>
      </c>
      <c r="F563" s="13" t="inlineStr">
        <is>
          <t>Furo piloto entre PVs 13 ao 14</t>
        </is>
      </c>
      <c r="G563" s="7" t="inlineStr">
        <is>
          <t>13</t>
        </is>
      </c>
      <c r="H563" s="7" t="n"/>
      <c r="I563" s="7" t="inlineStr">
        <is>
          <t>13</t>
        </is>
      </c>
      <c r="J563" s="7" t="inlineStr">
        <is>
          <t>Furo piloto</t>
        </is>
      </c>
      <c r="K563" s="7" t="inlineStr">
        <is>
          <t>Planejamento</t>
        </is>
      </c>
      <c r="L563" s="16" t="inlineStr">
        <is>
          <t>PDS-janeiro(1).docx</t>
        </is>
      </c>
      <c r="M563">
        <f>IF($A563="","",TEXT($A563,"mmmm/yyyy"))</f>
        <v/>
      </c>
      <c r="P563">
        <f>IFERROR(_xludf.XLOOKUP($N563,Base_Enderecos!$A:$A,Base_Enderecos!$B:$B,""),"")</f>
        <v/>
      </c>
      <c r="Q563">
        <f>IFERROR(_xludf.XLOOKUP($N563,Base_Enderecos!$A:$A,Base_Enderecos!$C:$C,""),"")</f>
        <v/>
      </c>
      <c r="R563">
        <f>IF(OR(ISNUMBER(SEARCH("HDD",$F563)),ISNUMBER(SEARCH("MND",$F563)),ISNUMBER(SEARCH("PEAD",$F563)),ISNUMBER(SEARCH("Puxe",$J563)),ISNUMBER(SEARCH("Apoio HDD",$F563))),"MND",IF(OR(ISNUMBER(SEARCH("VCA",$F563)),ISNUMBER(SEARCH("PVC",$F563)),ISNUMBER(SEARCH("vca",$J563)),ISNUMBER(SEARCH("Transformação",$J563))),"VCA",IF(OR(ISNUMBER(SEARCH("crava",$F563)),ISNUMBER(SEARCH("tubo cravado",$F563)),ISNUMBER(SEARCH("shaft",$J563)),ISNUMBER(SEARCH("concreto",$F563))),"TUBO CRAVADO","")))</f>
        <v/>
      </c>
      <c r="T563">
        <f>IF($A563="","",TEXT($A563,"yyyymm")&amp;"|"&amp;$C563&amp;"|"&amp;$F563&amp;"|"&amp;$N563&amp;"|"&amp;$R563)</f>
        <v/>
      </c>
    </row>
    <row r="564" ht="11.55" customHeight="1">
      <c r="A564" s="10" t="n">
        <v>46050</v>
      </c>
      <c r="B564" s="7" t="inlineStr">
        <is>
          <t>Quarta</t>
        </is>
      </c>
      <c r="C564" s="7" t="inlineStr">
        <is>
          <t>CT LOURDES</t>
        </is>
      </c>
      <c r="D564" s="7" t="inlineStr">
        <is>
          <t>ROBSON e VALMIR</t>
        </is>
      </c>
      <c r="E564" s="7" t="inlineStr">
        <is>
          <t>Natalino</t>
        </is>
      </c>
      <c r="F564" s="13" t="inlineStr">
        <is>
          <t>Apoio HDD entre os PVs 13 ao PV 14</t>
        </is>
      </c>
      <c r="G564" s="7" t="inlineStr">
        <is>
          <t>13</t>
        </is>
      </c>
      <c r="H564" s="7" t="inlineStr">
        <is>
          <t>14</t>
        </is>
      </c>
      <c r="I564" s="7" t="inlineStr">
        <is>
          <t>13, 14</t>
        </is>
      </c>
      <c r="J564" s="7" t="inlineStr">
        <is>
          <t>Apoio HDD</t>
        </is>
      </c>
      <c r="K564" s="7" t="inlineStr">
        <is>
          <t>Planejamento</t>
        </is>
      </c>
      <c r="L564" s="16" t="inlineStr">
        <is>
          <t>PDS-janeiro(1).docx</t>
        </is>
      </c>
      <c r="M564">
        <f>IF($A564="","",TEXT($A564,"mmmm/yyyy"))</f>
        <v/>
      </c>
      <c r="P564">
        <f>IFERROR(_xludf.XLOOKUP($N564,Base_Enderecos!$A:$A,Base_Enderecos!$B:$B,""),"")</f>
        <v/>
      </c>
      <c r="Q564">
        <f>IFERROR(_xludf.XLOOKUP($N564,Base_Enderecos!$A:$A,Base_Enderecos!$C:$C,""),"")</f>
        <v/>
      </c>
      <c r="R564">
        <f>IF(OR(ISNUMBER(SEARCH("HDD",$F564)),ISNUMBER(SEARCH("MND",$F564)),ISNUMBER(SEARCH("PEAD",$F564)),ISNUMBER(SEARCH("Puxe",$J564)),ISNUMBER(SEARCH("Apoio HDD",$F564))),"MND",IF(OR(ISNUMBER(SEARCH("VCA",$F564)),ISNUMBER(SEARCH("PVC",$F564)),ISNUMBER(SEARCH("vca",$J564)),ISNUMBER(SEARCH("Transformação",$J564))),"VCA",IF(OR(ISNUMBER(SEARCH("crava",$F564)),ISNUMBER(SEARCH("tubo cravado",$F564)),ISNUMBER(SEARCH("shaft",$J564)),ISNUMBER(SEARCH("concreto",$F564))),"TUBO CRAVADO","")))</f>
        <v/>
      </c>
      <c r="T564">
        <f>IF($A564="","",TEXT($A564,"yyyymm")&amp;"|"&amp;$C564&amp;"|"&amp;$F564&amp;"|"&amp;$N564&amp;"|"&amp;$R564)</f>
        <v/>
      </c>
    </row>
    <row r="565" ht="11.55" customHeight="1">
      <c r="A565" s="10" t="n">
        <v>46050</v>
      </c>
      <c r="B565" s="7" t="inlineStr">
        <is>
          <t>Quarta</t>
        </is>
      </c>
      <c r="C565" s="7" t="inlineStr">
        <is>
          <t>CT JARAGUÁ</t>
        </is>
      </c>
      <c r="D565" s="7" t="inlineStr">
        <is>
          <t>CAROLINE e FÁBIO</t>
        </is>
      </c>
      <c r="E565" s="7" t="inlineStr">
        <is>
          <t>Cidão</t>
        </is>
      </c>
      <c r="F565" s="13" t="inlineStr">
        <is>
          <t>Transformação PV 02</t>
        </is>
      </c>
      <c r="G565" s="7" t="inlineStr">
        <is>
          <t>02</t>
        </is>
      </c>
      <c r="H565" s="7" t="n"/>
      <c r="I565" s="7" t="inlineStr">
        <is>
          <t>02</t>
        </is>
      </c>
      <c r="J565" s="7" t="inlineStr">
        <is>
          <t>Transformação</t>
        </is>
      </c>
      <c r="K565" s="7" t="inlineStr">
        <is>
          <t>Planejamento</t>
        </is>
      </c>
      <c r="L565" s="16" t="inlineStr">
        <is>
          <t>PDS-janeiro(1).docx</t>
        </is>
      </c>
      <c r="M565">
        <f>IF($A565="","",TEXT($A565,"mmmm/yyyy"))</f>
        <v/>
      </c>
      <c r="P565">
        <f>IFERROR(_xludf.XLOOKUP($N565,Base_Enderecos!$A:$A,Base_Enderecos!$B:$B,""),"")</f>
        <v/>
      </c>
      <c r="Q565">
        <f>IFERROR(_xludf.XLOOKUP($N565,Base_Enderecos!$A:$A,Base_Enderecos!$C:$C,""),"")</f>
        <v/>
      </c>
      <c r="R565">
        <f>IF(OR(ISNUMBER(SEARCH("HDD",$F565)),ISNUMBER(SEARCH("MND",$F565)),ISNUMBER(SEARCH("PEAD",$F565)),ISNUMBER(SEARCH("Puxe",$J565)),ISNUMBER(SEARCH("Apoio HDD",$F565))),"MND",IF(OR(ISNUMBER(SEARCH("VCA",$F565)),ISNUMBER(SEARCH("PVC",$F565)),ISNUMBER(SEARCH("vca",$J565)),ISNUMBER(SEARCH("Transformação",$J565))),"VCA",IF(OR(ISNUMBER(SEARCH("crava",$F565)),ISNUMBER(SEARCH("tubo cravado",$F565)),ISNUMBER(SEARCH("shaft",$J565)),ISNUMBER(SEARCH("concreto",$F565))),"TUBO CRAVADO","")))</f>
        <v/>
      </c>
      <c r="T565">
        <f>IF($A565="","",TEXT($A565,"yyyymm")&amp;"|"&amp;$C565&amp;"|"&amp;$F565&amp;"|"&amp;$N565&amp;"|"&amp;$R565)</f>
        <v/>
      </c>
    </row>
    <row r="566" ht="11.55" customHeight="1">
      <c r="A566" s="10" t="n">
        <v>46050</v>
      </c>
      <c r="B566" s="7" t="inlineStr">
        <is>
          <t>Quarta</t>
        </is>
      </c>
      <c r="C566" s="7" t="inlineStr">
        <is>
          <t>CT JARAGUÁ</t>
        </is>
      </c>
      <c r="D566" s="7" t="inlineStr">
        <is>
          <t>CAROLINE e FÁBIO</t>
        </is>
      </c>
      <c r="E566" s="7" t="inlineStr">
        <is>
          <t>Cesar</t>
        </is>
      </c>
      <c r="F566" s="13" t="inlineStr">
        <is>
          <t>Transformação PV 11</t>
        </is>
      </c>
      <c r="G566" s="7" t="inlineStr">
        <is>
          <t>11</t>
        </is>
      </c>
      <c r="H566" s="7" t="n"/>
      <c r="I566" s="7" t="inlineStr">
        <is>
          <t>11</t>
        </is>
      </c>
      <c r="J566" s="7" t="inlineStr">
        <is>
          <t>Transformação</t>
        </is>
      </c>
      <c r="K566" s="7" t="inlineStr">
        <is>
          <t>Planejamento</t>
        </is>
      </c>
      <c r="L566" s="16" t="inlineStr">
        <is>
          <t>PDS-janeiro(1).docx</t>
        </is>
      </c>
      <c r="M566">
        <f>IF($A566="","",TEXT($A566,"mmmm/yyyy"))</f>
        <v/>
      </c>
      <c r="P566">
        <f>IFERROR(_xludf.XLOOKUP($N566,Base_Enderecos!$A:$A,Base_Enderecos!$B:$B,""),"")</f>
        <v/>
      </c>
      <c r="Q566">
        <f>IFERROR(_xludf.XLOOKUP($N566,Base_Enderecos!$A:$A,Base_Enderecos!$C:$C,""),"")</f>
        <v/>
      </c>
      <c r="R566">
        <f>IF(OR(ISNUMBER(SEARCH("HDD",$F566)),ISNUMBER(SEARCH("MND",$F566)),ISNUMBER(SEARCH("PEAD",$F566)),ISNUMBER(SEARCH("Puxe",$J566)),ISNUMBER(SEARCH("Apoio HDD",$F566))),"MND",IF(OR(ISNUMBER(SEARCH("VCA",$F566)),ISNUMBER(SEARCH("PVC",$F566)),ISNUMBER(SEARCH("vca",$J566)),ISNUMBER(SEARCH("Transformação",$J566))),"VCA",IF(OR(ISNUMBER(SEARCH("crava",$F566)),ISNUMBER(SEARCH("tubo cravado",$F566)),ISNUMBER(SEARCH("shaft",$J566)),ISNUMBER(SEARCH("concreto",$F566))),"TUBO CRAVADO","")))</f>
        <v/>
      </c>
      <c r="T566">
        <f>IF($A566="","",TEXT($A566,"yyyymm")&amp;"|"&amp;$C566&amp;"|"&amp;$F566&amp;"|"&amp;$N566&amp;"|"&amp;$R566)</f>
        <v/>
      </c>
    </row>
    <row r="567" ht="11.55" customHeight="1">
      <c r="A567" s="10" t="n">
        <v>46050</v>
      </c>
      <c r="B567" s="7" t="inlineStr">
        <is>
          <t>Quarta</t>
        </is>
      </c>
      <c r="C567" s="7" t="inlineStr">
        <is>
          <t>CT JARAGUÁ</t>
        </is>
      </c>
      <c r="D567" s="7" t="inlineStr">
        <is>
          <t>CAROLINE e FÁBIO</t>
        </is>
      </c>
      <c r="E567" s="7" t="inlineStr">
        <is>
          <t>Marcelo</t>
        </is>
      </c>
      <c r="F567" s="13" t="inlineStr">
        <is>
          <t>Transformação PV 08</t>
        </is>
      </c>
      <c r="G567" s="7" t="inlineStr">
        <is>
          <t>08</t>
        </is>
      </c>
      <c r="H567" s="7" t="n"/>
      <c r="I567" s="7" t="inlineStr">
        <is>
          <t>08</t>
        </is>
      </c>
      <c r="J567" s="7" t="inlineStr">
        <is>
          <t>Transformação</t>
        </is>
      </c>
      <c r="K567" s="7" t="inlineStr">
        <is>
          <t>Planejamento</t>
        </is>
      </c>
      <c r="L567" s="16" t="inlineStr">
        <is>
          <t>PDS-janeiro(1).docx</t>
        </is>
      </c>
      <c r="M567">
        <f>IF($A567="","",TEXT($A567,"mmmm/yyyy"))</f>
        <v/>
      </c>
      <c r="P567">
        <f>IFERROR(_xludf.XLOOKUP($N567,Base_Enderecos!$A:$A,Base_Enderecos!$B:$B,""),"")</f>
        <v/>
      </c>
      <c r="Q567">
        <f>IFERROR(_xludf.XLOOKUP($N567,Base_Enderecos!$A:$A,Base_Enderecos!$C:$C,""),"")</f>
        <v/>
      </c>
      <c r="R567">
        <f>IF(OR(ISNUMBER(SEARCH("HDD",$F567)),ISNUMBER(SEARCH("MND",$F567)),ISNUMBER(SEARCH("PEAD",$F567)),ISNUMBER(SEARCH("Puxe",$J567)),ISNUMBER(SEARCH("Apoio HDD",$F567))),"MND",IF(OR(ISNUMBER(SEARCH("VCA",$F567)),ISNUMBER(SEARCH("PVC",$F567)),ISNUMBER(SEARCH("vca",$J567)),ISNUMBER(SEARCH("Transformação",$J567))),"VCA",IF(OR(ISNUMBER(SEARCH("crava",$F567)),ISNUMBER(SEARCH("tubo cravado",$F567)),ISNUMBER(SEARCH("shaft",$J567)),ISNUMBER(SEARCH("concreto",$F567))),"TUBO CRAVADO","")))</f>
        <v/>
      </c>
      <c r="T567">
        <f>IF($A567="","",TEXT($A567,"yyyymm")&amp;"|"&amp;$C567&amp;"|"&amp;$F567&amp;"|"&amp;$N567&amp;"|"&amp;$R567)</f>
        <v/>
      </c>
    </row>
    <row r="568" ht="11.55" customHeight="1">
      <c r="A568" s="10" t="n">
        <v>46050</v>
      </c>
      <c r="B568" s="7" t="inlineStr">
        <is>
          <t>Quarta</t>
        </is>
      </c>
      <c r="C568" s="7" t="inlineStr">
        <is>
          <t>CT JARAGUÁ</t>
        </is>
      </c>
      <c r="D568" s="7" t="inlineStr">
        <is>
          <t>CAROLINE e FÁBIO</t>
        </is>
      </c>
      <c r="E568" s="7" t="inlineStr">
        <is>
          <t>Higor</t>
        </is>
      </c>
      <c r="F568" s="13" t="inlineStr">
        <is>
          <t>Transformação PV 04</t>
        </is>
      </c>
      <c r="G568" s="7" t="inlineStr">
        <is>
          <t>04</t>
        </is>
      </c>
      <c r="H568" s="7" t="n"/>
      <c r="I568" s="7" t="inlineStr">
        <is>
          <t>04</t>
        </is>
      </c>
      <c r="J568" s="7" t="inlineStr">
        <is>
          <t>Transformação</t>
        </is>
      </c>
      <c r="K568" s="7" t="inlineStr">
        <is>
          <t>Planejamento</t>
        </is>
      </c>
      <c r="L568" s="16" t="inlineStr">
        <is>
          <t>PDS-janeiro(1).docx</t>
        </is>
      </c>
      <c r="M568">
        <f>IF($A568="","",TEXT($A568,"mmmm/yyyy"))</f>
        <v/>
      </c>
      <c r="P568">
        <f>IFERROR(_xludf.XLOOKUP($N568,Base_Enderecos!$A:$A,Base_Enderecos!$B:$B,""),"")</f>
        <v/>
      </c>
      <c r="Q568">
        <f>IFERROR(_xludf.XLOOKUP($N568,Base_Enderecos!$A:$A,Base_Enderecos!$C:$C,""),"")</f>
        <v/>
      </c>
      <c r="R568">
        <f>IF(OR(ISNUMBER(SEARCH("HDD",$F568)),ISNUMBER(SEARCH("MND",$F568)),ISNUMBER(SEARCH("PEAD",$F568)),ISNUMBER(SEARCH("Puxe",$J568)),ISNUMBER(SEARCH("Apoio HDD",$F568))),"MND",IF(OR(ISNUMBER(SEARCH("VCA",$F568)),ISNUMBER(SEARCH("PVC",$F568)),ISNUMBER(SEARCH("vca",$J568)),ISNUMBER(SEARCH("Transformação",$J568))),"VCA",IF(OR(ISNUMBER(SEARCH("crava",$F568)),ISNUMBER(SEARCH("tubo cravado",$F568)),ISNUMBER(SEARCH("shaft",$J568)),ISNUMBER(SEARCH("concreto",$F568))),"TUBO CRAVADO","")))</f>
        <v/>
      </c>
      <c r="T568">
        <f>IF($A568="","",TEXT($A568,"yyyymm")&amp;"|"&amp;$C568&amp;"|"&amp;$F568&amp;"|"&amp;$N568&amp;"|"&amp;$R568)</f>
        <v/>
      </c>
    </row>
    <row r="569" ht="11.55" customHeight="1">
      <c r="A569" s="10" t="n">
        <v>46050</v>
      </c>
      <c r="B569" s="7" t="inlineStr">
        <is>
          <t>Quarta</t>
        </is>
      </c>
      <c r="C569" s="7" t="inlineStr">
        <is>
          <t>CT JARAGUÁ</t>
        </is>
      </c>
      <c r="D569" s="7" t="inlineStr">
        <is>
          <t>CAROLINE e FÁBIO</t>
        </is>
      </c>
      <c r="E569" s="7" t="inlineStr">
        <is>
          <t>Carlos</t>
        </is>
      </c>
      <c r="F569" s="13" t="inlineStr">
        <is>
          <t>Transformação PV 10</t>
        </is>
      </c>
      <c r="G569" s="7" t="inlineStr">
        <is>
          <t>10</t>
        </is>
      </c>
      <c r="H569" s="7" t="n"/>
      <c r="I569" s="7" t="inlineStr">
        <is>
          <t>10</t>
        </is>
      </c>
      <c r="J569" s="7" t="inlineStr">
        <is>
          <t>Transformação</t>
        </is>
      </c>
      <c r="K569" s="7" t="inlineStr">
        <is>
          <t>Planejamento</t>
        </is>
      </c>
      <c r="L569" s="16" t="inlineStr">
        <is>
          <t>PDS-janeiro(1).docx</t>
        </is>
      </c>
      <c r="M569">
        <f>IF($A569="","",TEXT($A569,"mmmm/yyyy"))</f>
        <v/>
      </c>
      <c r="P569">
        <f>IFERROR(_xludf.XLOOKUP($N569,Base_Enderecos!$A:$A,Base_Enderecos!$B:$B,""),"")</f>
        <v/>
      </c>
      <c r="Q569">
        <f>IFERROR(_xludf.XLOOKUP($N569,Base_Enderecos!$A:$A,Base_Enderecos!$C:$C,""),"")</f>
        <v/>
      </c>
      <c r="R569">
        <f>IF(OR(ISNUMBER(SEARCH("HDD",$F569)),ISNUMBER(SEARCH("MND",$F569)),ISNUMBER(SEARCH("PEAD",$F569)),ISNUMBER(SEARCH("Puxe",$J569)),ISNUMBER(SEARCH("Apoio HDD",$F569))),"MND",IF(OR(ISNUMBER(SEARCH("VCA",$F569)),ISNUMBER(SEARCH("PVC",$F569)),ISNUMBER(SEARCH("vca",$J569)),ISNUMBER(SEARCH("Transformação",$J569))),"VCA",IF(OR(ISNUMBER(SEARCH("crava",$F569)),ISNUMBER(SEARCH("tubo cravado",$F569)),ISNUMBER(SEARCH("shaft",$J569)),ISNUMBER(SEARCH("concreto",$F569))),"TUBO CRAVADO","")))</f>
        <v/>
      </c>
      <c r="T569">
        <f>IF($A569="","",TEXT($A569,"yyyymm")&amp;"|"&amp;$C569&amp;"|"&amp;$F569&amp;"|"&amp;$N569&amp;"|"&amp;$R569)</f>
        <v/>
      </c>
    </row>
    <row r="570" ht="11.55" customHeight="1">
      <c r="A570" s="10" t="n">
        <v>46050</v>
      </c>
      <c r="B570" s="7" t="inlineStr">
        <is>
          <t>Quarta</t>
        </is>
      </c>
      <c r="C570" s="7" t="inlineStr">
        <is>
          <t>Vacal</t>
        </is>
      </c>
      <c r="D570" s="7" t="n"/>
      <c r="E570" s="7" t="inlineStr">
        <is>
          <t>WJ - 01</t>
        </is>
      </c>
      <c r="F570" s="13" t="inlineStr">
        <is>
          <t>Apoio Vacal</t>
        </is>
      </c>
      <c r="G570" s="7" t="n"/>
      <c r="H570" s="7" t="n"/>
      <c r="I570" s="7" t="n"/>
      <c r="J570" s="7" t="inlineStr">
        <is>
          <t>Vacal</t>
        </is>
      </c>
      <c r="K570" s="7" t="inlineStr">
        <is>
          <t>Apoio</t>
        </is>
      </c>
      <c r="L570" s="16" t="inlineStr">
        <is>
          <t>PDS-janeiro(1).docx</t>
        </is>
      </c>
      <c r="M570">
        <f>IF($A570="","",TEXT($A570,"mmmm/yyyy"))</f>
        <v/>
      </c>
      <c r="P570">
        <f>IFERROR(_xludf.XLOOKUP($N570,Base_Enderecos!$A:$A,Base_Enderecos!$B:$B,""),"")</f>
        <v/>
      </c>
      <c r="Q570">
        <f>IFERROR(_xludf.XLOOKUP($N570,Base_Enderecos!$A:$A,Base_Enderecos!$C:$C,""),"")</f>
        <v/>
      </c>
      <c r="R570">
        <f>IF(OR(ISNUMBER(SEARCH("HDD",$F570)),ISNUMBER(SEARCH("MND",$F570)),ISNUMBER(SEARCH("PEAD",$F570)),ISNUMBER(SEARCH("Puxe",$J570)),ISNUMBER(SEARCH("Apoio HDD",$F570))),"MND",IF(OR(ISNUMBER(SEARCH("VCA",$F570)),ISNUMBER(SEARCH("PVC",$F570)),ISNUMBER(SEARCH("vca",$J570)),ISNUMBER(SEARCH("Transformação",$J570))),"VCA",IF(OR(ISNUMBER(SEARCH("crava",$F570)),ISNUMBER(SEARCH("tubo cravado",$F570)),ISNUMBER(SEARCH("shaft",$J570)),ISNUMBER(SEARCH("concreto",$F570))),"TUBO CRAVADO","")))</f>
        <v/>
      </c>
      <c r="T570">
        <f>IF($A570="","",TEXT($A570,"yyyymm")&amp;"|"&amp;$C570&amp;"|"&amp;$F570&amp;"|"&amp;$N570&amp;"|"&amp;$R570)</f>
        <v/>
      </c>
    </row>
    <row r="571" ht="11.55" customHeight="1">
      <c r="A571" s="10" t="n">
        <v>46050</v>
      </c>
      <c r="B571" s="7" t="inlineStr">
        <is>
          <t>Quarta</t>
        </is>
      </c>
      <c r="C571" s="7" t="inlineStr">
        <is>
          <t>Vacal</t>
        </is>
      </c>
      <c r="D571" s="7" t="n"/>
      <c r="E571" s="7" t="inlineStr">
        <is>
          <t>WJ - 02</t>
        </is>
      </c>
      <c r="F571" s="13" t="inlineStr">
        <is>
          <t>Apoio Vacal</t>
        </is>
      </c>
      <c r="G571" s="7" t="n"/>
      <c r="H571" s="7" t="n"/>
      <c r="I571" s="7" t="n"/>
      <c r="J571" s="7" t="inlineStr">
        <is>
          <t>Vacal</t>
        </is>
      </c>
      <c r="K571" s="7" t="inlineStr">
        <is>
          <t>Apoio</t>
        </is>
      </c>
      <c r="L571" s="16" t="inlineStr">
        <is>
          <t>PDS-janeiro(1).docx</t>
        </is>
      </c>
      <c r="M571">
        <f>IF($A571="","",TEXT($A571,"mmmm/yyyy"))</f>
        <v/>
      </c>
      <c r="P571">
        <f>IFERROR(_xludf.XLOOKUP($N571,Base_Enderecos!$A:$A,Base_Enderecos!$B:$B,""),"")</f>
        <v/>
      </c>
      <c r="Q571">
        <f>IFERROR(_xludf.XLOOKUP($N571,Base_Enderecos!$A:$A,Base_Enderecos!$C:$C,""),"")</f>
        <v/>
      </c>
      <c r="R571">
        <f>IF(OR(ISNUMBER(SEARCH("HDD",$F571)),ISNUMBER(SEARCH("MND",$F571)),ISNUMBER(SEARCH("PEAD",$F571)),ISNUMBER(SEARCH("Puxe",$J571)),ISNUMBER(SEARCH("Apoio HDD",$F571))),"MND",IF(OR(ISNUMBER(SEARCH("VCA",$F571)),ISNUMBER(SEARCH("PVC",$F571)),ISNUMBER(SEARCH("vca",$J571)),ISNUMBER(SEARCH("Transformação",$J571))),"VCA",IF(OR(ISNUMBER(SEARCH("crava",$F571)),ISNUMBER(SEARCH("tubo cravado",$F571)),ISNUMBER(SEARCH("shaft",$J571)),ISNUMBER(SEARCH("concreto",$F571))),"TUBO CRAVADO","")))</f>
        <v/>
      </c>
      <c r="T571">
        <f>IF($A571="","",TEXT($A571,"yyyymm")&amp;"|"&amp;$C571&amp;"|"&amp;$F571&amp;"|"&amp;$N571&amp;"|"&amp;$R571)</f>
        <v/>
      </c>
    </row>
    <row r="572" ht="11.55" customHeight="1">
      <c r="A572" s="10" t="n">
        <v>46050</v>
      </c>
      <c r="B572" s="7" t="inlineStr">
        <is>
          <t>Quarta</t>
        </is>
      </c>
      <c r="C572" s="7" t="inlineStr">
        <is>
          <t>Vacal</t>
        </is>
      </c>
      <c r="D572" s="7" t="n"/>
      <c r="E572" s="7" t="inlineStr">
        <is>
          <t>Work Drill</t>
        </is>
      </c>
      <c r="F572" s="13" t="inlineStr">
        <is>
          <t>Apoio Vacal</t>
        </is>
      </c>
      <c r="G572" s="7" t="n"/>
      <c r="H572" s="7" t="n"/>
      <c r="I572" s="7" t="n"/>
      <c r="J572" s="7" t="inlineStr">
        <is>
          <t>Vacal</t>
        </is>
      </c>
      <c r="K572" s="7" t="inlineStr">
        <is>
          <t>Apoio</t>
        </is>
      </c>
      <c r="L572" s="16" t="inlineStr">
        <is>
          <t>PDS-janeiro(1).docx</t>
        </is>
      </c>
      <c r="M572">
        <f>IF($A572="","",TEXT($A572,"mmmm/yyyy"))</f>
        <v/>
      </c>
      <c r="P572">
        <f>IFERROR(_xludf.XLOOKUP($N572,Base_Enderecos!$A:$A,Base_Enderecos!$B:$B,""),"")</f>
        <v/>
      </c>
      <c r="Q572">
        <f>IFERROR(_xludf.XLOOKUP($N572,Base_Enderecos!$A:$A,Base_Enderecos!$C:$C,""),"")</f>
        <v/>
      </c>
      <c r="R572">
        <f>IF(OR(ISNUMBER(SEARCH("HDD",$F572)),ISNUMBER(SEARCH("MND",$F572)),ISNUMBER(SEARCH("PEAD",$F572)),ISNUMBER(SEARCH("Puxe",$J572)),ISNUMBER(SEARCH("Apoio HDD",$F572))),"MND",IF(OR(ISNUMBER(SEARCH("VCA",$F572)),ISNUMBER(SEARCH("PVC",$F572)),ISNUMBER(SEARCH("vca",$J572)),ISNUMBER(SEARCH("Transformação",$J572))),"VCA",IF(OR(ISNUMBER(SEARCH("crava",$F572)),ISNUMBER(SEARCH("tubo cravado",$F572)),ISNUMBER(SEARCH("shaft",$J572)),ISNUMBER(SEARCH("concreto",$F572))),"TUBO CRAVADO","")))</f>
        <v/>
      </c>
      <c r="T572">
        <f>IF($A572="","",TEXT($A572,"yyyymm")&amp;"|"&amp;$C572&amp;"|"&amp;$F572&amp;"|"&amp;$N572&amp;"|"&amp;$R572)</f>
        <v/>
      </c>
    </row>
    <row r="573" ht="11.55" customHeight="1">
      <c r="A573" s="10" t="n">
        <v>46050</v>
      </c>
      <c r="B573" s="7" t="inlineStr">
        <is>
          <t>Quarta</t>
        </is>
      </c>
      <c r="C573" s="7" t="inlineStr">
        <is>
          <t>Vacal</t>
        </is>
      </c>
      <c r="D573" s="7" t="n"/>
      <c r="E573" s="7" t="inlineStr">
        <is>
          <t>GR Ribeiro</t>
        </is>
      </c>
      <c r="F573" s="13" t="inlineStr">
        <is>
          <t>Apoio Vacal</t>
        </is>
      </c>
      <c r="G573" s="7" t="n"/>
      <c r="H573" s="7" t="n"/>
      <c r="I573" s="7" t="n"/>
      <c r="J573" s="7" t="inlineStr">
        <is>
          <t>Vacal</t>
        </is>
      </c>
      <c r="K573" s="7" t="inlineStr">
        <is>
          <t>Apoio</t>
        </is>
      </c>
      <c r="L573" s="16" t="inlineStr">
        <is>
          <t>PDS-janeiro(1).docx</t>
        </is>
      </c>
      <c r="M573">
        <f>IF($A573="","",TEXT($A573,"mmmm/yyyy"))</f>
        <v/>
      </c>
      <c r="P573">
        <f>IFERROR(_xludf.XLOOKUP($N573,Base_Enderecos!$A:$A,Base_Enderecos!$B:$B,""),"")</f>
        <v/>
      </c>
      <c r="Q573">
        <f>IFERROR(_xludf.XLOOKUP($N573,Base_Enderecos!$A:$A,Base_Enderecos!$C:$C,""),"")</f>
        <v/>
      </c>
      <c r="R573">
        <f>IF(OR(ISNUMBER(SEARCH("HDD",$F573)),ISNUMBER(SEARCH("MND",$F573)),ISNUMBER(SEARCH("PEAD",$F573)),ISNUMBER(SEARCH("Puxe",$J573)),ISNUMBER(SEARCH("Apoio HDD",$F573))),"MND",IF(OR(ISNUMBER(SEARCH("VCA",$F573)),ISNUMBER(SEARCH("PVC",$F573)),ISNUMBER(SEARCH("vca",$J573)),ISNUMBER(SEARCH("Transformação",$J573))),"VCA",IF(OR(ISNUMBER(SEARCH("crava",$F573)),ISNUMBER(SEARCH("tubo cravado",$F573)),ISNUMBER(SEARCH("shaft",$J573)),ISNUMBER(SEARCH("concreto",$F573))),"TUBO CRAVADO","")))</f>
        <v/>
      </c>
      <c r="T573">
        <f>IF($A573="","",TEXT($A573,"yyyymm")&amp;"|"&amp;$C573&amp;"|"&amp;$F573&amp;"|"&amp;$N573&amp;"|"&amp;$R573)</f>
        <v/>
      </c>
    </row>
    <row r="574" ht="11.55" customHeight="1">
      <c r="A574" s="10" t="n">
        <v>46050</v>
      </c>
      <c r="B574" s="7" t="inlineStr">
        <is>
          <t>Quarta</t>
        </is>
      </c>
      <c r="C574" s="7" t="inlineStr">
        <is>
          <t>Guindauto</t>
        </is>
      </c>
      <c r="D574" s="7" t="n"/>
      <c r="E574" s="7" t="inlineStr">
        <is>
          <t>Rodrigo</t>
        </is>
      </c>
      <c r="F574" s="13" t="inlineStr">
        <is>
          <t>Rodrigo - Apoio as equipes</t>
        </is>
      </c>
      <c r="G574" s="7" t="n"/>
      <c r="H574" s="7" t="n"/>
      <c r="I574" s="7" t="n"/>
      <c r="J574" s="7" t="inlineStr">
        <is>
          <t>Guindauto</t>
        </is>
      </c>
      <c r="K574" s="7" t="inlineStr">
        <is>
          <t>Apoio</t>
        </is>
      </c>
      <c r="L574" s="16" t="inlineStr">
        <is>
          <t>PDS-janeiro(1).docx</t>
        </is>
      </c>
      <c r="M574">
        <f>IF($A574="","",TEXT($A574,"mmmm/yyyy"))</f>
        <v/>
      </c>
      <c r="P574">
        <f>IFERROR(_xludf.XLOOKUP($N574,Base_Enderecos!$A:$A,Base_Enderecos!$B:$B,""),"")</f>
        <v/>
      </c>
      <c r="Q574">
        <f>IFERROR(_xludf.XLOOKUP($N574,Base_Enderecos!$A:$A,Base_Enderecos!$C:$C,""),"")</f>
        <v/>
      </c>
      <c r="R574">
        <f>IF(OR(ISNUMBER(SEARCH("HDD",$F574)),ISNUMBER(SEARCH("MND",$F574)),ISNUMBER(SEARCH("PEAD",$F574)),ISNUMBER(SEARCH("Puxe",$J574)),ISNUMBER(SEARCH("Apoio HDD",$F574))),"MND",IF(OR(ISNUMBER(SEARCH("VCA",$F574)),ISNUMBER(SEARCH("PVC",$F574)),ISNUMBER(SEARCH("vca",$J574)),ISNUMBER(SEARCH("Transformação",$J574))),"VCA",IF(OR(ISNUMBER(SEARCH("crava",$F574)),ISNUMBER(SEARCH("tubo cravado",$F574)),ISNUMBER(SEARCH("shaft",$J574)),ISNUMBER(SEARCH("concreto",$F574))),"TUBO CRAVADO","")))</f>
        <v/>
      </c>
      <c r="T574">
        <f>IF($A574="","",TEXT($A574,"yyyymm")&amp;"|"&amp;$C574&amp;"|"&amp;$F574&amp;"|"&amp;$N574&amp;"|"&amp;$R574)</f>
        <v/>
      </c>
    </row>
    <row r="575" ht="11.55" customHeight="1">
      <c r="A575" s="10" t="n">
        <v>46050</v>
      </c>
      <c r="B575" s="7" t="inlineStr">
        <is>
          <t>Quarta</t>
        </is>
      </c>
      <c r="C575" s="7" t="inlineStr">
        <is>
          <t>Guindauto</t>
        </is>
      </c>
      <c r="D575" s="7" t="n"/>
      <c r="E575" s="7" t="inlineStr">
        <is>
          <t>Marcio</t>
        </is>
      </c>
      <c r="F575" s="13" t="inlineStr">
        <is>
          <t>Marcio - Apoio as equipes</t>
        </is>
      </c>
      <c r="G575" s="7" t="n"/>
      <c r="H575" s="7" t="n"/>
      <c r="I575" s="7" t="n"/>
      <c r="J575" s="7" t="inlineStr">
        <is>
          <t>Guindauto</t>
        </is>
      </c>
      <c r="K575" s="7" t="inlineStr">
        <is>
          <t>Apoio</t>
        </is>
      </c>
      <c r="L575" s="16" t="inlineStr">
        <is>
          <t>PDS-janeiro(1).docx</t>
        </is>
      </c>
      <c r="M575">
        <f>IF($A575="","",TEXT($A575,"mmmm/yyyy"))</f>
        <v/>
      </c>
      <c r="P575">
        <f>IFERROR(_xludf.XLOOKUP($N575,Base_Enderecos!$A:$A,Base_Enderecos!$B:$B,""),"")</f>
        <v/>
      </c>
      <c r="Q575">
        <f>IFERROR(_xludf.XLOOKUP($N575,Base_Enderecos!$A:$A,Base_Enderecos!$C:$C,""),"")</f>
        <v/>
      </c>
      <c r="R575">
        <f>IF(OR(ISNUMBER(SEARCH("HDD",$F575)),ISNUMBER(SEARCH("MND",$F575)),ISNUMBER(SEARCH("PEAD",$F575)),ISNUMBER(SEARCH("Puxe",$J575)),ISNUMBER(SEARCH("Apoio HDD",$F575))),"MND",IF(OR(ISNUMBER(SEARCH("VCA",$F575)),ISNUMBER(SEARCH("PVC",$F575)),ISNUMBER(SEARCH("vca",$J575)),ISNUMBER(SEARCH("Transformação",$J575))),"VCA",IF(OR(ISNUMBER(SEARCH("crava",$F575)),ISNUMBER(SEARCH("tubo cravado",$F575)),ISNUMBER(SEARCH("shaft",$J575)),ISNUMBER(SEARCH("concreto",$F575))),"TUBO CRAVADO","")))</f>
        <v/>
      </c>
      <c r="T575">
        <f>IF($A575="","",TEXT($A575,"yyyymm")&amp;"|"&amp;$C575&amp;"|"&amp;$F575&amp;"|"&amp;$N575&amp;"|"&amp;$R575)</f>
        <v/>
      </c>
    </row>
    <row r="576" ht="11.55" customHeight="1">
      <c r="A576" s="10" t="n">
        <v>46051</v>
      </c>
      <c r="B576" s="7" t="inlineStr">
        <is>
          <t>Quinta</t>
        </is>
      </c>
      <c r="C576" s="7" t="inlineStr">
        <is>
          <t>CT MAR DE CORAL</t>
        </is>
      </c>
      <c r="D576" s="7" t="inlineStr">
        <is>
          <t>ELOÍZIO e LEANDRO e SILVESTRE</t>
        </is>
      </c>
      <c r="E576" s="7" t="inlineStr">
        <is>
          <t>Sergio (Goiânia)</t>
        </is>
      </c>
      <c r="F576" s="13" t="inlineStr">
        <is>
          <t>Transformação PV 04</t>
        </is>
      </c>
      <c r="G576" s="7" t="inlineStr">
        <is>
          <t>04</t>
        </is>
      </c>
      <c r="H576" s="7" t="n"/>
      <c r="I576" s="7" t="inlineStr">
        <is>
          <t>04</t>
        </is>
      </c>
      <c r="J576" s="7" t="inlineStr">
        <is>
          <t>Transformação</t>
        </is>
      </c>
      <c r="K576" s="7" t="inlineStr">
        <is>
          <t>Planejamento</t>
        </is>
      </c>
      <c r="L576" s="16" t="inlineStr">
        <is>
          <t>PDS-janeiro(1).docx</t>
        </is>
      </c>
      <c r="M576">
        <f>IF($A576="","",TEXT($A576,"mmmm/yyyy"))</f>
        <v/>
      </c>
      <c r="P576">
        <f>IFERROR(_xludf.XLOOKUP($N576,Base_Enderecos!$A:$A,Base_Enderecos!$B:$B,""),"")</f>
        <v/>
      </c>
      <c r="Q576">
        <f>IFERROR(_xludf.XLOOKUP($N576,Base_Enderecos!$A:$A,Base_Enderecos!$C:$C,""),"")</f>
        <v/>
      </c>
      <c r="R576">
        <f>IF(OR(ISNUMBER(SEARCH("HDD",$F576)),ISNUMBER(SEARCH("MND",$F576)),ISNUMBER(SEARCH("PEAD",$F576)),ISNUMBER(SEARCH("Puxe",$J576)),ISNUMBER(SEARCH("Apoio HDD",$F576))),"MND",IF(OR(ISNUMBER(SEARCH("VCA",$F576)),ISNUMBER(SEARCH("PVC",$F576)),ISNUMBER(SEARCH("vca",$J576)),ISNUMBER(SEARCH("Transformação",$J576))),"VCA",IF(OR(ISNUMBER(SEARCH("crava",$F576)),ISNUMBER(SEARCH("tubo cravado",$F576)),ISNUMBER(SEARCH("shaft",$J576)),ISNUMBER(SEARCH("concreto",$F576))),"TUBO CRAVADO","")))</f>
        <v/>
      </c>
      <c r="T576">
        <f>IF($A576="","",TEXT($A576,"yyyymm")&amp;"|"&amp;$C576&amp;"|"&amp;$F576&amp;"|"&amp;$N576&amp;"|"&amp;$R576)</f>
        <v/>
      </c>
    </row>
    <row r="577" ht="11.55" customHeight="1">
      <c r="A577" s="10" t="n">
        <v>46051</v>
      </c>
      <c r="B577" s="7" t="inlineStr">
        <is>
          <t>Quinta</t>
        </is>
      </c>
      <c r="C577" s="7" t="inlineStr">
        <is>
          <t>CT MAR DE CORAL</t>
        </is>
      </c>
      <c r="D577" s="7" t="inlineStr">
        <is>
          <t>ELOÍZIO e LEANDRO e SILVESTRE</t>
        </is>
      </c>
      <c r="E577" s="7" t="inlineStr">
        <is>
          <t>Valter</t>
        </is>
      </c>
      <c r="F577" s="13" t="inlineStr">
        <is>
          <t>Transformação PV 05</t>
        </is>
      </c>
      <c r="G577" s="7" t="inlineStr">
        <is>
          <t>05</t>
        </is>
      </c>
      <c r="H577" s="7" t="n"/>
      <c r="I577" s="7" t="inlineStr">
        <is>
          <t>05</t>
        </is>
      </c>
      <c r="J577" s="7" t="inlineStr">
        <is>
          <t>Transformação</t>
        </is>
      </c>
      <c r="K577" s="7" t="inlineStr">
        <is>
          <t>Planejamento</t>
        </is>
      </c>
      <c r="L577" s="16" t="inlineStr">
        <is>
          <t>PDS-janeiro(1).docx</t>
        </is>
      </c>
      <c r="M577">
        <f>IF($A577="","",TEXT($A577,"mmmm/yyyy"))</f>
        <v/>
      </c>
      <c r="P577">
        <f>IFERROR(_xludf.XLOOKUP($N577,Base_Enderecos!$A:$A,Base_Enderecos!$B:$B,""),"")</f>
        <v/>
      </c>
      <c r="Q577">
        <f>IFERROR(_xludf.XLOOKUP($N577,Base_Enderecos!$A:$A,Base_Enderecos!$C:$C,""),"")</f>
        <v/>
      </c>
      <c r="R577">
        <f>IF(OR(ISNUMBER(SEARCH("HDD",$F577)),ISNUMBER(SEARCH("MND",$F577)),ISNUMBER(SEARCH("PEAD",$F577)),ISNUMBER(SEARCH("Puxe",$J577)),ISNUMBER(SEARCH("Apoio HDD",$F577))),"MND",IF(OR(ISNUMBER(SEARCH("VCA",$F577)),ISNUMBER(SEARCH("PVC",$F577)),ISNUMBER(SEARCH("vca",$J577)),ISNUMBER(SEARCH("Transformação",$J577))),"VCA",IF(OR(ISNUMBER(SEARCH("crava",$F577)),ISNUMBER(SEARCH("tubo cravado",$F577)),ISNUMBER(SEARCH("shaft",$J577)),ISNUMBER(SEARCH("concreto",$F577))),"TUBO CRAVADO","")))</f>
        <v/>
      </c>
      <c r="T577">
        <f>IF($A577="","",TEXT($A577,"yyyymm")&amp;"|"&amp;$C577&amp;"|"&amp;$F577&amp;"|"&amp;$N577&amp;"|"&amp;$R577)</f>
        <v/>
      </c>
    </row>
    <row r="578" ht="11.55" customHeight="1">
      <c r="A578" s="10" t="n">
        <v>46051</v>
      </c>
      <c r="B578" s="7" t="inlineStr">
        <is>
          <t>Quinta</t>
        </is>
      </c>
      <c r="C578" s="7" t="inlineStr">
        <is>
          <t>CT MAR DE CORAL</t>
        </is>
      </c>
      <c r="D578" s="7" t="inlineStr">
        <is>
          <t>ELOÍZIO e LEANDRO e SILVESTRE</t>
        </is>
      </c>
      <c r="E578" s="7" t="inlineStr">
        <is>
          <t>Paulo (Goiânia)</t>
        </is>
      </c>
      <c r="F578" s="13" t="inlineStr">
        <is>
          <t>Transformação PV 05.1 + Interlig.</t>
        </is>
      </c>
      <c r="G578" s="7" t="inlineStr">
        <is>
          <t>05.1</t>
        </is>
      </c>
      <c r="H578" s="7" t="n"/>
      <c r="I578" s="7" t="inlineStr">
        <is>
          <t>05.1</t>
        </is>
      </c>
      <c r="J578" s="7" t="inlineStr">
        <is>
          <t>Transformação</t>
        </is>
      </c>
      <c r="K578" s="7" t="inlineStr">
        <is>
          <t>Planejamento</t>
        </is>
      </c>
      <c r="L578" s="16" t="inlineStr">
        <is>
          <t>PDS-janeiro(1).docx</t>
        </is>
      </c>
      <c r="M578">
        <f>IF($A578="","",TEXT($A578,"mmmm/yyyy"))</f>
        <v/>
      </c>
      <c r="P578">
        <f>IFERROR(_xludf.XLOOKUP($N578,Base_Enderecos!$A:$A,Base_Enderecos!$B:$B,""),"")</f>
        <v/>
      </c>
      <c r="Q578">
        <f>IFERROR(_xludf.XLOOKUP($N578,Base_Enderecos!$A:$A,Base_Enderecos!$C:$C,""),"")</f>
        <v/>
      </c>
      <c r="R578">
        <f>IF(OR(ISNUMBER(SEARCH("HDD",$F578)),ISNUMBER(SEARCH("MND",$F578)),ISNUMBER(SEARCH("PEAD",$F578)),ISNUMBER(SEARCH("Puxe",$J578)),ISNUMBER(SEARCH("Apoio HDD",$F578))),"MND",IF(OR(ISNUMBER(SEARCH("VCA",$F578)),ISNUMBER(SEARCH("PVC",$F578)),ISNUMBER(SEARCH("vca",$J578)),ISNUMBER(SEARCH("Transformação",$J578))),"VCA",IF(OR(ISNUMBER(SEARCH("crava",$F578)),ISNUMBER(SEARCH("tubo cravado",$F578)),ISNUMBER(SEARCH("shaft",$J578)),ISNUMBER(SEARCH("concreto",$F578))),"TUBO CRAVADO","")))</f>
        <v/>
      </c>
      <c r="T578">
        <f>IF($A578="","",TEXT($A578,"yyyymm")&amp;"|"&amp;$C578&amp;"|"&amp;$F578&amp;"|"&amp;$N578&amp;"|"&amp;$R578)</f>
        <v/>
      </c>
    </row>
    <row r="579" ht="11.55" customHeight="1">
      <c r="A579" s="10" t="n">
        <v>46051</v>
      </c>
      <c r="B579" s="7" t="inlineStr">
        <is>
          <t>Quinta</t>
        </is>
      </c>
      <c r="C579" s="7" t="inlineStr">
        <is>
          <t>CT MAR DE CORAL</t>
        </is>
      </c>
      <c r="D579" s="7" t="inlineStr">
        <is>
          <t>ELOÍZIO e LEANDRO e SILVESTRE</t>
        </is>
      </c>
      <c r="E579" s="7" t="inlineStr">
        <is>
          <t>Work Drill</t>
        </is>
      </c>
      <c r="F579" s="13" t="inlineStr">
        <is>
          <t>Furo Piloto entre PVs 10 ao 13</t>
        </is>
      </c>
      <c r="G579" s="7" t="inlineStr">
        <is>
          <t>10</t>
        </is>
      </c>
      <c r="H579" s="7" t="n"/>
      <c r="I579" s="7" t="inlineStr">
        <is>
          <t>10</t>
        </is>
      </c>
      <c r="J579" s="7" t="inlineStr">
        <is>
          <t>Furo piloto</t>
        </is>
      </c>
      <c r="K579" s="7" t="inlineStr">
        <is>
          <t>Planejamento</t>
        </is>
      </c>
      <c r="L579" s="16" t="inlineStr">
        <is>
          <t>PDS-janeiro(1).docx</t>
        </is>
      </c>
      <c r="M579">
        <f>IF($A579="","",TEXT($A579,"mmmm/yyyy"))</f>
        <v/>
      </c>
      <c r="P579">
        <f>IFERROR(_xludf.XLOOKUP($N579,Base_Enderecos!$A:$A,Base_Enderecos!$B:$B,""),"")</f>
        <v/>
      </c>
      <c r="Q579">
        <f>IFERROR(_xludf.XLOOKUP($N579,Base_Enderecos!$A:$A,Base_Enderecos!$C:$C,""),"")</f>
        <v/>
      </c>
      <c r="R579">
        <f>IF(OR(ISNUMBER(SEARCH("HDD",$F579)),ISNUMBER(SEARCH("MND",$F579)),ISNUMBER(SEARCH("PEAD",$F579)),ISNUMBER(SEARCH("Puxe",$J579)),ISNUMBER(SEARCH("Apoio HDD",$F579))),"MND",IF(OR(ISNUMBER(SEARCH("VCA",$F579)),ISNUMBER(SEARCH("PVC",$F579)),ISNUMBER(SEARCH("vca",$J579)),ISNUMBER(SEARCH("Transformação",$J579))),"VCA",IF(OR(ISNUMBER(SEARCH("crava",$F579)),ISNUMBER(SEARCH("tubo cravado",$F579)),ISNUMBER(SEARCH("shaft",$J579)),ISNUMBER(SEARCH("concreto",$F579))),"TUBO CRAVADO","")))</f>
        <v/>
      </c>
      <c r="T579">
        <f>IF($A579="","",TEXT($A579,"yyyymm")&amp;"|"&amp;$C579&amp;"|"&amp;$F579&amp;"|"&amp;$N579&amp;"|"&amp;$R579)</f>
        <v/>
      </c>
    </row>
    <row r="580" ht="11.55" customHeight="1">
      <c r="A580" s="10" t="n">
        <v>46051</v>
      </c>
      <c r="B580" s="7" t="inlineStr">
        <is>
          <t>Quinta</t>
        </is>
      </c>
      <c r="C580" s="7" t="inlineStr">
        <is>
          <t>CT MAR DE CORAL</t>
        </is>
      </c>
      <c r="D580" s="7" t="inlineStr">
        <is>
          <t>ELOÍZIO e LEANDRO e SILVESTRE</t>
        </is>
      </c>
      <c r="E580" s="7" t="inlineStr">
        <is>
          <t>Paulo (Medeiros)</t>
        </is>
      </c>
      <c r="F580" s="13" t="inlineStr">
        <is>
          <t>Apoio HDD entre os PVs 10 ao PV 13</t>
        </is>
      </c>
      <c r="G580" s="7" t="inlineStr">
        <is>
          <t>10</t>
        </is>
      </c>
      <c r="H580" s="7" t="inlineStr">
        <is>
          <t>13</t>
        </is>
      </c>
      <c r="I580" s="7" t="inlineStr">
        <is>
          <t>10, 13</t>
        </is>
      </c>
      <c r="J580" s="7" t="inlineStr">
        <is>
          <t>Apoio HDD</t>
        </is>
      </c>
      <c r="K580" s="7" t="inlineStr">
        <is>
          <t>Planejamento</t>
        </is>
      </c>
      <c r="L580" s="16" t="inlineStr">
        <is>
          <t>PDS-janeiro(1).docx</t>
        </is>
      </c>
      <c r="M580">
        <f>IF($A580="","",TEXT($A580,"mmmm/yyyy"))</f>
        <v/>
      </c>
      <c r="P580">
        <f>IFERROR(_xludf.XLOOKUP($N580,Base_Enderecos!$A:$A,Base_Enderecos!$B:$B,""),"")</f>
        <v/>
      </c>
      <c r="Q580">
        <f>IFERROR(_xludf.XLOOKUP($N580,Base_Enderecos!$A:$A,Base_Enderecos!$C:$C,""),"")</f>
        <v/>
      </c>
      <c r="R580">
        <f>IF(OR(ISNUMBER(SEARCH("HDD",$F580)),ISNUMBER(SEARCH("MND",$F580)),ISNUMBER(SEARCH("PEAD",$F580)),ISNUMBER(SEARCH("Puxe",$J580)),ISNUMBER(SEARCH("Apoio HDD",$F580))),"MND",IF(OR(ISNUMBER(SEARCH("VCA",$F580)),ISNUMBER(SEARCH("PVC",$F580)),ISNUMBER(SEARCH("vca",$J580)),ISNUMBER(SEARCH("Transformação",$J580))),"VCA",IF(OR(ISNUMBER(SEARCH("crava",$F580)),ISNUMBER(SEARCH("tubo cravado",$F580)),ISNUMBER(SEARCH("shaft",$J580)),ISNUMBER(SEARCH("concreto",$F580))),"TUBO CRAVADO","")))</f>
        <v/>
      </c>
      <c r="T580">
        <f>IF($A580="","",TEXT($A580,"yyyymm")&amp;"|"&amp;$C580&amp;"|"&amp;$F580&amp;"|"&amp;$N580&amp;"|"&amp;$R580)</f>
        <v/>
      </c>
    </row>
    <row r="581" ht="11.55" customHeight="1">
      <c r="A581" s="10" t="n">
        <v>46051</v>
      </c>
      <c r="B581" s="7" t="inlineStr">
        <is>
          <t>Quinta</t>
        </is>
      </c>
      <c r="C581" s="7" t="inlineStr">
        <is>
          <t>CT MAR DE CORAL</t>
        </is>
      </c>
      <c r="D581" s="7" t="inlineStr">
        <is>
          <t>ELOÍZIO e LEANDRO e SILVESTRE</t>
        </is>
      </c>
      <c r="E581" s="7" t="inlineStr">
        <is>
          <t>GR Ribeiro</t>
        </is>
      </c>
      <c r="F581" s="13" t="inlineStr">
        <is>
          <t>Furo Piloto e Puxe entre PVs 16 ao 18</t>
        </is>
      </c>
      <c r="G581" s="7" t="inlineStr">
        <is>
          <t>16</t>
        </is>
      </c>
      <c r="H581" s="7" t="n"/>
      <c r="I581" s="7" t="inlineStr">
        <is>
          <t>16</t>
        </is>
      </c>
      <c r="J581" s="7" t="inlineStr">
        <is>
          <t>Furo piloto</t>
        </is>
      </c>
      <c r="K581" s="7" t="inlineStr">
        <is>
          <t>Planejamento</t>
        </is>
      </c>
      <c r="L581" s="16" t="inlineStr">
        <is>
          <t>PDS-janeiro(1).docx</t>
        </is>
      </c>
      <c r="M581">
        <f>IF($A581="","",TEXT($A581,"mmmm/yyyy"))</f>
        <v/>
      </c>
      <c r="P581">
        <f>IFERROR(_xludf.XLOOKUP($N581,Base_Enderecos!$A:$A,Base_Enderecos!$B:$B,""),"")</f>
        <v/>
      </c>
      <c r="Q581">
        <f>IFERROR(_xludf.XLOOKUP($N581,Base_Enderecos!$A:$A,Base_Enderecos!$C:$C,""),"")</f>
        <v/>
      </c>
      <c r="R581">
        <f>IF(OR(ISNUMBER(SEARCH("HDD",$F581)),ISNUMBER(SEARCH("MND",$F581)),ISNUMBER(SEARCH("PEAD",$F581)),ISNUMBER(SEARCH("Puxe",$J581)),ISNUMBER(SEARCH("Apoio HDD",$F581))),"MND",IF(OR(ISNUMBER(SEARCH("VCA",$F581)),ISNUMBER(SEARCH("PVC",$F581)),ISNUMBER(SEARCH("vca",$J581)),ISNUMBER(SEARCH("Transformação",$J581))),"VCA",IF(OR(ISNUMBER(SEARCH("crava",$F581)),ISNUMBER(SEARCH("tubo cravado",$F581)),ISNUMBER(SEARCH("shaft",$J581)),ISNUMBER(SEARCH("concreto",$F581))),"TUBO CRAVADO","")))</f>
        <v/>
      </c>
      <c r="T581">
        <f>IF($A581="","",TEXT($A581,"yyyymm")&amp;"|"&amp;$C581&amp;"|"&amp;$F581&amp;"|"&amp;$N581&amp;"|"&amp;$R581)</f>
        <v/>
      </c>
    </row>
    <row r="582" ht="11.55" customHeight="1">
      <c r="A582" s="10" t="n">
        <v>46051</v>
      </c>
      <c r="B582" s="7" t="inlineStr">
        <is>
          <t>Quinta</t>
        </is>
      </c>
      <c r="C582" s="7" t="inlineStr">
        <is>
          <t>CT MAR DE CORAL</t>
        </is>
      </c>
      <c r="D582" s="7" t="inlineStr">
        <is>
          <t>ELOÍZIO e LEANDRO e SILVESTRE</t>
        </is>
      </c>
      <c r="E582" s="7" t="inlineStr">
        <is>
          <t>Jhonatan</t>
        </is>
      </c>
      <c r="F582" s="13" t="inlineStr">
        <is>
          <t>Apoio HDD entre PVs 16 ao 18</t>
        </is>
      </c>
      <c r="G582" s="7" t="inlineStr">
        <is>
          <t>16</t>
        </is>
      </c>
      <c r="H582" s="7" t="n"/>
      <c r="I582" s="7" t="inlineStr">
        <is>
          <t>16</t>
        </is>
      </c>
      <c r="J582" s="7" t="inlineStr">
        <is>
          <t>Apoio HDD</t>
        </is>
      </c>
      <c r="K582" s="7" t="inlineStr">
        <is>
          <t>Planejamento</t>
        </is>
      </c>
      <c r="L582" s="16" t="inlineStr">
        <is>
          <t>PDS-janeiro(1).docx</t>
        </is>
      </c>
      <c r="M582">
        <f>IF($A582="","",TEXT($A582,"mmmm/yyyy"))</f>
        <v/>
      </c>
      <c r="P582">
        <f>IFERROR(_xludf.XLOOKUP($N582,Base_Enderecos!$A:$A,Base_Enderecos!$B:$B,""),"")</f>
        <v/>
      </c>
      <c r="Q582">
        <f>IFERROR(_xludf.XLOOKUP($N582,Base_Enderecos!$A:$A,Base_Enderecos!$C:$C,""),"")</f>
        <v/>
      </c>
      <c r="R582">
        <f>IF(OR(ISNUMBER(SEARCH("HDD",$F582)),ISNUMBER(SEARCH("MND",$F582)),ISNUMBER(SEARCH("PEAD",$F582)),ISNUMBER(SEARCH("Puxe",$J582)),ISNUMBER(SEARCH("Apoio HDD",$F582))),"MND",IF(OR(ISNUMBER(SEARCH("VCA",$F582)),ISNUMBER(SEARCH("PVC",$F582)),ISNUMBER(SEARCH("vca",$J582)),ISNUMBER(SEARCH("Transformação",$J582))),"VCA",IF(OR(ISNUMBER(SEARCH("crava",$F582)),ISNUMBER(SEARCH("tubo cravado",$F582)),ISNUMBER(SEARCH("shaft",$J582)),ISNUMBER(SEARCH("concreto",$F582))),"TUBO CRAVADO","")))</f>
        <v/>
      </c>
      <c r="T582">
        <f>IF($A582="","",TEXT($A582,"yyyymm")&amp;"|"&amp;$C582&amp;"|"&amp;$F582&amp;"|"&amp;$N582&amp;"|"&amp;$R582)</f>
        <v/>
      </c>
    </row>
    <row r="583" ht="11.55" customHeight="1">
      <c r="A583" s="10" t="n">
        <v>46051</v>
      </c>
      <c r="B583" s="7" t="inlineStr">
        <is>
          <t>Quinta</t>
        </is>
      </c>
      <c r="C583" s="7" t="inlineStr">
        <is>
          <t>CT MAR DE CORAL</t>
        </is>
      </c>
      <c r="D583" s="7" t="inlineStr">
        <is>
          <t>ELOÍZIO e LEANDRO e SILVESTRE</t>
        </is>
      </c>
      <c r="E583" s="7" t="inlineStr">
        <is>
          <t>WJ - 01</t>
        </is>
      </c>
      <c r="F583" s="13" t="inlineStr">
        <is>
          <t>Furo piloto entre PVs 09 ao 10</t>
        </is>
      </c>
      <c r="G583" s="7" t="inlineStr">
        <is>
          <t>09</t>
        </is>
      </c>
      <c r="H583" s="7" t="n"/>
      <c r="I583" s="7" t="inlineStr">
        <is>
          <t>09</t>
        </is>
      </c>
      <c r="J583" s="7" t="inlineStr">
        <is>
          <t>Furo piloto</t>
        </is>
      </c>
      <c r="K583" s="7" t="inlineStr">
        <is>
          <t>Planejamento</t>
        </is>
      </c>
      <c r="L583" s="16" t="inlineStr">
        <is>
          <t>PDS-janeiro(1).docx</t>
        </is>
      </c>
      <c r="M583">
        <f>IF($A583="","",TEXT($A583,"mmmm/yyyy"))</f>
        <v/>
      </c>
      <c r="P583">
        <f>IFERROR(_xludf.XLOOKUP($N583,Base_Enderecos!$A:$A,Base_Enderecos!$B:$B,""),"")</f>
        <v/>
      </c>
      <c r="Q583">
        <f>IFERROR(_xludf.XLOOKUP($N583,Base_Enderecos!$A:$A,Base_Enderecos!$C:$C,""),"")</f>
        <v/>
      </c>
      <c r="R583">
        <f>IF(OR(ISNUMBER(SEARCH("HDD",$F583)),ISNUMBER(SEARCH("MND",$F583)),ISNUMBER(SEARCH("PEAD",$F583)),ISNUMBER(SEARCH("Puxe",$J583)),ISNUMBER(SEARCH("Apoio HDD",$F583))),"MND",IF(OR(ISNUMBER(SEARCH("VCA",$F583)),ISNUMBER(SEARCH("PVC",$F583)),ISNUMBER(SEARCH("vca",$J583)),ISNUMBER(SEARCH("Transformação",$J583))),"VCA",IF(OR(ISNUMBER(SEARCH("crava",$F583)),ISNUMBER(SEARCH("tubo cravado",$F583)),ISNUMBER(SEARCH("shaft",$J583)),ISNUMBER(SEARCH("concreto",$F583))),"TUBO CRAVADO","")))</f>
        <v/>
      </c>
      <c r="T583">
        <f>IF($A583="","",TEXT($A583,"yyyymm")&amp;"|"&amp;$C583&amp;"|"&amp;$F583&amp;"|"&amp;$N583&amp;"|"&amp;$R583)</f>
        <v/>
      </c>
    </row>
    <row r="584" ht="11.55" customHeight="1">
      <c r="A584" s="10" t="n">
        <v>46051</v>
      </c>
      <c r="B584" s="7" t="inlineStr">
        <is>
          <t>Quinta</t>
        </is>
      </c>
      <c r="C584" s="7" t="inlineStr">
        <is>
          <t>CT MAR DE CORAL</t>
        </is>
      </c>
      <c r="D584" s="7" t="inlineStr">
        <is>
          <t>ELOÍZIO e LEANDRO e SILVESTRE</t>
        </is>
      </c>
      <c r="E584" s="7" t="inlineStr">
        <is>
          <t>Márcio</t>
        </is>
      </c>
      <c r="F584" s="13" t="inlineStr">
        <is>
          <t>Apoio HDD entre PVs 09 ao 10</t>
        </is>
      </c>
      <c r="G584" s="7" t="inlineStr">
        <is>
          <t>09</t>
        </is>
      </c>
      <c r="H584" s="7" t="n"/>
      <c r="I584" s="7" t="inlineStr">
        <is>
          <t>09</t>
        </is>
      </c>
      <c r="J584" s="7" t="inlineStr">
        <is>
          <t>Apoio HDD</t>
        </is>
      </c>
      <c r="K584" s="7" t="inlineStr">
        <is>
          <t>Planejamento</t>
        </is>
      </c>
      <c r="L584" s="16" t="inlineStr">
        <is>
          <t>PDS-janeiro(1).docx</t>
        </is>
      </c>
      <c r="M584">
        <f>IF($A584="","",TEXT($A584,"mmmm/yyyy"))</f>
        <v/>
      </c>
      <c r="P584">
        <f>IFERROR(_xludf.XLOOKUP($N584,Base_Enderecos!$A:$A,Base_Enderecos!$B:$B,""),"")</f>
        <v/>
      </c>
      <c r="Q584">
        <f>IFERROR(_xludf.XLOOKUP($N584,Base_Enderecos!$A:$A,Base_Enderecos!$C:$C,""),"")</f>
        <v/>
      </c>
      <c r="R584">
        <f>IF(OR(ISNUMBER(SEARCH("HDD",$F584)),ISNUMBER(SEARCH("MND",$F584)),ISNUMBER(SEARCH("PEAD",$F584)),ISNUMBER(SEARCH("Puxe",$J584)),ISNUMBER(SEARCH("Apoio HDD",$F584))),"MND",IF(OR(ISNUMBER(SEARCH("VCA",$F584)),ISNUMBER(SEARCH("PVC",$F584)),ISNUMBER(SEARCH("vca",$J584)),ISNUMBER(SEARCH("Transformação",$J584))),"VCA",IF(OR(ISNUMBER(SEARCH("crava",$F584)),ISNUMBER(SEARCH("tubo cravado",$F584)),ISNUMBER(SEARCH("shaft",$J584)),ISNUMBER(SEARCH("concreto",$F584))),"TUBO CRAVADO","")))</f>
        <v/>
      </c>
      <c r="T584">
        <f>IF($A584="","",TEXT($A584,"yyyymm")&amp;"|"&amp;$C584&amp;"|"&amp;$F584&amp;"|"&amp;$N584&amp;"|"&amp;$R584)</f>
        <v/>
      </c>
    </row>
    <row r="585" ht="11.55" customHeight="1">
      <c r="A585" s="10" t="n">
        <v>46051</v>
      </c>
      <c r="B585" s="7" t="inlineStr">
        <is>
          <t>Quinta</t>
        </is>
      </c>
      <c r="C585" s="7" t="inlineStr">
        <is>
          <t>CT LOURDES</t>
        </is>
      </c>
      <c r="D585" s="7" t="inlineStr">
        <is>
          <t>ROBSON e VALMIR</t>
        </is>
      </c>
      <c r="E585" s="7" t="inlineStr">
        <is>
          <t>Edvando</t>
        </is>
      </c>
      <c r="F585" s="13" t="inlineStr">
        <is>
          <t>Transformação PV 18</t>
        </is>
      </c>
      <c r="G585" s="7" t="inlineStr">
        <is>
          <t>18</t>
        </is>
      </c>
      <c r="H585" s="7" t="n"/>
      <c r="I585" s="7" t="inlineStr">
        <is>
          <t>18</t>
        </is>
      </c>
      <c r="J585" s="7" t="inlineStr">
        <is>
          <t>Transformação</t>
        </is>
      </c>
      <c r="K585" s="7" t="inlineStr">
        <is>
          <t>Planejamento</t>
        </is>
      </c>
      <c r="L585" s="16" t="inlineStr">
        <is>
          <t>PDS-janeiro(1).docx</t>
        </is>
      </c>
      <c r="M585">
        <f>IF($A585="","",TEXT($A585,"mmmm/yyyy"))</f>
        <v/>
      </c>
      <c r="P585">
        <f>IFERROR(_xludf.XLOOKUP($N585,Base_Enderecos!$A:$A,Base_Enderecos!$B:$B,""),"")</f>
        <v/>
      </c>
      <c r="Q585">
        <f>IFERROR(_xludf.XLOOKUP($N585,Base_Enderecos!$A:$A,Base_Enderecos!$C:$C,""),"")</f>
        <v/>
      </c>
      <c r="R585">
        <f>IF(OR(ISNUMBER(SEARCH("HDD",$F585)),ISNUMBER(SEARCH("MND",$F585)),ISNUMBER(SEARCH("PEAD",$F585)),ISNUMBER(SEARCH("Puxe",$J585)),ISNUMBER(SEARCH("Apoio HDD",$F585))),"MND",IF(OR(ISNUMBER(SEARCH("VCA",$F585)),ISNUMBER(SEARCH("PVC",$F585)),ISNUMBER(SEARCH("vca",$J585)),ISNUMBER(SEARCH("Transformação",$J585))),"VCA",IF(OR(ISNUMBER(SEARCH("crava",$F585)),ISNUMBER(SEARCH("tubo cravado",$F585)),ISNUMBER(SEARCH("shaft",$J585)),ISNUMBER(SEARCH("concreto",$F585))),"TUBO CRAVADO","")))</f>
        <v/>
      </c>
      <c r="T585">
        <f>IF($A585="","",TEXT($A585,"yyyymm")&amp;"|"&amp;$C585&amp;"|"&amp;$F585&amp;"|"&amp;$N585&amp;"|"&amp;$R585)</f>
        <v/>
      </c>
    </row>
    <row r="586" ht="11.55" customHeight="1">
      <c r="A586" s="10" t="n">
        <v>46051</v>
      </c>
      <c r="B586" s="7" t="inlineStr">
        <is>
          <t>Quinta</t>
        </is>
      </c>
      <c r="C586" s="7" t="inlineStr">
        <is>
          <t>CT LOURDES</t>
        </is>
      </c>
      <c r="D586" s="7" t="inlineStr">
        <is>
          <t>ROBSON e VALMIR</t>
        </is>
      </c>
      <c r="E586" s="7" t="inlineStr">
        <is>
          <t>WJ - 02</t>
        </is>
      </c>
      <c r="F586" s="13" t="inlineStr">
        <is>
          <t>Furo piloto entre PVs 13 ao 14</t>
        </is>
      </c>
      <c r="G586" s="7" t="inlineStr">
        <is>
          <t>13</t>
        </is>
      </c>
      <c r="H586" s="7" t="n"/>
      <c r="I586" s="7" t="inlineStr">
        <is>
          <t>13</t>
        </is>
      </c>
      <c r="J586" s="7" t="inlineStr">
        <is>
          <t>Furo piloto</t>
        </is>
      </c>
      <c r="K586" s="7" t="inlineStr">
        <is>
          <t>Planejamento</t>
        </is>
      </c>
      <c r="L586" s="16" t="inlineStr">
        <is>
          <t>PDS-janeiro(1).docx</t>
        </is>
      </c>
      <c r="M586">
        <f>IF($A586="","",TEXT($A586,"mmmm/yyyy"))</f>
        <v/>
      </c>
      <c r="P586">
        <f>IFERROR(_xludf.XLOOKUP($N586,Base_Enderecos!$A:$A,Base_Enderecos!$B:$B,""),"")</f>
        <v/>
      </c>
      <c r="Q586">
        <f>IFERROR(_xludf.XLOOKUP($N586,Base_Enderecos!$A:$A,Base_Enderecos!$C:$C,""),"")</f>
        <v/>
      </c>
      <c r="R586">
        <f>IF(OR(ISNUMBER(SEARCH("HDD",$F586)),ISNUMBER(SEARCH("MND",$F586)),ISNUMBER(SEARCH("PEAD",$F586)),ISNUMBER(SEARCH("Puxe",$J586)),ISNUMBER(SEARCH("Apoio HDD",$F586))),"MND",IF(OR(ISNUMBER(SEARCH("VCA",$F586)),ISNUMBER(SEARCH("PVC",$F586)),ISNUMBER(SEARCH("vca",$J586)),ISNUMBER(SEARCH("Transformação",$J586))),"VCA",IF(OR(ISNUMBER(SEARCH("crava",$F586)),ISNUMBER(SEARCH("tubo cravado",$F586)),ISNUMBER(SEARCH("shaft",$J586)),ISNUMBER(SEARCH("concreto",$F586))),"TUBO CRAVADO","")))</f>
        <v/>
      </c>
      <c r="T586">
        <f>IF($A586="","",TEXT($A586,"yyyymm")&amp;"|"&amp;$C586&amp;"|"&amp;$F586&amp;"|"&amp;$N586&amp;"|"&amp;$R586)</f>
        <v/>
      </c>
    </row>
    <row r="587" ht="11.55" customHeight="1">
      <c r="A587" s="10" t="n">
        <v>46051</v>
      </c>
      <c r="B587" s="7" t="inlineStr">
        <is>
          <t>Quinta</t>
        </is>
      </c>
      <c r="C587" s="7" t="inlineStr">
        <is>
          <t>CT LOURDES</t>
        </is>
      </c>
      <c r="D587" s="7" t="inlineStr">
        <is>
          <t>ROBSON e VALMIR</t>
        </is>
      </c>
      <c r="E587" s="7" t="inlineStr">
        <is>
          <t>Natalino</t>
        </is>
      </c>
      <c r="F587" s="13" t="inlineStr">
        <is>
          <t>Apoio HDD entre os PVs 13 ao PV 14</t>
        </is>
      </c>
      <c r="G587" s="7" t="inlineStr">
        <is>
          <t>13</t>
        </is>
      </c>
      <c r="H587" s="7" t="inlineStr">
        <is>
          <t>14</t>
        </is>
      </c>
      <c r="I587" s="7" t="inlineStr">
        <is>
          <t>13, 14</t>
        </is>
      </c>
      <c r="J587" s="7" t="inlineStr">
        <is>
          <t>Apoio HDD</t>
        </is>
      </c>
      <c r="K587" s="7" t="inlineStr">
        <is>
          <t>Planejamento</t>
        </is>
      </c>
      <c r="L587" s="16" t="inlineStr">
        <is>
          <t>PDS-janeiro(1).docx</t>
        </is>
      </c>
      <c r="M587">
        <f>IF($A587="","",TEXT($A587,"mmmm/yyyy"))</f>
        <v/>
      </c>
      <c r="P587">
        <f>IFERROR(_xludf.XLOOKUP($N587,Base_Enderecos!$A:$A,Base_Enderecos!$B:$B,""),"")</f>
        <v/>
      </c>
      <c r="Q587">
        <f>IFERROR(_xludf.XLOOKUP($N587,Base_Enderecos!$A:$A,Base_Enderecos!$C:$C,""),"")</f>
        <v/>
      </c>
      <c r="R587">
        <f>IF(OR(ISNUMBER(SEARCH("HDD",$F587)),ISNUMBER(SEARCH("MND",$F587)),ISNUMBER(SEARCH("PEAD",$F587)),ISNUMBER(SEARCH("Puxe",$J587)),ISNUMBER(SEARCH("Apoio HDD",$F587))),"MND",IF(OR(ISNUMBER(SEARCH("VCA",$F587)),ISNUMBER(SEARCH("PVC",$F587)),ISNUMBER(SEARCH("vca",$J587)),ISNUMBER(SEARCH("Transformação",$J587))),"VCA",IF(OR(ISNUMBER(SEARCH("crava",$F587)),ISNUMBER(SEARCH("tubo cravado",$F587)),ISNUMBER(SEARCH("shaft",$J587)),ISNUMBER(SEARCH("concreto",$F587))),"TUBO CRAVADO","")))</f>
        <v/>
      </c>
      <c r="T587">
        <f>IF($A587="","",TEXT($A587,"yyyymm")&amp;"|"&amp;$C587&amp;"|"&amp;$F587&amp;"|"&amp;$N587&amp;"|"&amp;$R587)</f>
        <v/>
      </c>
    </row>
    <row r="588" ht="11.55" customHeight="1">
      <c r="A588" s="10" t="n">
        <v>46051</v>
      </c>
      <c r="B588" s="7" t="inlineStr">
        <is>
          <t>Quinta</t>
        </is>
      </c>
      <c r="C588" s="7" t="inlineStr">
        <is>
          <t>CT JARAGUÁ</t>
        </is>
      </c>
      <c r="D588" s="7" t="inlineStr">
        <is>
          <t>CAROLINE e FÁBIO</t>
        </is>
      </c>
      <c r="E588" s="7" t="inlineStr">
        <is>
          <t>Cidão</t>
        </is>
      </c>
      <c r="F588" s="13" t="inlineStr">
        <is>
          <t>Transformação PV 02</t>
        </is>
      </c>
      <c r="G588" s="7" t="inlineStr">
        <is>
          <t>02</t>
        </is>
      </c>
      <c r="H588" s="7" t="n"/>
      <c r="I588" s="7" t="inlineStr">
        <is>
          <t>02</t>
        </is>
      </c>
      <c r="J588" s="7" t="inlineStr">
        <is>
          <t>Transformação</t>
        </is>
      </c>
      <c r="K588" s="7" t="inlineStr">
        <is>
          <t>Planejamento</t>
        </is>
      </c>
      <c r="L588" s="16" t="inlineStr">
        <is>
          <t>PDS-janeiro(1).docx</t>
        </is>
      </c>
      <c r="M588">
        <f>IF($A588="","",TEXT($A588,"mmmm/yyyy"))</f>
        <v/>
      </c>
      <c r="P588">
        <f>IFERROR(_xludf.XLOOKUP($N588,Base_Enderecos!$A:$A,Base_Enderecos!$B:$B,""),"")</f>
        <v/>
      </c>
      <c r="Q588">
        <f>IFERROR(_xludf.XLOOKUP($N588,Base_Enderecos!$A:$A,Base_Enderecos!$C:$C,""),"")</f>
        <v/>
      </c>
      <c r="R588">
        <f>IF(OR(ISNUMBER(SEARCH("HDD",$F588)),ISNUMBER(SEARCH("MND",$F588)),ISNUMBER(SEARCH("PEAD",$F588)),ISNUMBER(SEARCH("Puxe",$J588)),ISNUMBER(SEARCH("Apoio HDD",$F588))),"MND",IF(OR(ISNUMBER(SEARCH("VCA",$F588)),ISNUMBER(SEARCH("PVC",$F588)),ISNUMBER(SEARCH("vca",$J588)),ISNUMBER(SEARCH("Transformação",$J588))),"VCA",IF(OR(ISNUMBER(SEARCH("crava",$F588)),ISNUMBER(SEARCH("tubo cravado",$F588)),ISNUMBER(SEARCH("shaft",$J588)),ISNUMBER(SEARCH("concreto",$F588))),"TUBO CRAVADO","")))</f>
        <v/>
      </c>
      <c r="T588">
        <f>IF($A588="","",TEXT($A588,"yyyymm")&amp;"|"&amp;$C588&amp;"|"&amp;$F588&amp;"|"&amp;$N588&amp;"|"&amp;$R588)</f>
        <v/>
      </c>
    </row>
    <row r="589" ht="11.55" customHeight="1">
      <c r="A589" s="10" t="n">
        <v>46051</v>
      </c>
      <c r="B589" s="7" t="inlineStr">
        <is>
          <t>Quinta</t>
        </is>
      </c>
      <c r="C589" s="7" t="inlineStr">
        <is>
          <t>CT JARAGUÁ</t>
        </is>
      </c>
      <c r="D589" s="7" t="inlineStr">
        <is>
          <t>CAROLINE e FÁBIO</t>
        </is>
      </c>
      <c r="E589" s="7" t="inlineStr">
        <is>
          <t>Cesar</t>
        </is>
      </c>
      <c r="F589" s="13" t="inlineStr">
        <is>
          <t>Transformação PV 11</t>
        </is>
      </c>
      <c r="G589" s="7" t="inlineStr">
        <is>
          <t>11</t>
        </is>
      </c>
      <c r="H589" s="7" t="n"/>
      <c r="I589" s="7" t="inlineStr">
        <is>
          <t>11</t>
        </is>
      </c>
      <c r="J589" s="7" t="inlineStr">
        <is>
          <t>Transformação</t>
        </is>
      </c>
      <c r="K589" s="7" t="inlineStr">
        <is>
          <t>Planejamento</t>
        </is>
      </c>
      <c r="L589" s="16" t="inlineStr">
        <is>
          <t>PDS-janeiro(1).docx</t>
        </is>
      </c>
      <c r="M589">
        <f>IF($A589="","",TEXT($A589,"mmmm/yyyy"))</f>
        <v/>
      </c>
      <c r="P589">
        <f>IFERROR(_xludf.XLOOKUP($N589,Base_Enderecos!$A:$A,Base_Enderecos!$B:$B,""),"")</f>
        <v/>
      </c>
      <c r="Q589">
        <f>IFERROR(_xludf.XLOOKUP($N589,Base_Enderecos!$A:$A,Base_Enderecos!$C:$C,""),"")</f>
        <v/>
      </c>
      <c r="R589">
        <f>IF(OR(ISNUMBER(SEARCH("HDD",$F589)),ISNUMBER(SEARCH("MND",$F589)),ISNUMBER(SEARCH("PEAD",$F589)),ISNUMBER(SEARCH("Puxe",$J589)),ISNUMBER(SEARCH("Apoio HDD",$F589))),"MND",IF(OR(ISNUMBER(SEARCH("VCA",$F589)),ISNUMBER(SEARCH("PVC",$F589)),ISNUMBER(SEARCH("vca",$J589)),ISNUMBER(SEARCH("Transformação",$J589))),"VCA",IF(OR(ISNUMBER(SEARCH("crava",$F589)),ISNUMBER(SEARCH("tubo cravado",$F589)),ISNUMBER(SEARCH("shaft",$J589)),ISNUMBER(SEARCH("concreto",$F589))),"TUBO CRAVADO","")))</f>
        <v/>
      </c>
      <c r="T589">
        <f>IF($A589="","",TEXT($A589,"yyyymm")&amp;"|"&amp;$C589&amp;"|"&amp;$F589&amp;"|"&amp;$N589&amp;"|"&amp;$R589)</f>
        <v/>
      </c>
    </row>
    <row r="590" ht="11.55" customHeight="1">
      <c r="A590" s="10" t="n">
        <v>46051</v>
      </c>
      <c r="B590" s="7" t="inlineStr">
        <is>
          <t>Quinta</t>
        </is>
      </c>
      <c r="C590" s="7" t="inlineStr">
        <is>
          <t>CT JARAGUÁ</t>
        </is>
      </c>
      <c r="D590" s="7" t="inlineStr">
        <is>
          <t>CAROLINE e FÁBIO</t>
        </is>
      </c>
      <c r="E590" s="7" t="inlineStr">
        <is>
          <t>Marcelo</t>
        </is>
      </c>
      <c r="F590" s="13" t="inlineStr">
        <is>
          <t>Transformação PV 08</t>
        </is>
      </c>
      <c r="G590" s="7" t="inlineStr">
        <is>
          <t>08</t>
        </is>
      </c>
      <c r="H590" s="7" t="n"/>
      <c r="I590" s="7" t="inlineStr">
        <is>
          <t>08</t>
        </is>
      </c>
      <c r="J590" s="7" t="inlineStr">
        <is>
          <t>Transformação</t>
        </is>
      </c>
      <c r="K590" s="7" t="inlineStr">
        <is>
          <t>Planejamento</t>
        </is>
      </c>
      <c r="L590" s="16" t="inlineStr">
        <is>
          <t>PDS-janeiro(1).docx</t>
        </is>
      </c>
      <c r="M590">
        <f>IF($A590="","",TEXT($A590,"mmmm/yyyy"))</f>
        <v/>
      </c>
      <c r="P590">
        <f>IFERROR(_xludf.XLOOKUP($N590,Base_Enderecos!$A:$A,Base_Enderecos!$B:$B,""),"")</f>
        <v/>
      </c>
      <c r="Q590">
        <f>IFERROR(_xludf.XLOOKUP($N590,Base_Enderecos!$A:$A,Base_Enderecos!$C:$C,""),"")</f>
        <v/>
      </c>
      <c r="R590">
        <f>IF(OR(ISNUMBER(SEARCH("HDD",$F590)),ISNUMBER(SEARCH("MND",$F590)),ISNUMBER(SEARCH("PEAD",$F590)),ISNUMBER(SEARCH("Puxe",$J590)),ISNUMBER(SEARCH("Apoio HDD",$F590))),"MND",IF(OR(ISNUMBER(SEARCH("VCA",$F590)),ISNUMBER(SEARCH("PVC",$F590)),ISNUMBER(SEARCH("vca",$J590)),ISNUMBER(SEARCH("Transformação",$J590))),"VCA",IF(OR(ISNUMBER(SEARCH("crava",$F590)),ISNUMBER(SEARCH("tubo cravado",$F590)),ISNUMBER(SEARCH("shaft",$J590)),ISNUMBER(SEARCH("concreto",$F590))),"TUBO CRAVADO","")))</f>
        <v/>
      </c>
      <c r="T590">
        <f>IF($A590="","",TEXT($A590,"yyyymm")&amp;"|"&amp;$C590&amp;"|"&amp;$F590&amp;"|"&amp;$N590&amp;"|"&amp;$R590)</f>
        <v/>
      </c>
    </row>
    <row r="591" ht="11.55" customHeight="1">
      <c r="A591" s="10" t="n">
        <v>46051</v>
      </c>
      <c r="B591" s="7" t="inlineStr">
        <is>
          <t>Quinta</t>
        </is>
      </c>
      <c r="C591" s="7" t="inlineStr">
        <is>
          <t>CT JARAGUÁ</t>
        </is>
      </c>
      <c r="D591" s="7" t="inlineStr">
        <is>
          <t>CAROLINE e FÁBIO</t>
        </is>
      </c>
      <c r="E591" s="7" t="inlineStr">
        <is>
          <t>Higor</t>
        </is>
      </c>
      <c r="F591" s="13" t="inlineStr">
        <is>
          <t>Transformação PV 04</t>
        </is>
      </c>
      <c r="G591" s="7" t="inlineStr">
        <is>
          <t>04</t>
        </is>
      </c>
      <c r="H591" s="7" t="n"/>
      <c r="I591" s="7" t="inlineStr">
        <is>
          <t>04</t>
        </is>
      </c>
      <c r="J591" s="7" t="inlineStr">
        <is>
          <t>Transformação</t>
        </is>
      </c>
      <c r="K591" s="7" t="inlineStr">
        <is>
          <t>Planejamento</t>
        </is>
      </c>
      <c r="L591" s="16" t="inlineStr">
        <is>
          <t>PDS-janeiro(1).docx</t>
        </is>
      </c>
      <c r="M591">
        <f>IF($A591="","",TEXT($A591,"mmmm/yyyy"))</f>
        <v/>
      </c>
      <c r="P591">
        <f>IFERROR(_xludf.XLOOKUP($N591,Base_Enderecos!$A:$A,Base_Enderecos!$B:$B,""),"")</f>
        <v/>
      </c>
      <c r="Q591">
        <f>IFERROR(_xludf.XLOOKUP($N591,Base_Enderecos!$A:$A,Base_Enderecos!$C:$C,""),"")</f>
        <v/>
      </c>
      <c r="R591">
        <f>IF(OR(ISNUMBER(SEARCH("HDD",$F591)),ISNUMBER(SEARCH("MND",$F591)),ISNUMBER(SEARCH("PEAD",$F591)),ISNUMBER(SEARCH("Puxe",$J591)),ISNUMBER(SEARCH("Apoio HDD",$F591))),"MND",IF(OR(ISNUMBER(SEARCH("VCA",$F591)),ISNUMBER(SEARCH("PVC",$F591)),ISNUMBER(SEARCH("vca",$J591)),ISNUMBER(SEARCH("Transformação",$J591))),"VCA",IF(OR(ISNUMBER(SEARCH("crava",$F591)),ISNUMBER(SEARCH("tubo cravado",$F591)),ISNUMBER(SEARCH("shaft",$J591)),ISNUMBER(SEARCH("concreto",$F591))),"TUBO CRAVADO","")))</f>
        <v/>
      </c>
      <c r="T591">
        <f>IF($A591="","",TEXT($A591,"yyyymm")&amp;"|"&amp;$C591&amp;"|"&amp;$F591&amp;"|"&amp;$N591&amp;"|"&amp;$R591)</f>
        <v/>
      </c>
    </row>
    <row r="592" ht="11.55" customHeight="1">
      <c r="A592" s="10" t="n">
        <v>46051</v>
      </c>
      <c r="B592" s="7" t="inlineStr">
        <is>
          <t>Quinta</t>
        </is>
      </c>
      <c r="C592" s="7" t="inlineStr">
        <is>
          <t>CT JARAGUÁ</t>
        </is>
      </c>
      <c r="D592" s="7" t="inlineStr">
        <is>
          <t>CAROLINE e FÁBIO</t>
        </is>
      </c>
      <c r="E592" s="7" t="inlineStr">
        <is>
          <t>Carlos</t>
        </is>
      </c>
      <c r="F592" s="13" t="inlineStr">
        <is>
          <t>Transformação PV 10</t>
        </is>
      </c>
      <c r="G592" s="7" t="inlineStr">
        <is>
          <t>10</t>
        </is>
      </c>
      <c r="H592" s="7" t="n"/>
      <c r="I592" s="7" t="inlineStr">
        <is>
          <t>10</t>
        </is>
      </c>
      <c r="J592" s="7" t="inlineStr">
        <is>
          <t>Transformação</t>
        </is>
      </c>
      <c r="K592" s="7" t="inlineStr">
        <is>
          <t>Planejamento</t>
        </is>
      </c>
      <c r="L592" s="16" t="inlineStr">
        <is>
          <t>PDS-janeiro(1).docx</t>
        </is>
      </c>
      <c r="M592">
        <f>IF($A592="","",TEXT($A592,"mmmm/yyyy"))</f>
        <v/>
      </c>
      <c r="P592">
        <f>IFERROR(_xludf.XLOOKUP($N592,Base_Enderecos!$A:$A,Base_Enderecos!$B:$B,""),"")</f>
        <v/>
      </c>
      <c r="Q592">
        <f>IFERROR(_xludf.XLOOKUP($N592,Base_Enderecos!$A:$A,Base_Enderecos!$C:$C,""),"")</f>
        <v/>
      </c>
      <c r="R592">
        <f>IF(OR(ISNUMBER(SEARCH("HDD",$F592)),ISNUMBER(SEARCH("MND",$F592)),ISNUMBER(SEARCH("PEAD",$F592)),ISNUMBER(SEARCH("Puxe",$J592)),ISNUMBER(SEARCH("Apoio HDD",$F592))),"MND",IF(OR(ISNUMBER(SEARCH("VCA",$F592)),ISNUMBER(SEARCH("PVC",$F592)),ISNUMBER(SEARCH("vca",$J592)),ISNUMBER(SEARCH("Transformação",$J592))),"VCA",IF(OR(ISNUMBER(SEARCH("crava",$F592)),ISNUMBER(SEARCH("tubo cravado",$F592)),ISNUMBER(SEARCH("shaft",$J592)),ISNUMBER(SEARCH("concreto",$F592))),"TUBO CRAVADO","")))</f>
        <v/>
      </c>
      <c r="T592">
        <f>IF($A592="","",TEXT($A592,"yyyymm")&amp;"|"&amp;$C592&amp;"|"&amp;$F592&amp;"|"&amp;$N592&amp;"|"&amp;$R592)</f>
        <v/>
      </c>
    </row>
    <row r="593" ht="11.55" customHeight="1">
      <c r="A593" s="10" t="n">
        <v>46051</v>
      </c>
      <c r="B593" s="7" t="inlineStr">
        <is>
          <t>Quinta</t>
        </is>
      </c>
      <c r="C593" s="7" t="inlineStr">
        <is>
          <t>Vacal</t>
        </is>
      </c>
      <c r="D593" s="7" t="n"/>
      <c r="E593" s="7" t="inlineStr">
        <is>
          <t>WJ - 01</t>
        </is>
      </c>
      <c r="F593" s="13" t="inlineStr">
        <is>
          <t>Apoio Vacal</t>
        </is>
      </c>
      <c r="G593" s="7" t="n"/>
      <c r="H593" s="7" t="n"/>
      <c r="I593" s="7" t="n"/>
      <c r="J593" s="7" t="inlineStr">
        <is>
          <t>Vacal</t>
        </is>
      </c>
      <c r="K593" s="7" t="inlineStr">
        <is>
          <t>Apoio</t>
        </is>
      </c>
      <c r="L593" s="16" t="inlineStr">
        <is>
          <t>PDS-janeiro(1).docx</t>
        </is>
      </c>
      <c r="M593">
        <f>IF($A593="","",TEXT($A593,"mmmm/yyyy"))</f>
        <v/>
      </c>
      <c r="P593">
        <f>IFERROR(_xludf.XLOOKUP($N593,Base_Enderecos!$A:$A,Base_Enderecos!$B:$B,""),"")</f>
        <v/>
      </c>
      <c r="Q593">
        <f>IFERROR(_xludf.XLOOKUP($N593,Base_Enderecos!$A:$A,Base_Enderecos!$C:$C,""),"")</f>
        <v/>
      </c>
      <c r="R593">
        <f>IF(OR(ISNUMBER(SEARCH("HDD",$F593)),ISNUMBER(SEARCH("MND",$F593)),ISNUMBER(SEARCH("PEAD",$F593)),ISNUMBER(SEARCH("Puxe",$J593)),ISNUMBER(SEARCH("Apoio HDD",$F593))),"MND",IF(OR(ISNUMBER(SEARCH("VCA",$F593)),ISNUMBER(SEARCH("PVC",$F593)),ISNUMBER(SEARCH("vca",$J593)),ISNUMBER(SEARCH("Transformação",$J593))),"VCA",IF(OR(ISNUMBER(SEARCH("crava",$F593)),ISNUMBER(SEARCH("tubo cravado",$F593)),ISNUMBER(SEARCH("shaft",$J593)),ISNUMBER(SEARCH("concreto",$F593))),"TUBO CRAVADO","")))</f>
        <v/>
      </c>
      <c r="T593">
        <f>IF($A593="","",TEXT($A593,"yyyymm")&amp;"|"&amp;$C593&amp;"|"&amp;$F593&amp;"|"&amp;$N593&amp;"|"&amp;$R593)</f>
        <v/>
      </c>
    </row>
    <row r="594" ht="11.55" customHeight="1">
      <c r="A594" s="10" t="n">
        <v>46051</v>
      </c>
      <c r="B594" s="7" t="inlineStr">
        <is>
          <t>Quinta</t>
        </is>
      </c>
      <c r="C594" s="7" t="inlineStr">
        <is>
          <t>Vacal</t>
        </is>
      </c>
      <c r="D594" s="7" t="n"/>
      <c r="E594" s="7" t="inlineStr">
        <is>
          <t>WJ - 02</t>
        </is>
      </c>
      <c r="F594" s="13" t="inlineStr">
        <is>
          <t>Apoio Vacal</t>
        </is>
      </c>
      <c r="G594" s="7" t="n"/>
      <c r="H594" s="7" t="n"/>
      <c r="I594" s="7" t="n"/>
      <c r="J594" s="7" t="inlineStr">
        <is>
          <t>Vacal</t>
        </is>
      </c>
      <c r="K594" s="7" t="inlineStr">
        <is>
          <t>Apoio</t>
        </is>
      </c>
      <c r="L594" s="16" t="inlineStr">
        <is>
          <t>PDS-janeiro(1).docx</t>
        </is>
      </c>
      <c r="M594">
        <f>IF($A594="","",TEXT($A594,"mmmm/yyyy"))</f>
        <v/>
      </c>
      <c r="P594">
        <f>IFERROR(_xludf.XLOOKUP($N594,Base_Enderecos!$A:$A,Base_Enderecos!$B:$B,""),"")</f>
        <v/>
      </c>
      <c r="Q594">
        <f>IFERROR(_xludf.XLOOKUP($N594,Base_Enderecos!$A:$A,Base_Enderecos!$C:$C,""),"")</f>
        <v/>
      </c>
      <c r="R594">
        <f>IF(OR(ISNUMBER(SEARCH("HDD",$F594)),ISNUMBER(SEARCH("MND",$F594)),ISNUMBER(SEARCH("PEAD",$F594)),ISNUMBER(SEARCH("Puxe",$J594)),ISNUMBER(SEARCH("Apoio HDD",$F594))),"MND",IF(OR(ISNUMBER(SEARCH("VCA",$F594)),ISNUMBER(SEARCH("PVC",$F594)),ISNUMBER(SEARCH("vca",$J594)),ISNUMBER(SEARCH("Transformação",$J594))),"VCA",IF(OR(ISNUMBER(SEARCH("crava",$F594)),ISNUMBER(SEARCH("tubo cravado",$F594)),ISNUMBER(SEARCH("shaft",$J594)),ISNUMBER(SEARCH("concreto",$F594))),"TUBO CRAVADO","")))</f>
        <v/>
      </c>
      <c r="T594">
        <f>IF($A594="","",TEXT($A594,"yyyymm")&amp;"|"&amp;$C594&amp;"|"&amp;$F594&amp;"|"&amp;$N594&amp;"|"&amp;$R594)</f>
        <v/>
      </c>
    </row>
    <row r="595" ht="11.55" customHeight="1">
      <c r="A595" s="10" t="n">
        <v>46051</v>
      </c>
      <c r="B595" s="7" t="inlineStr">
        <is>
          <t>Quinta</t>
        </is>
      </c>
      <c r="C595" s="7" t="inlineStr">
        <is>
          <t>Vacal</t>
        </is>
      </c>
      <c r="D595" s="7" t="n"/>
      <c r="E595" s="7" t="inlineStr">
        <is>
          <t>Work Drill</t>
        </is>
      </c>
      <c r="F595" s="13" t="inlineStr">
        <is>
          <t>Apoio Vacal</t>
        </is>
      </c>
      <c r="G595" s="7" t="n"/>
      <c r="H595" s="7" t="n"/>
      <c r="I595" s="7" t="n"/>
      <c r="J595" s="7" t="inlineStr">
        <is>
          <t>Vacal</t>
        </is>
      </c>
      <c r="K595" s="7" t="inlineStr">
        <is>
          <t>Apoio</t>
        </is>
      </c>
      <c r="L595" s="16" t="inlineStr">
        <is>
          <t>PDS-janeiro(1).docx</t>
        </is>
      </c>
      <c r="M595">
        <f>IF($A595="","",TEXT($A595,"mmmm/yyyy"))</f>
        <v/>
      </c>
      <c r="P595">
        <f>IFERROR(_xludf.XLOOKUP($N595,Base_Enderecos!$A:$A,Base_Enderecos!$B:$B,""),"")</f>
        <v/>
      </c>
      <c r="Q595">
        <f>IFERROR(_xludf.XLOOKUP($N595,Base_Enderecos!$A:$A,Base_Enderecos!$C:$C,""),"")</f>
        <v/>
      </c>
      <c r="R595">
        <f>IF(OR(ISNUMBER(SEARCH("HDD",$F595)),ISNUMBER(SEARCH("MND",$F595)),ISNUMBER(SEARCH("PEAD",$F595)),ISNUMBER(SEARCH("Puxe",$J595)),ISNUMBER(SEARCH("Apoio HDD",$F595))),"MND",IF(OR(ISNUMBER(SEARCH("VCA",$F595)),ISNUMBER(SEARCH("PVC",$F595)),ISNUMBER(SEARCH("vca",$J595)),ISNUMBER(SEARCH("Transformação",$J595))),"VCA",IF(OR(ISNUMBER(SEARCH("crava",$F595)),ISNUMBER(SEARCH("tubo cravado",$F595)),ISNUMBER(SEARCH("shaft",$J595)),ISNUMBER(SEARCH("concreto",$F595))),"TUBO CRAVADO","")))</f>
        <v/>
      </c>
      <c r="T595">
        <f>IF($A595="","",TEXT($A595,"yyyymm")&amp;"|"&amp;$C595&amp;"|"&amp;$F595&amp;"|"&amp;$N595&amp;"|"&amp;$R595)</f>
        <v/>
      </c>
    </row>
    <row r="596" ht="11.55" customHeight="1">
      <c r="A596" s="10" t="n">
        <v>46051</v>
      </c>
      <c r="B596" s="7" t="inlineStr">
        <is>
          <t>Quinta</t>
        </is>
      </c>
      <c r="C596" s="7" t="inlineStr">
        <is>
          <t>Vacal</t>
        </is>
      </c>
      <c r="D596" s="7" t="n"/>
      <c r="E596" s="7" t="inlineStr">
        <is>
          <t>GR Ribeiro</t>
        </is>
      </c>
      <c r="F596" s="13" t="inlineStr">
        <is>
          <t>Apoio Vacal</t>
        </is>
      </c>
      <c r="G596" s="7" t="n"/>
      <c r="H596" s="7" t="n"/>
      <c r="I596" s="7" t="n"/>
      <c r="J596" s="7" t="inlineStr">
        <is>
          <t>Vacal</t>
        </is>
      </c>
      <c r="K596" s="7" t="inlineStr">
        <is>
          <t>Apoio</t>
        </is>
      </c>
      <c r="L596" s="16" t="inlineStr">
        <is>
          <t>PDS-janeiro(1).docx</t>
        </is>
      </c>
      <c r="M596">
        <f>IF($A596="","",TEXT($A596,"mmmm/yyyy"))</f>
        <v/>
      </c>
      <c r="P596">
        <f>IFERROR(_xludf.XLOOKUP($N596,Base_Enderecos!$A:$A,Base_Enderecos!$B:$B,""),"")</f>
        <v/>
      </c>
      <c r="Q596">
        <f>IFERROR(_xludf.XLOOKUP($N596,Base_Enderecos!$A:$A,Base_Enderecos!$C:$C,""),"")</f>
        <v/>
      </c>
      <c r="R596">
        <f>IF(OR(ISNUMBER(SEARCH("HDD",$F596)),ISNUMBER(SEARCH("MND",$F596)),ISNUMBER(SEARCH("PEAD",$F596)),ISNUMBER(SEARCH("Puxe",$J596)),ISNUMBER(SEARCH("Apoio HDD",$F596))),"MND",IF(OR(ISNUMBER(SEARCH("VCA",$F596)),ISNUMBER(SEARCH("PVC",$F596)),ISNUMBER(SEARCH("vca",$J596)),ISNUMBER(SEARCH("Transformação",$J596))),"VCA",IF(OR(ISNUMBER(SEARCH("crava",$F596)),ISNUMBER(SEARCH("tubo cravado",$F596)),ISNUMBER(SEARCH("shaft",$J596)),ISNUMBER(SEARCH("concreto",$F596))),"TUBO CRAVADO","")))</f>
        <v/>
      </c>
      <c r="T596">
        <f>IF($A596="","",TEXT($A596,"yyyymm")&amp;"|"&amp;$C596&amp;"|"&amp;$F596&amp;"|"&amp;$N596&amp;"|"&amp;$R596)</f>
        <v/>
      </c>
    </row>
    <row r="597" ht="11.55" customHeight="1">
      <c r="A597" s="10" t="n">
        <v>46051</v>
      </c>
      <c r="B597" s="7" t="inlineStr">
        <is>
          <t>Quinta</t>
        </is>
      </c>
      <c r="C597" s="7" t="inlineStr">
        <is>
          <t>Guindauto</t>
        </is>
      </c>
      <c r="D597" s="7" t="n"/>
      <c r="E597" s="7" t="inlineStr">
        <is>
          <t>Rodrigo</t>
        </is>
      </c>
      <c r="F597" s="13" t="inlineStr">
        <is>
          <t>Rodrigo - Apoio as equipes</t>
        </is>
      </c>
      <c r="G597" s="7" t="n"/>
      <c r="H597" s="7" t="n"/>
      <c r="I597" s="7" t="n"/>
      <c r="J597" s="7" t="inlineStr">
        <is>
          <t>Guindauto</t>
        </is>
      </c>
      <c r="K597" s="7" t="inlineStr">
        <is>
          <t>Apoio</t>
        </is>
      </c>
      <c r="L597" s="16" t="inlineStr">
        <is>
          <t>PDS-janeiro(1).docx</t>
        </is>
      </c>
      <c r="M597">
        <f>IF($A597="","",TEXT($A597,"mmmm/yyyy"))</f>
        <v/>
      </c>
      <c r="P597">
        <f>IFERROR(_xludf.XLOOKUP($N597,Base_Enderecos!$A:$A,Base_Enderecos!$B:$B,""),"")</f>
        <v/>
      </c>
      <c r="Q597">
        <f>IFERROR(_xludf.XLOOKUP($N597,Base_Enderecos!$A:$A,Base_Enderecos!$C:$C,""),"")</f>
        <v/>
      </c>
      <c r="R597">
        <f>IF(OR(ISNUMBER(SEARCH("HDD",$F597)),ISNUMBER(SEARCH("MND",$F597)),ISNUMBER(SEARCH("PEAD",$F597)),ISNUMBER(SEARCH("Puxe",$J597)),ISNUMBER(SEARCH("Apoio HDD",$F597))),"MND",IF(OR(ISNUMBER(SEARCH("VCA",$F597)),ISNUMBER(SEARCH("PVC",$F597)),ISNUMBER(SEARCH("vca",$J597)),ISNUMBER(SEARCH("Transformação",$J597))),"VCA",IF(OR(ISNUMBER(SEARCH("crava",$F597)),ISNUMBER(SEARCH("tubo cravado",$F597)),ISNUMBER(SEARCH("shaft",$J597)),ISNUMBER(SEARCH("concreto",$F597))),"TUBO CRAVADO","")))</f>
        <v/>
      </c>
      <c r="T597">
        <f>IF($A597="","",TEXT($A597,"yyyymm")&amp;"|"&amp;$C597&amp;"|"&amp;$F597&amp;"|"&amp;$N597&amp;"|"&amp;$R597)</f>
        <v/>
      </c>
    </row>
    <row r="598" ht="11.55" customHeight="1">
      <c r="A598" s="10" t="n">
        <v>46051</v>
      </c>
      <c r="B598" s="7" t="inlineStr">
        <is>
          <t>Quinta</t>
        </is>
      </c>
      <c r="C598" s="7" t="inlineStr">
        <is>
          <t>Guindauto</t>
        </is>
      </c>
      <c r="D598" s="7" t="n"/>
      <c r="E598" s="7" t="inlineStr">
        <is>
          <t>Marcio</t>
        </is>
      </c>
      <c r="F598" s="13" t="inlineStr">
        <is>
          <t>Marcio - Apoio as equipes</t>
        </is>
      </c>
      <c r="G598" s="7" t="n"/>
      <c r="H598" s="7" t="n"/>
      <c r="I598" s="7" t="n"/>
      <c r="J598" s="7" t="inlineStr">
        <is>
          <t>Guindauto</t>
        </is>
      </c>
      <c r="K598" s="7" t="inlineStr">
        <is>
          <t>Apoio</t>
        </is>
      </c>
      <c r="L598" s="16" t="inlineStr">
        <is>
          <t>PDS-janeiro(1).docx</t>
        </is>
      </c>
      <c r="M598">
        <f>IF($A598="","",TEXT($A598,"mmmm/yyyy"))</f>
        <v/>
      </c>
      <c r="P598">
        <f>IFERROR(_xludf.XLOOKUP($N598,Base_Enderecos!$A:$A,Base_Enderecos!$B:$B,""),"")</f>
        <v/>
      </c>
      <c r="Q598">
        <f>IFERROR(_xludf.XLOOKUP($N598,Base_Enderecos!$A:$A,Base_Enderecos!$C:$C,""),"")</f>
        <v/>
      </c>
      <c r="R598">
        <f>IF(OR(ISNUMBER(SEARCH("HDD",$F598)),ISNUMBER(SEARCH("MND",$F598)),ISNUMBER(SEARCH("PEAD",$F598)),ISNUMBER(SEARCH("Puxe",$J598)),ISNUMBER(SEARCH("Apoio HDD",$F598))),"MND",IF(OR(ISNUMBER(SEARCH("VCA",$F598)),ISNUMBER(SEARCH("PVC",$F598)),ISNUMBER(SEARCH("vca",$J598)),ISNUMBER(SEARCH("Transformação",$J598))),"VCA",IF(OR(ISNUMBER(SEARCH("crava",$F598)),ISNUMBER(SEARCH("tubo cravado",$F598)),ISNUMBER(SEARCH("shaft",$J598)),ISNUMBER(SEARCH("concreto",$F598))),"TUBO CRAVADO","")))</f>
        <v/>
      </c>
      <c r="T598">
        <f>IF($A598="","",TEXT($A598,"yyyymm")&amp;"|"&amp;$C598&amp;"|"&amp;$F598&amp;"|"&amp;$N598&amp;"|"&amp;$R598)</f>
        <v/>
      </c>
    </row>
    <row r="599" ht="11.55" customHeight="1">
      <c r="A599" s="10" t="n">
        <v>46052</v>
      </c>
      <c r="B599" s="7" t="inlineStr">
        <is>
          <t>Sexta</t>
        </is>
      </c>
      <c r="C599" s="7" t="inlineStr">
        <is>
          <t>CT MAR DE CORAL</t>
        </is>
      </c>
      <c r="D599" s="7" t="inlineStr">
        <is>
          <t>ELOÍZIO e LEANDRO e SILVESTRE</t>
        </is>
      </c>
      <c r="E599" s="7" t="inlineStr">
        <is>
          <t>Sergio (Goiânia)</t>
        </is>
      </c>
      <c r="F599" s="13" t="inlineStr">
        <is>
          <t>Transformação PV 16</t>
        </is>
      </c>
      <c r="G599" s="7" t="inlineStr">
        <is>
          <t>16</t>
        </is>
      </c>
      <c r="H599" s="7" t="n"/>
      <c r="I599" s="7" t="inlineStr">
        <is>
          <t>16</t>
        </is>
      </c>
      <c r="J599" s="7" t="inlineStr">
        <is>
          <t>Transformação</t>
        </is>
      </c>
      <c r="K599" s="7" t="inlineStr">
        <is>
          <t>Planejamento</t>
        </is>
      </c>
      <c r="L599" s="16" t="inlineStr">
        <is>
          <t>PDS-janeiro(1).docx</t>
        </is>
      </c>
      <c r="M599">
        <f>IF($A599="","",TEXT($A599,"mmmm/yyyy"))</f>
        <v/>
      </c>
      <c r="P599">
        <f>IFERROR(_xludf.XLOOKUP($N599,Base_Enderecos!$A:$A,Base_Enderecos!$B:$B,""),"")</f>
        <v/>
      </c>
      <c r="Q599">
        <f>IFERROR(_xludf.XLOOKUP($N599,Base_Enderecos!$A:$A,Base_Enderecos!$C:$C,""),"")</f>
        <v/>
      </c>
      <c r="R599">
        <f>IF(OR(ISNUMBER(SEARCH("HDD",$F599)),ISNUMBER(SEARCH("MND",$F599)),ISNUMBER(SEARCH("PEAD",$F599)),ISNUMBER(SEARCH("Puxe",$J599)),ISNUMBER(SEARCH("Apoio HDD",$F599))),"MND",IF(OR(ISNUMBER(SEARCH("VCA",$F599)),ISNUMBER(SEARCH("PVC",$F599)),ISNUMBER(SEARCH("vca",$J599)),ISNUMBER(SEARCH("Transformação",$J599))),"VCA",IF(OR(ISNUMBER(SEARCH("crava",$F599)),ISNUMBER(SEARCH("tubo cravado",$F599)),ISNUMBER(SEARCH("shaft",$J599)),ISNUMBER(SEARCH("concreto",$F599))),"TUBO CRAVADO","")))</f>
        <v/>
      </c>
      <c r="T599">
        <f>IF($A599="","",TEXT($A599,"yyyymm")&amp;"|"&amp;$C599&amp;"|"&amp;$F599&amp;"|"&amp;$N599&amp;"|"&amp;$R599)</f>
        <v/>
      </c>
    </row>
    <row r="600" ht="11.55" customHeight="1">
      <c r="A600" s="10" t="n">
        <v>46052</v>
      </c>
      <c r="B600" s="7" t="inlineStr">
        <is>
          <t>Sexta</t>
        </is>
      </c>
      <c r="C600" s="7" t="inlineStr">
        <is>
          <t>CT MAR DE CORAL</t>
        </is>
      </c>
      <c r="D600" s="7" t="inlineStr">
        <is>
          <t>ELOÍZIO e LEANDRO e SILVESTRE</t>
        </is>
      </c>
      <c r="E600" s="7" t="inlineStr">
        <is>
          <t>Valter</t>
        </is>
      </c>
      <c r="F600" s="13" t="inlineStr">
        <is>
          <t>Transformação PV 05</t>
        </is>
      </c>
      <c r="G600" s="7" t="inlineStr">
        <is>
          <t>05</t>
        </is>
      </c>
      <c r="H600" s="7" t="n"/>
      <c r="I600" s="7" t="inlineStr">
        <is>
          <t>05</t>
        </is>
      </c>
      <c r="J600" s="7" t="inlineStr">
        <is>
          <t>Transformação</t>
        </is>
      </c>
      <c r="K600" s="7" t="inlineStr">
        <is>
          <t>Planejamento</t>
        </is>
      </c>
      <c r="L600" s="16" t="inlineStr">
        <is>
          <t>PDS-janeiro(1).docx</t>
        </is>
      </c>
      <c r="M600">
        <f>IF($A600="","",TEXT($A600,"mmmm/yyyy"))</f>
        <v/>
      </c>
      <c r="P600">
        <f>IFERROR(_xludf.XLOOKUP($N600,Base_Enderecos!$A:$A,Base_Enderecos!$B:$B,""),"")</f>
        <v/>
      </c>
      <c r="Q600">
        <f>IFERROR(_xludf.XLOOKUP($N600,Base_Enderecos!$A:$A,Base_Enderecos!$C:$C,""),"")</f>
        <v/>
      </c>
      <c r="R600">
        <f>IF(OR(ISNUMBER(SEARCH("HDD",$F600)),ISNUMBER(SEARCH("MND",$F600)),ISNUMBER(SEARCH("PEAD",$F600)),ISNUMBER(SEARCH("Puxe",$J600)),ISNUMBER(SEARCH("Apoio HDD",$F600))),"MND",IF(OR(ISNUMBER(SEARCH("VCA",$F600)),ISNUMBER(SEARCH("PVC",$F600)),ISNUMBER(SEARCH("vca",$J600)),ISNUMBER(SEARCH("Transformação",$J600))),"VCA",IF(OR(ISNUMBER(SEARCH("crava",$F600)),ISNUMBER(SEARCH("tubo cravado",$F600)),ISNUMBER(SEARCH("shaft",$J600)),ISNUMBER(SEARCH("concreto",$F600))),"TUBO CRAVADO","")))</f>
        <v/>
      </c>
      <c r="T600">
        <f>IF($A600="","",TEXT($A600,"yyyymm")&amp;"|"&amp;$C600&amp;"|"&amp;$F600&amp;"|"&amp;$N600&amp;"|"&amp;$R600)</f>
        <v/>
      </c>
    </row>
    <row r="601" ht="11.55" customHeight="1">
      <c r="A601" s="10" t="n">
        <v>46052</v>
      </c>
      <c r="B601" s="7" t="inlineStr">
        <is>
          <t>Sexta</t>
        </is>
      </c>
      <c r="C601" s="7" t="inlineStr">
        <is>
          <t>CT MAR DE CORAL</t>
        </is>
      </c>
      <c r="D601" s="7" t="inlineStr">
        <is>
          <t>ELOÍZIO e LEANDRO e SILVESTRE</t>
        </is>
      </c>
      <c r="E601" s="7" t="inlineStr">
        <is>
          <t>Paulo (Goiânia)</t>
        </is>
      </c>
      <c r="F601" s="13" t="inlineStr">
        <is>
          <t>Interlig PV 05.1</t>
        </is>
      </c>
      <c r="G601" s="7" t="inlineStr">
        <is>
          <t>05.1</t>
        </is>
      </c>
      <c r="H601" s="7" t="n"/>
      <c r="I601" s="7" t="inlineStr">
        <is>
          <t>05.1</t>
        </is>
      </c>
      <c r="J601" s="7" t="inlineStr">
        <is>
          <t>Interligação</t>
        </is>
      </c>
      <c r="K601" s="7" t="inlineStr">
        <is>
          <t>Planejamento</t>
        </is>
      </c>
      <c r="L601" s="16" t="inlineStr">
        <is>
          <t>PDS-janeiro(1).docx</t>
        </is>
      </c>
      <c r="M601">
        <f>IF($A601="","",TEXT($A601,"mmmm/yyyy"))</f>
        <v/>
      </c>
      <c r="P601">
        <f>IFERROR(_xludf.XLOOKUP($N601,Base_Enderecos!$A:$A,Base_Enderecos!$B:$B,""),"")</f>
        <v/>
      </c>
      <c r="Q601">
        <f>IFERROR(_xludf.XLOOKUP($N601,Base_Enderecos!$A:$A,Base_Enderecos!$C:$C,""),"")</f>
        <v/>
      </c>
      <c r="R601">
        <f>IF(OR(ISNUMBER(SEARCH("HDD",$F601)),ISNUMBER(SEARCH("MND",$F601)),ISNUMBER(SEARCH("PEAD",$F601)),ISNUMBER(SEARCH("Puxe",$J601)),ISNUMBER(SEARCH("Apoio HDD",$F601))),"MND",IF(OR(ISNUMBER(SEARCH("VCA",$F601)),ISNUMBER(SEARCH("PVC",$F601)),ISNUMBER(SEARCH("vca",$J601)),ISNUMBER(SEARCH("Transformação",$J601))),"VCA",IF(OR(ISNUMBER(SEARCH("crava",$F601)),ISNUMBER(SEARCH("tubo cravado",$F601)),ISNUMBER(SEARCH("shaft",$J601)),ISNUMBER(SEARCH("concreto",$F601))),"TUBO CRAVADO","")))</f>
        <v/>
      </c>
      <c r="T601">
        <f>IF($A601="","",TEXT($A601,"yyyymm")&amp;"|"&amp;$C601&amp;"|"&amp;$F601&amp;"|"&amp;$N601&amp;"|"&amp;$R601)</f>
        <v/>
      </c>
    </row>
    <row r="602" ht="11.55" customHeight="1">
      <c r="A602" s="10" t="n">
        <v>46052</v>
      </c>
      <c r="B602" s="7" t="inlineStr">
        <is>
          <t>Sexta</t>
        </is>
      </c>
      <c r="C602" s="7" t="inlineStr">
        <is>
          <t>CT MAR DE CORAL</t>
        </is>
      </c>
      <c r="D602" s="7" t="inlineStr">
        <is>
          <t>ELOÍZIO e LEANDRO e SILVESTRE</t>
        </is>
      </c>
      <c r="E602" s="7" t="inlineStr">
        <is>
          <t>Work Drill</t>
        </is>
      </c>
      <c r="F602" s="13" t="inlineStr">
        <is>
          <t>Furo Piloto entre PVs 10 ao 13</t>
        </is>
      </c>
      <c r="G602" s="7" t="inlineStr">
        <is>
          <t>10</t>
        </is>
      </c>
      <c r="H602" s="7" t="n"/>
      <c r="I602" s="7" t="inlineStr">
        <is>
          <t>10</t>
        </is>
      </c>
      <c r="J602" s="7" t="inlineStr">
        <is>
          <t>Furo piloto</t>
        </is>
      </c>
      <c r="K602" s="7" t="inlineStr">
        <is>
          <t>Planejamento</t>
        </is>
      </c>
      <c r="L602" s="16" t="inlineStr">
        <is>
          <t>PDS-janeiro(1).docx</t>
        </is>
      </c>
      <c r="M602">
        <f>IF($A602="","",TEXT($A602,"mmmm/yyyy"))</f>
        <v/>
      </c>
      <c r="P602">
        <f>IFERROR(_xludf.XLOOKUP($N602,Base_Enderecos!$A:$A,Base_Enderecos!$B:$B,""),"")</f>
        <v/>
      </c>
      <c r="Q602">
        <f>IFERROR(_xludf.XLOOKUP($N602,Base_Enderecos!$A:$A,Base_Enderecos!$C:$C,""),"")</f>
        <v/>
      </c>
      <c r="R602">
        <f>IF(OR(ISNUMBER(SEARCH("HDD",$F602)),ISNUMBER(SEARCH("MND",$F602)),ISNUMBER(SEARCH("PEAD",$F602)),ISNUMBER(SEARCH("Puxe",$J602)),ISNUMBER(SEARCH("Apoio HDD",$F602))),"MND",IF(OR(ISNUMBER(SEARCH("VCA",$F602)),ISNUMBER(SEARCH("PVC",$F602)),ISNUMBER(SEARCH("vca",$J602)),ISNUMBER(SEARCH("Transformação",$J602))),"VCA",IF(OR(ISNUMBER(SEARCH("crava",$F602)),ISNUMBER(SEARCH("tubo cravado",$F602)),ISNUMBER(SEARCH("shaft",$J602)),ISNUMBER(SEARCH("concreto",$F602))),"TUBO CRAVADO","")))</f>
        <v/>
      </c>
      <c r="T602">
        <f>IF($A602="","",TEXT($A602,"yyyymm")&amp;"|"&amp;$C602&amp;"|"&amp;$F602&amp;"|"&amp;$N602&amp;"|"&amp;$R602)</f>
        <v/>
      </c>
    </row>
    <row r="603" ht="11.55" customHeight="1">
      <c r="A603" s="10" t="n">
        <v>46052</v>
      </c>
      <c r="B603" s="7" t="inlineStr">
        <is>
          <t>Sexta</t>
        </is>
      </c>
      <c r="C603" s="7" t="inlineStr">
        <is>
          <t>CT MAR DE CORAL</t>
        </is>
      </c>
      <c r="D603" s="7" t="inlineStr">
        <is>
          <t>ELOÍZIO e LEANDRO e SILVESTRE</t>
        </is>
      </c>
      <c r="E603" s="7" t="inlineStr">
        <is>
          <t>Medeiros</t>
        </is>
      </c>
      <c r="F603" s="13" t="inlineStr">
        <is>
          <t>Apoio HDD entre os PVs 10 ao PV 13</t>
        </is>
      </c>
      <c r="G603" s="7" t="inlineStr">
        <is>
          <t>10</t>
        </is>
      </c>
      <c r="H603" s="7" t="inlineStr">
        <is>
          <t>13</t>
        </is>
      </c>
      <c r="I603" s="7" t="inlineStr">
        <is>
          <t>10, 13</t>
        </is>
      </c>
      <c r="J603" s="7" t="inlineStr">
        <is>
          <t>Apoio HDD</t>
        </is>
      </c>
      <c r="K603" s="7" t="inlineStr">
        <is>
          <t>Planejamento</t>
        </is>
      </c>
      <c r="L603" s="16" t="inlineStr">
        <is>
          <t>PDS-janeiro(1).docx</t>
        </is>
      </c>
      <c r="M603">
        <f>IF($A603="","",TEXT($A603,"mmmm/yyyy"))</f>
        <v/>
      </c>
      <c r="P603">
        <f>IFERROR(_xludf.XLOOKUP($N603,Base_Enderecos!$A:$A,Base_Enderecos!$B:$B,""),"")</f>
        <v/>
      </c>
      <c r="Q603">
        <f>IFERROR(_xludf.XLOOKUP($N603,Base_Enderecos!$A:$A,Base_Enderecos!$C:$C,""),"")</f>
        <v/>
      </c>
      <c r="R603">
        <f>IF(OR(ISNUMBER(SEARCH("HDD",$F603)),ISNUMBER(SEARCH("MND",$F603)),ISNUMBER(SEARCH("PEAD",$F603)),ISNUMBER(SEARCH("Puxe",$J603)),ISNUMBER(SEARCH("Apoio HDD",$F603))),"MND",IF(OR(ISNUMBER(SEARCH("VCA",$F603)),ISNUMBER(SEARCH("PVC",$F603)),ISNUMBER(SEARCH("vca",$J603)),ISNUMBER(SEARCH("Transformação",$J603))),"VCA",IF(OR(ISNUMBER(SEARCH("crava",$F603)),ISNUMBER(SEARCH("tubo cravado",$F603)),ISNUMBER(SEARCH("shaft",$J603)),ISNUMBER(SEARCH("concreto",$F603))),"TUBO CRAVADO","")))</f>
        <v/>
      </c>
      <c r="T603">
        <f>IF($A603="","",TEXT($A603,"yyyymm")&amp;"|"&amp;$C603&amp;"|"&amp;$F603&amp;"|"&amp;$N603&amp;"|"&amp;$R603)</f>
        <v/>
      </c>
    </row>
    <row r="604" ht="11.55" customHeight="1">
      <c r="A604" s="10" t="n">
        <v>46052</v>
      </c>
      <c r="B604" s="7" t="inlineStr">
        <is>
          <t>Sexta</t>
        </is>
      </c>
      <c r="C604" s="7" t="inlineStr">
        <is>
          <t>CT MAR DE CORAL</t>
        </is>
      </c>
      <c r="D604" s="7" t="inlineStr">
        <is>
          <t>ELOÍZIO e LEANDRO e SILVESTRE</t>
        </is>
      </c>
      <c r="E604" s="7" t="inlineStr">
        <is>
          <t>WJ - 01</t>
        </is>
      </c>
      <c r="F604" s="13" t="inlineStr">
        <is>
          <t>Furo piloto entre PVs 09 ao 10</t>
        </is>
      </c>
      <c r="G604" s="7" t="inlineStr">
        <is>
          <t>09</t>
        </is>
      </c>
      <c r="H604" s="7" t="n"/>
      <c r="I604" s="7" t="inlineStr">
        <is>
          <t>09</t>
        </is>
      </c>
      <c r="J604" s="7" t="inlineStr">
        <is>
          <t>Furo piloto</t>
        </is>
      </c>
      <c r="K604" s="7" t="inlineStr">
        <is>
          <t>Planejamento</t>
        </is>
      </c>
      <c r="L604" s="16" t="inlineStr">
        <is>
          <t>PDS-janeiro(1).docx</t>
        </is>
      </c>
      <c r="M604">
        <f>IF($A604="","",TEXT($A604,"mmmm/yyyy"))</f>
        <v/>
      </c>
      <c r="P604">
        <f>IFERROR(_xludf.XLOOKUP($N604,Base_Enderecos!$A:$A,Base_Enderecos!$B:$B,""),"")</f>
        <v/>
      </c>
      <c r="Q604">
        <f>IFERROR(_xludf.XLOOKUP($N604,Base_Enderecos!$A:$A,Base_Enderecos!$C:$C,""),"")</f>
        <v/>
      </c>
      <c r="R604">
        <f>IF(OR(ISNUMBER(SEARCH("HDD",$F604)),ISNUMBER(SEARCH("MND",$F604)),ISNUMBER(SEARCH("PEAD",$F604)),ISNUMBER(SEARCH("Puxe",$J604)),ISNUMBER(SEARCH("Apoio HDD",$F604))),"MND",IF(OR(ISNUMBER(SEARCH("VCA",$F604)),ISNUMBER(SEARCH("PVC",$F604)),ISNUMBER(SEARCH("vca",$J604)),ISNUMBER(SEARCH("Transformação",$J604))),"VCA",IF(OR(ISNUMBER(SEARCH("crava",$F604)),ISNUMBER(SEARCH("tubo cravado",$F604)),ISNUMBER(SEARCH("shaft",$J604)),ISNUMBER(SEARCH("concreto",$F604))),"TUBO CRAVADO","")))</f>
        <v/>
      </c>
      <c r="T604">
        <f>IF($A604="","",TEXT($A604,"yyyymm")&amp;"|"&amp;$C604&amp;"|"&amp;$F604&amp;"|"&amp;$N604&amp;"|"&amp;$R604)</f>
        <v/>
      </c>
    </row>
    <row r="605" ht="11.55" customHeight="1">
      <c r="A605" s="10" t="n">
        <v>46052</v>
      </c>
      <c r="B605" s="7" t="inlineStr">
        <is>
          <t>Sexta</t>
        </is>
      </c>
      <c r="C605" s="7" t="inlineStr">
        <is>
          <t>CT MAR DE CORAL</t>
        </is>
      </c>
      <c r="D605" s="7" t="inlineStr">
        <is>
          <t>ELOÍZIO e LEANDRO e SILVESTRE</t>
        </is>
      </c>
      <c r="E605" s="7" t="inlineStr">
        <is>
          <t>Márcio</t>
        </is>
      </c>
      <c r="F605" s="13" t="inlineStr">
        <is>
          <t>Apoio HDD entre PVs 09 ao 10</t>
        </is>
      </c>
      <c r="G605" s="7" t="inlineStr">
        <is>
          <t>09</t>
        </is>
      </c>
      <c r="H605" s="7" t="n"/>
      <c r="I605" s="7" t="inlineStr">
        <is>
          <t>09</t>
        </is>
      </c>
      <c r="J605" s="7" t="inlineStr">
        <is>
          <t>Apoio HDD</t>
        </is>
      </c>
      <c r="K605" s="7" t="inlineStr">
        <is>
          <t>Planejamento</t>
        </is>
      </c>
      <c r="L605" s="16" t="inlineStr">
        <is>
          <t>PDS-janeiro(1).docx</t>
        </is>
      </c>
      <c r="M605">
        <f>IF($A605="","",TEXT($A605,"mmmm/yyyy"))</f>
        <v/>
      </c>
      <c r="P605">
        <f>IFERROR(_xludf.XLOOKUP($N605,Base_Enderecos!$A:$A,Base_Enderecos!$B:$B,""),"")</f>
        <v/>
      </c>
      <c r="Q605">
        <f>IFERROR(_xludf.XLOOKUP($N605,Base_Enderecos!$A:$A,Base_Enderecos!$C:$C,""),"")</f>
        <v/>
      </c>
      <c r="R605">
        <f>IF(OR(ISNUMBER(SEARCH("HDD",$F605)),ISNUMBER(SEARCH("MND",$F605)),ISNUMBER(SEARCH("PEAD",$F605)),ISNUMBER(SEARCH("Puxe",$J605)),ISNUMBER(SEARCH("Apoio HDD",$F605))),"MND",IF(OR(ISNUMBER(SEARCH("VCA",$F605)),ISNUMBER(SEARCH("PVC",$F605)),ISNUMBER(SEARCH("vca",$J605)),ISNUMBER(SEARCH("Transformação",$J605))),"VCA",IF(OR(ISNUMBER(SEARCH("crava",$F605)),ISNUMBER(SEARCH("tubo cravado",$F605)),ISNUMBER(SEARCH("shaft",$J605)),ISNUMBER(SEARCH("concreto",$F605))),"TUBO CRAVADO","")))</f>
        <v/>
      </c>
      <c r="T605">
        <f>IF($A605="","",TEXT($A605,"yyyymm")&amp;"|"&amp;$C605&amp;"|"&amp;$F605&amp;"|"&amp;$N605&amp;"|"&amp;$R605)</f>
        <v/>
      </c>
    </row>
    <row r="606" ht="11.55" customHeight="1">
      <c r="A606" s="10" t="n">
        <v>46052</v>
      </c>
      <c r="B606" s="7" t="inlineStr">
        <is>
          <t>Sexta</t>
        </is>
      </c>
      <c r="C606" s="7" t="inlineStr">
        <is>
          <t>CT MAR DE CORAL</t>
        </is>
      </c>
      <c r="D606" s="7" t="inlineStr">
        <is>
          <t>ELOÍZIO e LEANDRO e SILVESTRE</t>
        </is>
      </c>
      <c r="E606" s="7" t="inlineStr">
        <is>
          <t>Marcelo</t>
        </is>
      </c>
      <c r="F606" s="13" t="inlineStr">
        <is>
          <t>Transformação PV 04</t>
        </is>
      </c>
      <c r="G606" s="7" t="inlineStr">
        <is>
          <t>04</t>
        </is>
      </c>
      <c r="H606" s="7" t="n"/>
      <c r="I606" s="7" t="inlineStr">
        <is>
          <t>04</t>
        </is>
      </c>
      <c r="J606" s="7" t="inlineStr">
        <is>
          <t>Transformação</t>
        </is>
      </c>
      <c r="K606" s="7" t="inlineStr">
        <is>
          <t>Planejamento</t>
        </is>
      </c>
      <c r="L606" s="16" t="inlineStr">
        <is>
          <t>PDS-janeiro(1).docx</t>
        </is>
      </c>
      <c r="M606">
        <f>IF($A606="","",TEXT($A606,"mmmm/yyyy"))</f>
        <v/>
      </c>
      <c r="P606">
        <f>IFERROR(_xludf.XLOOKUP($N606,Base_Enderecos!$A:$A,Base_Enderecos!$B:$B,""),"")</f>
        <v/>
      </c>
      <c r="Q606">
        <f>IFERROR(_xludf.XLOOKUP($N606,Base_Enderecos!$A:$A,Base_Enderecos!$C:$C,""),"")</f>
        <v/>
      </c>
      <c r="R606">
        <f>IF(OR(ISNUMBER(SEARCH("HDD",$F606)),ISNUMBER(SEARCH("MND",$F606)),ISNUMBER(SEARCH("PEAD",$F606)),ISNUMBER(SEARCH("Puxe",$J606)),ISNUMBER(SEARCH("Apoio HDD",$F606))),"MND",IF(OR(ISNUMBER(SEARCH("VCA",$F606)),ISNUMBER(SEARCH("PVC",$F606)),ISNUMBER(SEARCH("vca",$J606)),ISNUMBER(SEARCH("Transformação",$J606))),"VCA",IF(OR(ISNUMBER(SEARCH("crava",$F606)),ISNUMBER(SEARCH("tubo cravado",$F606)),ISNUMBER(SEARCH("shaft",$J606)),ISNUMBER(SEARCH("concreto",$F606))),"TUBO CRAVADO","")))</f>
        <v/>
      </c>
      <c r="T606">
        <f>IF($A606="","",TEXT($A606,"yyyymm")&amp;"|"&amp;$C606&amp;"|"&amp;$F606&amp;"|"&amp;$N606&amp;"|"&amp;$R606)</f>
        <v/>
      </c>
    </row>
    <row r="607" ht="11.55" customHeight="1">
      <c r="A607" s="10" t="n">
        <v>46052</v>
      </c>
      <c r="B607" s="7" t="inlineStr">
        <is>
          <t>Sexta</t>
        </is>
      </c>
      <c r="C607" s="7" t="inlineStr">
        <is>
          <t>CT LOURDES</t>
        </is>
      </c>
      <c r="D607" s="7" t="inlineStr">
        <is>
          <t>ROBSON e VALMIR</t>
        </is>
      </c>
      <c r="E607" s="7" t="inlineStr">
        <is>
          <t>Edvando</t>
        </is>
      </c>
      <c r="F607" s="13" t="inlineStr">
        <is>
          <t>Transformação PV 18</t>
        </is>
      </c>
      <c r="G607" s="7" t="inlineStr">
        <is>
          <t>18</t>
        </is>
      </c>
      <c r="H607" s="7" t="n"/>
      <c r="I607" s="7" t="inlineStr">
        <is>
          <t>18</t>
        </is>
      </c>
      <c r="J607" s="7" t="inlineStr">
        <is>
          <t>Transformação</t>
        </is>
      </c>
      <c r="K607" s="7" t="inlineStr">
        <is>
          <t>Planejamento</t>
        </is>
      </c>
      <c r="L607" s="16" t="inlineStr">
        <is>
          <t>PDS-janeiro(1).docx</t>
        </is>
      </c>
      <c r="M607">
        <f>IF($A607="","",TEXT($A607,"mmmm/yyyy"))</f>
        <v/>
      </c>
      <c r="P607">
        <f>IFERROR(_xludf.XLOOKUP($N607,Base_Enderecos!$A:$A,Base_Enderecos!$B:$B,""),"")</f>
        <v/>
      </c>
      <c r="Q607">
        <f>IFERROR(_xludf.XLOOKUP($N607,Base_Enderecos!$A:$A,Base_Enderecos!$C:$C,""),"")</f>
        <v/>
      </c>
      <c r="R607">
        <f>IF(OR(ISNUMBER(SEARCH("HDD",$F607)),ISNUMBER(SEARCH("MND",$F607)),ISNUMBER(SEARCH("PEAD",$F607)),ISNUMBER(SEARCH("Puxe",$J607)),ISNUMBER(SEARCH("Apoio HDD",$F607))),"MND",IF(OR(ISNUMBER(SEARCH("VCA",$F607)),ISNUMBER(SEARCH("PVC",$F607)),ISNUMBER(SEARCH("vca",$J607)),ISNUMBER(SEARCH("Transformação",$J607))),"VCA",IF(OR(ISNUMBER(SEARCH("crava",$F607)),ISNUMBER(SEARCH("tubo cravado",$F607)),ISNUMBER(SEARCH("shaft",$J607)),ISNUMBER(SEARCH("concreto",$F607))),"TUBO CRAVADO","")))</f>
        <v/>
      </c>
      <c r="T607">
        <f>IF($A607="","",TEXT($A607,"yyyymm")&amp;"|"&amp;$C607&amp;"|"&amp;$F607&amp;"|"&amp;$N607&amp;"|"&amp;$R607)</f>
        <v/>
      </c>
    </row>
    <row r="608" ht="11.55" customHeight="1">
      <c r="A608" s="10" t="n">
        <v>46052</v>
      </c>
      <c r="B608" s="7" t="inlineStr">
        <is>
          <t>Sexta</t>
        </is>
      </c>
      <c r="C608" s="7" t="inlineStr">
        <is>
          <t>CT LOURDES</t>
        </is>
      </c>
      <c r="D608" s="7" t="inlineStr">
        <is>
          <t>ROBSON e VALMIR</t>
        </is>
      </c>
      <c r="E608" s="7" t="inlineStr">
        <is>
          <t>WJ - 02</t>
        </is>
      </c>
      <c r="F608" s="13" t="inlineStr">
        <is>
          <t>Furo piloto entre PVs 13 ao 14</t>
        </is>
      </c>
      <c r="G608" s="7" t="inlineStr">
        <is>
          <t>13</t>
        </is>
      </c>
      <c r="H608" s="7" t="n"/>
      <c r="I608" s="7" t="inlineStr">
        <is>
          <t>13</t>
        </is>
      </c>
      <c r="J608" s="7" t="inlineStr">
        <is>
          <t>Furo piloto</t>
        </is>
      </c>
      <c r="K608" s="7" t="inlineStr">
        <is>
          <t>Planejamento</t>
        </is>
      </c>
      <c r="L608" s="16" t="inlineStr">
        <is>
          <t>PDS-janeiro(1).docx</t>
        </is>
      </c>
      <c r="M608">
        <f>IF($A608="","",TEXT($A608,"mmmm/yyyy"))</f>
        <v/>
      </c>
      <c r="P608">
        <f>IFERROR(_xludf.XLOOKUP($N608,Base_Enderecos!$A:$A,Base_Enderecos!$B:$B,""),"")</f>
        <v/>
      </c>
      <c r="Q608">
        <f>IFERROR(_xludf.XLOOKUP($N608,Base_Enderecos!$A:$A,Base_Enderecos!$C:$C,""),"")</f>
        <v/>
      </c>
      <c r="R608">
        <f>IF(OR(ISNUMBER(SEARCH("HDD",$F608)),ISNUMBER(SEARCH("MND",$F608)),ISNUMBER(SEARCH("PEAD",$F608)),ISNUMBER(SEARCH("Puxe",$J608)),ISNUMBER(SEARCH("Apoio HDD",$F608))),"MND",IF(OR(ISNUMBER(SEARCH("VCA",$F608)),ISNUMBER(SEARCH("PVC",$F608)),ISNUMBER(SEARCH("vca",$J608)),ISNUMBER(SEARCH("Transformação",$J608))),"VCA",IF(OR(ISNUMBER(SEARCH("crava",$F608)),ISNUMBER(SEARCH("tubo cravado",$F608)),ISNUMBER(SEARCH("shaft",$J608)),ISNUMBER(SEARCH("concreto",$F608))),"TUBO CRAVADO","")))</f>
        <v/>
      </c>
      <c r="T608">
        <f>IF($A608="","",TEXT($A608,"yyyymm")&amp;"|"&amp;$C608&amp;"|"&amp;$F608&amp;"|"&amp;$N608&amp;"|"&amp;$R608)</f>
        <v/>
      </c>
    </row>
    <row r="609" ht="11.55" customHeight="1">
      <c r="A609" s="10" t="n">
        <v>46052</v>
      </c>
      <c r="B609" s="7" t="inlineStr">
        <is>
          <t>Sexta</t>
        </is>
      </c>
      <c r="C609" s="7" t="inlineStr">
        <is>
          <t>CT LOURDES</t>
        </is>
      </c>
      <c r="D609" s="7" t="inlineStr">
        <is>
          <t>ROBSON e VALMIR</t>
        </is>
      </c>
      <c r="E609" s="7" t="inlineStr">
        <is>
          <t>Higor</t>
        </is>
      </c>
      <c r="F609" s="13" t="inlineStr">
        <is>
          <t>Apoio HDD PV 13 ao 14</t>
        </is>
      </c>
      <c r="G609" s="7" t="inlineStr">
        <is>
          <t>13</t>
        </is>
      </c>
      <c r="H609" s="7" t="n"/>
      <c r="I609" s="7" t="inlineStr">
        <is>
          <t>13</t>
        </is>
      </c>
      <c r="J609" s="7" t="inlineStr">
        <is>
          <t>Apoio HDD</t>
        </is>
      </c>
      <c r="K609" s="7" t="inlineStr">
        <is>
          <t>Planejamento</t>
        </is>
      </c>
      <c r="L609" s="16" t="inlineStr">
        <is>
          <t>PDS-janeiro(1).docx</t>
        </is>
      </c>
      <c r="M609">
        <f>IF($A609="","",TEXT($A609,"mmmm/yyyy"))</f>
        <v/>
      </c>
      <c r="P609">
        <f>IFERROR(_xludf.XLOOKUP($N609,Base_Enderecos!$A:$A,Base_Enderecos!$B:$B,""),"")</f>
        <v/>
      </c>
      <c r="Q609">
        <f>IFERROR(_xludf.XLOOKUP($N609,Base_Enderecos!$A:$A,Base_Enderecos!$C:$C,""),"")</f>
        <v/>
      </c>
      <c r="R609">
        <f>IF(OR(ISNUMBER(SEARCH("HDD",$F609)),ISNUMBER(SEARCH("MND",$F609)),ISNUMBER(SEARCH("PEAD",$F609)),ISNUMBER(SEARCH("Puxe",$J609)),ISNUMBER(SEARCH("Apoio HDD",$F609))),"MND",IF(OR(ISNUMBER(SEARCH("VCA",$F609)),ISNUMBER(SEARCH("PVC",$F609)),ISNUMBER(SEARCH("vca",$J609)),ISNUMBER(SEARCH("Transformação",$J609))),"VCA",IF(OR(ISNUMBER(SEARCH("crava",$F609)),ISNUMBER(SEARCH("tubo cravado",$F609)),ISNUMBER(SEARCH("shaft",$J609)),ISNUMBER(SEARCH("concreto",$F609))),"TUBO CRAVADO","")))</f>
        <v/>
      </c>
      <c r="T609">
        <f>IF($A609="","",TEXT($A609,"yyyymm")&amp;"|"&amp;$C609&amp;"|"&amp;$F609&amp;"|"&amp;$N609&amp;"|"&amp;$R609)</f>
        <v/>
      </c>
    </row>
    <row r="610" ht="11.55" customHeight="1">
      <c r="A610" s="10" t="n">
        <v>46052</v>
      </c>
      <c r="B610" s="7" t="inlineStr">
        <is>
          <t>Sexta</t>
        </is>
      </c>
      <c r="C610" s="7" t="inlineStr">
        <is>
          <t>CT JARAGUÁ</t>
        </is>
      </c>
      <c r="D610" s="7" t="inlineStr">
        <is>
          <t>CAROLINE e FÁBIO</t>
        </is>
      </c>
      <c r="E610" s="7" t="inlineStr">
        <is>
          <t>Cidão</t>
        </is>
      </c>
      <c r="F610" s="13" t="inlineStr">
        <is>
          <t>Acabamento PV 02</t>
        </is>
      </c>
      <c r="G610" s="7" t="inlineStr">
        <is>
          <t>02</t>
        </is>
      </c>
      <c r="H610" s="7" t="n"/>
      <c r="I610" s="7" t="inlineStr">
        <is>
          <t>02</t>
        </is>
      </c>
      <c r="J610" s="7" t="inlineStr">
        <is>
          <t>Acabamento</t>
        </is>
      </c>
      <c r="K610" s="7" t="inlineStr">
        <is>
          <t>Planejamento</t>
        </is>
      </c>
      <c r="L610" s="16" t="inlineStr">
        <is>
          <t>PDS-janeiro(1).docx</t>
        </is>
      </c>
      <c r="M610">
        <f>IF($A610="","",TEXT($A610,"mmmm/yyyy"))</f>
        <v/>
      </c>
      <c r="P610">
        <f>IFERROR(_xludf.XLOOKUP($N610,Base_Enderecos!$A:$A,Base_Enderecos!$B:$B,""),"")</f>
        <v/>
      </c>
      <c r="Q610">
        <f>IFERROR(_xludf.XLOOKUP($N610,Base_Enderecos!$A:$A,Base_Enderecos!$C:$C,""),"")</f>
        <v/>
      </c>
      <c r="R610">
        <f>IF(OR(ISNUMBER(SEARCH("HDD",$F610)),ISNUMBER(SEARCH("MND",$F610)),ISNUMBER(SEARCH("PEAD",$F610)),ISNUMBER(SEARCH("Puxe",$J610)),ISNUMBER(SEARCH("Apoio HDD",$F610))),"MND",IF(OR(ISNUMBER(SEARCH("VCA",$F610)),ISNUMBER(SEARCH("PVC",$F610)),ISNUMBER(SEARCH("vca",$J610)),ISNUMBER(SEARCH("Transformação",$J610))),"VCA",IF(OR(ISNUMBER(SEARCH("crava",$F610)),ISNUMBER(SEARCH("tubo cravado",$F610)),ISNUMBER(SEARCH("shaft",$J610)),ISNUMBER(SEARCH("concreto",$F610))),"TUBO CRAVADO","")))</f>
        <v/>
      </c>
      <c r="T610">
        <f>IF($A610="","",TEXT($A610,"yyyymm")&amp;"|"&amp;$C610&amp;"|"&amp;$F610&amp;"|"&amp;$N610&amp;"|"&amp;$R610)</f>
        <v/>
      </c>
    </row>
    <row r="611" ht="11.55" customHeight="1">
      <c r="A611" s="10" t="n">
        <v>46052</v>
      </c>
      <c r="B611" s="7" t="inlineStr">
        <is>
          <t>Sexta</t>
        </is>
      </c>
      <c r="C611" s="7" t="inlineStr">
        <is>
          <t>CT JARAGUÁ</t>
        </is>
      </c>
      <c r="D611" s="7" t="inlineStr">
        <is>
          <t>CAROLINE e FÁBIO</t>
        </is>
      </c>
      <c r="E611" s="7" t="inlineStr">
        <is>
          <t>Cesar</t>
        </is>
      </c>
      <c r="F611" s="13" t="inlineStr">
        <is>
          <t>Transformação/interligação PV 11</t>
        </is>
      </c>
      <c r="G611" s="7" t="inlineStr">
        <is>
          <t>11</t>
        </is>
      </c>
      <c r="H611" s="7" t="n"/>
      <c r="I611" s="7" t="inlineStr">
        <is>
          <t>11</t>
        </is>
      </c>
      <c r="J611" s="7" t="inlineStr">
        <is>
          <t>Transformação</t>
        </is>
      </c>
      <c r="K611" s="7" t="inlineStr">
        <is>
          <t>Planejamento</t>
        </is>
      </c>
      <c r="L611" s="16" t="inlineStr">
        <is>
          <t>PDS-janeiro(1).docx</t>
        </is>
      </c>
      <c r="M611">
        <f>IF($A611="","",TEXT($A611,"mmmm/yyyy"))</f>
        <v/>
      </c>
      <c r="P611">
        <f>IFERROR(_xludf.XLOOKUP($N611,Base_Enderecos!$A:$A,Base_Enderecos!$B:$B,""),"")</f>
        <v/>
      </c>
      <c r="Q611">
        <f>IFERROR(_xludf.XLOOKUP($N611,Base_Enderecos!$A:$A,Base_Enderecos!$C:$C,""),"")</f>
        <v/>
      </c>
      <c r="R611">
        <f>IF(OR(ISNUMBER(SEARCH("HDD",$F611)),ISNUMBER(SEARCH("MND",$F611)),ISNUMBER(SEARCH("PEAD",$F611)),ISNUMBER(SEARCH("Puxe",$J611)),ISNUMBER(SEARCH("Apoio HDD",$F611))),"MND",IF(OR(ISNUMBER(SEARCH("VCA",$F611)),ISNUMBER(SEARCH("PVC",$F611)),ISNUMBER(SEARCH("vca",$J611)),ISNUMBER(SEARCH("Transformação",$J611))),"VCA",IF(OR(ISNUMBER(SEARCH("crava",$F611)),ISNUMBER(SEARCH("tubo cravado",$F611)),ISNUMBER(SEARCH("shaft",$J611)),ISNUMBER(SEARCH("concreto",$F611))),"TUBO CRAVADO","")))</f>
        <v/>
      </c>
      <c r="T611">
        <f>IF($A611="","",TEXT($A611,"yyyymm")&amp;"|"&amp;$C611&amp;"|"&amp;$F611&amp;"|"&amp;$N611&amp;"|"&amp;$R611)</f>
        <v/>
      </c>
    </row>
    <row r="612" ht="11.55" customHeight="1">
      <c r="A612" s="10" t="n">
        <v>46052</v>
      </c>
      <c r="B612" s="7" t="inlineStr">
        <is>
          <t>Sexta</t>
        </is>
      </c>
      <c r="C612" s="7" t="inlineStr">
        <is>
          <t>CT JARAGUÁ</t>
        </is>
      </c>
      <c r="D612" s="7" t="inlineStr">
        <is>
          <t>CAROLINE e FÁBIO</t>
        </is>
      </c>
      <c r="E612" s="7" t="inlineStr">
        <is>
          <t>Carlos</t>
        </is>
      </c>
      <c r="F612" s="13" t="inlineStr">
        <is>
          <t>Acabamento PVs</t>
        </is>
      </c>
      <c r="G612" s="7" t="n"/>
      <c r="H612" s="7" t="n"/>
      <c r="I612" s="7" t="n"/>
      <c r="J612" s="7" t="inlineStr">
        <is>
          <t>Acabamento</t>
        </is>
      </c>
      <c r="K612" s="7" t="inlineStr">
        <is>
          <t>Planejamento</t>
        </is>
      </c>
      <c r="L612" s="16" t="inlineStr">
        <is>
          <t>PDS-janeiro(1).docx</t>
        </is>
      </c>
      <c r="M612">
        <f>IF($A612="","",TEXT($A612,"mmmm/yyyy"))</f>
        <v/>
      </c>
      <c r="P612">
        <f>IFERROR(_xludf.XLOOKUP($N612,Base_Enderecos!$A:$A,Base_Enderecos!$B:$B,""),"")</f>
        <v/>
      </c>
      <c r="Q612">
        <f>IFERROR(_xludf.XLOOKUP($N612,Base_Enderecos!$A:$A,Base_Enderecos!$C:$C,""),"")</f>
        <v/>
      </c>
      <c r="R612">
        <f>IF(OR(ISNUMBER(SEARCH("HDD",$F612)),ISNUMBER(SEARCH("MND",$F612)),ISNUMBER(SEARCH("PEAD",$F612)),ISNUMBER(SEARCH("Puxe",$J612)),ISNUMBER(SEARCH("Apoio HDD",$F612))),"MND",IF(OR(ISNUMBER(SEARCH("VCA",$F612)),ISNUMBER(SEARCH("PVC",$F612)),ISNUMBER(SEARCH("vca",$J612)),ISNUMBER(SEARCH("Transformação",$J612))),"VCA",IF(OR(ISNUMBER(SEARCH("crava",$F612)),ISNUMBER(SEARCH("tubo cravado",$F612)),ISNUMBER(SEARCH("shaft",$J612)),ISNUMBER(SEARCH("concreto",$F612))),"TUBO CRAVADO","")))</f>
        <v/>
      </c>
      <c r="T612">
        <f>IF($A612="","",TEXT($A612,"yyyymm")&amp;"|"&amp;$C612&amp;"|"&amp;$F612&amp;"|"&amp;$N612&amp;"|"&amp;$R612)</f>
        <v/>
      </c>
    </row>
    <row r="613" ht="11.55" customHeight="1">
      <c r="A613" s="10" t="n">
        <v>46052</v>
      </c>
      <c r="B613" s="7" t="inlineStr">
        <is>
          <t>Sexta</t>
        </is>
      </c>
      <c r="C613" s="7" t="inlineStr">
        <is>
          <t>Vacal</t>
        </is>
      </c>
      <c r="D613" s="7" t="n"/>
      <c r="E613" s="7" t="inlineStr">
        <is>
          <t>Lourdes</t>
        </is>
      </c>
      <c r="F613" s="13" t="inlineStr">
        <is>
          <t>Apoio Vacal</t>
        </is>
      </c>
      <c r="G613" s="7" t="n"/>
      <c r="H613" s="7" t="n"/>
      <c r="I613" s="7" t="n"/>
      <c r="J613" s="7" t="inlineStr">
        <is>
          <t>Vacal</t>
        </is>
      </c>
      <c r="K613" s="7" t="inlineStr">
        <is>
          <t>Apoio</t>
        </is>
      </c>
      <c r="L613" s="16" t="inlineStr">
        <is>
          <t>PDS-janeiro(1).docx</t>
        </is>
      </c>
      <c r="M613">
        <f>IF($A613="","",TEXT($A613,"mmmm/yyyy"))</f>
        <v/>
      </c>
      <c r="P613">
        <f>IFERROR(_xludf.XLOOKUP($N613,Base_Enderecos!$A:$A,Base_Enderecos!$B:$B,""),"")</f>
        <v/>
      </c>
      <c r="Q613">
        <f>IFERROR(_xludf.XLOOKUP($N613,Base_Enderecos!$A:$A,Base_Enderecos!$C:$C,""),"")</f>
        <v/>
      </c>
      <c r="R613">
        <f>IF(OR(ISNUMBER(SEARCH("HDD",$F613)),ISNUMBER(SEARCH("MND",$F613)),ISNUMBER(SEARCH("PEAD",$F613)),ISNUMBER(SEARCH("Puxe",$J613)),ISNUMBER(SEARCH("Apoio HDD",$F613))),"MND",IF(OR(ISNUMBER(SEARCH("VCA",$F613)),ISNUMBER(SEARCH("PVC",$F613)),ISNUMBER(SEARCH("vca",$J613)),ISNUMBER(SEARCH("Transformação",$J613))),"VCA",IF(OR(ISNUMBER(SEARCH("crava",$F613)),ISNUMBER(SEARCH("tubo cravado",$F613)),ISNUMBER(SEARCH("shaft",$J613)),ISNUMBER(SEARCH("concreto",$F613))),"TUBO CRAVADO","")))</f>
        <v/>
      </c>
      <c r="T613">
        <f>IF($A613="","",TEXT($A613,"yyyymm")&amp;"|"&amp;$C613&amp;"|"&amp;$F613&amp;"|"&amp;$N613&amp;"|"&amp;$R613)</f>
        <v/>
      </c>
    </row>
    <row r="614" ht="11.55" customHeight="1">
      <c r="A614" s="10" t="n">
        <v>46052</v>
      </c>
      <c r="B614" s="7" t="inlineStr">
        <is>
          <t>Sexta</t>
        </is>
      </c>
      <c r="C614" s="7" t="inlineStr">
        <is>
          <t>Vacal</t>
        </is>
      </c>
      <c r="D614" s="7" t="n"/>
      <c r="E614" s="7" t="inlineStr">
        <is>
          <t>Lourdes</t>
        </is>
      </c>
      <c r="F614" s="13" t="inlineStr">
        <is>
          <t>Apoio Vacal</t>
        </is>
      </c>
      <c r="G614" s="7" t="n"/>
      <c r="H614" s="7" t="n"/>
      <c r="I614" s="7" t="n"/>
      <c r="J614" s="7" t="inlineStr">
        <is>
          <t>Vacal</t>
        </is>
      </c>
      <c r="K614" s="7" t="inlineStr">
        <is>
          <t>Apoio</t>
        </is>
      </c>
      <c r="L614" s="16" t="inlineStr">
        <is>
          <t>PDS-janeiro(1).docx</t>
        </is>
      </c>
      <c r="M614">
        <f>IF($A614="","",TEXT($A614,"mmmm/yyyy"))</f>
        <v/>
      </c>
      <c r="P614">
        <f>IFERROR(_xludf.XLOOKUP($N614,Base_Enderecos!$A:$A,Base_Enderecos!$B:$B,""),"")</f>
        <v/>
      </c>
      <c r="Q614">
        <f>IFERROR(_xludf.XLOOKUP($N614,Base_Enderecos!$A:$A,Base_Enderecos!$C:$C,""),"")</f>
        <v/>
      </c>
      <c r="R614">
        <f>IF(OR(ISNUMBER(SEARCH("HDD",$F614)),ISNUMBER(SEARCH("MND",$F614)),ISNUMBER(SEARCH("PEAD",$F614)),ISNUMBER(SEARCH("Puxe",$J614)),ISNUMBER(SEARCH("Apoio HDD",$F614))),"MND",IF(OR(ISNUMBER(SEARCH("VCA",$F614)),ISNUMBER(SEARCH("PVC",$F614)),ISNUMBER(SEARCH("vca",$J614)),ISNUMBER(SEARCH("Transformação",$J614))),"VCA",IF(OR(ISNUMBER(SEARCH("crava",$F614)),ISNUMBER(SEARCH("tubo cravado",$F614)),ISNUMBER(SEARCH("shaft",$J614)),ISNUMBER(SEARCH("concreto",$F614))),"TUBO CRAVADO","")))</f>
        <v/>
      </c>
      <c r="T614">
        <f>IF($A614="","",TEXT($A614,"yyyymm")&amp;"|"&amp;$C614&amp;"|"&amp;$F614&amp;"|"&amp;$N614&amp;"|"&amp;$R614)</f>
        <v/>
      </c>
    </row>
    <row r="615" ht="11.55" customHeight="1">
      <c r="A615" s="10" t="n">
        <v>46052</v>
      </c>
      <c r="B615" s="7" t="inlineStr">
        <is>
          <t>Sexta</t>
        </is>
      </c>
      <c r="C615" s="7" t="inlineStr">
        <is>
          <t>Vacal</t>
        </is>
      </c>
      <c r="D615" s="7" t="n"/>
      <c r="E615" s="7" t="inlineStr">
        <is>
          <t>Mar de Coral</t>
        </is>
      </c>
      <c r="F615" s="13" t="inlineStr">
        <is>
          <t>Apoio Vacal</t>
        </is>
      </c>
      <c r="G615" s="7" t="n"/>
      <c r="H615" s="7" t="n"/>
      <c r="I615" s="7" t="n"/>
      <c r="J615" s="7" t="inlineStr">
        <is>
          <t>Vacal</t>
        </is>
      </c>
      <c r="K615" s="7" t="inlineStr">
        <is>
          <t>Apoio</t>
        </is>
      </c>
      <c r="L615" s="16" t="inlineStr">
        <is>
          <t>PDS-janeiro(1).docx</t>
        </is>
      </c>
      <c r="M615">
        <f>IF($A615="","",TEXT($A615,"mmmm/yyyy"))</f>
        <v/>
      </c>
      <c r="P615">
        <f>IFERROR(_xludf.XLOOKUP($N615,Base_Enderecos!$A:$A,Base_Enderecos!$B:$B,""),"")</f>
        <v/>
      </c>
      <c r="Q615">
        <f>IFERROR(_xludf.XLOOKUP($N615,Base_Enderecos!$A:$A,Base_Enderecos!$C:$C,""),"")</f>
        <v/>
      </c>
      <c r="R615">
        <f>IF(OR(ISNUMBER(SEARCH("HDD",$F615)),ISNUMBER(SEARCH("MND",$F615)),ISNUMBER(SEARCH("PEAD",$F615)),ISNUMBER(SEARCH("Puxe",$J615)),ISNUMBER(SEARCH("Apoio HDD",$F615))),"MND",IF(OR(ISNUMBER(SEARCH("VCA",$F615)),ISNUMBER(SEARCH("PVC",$F615)),ISNUMBER(SEARCH("vca",$J615)),ISNUMBER(SEARCH("Transformação",$J615))),"VCA",IF(OR(ISNUMBER(SEARCH("crava",$F615)),ISNUMBER(SEARCH("tubo cravado",$F615)),ISNUMBER(SEARCH("shaft",$J615)),ISNUMBER(SEARCH("concreto",$F615))),"TUBO CRAVADO","")))</f>
        <v/>
      </c>
      <c r="T615">
        <f>IF($A615="","",TEXT($A615,"yyyymm")&amp;"|"&amp;$C615&amp;"|"&amp;$F615&amp;"|"&amp;$N615&amp;"|"&amp;$R615)</f>
        <v/>
      </c>
    </row>
    <row r="616" ht="11.55" customHeight="1">
      <c r="A616" s="10" t="n">
        <v>46052</v>
      </c>
      <c r="B616" s="7" t="inlineStr">
        <is>
          <t>Sexta</t>
        </is>
      </c>
      <c r="C616" s="7" t="inlineStr">
        <is>
          <t>Vacal</t>
        </is>
      </c>
      <c r="D616" s="7" t="n"/>
      <c r="E616" s="7" t="inlineStr">
        <is>
          <t>Mar de Coral</t>
        </is>
      </c>
      <c r="F616" s="13" t="inlineStr">
        <is>
          <t>Apoio Vacal</t>
        </is>
      </c>
      <c r="G616" s="7" t="n"/>
      <c r="H616" s="7" t="n"/>
      <c r="I616" s="7" t="n"/>
      <c r="J616" s="7" t="inlineStr">
        <is>
          <t>Vacal</t>
        </is>
      </c>
      <c r="K616" s="7" t="inlineStr">
        <is>
          <t>Apoio</t>
        </is>
      </c>
      <c r="L616" s="16" t="inlineStr">
        <is>
          <t>PDS-janeiro(1).docx</t>
        </is>
      </c>
      <c r="M616">
        <f>IF($A616="","",TEXT($A616,"mmmm/yyyy"))</f>
        <v/>
      </c>
      <c r="P616">
        <f>IFERROR(_xludf.XLOOKUP($N616,Base_Enderecos!$A:$A,Base_Enderecos!$B:$B,""),"")</f>
        <v/>
      </c>
      <c r="Q616">
        <f>IFERROR(_xludf.XLOOKUP($N616,Base_Enderecos!$A:$A,Base_Enderecos!$C:$C,""),"")</f>
        <v/>
      </c>
      <c r="R616">
        <f>IF(OR(ISNUMBER(SEARCH("HDD",$F616)),ISNUMBER(SEARCH("MND",$F616)),ISNUMBER(SEARCH("PEAD",$F616)),ISNUMBER(SEARCH("Puxe",$J616)),ISNUMBER(SEARCH("Apoio HDD",$F616))),"MND",IF(OR(ISNUMBER(SEARCH("VCA",$F616)),ISNUMBER(SEARCH("PVC",$F616)),ISNUMBER(SEARCH("vca",$J616)),ISNUMBER(SEARCH("Transformação",$J616))),"VCA",IF(OR(ISNUMBER(SEARCH("crava",$F616)),ISNUMBER(SEARCH("tubo cravado",$F616)),ISNUMBER(SEARCH("shaft",$J616)),ISNUMBER(SEARCH("concreto",$F616))),"TUBO CRAVADO","")))</f>
        <v/>
      </c>
      <c r="T616">
        <f>IF($A616="","",TEXT($A616,"yyyymm")&amp;"|"&amp;$C616&amp;"|"&amp;$F616&amp;"|"&amp;$N616&amp;"|"&amp;$R616)</f>
        <v/>
      </c>
    </row>
    <row r="617" ht="11.55" customHeight="1">
      <c r="A617" s="10" t="n">
        <v>46052</v>
      </c>
      <c r="B617" s="7" t="inlineStr">
        <is>
          <t>Sexta</t>
        </is>
      </c>
      <c r="C617" s="7" t="inlineStr">
        <is>
          <t>Guindauto</t>
        </is>
      </c>
      <c r="D617" s="7" t="n"/>
      <c r="E617" s="7" t="inlineStr">
        <is>
          <t>Rodrigo</t>
        </is>
      </c>
      <c r="F617" s="13" t="inlineStr">
        <is>
          <t>Rodrigo - Apoio as equipes</t>
        </is>
      </c>
      <c r="G617" s="7" t="n"/>
      <c r="H617" s="7" t="n"/>
      <c r="I617" s="7" t="n"/>
      <c r="J617" s="7" t="inlineStr">
        <is>
          <t>Guindauto</t>
        </is>
      </c>
      <c r="K617" s="7" t="inlineStr">
        <is>
          <t>Apoio</t>
        </is>
      </c>
      <c r="L617" s="16" t="inlineStr">
        <is>
          <t>PDS-janeiro(1).docx</t>
        </is>
      </c>
      <c r="M617">
        <f>IF($A617="","",TEXT($A617,"mmmm/yyyy"))</f>
        <v/>
      </c>
      <c r="P617">
        <f>IFERROR(_xludf.XLOOKUP($N617,Base_Enderecos!$A:$A,Base_Enderecos!$B:$B,""),"")</f>
        <v/>
      </c>
      <c r="Q617">
        <f>IFERROR(_xludf.XLOOKUP($N617,Base_Enderecos!$A:$A,Base_Enderecos!$C:$C,""),"")</f>
        <v/>
      </c>
      <c r="R617">
        <f>IF(OR(ISNUMBER(SEARCH("HDD",$F617)),ISNUMBER(SEARCH("MND",$F617)),ISNUMBER(SEARCH("PEAD",$F617)),ISNUMBER(SEARCH("Puxe",$J617)),ISNUMBER(SEARCH("Apoio HDD",$F617))),"MND",IF(OR(ISNUMBER(SEARCH("VCA",$F617)),ISNUMBER(SEARCH("PVC",$F617)),ISNUMBER(SEARCH("vca",$J617)),ISNUMBER(SEARCH("Transformação",$J617))),"VCA",IF(OR(ISNUMBER(SEARCH("crava",$F617)),ISNUMBER(SEARCH("tubo cravado",$F617)),ISNUMBER(SEARCH("shaft",$J617)),ISNUMBER(SEARCH("concreto",$F617))),"TUBO CRAVADO","")))</f>
        <v/>
      </c>
      <c r="T617">
        <f>IF($A617="","",TEXT($A617,"yyyymm")&amp;"|"&amp;$C617&amp;"|"&amp;$F617&amp;"|"&amp;$N617&amp;"|"&amp;$R617)</f>
        <v/>
      </c>
    </row>
    <row r="618" ht="11.55" customHeight="1">
      <c r="A618" s="10" t="n">
        <v>46052</v>
      </c>
      <c r="B618" s="7" t="inlineStr">
        <is>
          <t>Sexta</t>
        </is>
      </c>
      <c r="C618" s="7" t="inlineStr">
        <is>
          <t>Guindauto</t>
        </is>
      </c>
      <c r="D618" s="7" t="n"/>
      <c r="E618" s="7" t="inlineStr">
        <is>
          <t>Marcio</t>
        </is>
      </c>
      <c r="F618" s="13" t="inlineStr">
        <is>
          <t>Marcio - Apoio as equipes</t>
        </is>
      </c>
      <c r="G618" s="7" t="n"/>
      <c r="H618" s="7" t="n"/>
      <c r="I618" s="7" t="n"/>
      <c r="J618" s="7" t="inlineStr">
        <is>
          <t>Guindauto</t>
        </is>
      </c>
      <c r="K618" s="7" t="inlineStr">
        <is>
          <t>Apoio</t>
        </is>
      </c>
      <c r="L618" s="16" t="inlineStr">
        <is>
          <t>PDS-janeiro(1).docx</t>
        </is>
      </c>
      <c r="M618">
        <f>IF($A618="","",TEXT($A618,"mmmm/yyyy"))</f>
        <v/>
      </c>
      <c r="P618">
        <f>IFERROR(_xludf.XLOOKUP($N618,Base_Enderecos!$A:$A,Base_Enderecos!$B:$B,""),"")</f>
        <v/>
      </c>
      <c r="Q618">
        <f>IFERROR(_xludf.XLOOKUP($N618,Base_Enderecos!$A:$A,Base_Enderecos!$C:$C,""),"")</f>
        <v/>
      </c>
      <c r="R618">
        <f>IF(OR(ISNUMBER(SEARCH("HDD",$F618)),ISNUMBER(SEARCH("MND",$F618)),ISNUMBER(SEARCH("PEAD",$F618)),ISNUMBER(SEARCH("Puxe",$J618)),ISNUMBER(SEARCH("Apoio HDD",$F618))),"MND",IF(OR(ISNUMBER(SEARCH("VCA",$F618)),ISNUMBER(SEARCH("PVC",$F618)),ISNUMBER(SEARCH("vca",$J618)),ISNUMBER(SEARCH("Transformação",$J618))),"VCA",IF(OR(ISNUMBER(SEARCH("crava",$F618)),ISNUMBER(SEARCH("tubo cravado",$F618)),ISNUMBER(SEARCH("shaft",$J618)),ISNUMBER(SEARCH("concreto",$F618))),"TUBO CRAVADO","")))</f>
        <v/>
      </c>
      <c r="T618">
        <f>IF($A618="","",TEXT($A618,"yyyymm")&amp;"|"&amp;$C618&amp;"|"&amp;$F618&amp;"|"&amp;$N618&amp;"|"&amp;$R618)</f>
        <v/>
      </c>
    </row>
    <row r="619" ht="11.55" customHeight="1">
      <c r="A619" s="10" t="n">
        <v>46055</v>
      </c>
      <c r="B619" s="7" t="inlineStr">
        <is>
          <t>Segunda</t>
        </is>
      </c>
      <c r="C619" s="7" t="inlineStr">
        <is>
          <t>CT MAR DE CORAL</t>
        </is>
      </c>
      <c r="D619" s="7" t="inlineStr">
        <is>
          <t>ELOÍZIO e LEANDRO e SILVESTRE</t>
        </is>
      </c>
      <c r="E619" s="7" t="inlineStr">
        <is>
          <t>Cidão</t>
        </is>
      </c>
      <c r="F619" s="13" t="inlineStr">
        <is>
          <t>Shaft PV 30</t>
        </is>
      </c>
      <c r="G619" s="7" t="inlineStr">
        <is>
          <t>30</t>
        </is>
      </c>
      <c r="H619" s="7" t="n"/>
      <c r="I619" s="7" t="inlineStr">
        <is>
          <t>30</t>
        </is>
      </c>
      <c r="J619" s="7" t="inlineStr">
        <is>
          <t>Shaft</t>
        </is>
      </c>
      <c r="K619" s="7" t="inlineStr">
        <is>
          <t>Planejamento</t>
        </is>
      </c>
      <c r="L619" s="16" t="inlineStr">
        <is>
          <t>PDS-Fevereiro(1).docx</t>
        </is>
      </c>
      <c r="M619">
        <f>IF($A619="","",TEXT($A619,"mmmm/yyyy"))</f>
        <v/>
      </c>
      <c r="P619">
        <f>IFERROR(_xludf.XLOOKUP($N619,Base_Enderecos!$A:$A,Base_Enderecos!$B:$B,""),"")</f>
        <v/>
      </c>
      <c r="Q619">
        <f>IFERROR(_xludf.XLOOKUP($N619,Base_Enderecos!$A:$A,Base_Enderecos!$C:$C,""),"")</f>
        <v/>
      </c>
      <c r="R619">
        <f>IF(OR(ISNUMBER(SEARCH("HDD",$F619)),ISNUMBER(SEARCH("MND",$F619)),ISNUMBER(SEARCH("PEAD",$F619)),ISNUMBER(SEARCH("Puxe",$J619)),ISNUMBER(SEARCH("Apoio HDD",$F619))),"MND",IF(OR(ISNUMBER(SEARCH("VCA",$F619)),ISNUMBER(SEARCH("PVC",$F619)),ISNUMBER(SEARCH("vca",$J619)),ISNUMBER(SEARCH("Transformação",$J619))),"VCA",IF(OR(ISNUMBER(SEARCH("crava",$F619)),ISNUMBER(SEARCH("tubo cravado",$F619)),ISNUMBER(SEARCH("shaft",$J619)),ISNUMBER(SEARCH("concreto",$F619))),"TUBO CRAVADO","")))</f>
        <v/>
      </c>
      <c r="T619">
        <f>IF($A619="","",TEXT($A619,"yyyymm")&amp;"|"&amp;$C619&amp;"|"&amp;$F619&amp;"|"&amp;$N619&amp;"|"&amp;$R619)</f>
        <v/>
      </c>
    </row>
    <row r="620" ht="11.55" customHeight="1">
      <c r="A620" s="10" t="n">
        <v>46055</v>
      </c>
      <c r="B620" s="7" t="inlineStr">
        <is>
          <t>Segunda</t>
        </is>
      </c>
      <c r="C620" s="7" t="inlineStr">
        <is>
          <t>CT MAR DE CORAL</t>
        </is>
      </c>
      <c r="D620" s="7" t="inlineStr">
        <is>
          <t>ELOÍZIO e LEANDRO e SILVESTRE</t>
        </is>
      </c>
      <c r="E620" s="7" t="inlineStr">
        <is>
          <t>Valter</t>
        </is>
      </c>
      <c r="F620" s="13" t="inlineStr">
        <is>
          <t>Transformação PV 08</t>
        </is>
      </c>
      <c r="G620" s="7" t="inlineStr">
        <is>
          <t>08</t>
        </is>
      </c>
      <c r="H620" s="7" t="n"/>
      <c r="I620" s="7" t="inlineStr">
        <is>
          <t>08</t>
        </is>
      </c>
      <c r="J620" s="7" t="inlineStr">
        <is>
          <t>Transformação</t>
        </is>
      </c>
      <c r="K620" s="7" t="inlineStr">
        <is>
          <t>Planejamento</t>
        </is>
      </c>
      <c r="L620" s="16" t="inlineStr">
        <is>
          <t>PDS-Fevereiro(1).docx</t>
        </is>
      </c>
      <c r="M620">
        <f>IF($A620="","",TEXT($A620,"mmmm/yyyy"))</f>
        <v/>
      </c>
      <c r="P620">
        <f>IFERROR(_xludf.XLOOKUP($N620,Base_Enderecos!$A:$A,Base_Enderecos!$B:$B,""),"")</f>
        <v/>
      </c>
      <c r="Q620">
        <f>IFERROR(_xludf.XLOOKUP($N620,Base_Enderecos!$A:$A,Base_Enderecos!$C:$C,""),"")</f>
        <v/>
      </c>
      <c r="R620">
        <f>IF(OR(ISNUMBER(SEARCH("HDD",$F620)),ISNUMBER(SEARCH("MND",$F620)),ISNUMBER(SEARCH("PEAD",$F620)),ISNUMBER(SEARCH("Puxe",$J620)),ISNUMBER(SEARCH("Apoio HDD",$F620))),"MND",IF(OR(ISNUMBER(SEARCH("VCA",$F620)),ISNUMBER(SEARCH("PVC",$F620)),ISNUMBER(SEARCH("vca",$J620)),ISNUMBER(SEARCH("Transformação",$J620))),"VCA",IF(OR(ISNUMBER(SEARCH("crava",$F620)),ISNUMBER(SEARCH("tubo cravado",$F620)),ISNUMBER(SEARCH("shaft",$J620)),ISNUMBER(SEARCH("concreto",$F620))),"TUBO CRAVADO","")))</f>
        <v/>
      </c>
      <c r="T620">
        <f>IF($A620="","",TEXT($A620,"yyyymm")&amp;"|"&amp;$C620&amp;"|"&amp;$F620&amp;"|"&amp;$N620&amp;"|"&amp;$R620)</f>
        <v/>
      </c>
    </row>
    <row r="621" ht="11.55" customHeight="1">
      <c r="A621" s="10" t="n">
        <v>46055</v>
      </c>
      <c r="B621" s="7" t="inlineStr">
        <is>
          <t>Segunda</t>
        </is>
      </c>
      <c r="C621" s="7" t="inlineStr">
        <is>
          <t>CT MAR DE CORAL</t>
        </is>
      </c>
      <c r="D621" s="7" t="inlineStr">
        <is>
          <t>ELOÍZIO e LEANDRO e SILVESTRE</t>
        </is>
      </c>
      <c r="E621" s="7" t="inlineStr">
        <is>
          <t>Work Drill</t>
        </is>
      </c>
      <c r="F621" s="13" t="inlineStr">
        <is>
          <t>Furo Piloto entre PVs 09 ao 10</t>
        </is>
      </c>
      <c r="G621" s="7" t="inlineStr">
        <is>
          <t>09</t>
        </is>
      </c>
      <c r="H621" s="7" t="n"/>
      <c r="I621" s="7" t="inlineStr">
        <is>
          <t>09</t>
        </is>
      </c>
      <c r="J621" s="7" t="inlineStr">
        <is>
          <t>Furo piloto</t>
        </is>
      </c>
      <c r="K621" s="7" t="inlineStr">
        <is>
          <t>Planejamento</t>
        </is>
      </c>
      <c r="L621" s="16" t="inlineStr">
        <is>
          <t>PDS-Fevereiro(1).docx</t>
        </is>
      </c>
      <c r="M621">
        <f>IF($A621="","",TEXT($A621,"mmmm/yyyy"))</f>
        <v/>
      </c>
      <c r="P621">
        <f>IFERROR(_xludf.XLOOKUP($N621,Base_Enderecos!$A:$A,Base_Enderecos!$B:$B,""),"")</f>
        <v/>
      </c>
      <c r="Q621">
        <f>IFERROR(_xludf.XLOOKUP($N621,Base_Enderecos!$A:$A,Base_Enderecos!$C:$C,""),"")</f>
        <v/>
      </c>
      <c r="R621">
        <f>IF(OR(ISNUMBER(SEARCH("HDD",$F621)),ISNUMBER(SEARCH("MND",$F621)),ISNUMBER(SEARCH("PEAD",$F621)),ISNUMBER(SEARCH("Puxe",$J621)),ISNUMBER(SEARCH("Apoio HDD",$F621))),"MND",IF(OR(ISNUMBER(SEARCH("VCA",$F621)),ISNUMBER(SEARCH("PVC",$F621)),ISNUMBER(SEARCH("vca",$J621)),ISNUMBER(SEARCH("Transformação",$J621))),"VCA",IF(OR(ISNUMBER(SEARCH("crava",$F621)),ISNUMBER(SEARCH("tubo cravado",$F621)),ISNUMBER(SEARCH("shaft",$J621)),ISNUMBER(SEARCH("concreto",$F621))),"TUBO CRAVADO","")))</f>
        <v/>
      </c>
      <c r="T621">
        <f>IF($A621="","",TEXT($A621,"yyyymm")&amp;"|"&amp;$C621&amp;"|"&amp;$F621&amp;"|"&amp;$N621&amp;"|"&amp;$R621)</f>
        <v/>
      </c>
    </row>
    <row r="622" ht="11.55" customHeight="1">
      <c r="A622" s="10" t="n">
        <v>46055</v>
      </c>
      <c r="B622" s="7" t="inlineStr">
        <is>
          <t>Segunda</t>
        </is>
      </c>
      <c r="C622" s="7" t="inlineStr">
        <is>
          <t>CT MAR DE CORAL</t>
        </is>
      </c>
      <c r="D622" s="7" t="inlineStr">
        <is>
          <t>ELOÍZIO e LEANDRO e SILVESTRE</t>
        </is>
      </c>
      <c r="E622" s="7" t="inlineStr">
        <is>
          <t>Medeiros</t>
        </is>
      </c>
      <c r="F622" s="13" t="inlineStr">
        <is>
          <t>Apoio HDD entre os PVs 09 ao PV 10</t>
        </is>
      </c>
      <c r="G622" s="7" t="inlineStr">
        <is>
          <t>09</t>
        </is>
      </c>
      <c r="H622" s="7" t="inlineStr">
        <is>
          <t>10</t>
        </is>
      </c>
      <c r="I622" s="7" t="inlineStr">
        <is>
          <t>09, 10</t>
        </is>
      </c>
      <c r="J622" s="7" t="inlineStr">
        <is>
          <t>Apoio HDD</t>
        </is>
      </c>
      <c r="K622" s="7" t="inlineStr">
        <is>
          <t>Planejamento</t>
        </is>
      </c>
      <c r="L622" s="16" t="inlineStr">
        <is>
          <t>PDS-Fevereiro(1).docx</t>
        </is>
      </c>
      <c r="M622">
        <f>IF($A622="","",TEXT($A622,"mmmm/yyyy"))</f>
        <v/>
      </c>
      <c r="P622">
        <f>IFERROR(_xludf.XLOOKUP($N622,Base_Enderecos!$A:$A,Base_Enderecos!$B:$B,""),"")</f>
        <v/>
      </c>
      <c r="Q622">
        <f>IFERROR(_xludf.XLOOKUP($N622,Base_Enderecos!$A:$A,Base_Enderecos!$C:$C,""),"")</f>
        <v/>
      </c>
      <c r="R622">
        <f>IF(OR(ISNUMBER(SEARCH("HDD",$F622)),ISNUMBER(SEARCH("MND",$F622)),ISNUMBER(SEARCH("PEAD",$F622)),ISNUMBER(SEARCH("Puxe",$J622)),ISNUMBER(SEARCH("Apoio HDD",$F622))),"MND",IF(OR(ISNUMBER(SEARCH("VCA",$F622)),ISNUMBER(SEARCH("PVC",$F622)),ISNUMBER(SEARCH("vca",$J622)),ISNUMBER(SEARCH("Transformação",$J622))),"VCA",IF(OR(ISNUMBER(SEARCH("crava",$F622)),ISNUMBER(SEARCH("tubo cravado",$F622)),ISNUMBER(SEARCH("shaft",$J622)),ISNUMBER(SEARCH("concreto",$F622))),"TUBO CRAVADO","")))</f>
        <v/>
      </c>
      <c r="T622">
        <f>IF($A622="","",TEXT($A622,"yyyymm")&amp;"|"&amp;$C622&amp;"|"&amp;$F622&amp;"|"&amp;$N622&amp;"|"&amp;$R622)</f>
        <v/>
      </c>
    </row>
    <row r="623" ht="11.55" customHeight="1">
      <c r="A623" s="10" t="n">
        <v>46055</v>
      </c>
      <c r="B623" s="7" t="inlineStr">
        <is>
          <t>Segunda</t>
        </is>
      </c>
      <c r="C623" s="7" t="inlineStr">
        <is>
          <t>CT MAR DE CORAL</t>
        </is>
      </c>
      <c r="D623" s="7" t="inlineStr">
        <is>
          <t>ELOÍZIO e LEANDRO e SILVESTRE</t>
        </is>
      </c>
      <c r="E623" s="7" t="inlineStr">
        <is>
          <t>Reinaldo</t>
        </is>
      </c>
      <c r="F623" s="13" t="inlineStr">
        <is>
          <t>Furo Piloto entre PVs 10 ao 13</t>
        </is>
      </c>
      <c r="G623" s="7" t="inlineStr">
        <is>
          <t>10</t>
        </is>
      </c>
      <c r="H623" s="7" t="n"/>
      <c r="I623" s="7" t="inlineStr">
        <is>
          <t>10</t>
        </is>
      </c>
      <c r="J623" s="7" t="inlineStr">
        <is>
          <t>Furo piloto</t>
        </is>
      </c>
      <c r="K623" s="7" t="inlineStr">
        <is>
          <t>Planejamento</t>
        </is>
      </c>
      <c r="L623" s="16" t="inlineStr">
        <is>
          <t>PDS-Fevereiro(1).docx</t>
        </is>
      </c>
      <c r="M623">
        <f>IF($A623="","",TEXT($A623,"mmmm/yyyy"))</f>
        <v/>
      </c>
      <c r="P623">
        <f>IFERROR(_xludf.XLOOKUP($N623,Base_Enderecos!$A:$A,Base_Enderecos!$B:$B,""),"")</f>
        <v/>
      </c>
      <c r="Q623">
        <f>IFERROR(_xludf.XLOOKUP($N623,Base_Enderecos!$A:$A,Base_Enderecos!$C:$C,""),"")</f>
        <v/>
      </c>
      <c r="R623">
        <f>IF(OR(ISNUMBER(SEARCH("HDD",$F623)),ISNUMBER(SEARCH("MND",$F623)),ISNUMBER(SEARCH("PEAD",$F623)),ISNUMBER(SEARCH("Puxe",$J623)),ISNUMBER(SEARCH("Apoio HDD",$F623))),"MND",IF(OR(ISNUMBER(SEARCH("VCA",$F623)),ISNUMBER(SEARCH("PVC",$F623)),ISNUMBER(SEARCH("vca",$J623)),ISNUMBER(SEARCH("Transformação",$J623))),"VCA",IF(OR(ISNUMBER(SEARCH("crava",$F623)),ISNUMBER(SEARCH("tubo cravado",$F623)),ISNUMBER(SEARCH("shaft",$J623)),ISNUMBER(SEARCH("concreto",$F623))),"TUBO CRAVADO","")))</f>
        <v/>
      </c>
      <c r="T623">
        <f>IF($A623="","",TEXT($A623,"yyyymm")&amp;"|"&amp;$C623&amp;"|"&amp;$F623&amp;"|"&amp;$N623&amp;"|"&amp;$R623)</f>
        <v/>
      </c>
    </row>
    <row r="624" ht="11.55" customHeight="1">
      <c r="A624" s="10" t="n">
        <v>46055</v>
      </c>
      <c r="B624" s="7" t="inlineStr">
        <is>
          <t>Segunda</t>
        </is>
      </c>
      <c r="C624" s="7" t="inlineStr">
        <is>
          <t>CT MAR DE CORAL</t>
        </is>
      </c>
      <c r="D624" s="7" t="inlineStr">
        <is>
          <t>ELOÍZIO e LEANDRO e SILVESTRE</t>
        </is>
      </c>
      <c r="E624" s="7" t="inlineStr">
        <is>
          <t>Márcio</t>
        </is>
      </c>
      <c r="F624" s="13" t="inlineStr">
        <is>
          <t>Apoio HDD entre PVs 10 ao 13</t>
        </is>
      </c>
      <c r="G624" s="7" t="inlineStr">
        <is>
          <t>10</t>
        </is>
      </c>
      <c r="H624" s="7" t="n"/>
      <c r="I624" s="7" t="inlineStr">
        <is>
          <t>10</t>
        </is>
      </c>
      <c r="J624" s="7" t="inlineStr">
        <is>
          <t>Apoio HDD</t>
        </is>
      </c>
      <c r="K624" s="7" t="inlineStr">
        <is>
          <t>Planejamento</t>
        </is>
      </c>
      <c r="L624" s="16" t="inlineStr">
        <is>
          <t>PDS-Fevereiro(1).docx</t>
        </is>
      </c>
      <c r="M624">
        <f>IF($A624="","",TEXT($A624,"mmmm/yyyy"))</f>
        <v/>
      </c>
      <c r="P624">
        <f>IFERROR(_xludf.XLOOKUP($N624,Base_Enderecos!$A:$A,Base_Enderecos!$B:$B,""),"")</f>
        <v/>
      </c>
      <c r="Q624">
        <f>IFERROR(_xludf.XLOOKUP($N624,Base_Enderecos!$A:$A,Base_Enderecos!$C:$C,""),"")</f>
        <v/>
      </c>
      <c r="R624">
        <f>IF(OR(ISNUMBER(SEARCH("HDD",$F624)),ISNUMBER(SEARCH("MND",$F624)),ISNUMBER(SEARCH("PEAD",$F624)),ISNUMBER(SEARCH("Puxe",$J624)),ISNUMBER(SEARCH("Apoio HDD",$F624))),"MND",IF(OR(ISNUMBER(SEARCH("VCA",$F624)),ISNUMBER(SEARCH("PVC",$F624)),ISNUMBER(SEARCH("vca",$J624)),ISNUMBER(SEARCH("Transformação",$J624))),"VCA",IF(OR(ISNUMBER(SEARCH("crava",$F624)),ISNUMBER(SEARCH("tubo cravado",$F624)),ISNUMBER(SEARCH("shaft",$J624)),ISNUMBER(SEARCH("concreto",$F624))),"TUBO CRAVADO","")))</f>
        <v/>
      </c>
      <c r="T624">
        <f>IF($A624="","",TEXT($A624,"yyyymm")&amp;"|"&amp;$C624&amp;"|"&amp;$F624&amp;"|"&amp;$N624&amp;"|"&amp;$R624)</f>
        <v/>
      </c>
    </row>
    <row r="625" ht="11.55" customHeight="1">
      <c r="A625" s="10" t="n">
        <v>46055</v>
      </c>
      <c r="B625" s="7" t="inlineStr">
        <is>
          <t>Segunda</t>
        </is>
      </c>
      <c r="C625" s="7" t="inlineStr">
        <is>
          <t>CT MAR DE CORAL</t>
        </is>
      </c>
      <c r="D625" s="7" t="inlineStr">
        <is>
          <t>ELOÍZIO e LEANDRO e SILVESTRE</t>
        </is>
      </c>
      <c r="E625" s="7" t="inlineStr">
        <is>
          <t>Marcelo</t>
        </is>
      </c>
      <c r="F625" s="13" t="inlineStr">
        <is>
          <t>Transformação PV 04</t>
        </is>
      </c>
      <c r="G625" s="7" t="inlineStr">
        <is>
          <t>04</t>
        </is>
      </c>
      <c r="H625" s="7" t="n"/>
      <c r="I625" s="7" t="inlineStr">
        <is>
          <t>04</t>
        </is>
      </c>
      <c r="J625" s="7" t="inlineStr">
        <is>
          <t>Transformação</t>
        </is>
      </c>
      <c r="K625" s="7" t="inlineStr">
        <is>
          <t>Planejamento</t>
        </is>
      </c>
      <c r="L625" s="16" t="inlineStr">
        <is>
          <t>PDS-Fevereiro(1).docx</t>
        </is>
      </c>
      <c r="M625">
        <f>IF($A625="","",TEXT($A625,"mmmm/yyyy"))</f>
        <v/>
      </c>
      <c r="P625">
        <f>IFERROR(_xludf.XLOOKUP($N625,Base_Enderecos!$A:$A,Base_Enderecos!$B:$B,""),"")</f>
        <v/>
      </c>
      <c r="Q625">
        <f>IFERROR(_xludf.XLOOKUP($N625,Base_Enderecos!$A:$A,Base_Enderecos!$C:$C,""),"")</f>
        <v/>
      </c>
      <c r="R625">
        <f>IF(OR(ISNUMBER(SEARCH("HDD",$F625)),ISNUMBER(SEARCH("MND",$F625)),ISNUMBER(SEARCH("PEAD",$F625)),ISNUMBER(SEARCH("Puxe",$J625)),ISNUMBER(SEARCH("Apoio HDD",$F625))),"MND",IF(OR(ISNUMBER(SEARCH("VCA",$F625)),ISNUMBER(SEARCH("PVC",$F625)),ISNUMBER(SEARCH("vca",$J625)),ISNUMBER(SEARCH("Transformação",$J625))),"VCA",IF(OR(ISNUMBER(SEARCH("crava",$F625)),ISNUMBER(SEARCH("tubo cravado",$F625)),ISNUMBER(SEARCH("shaft",$J625)),ISNUMBER(SEARCH("concreto",$F625))),"TUBO CRAVADO","")))</f>
        <v/>
      </c>
      <c r="T625">
        <f>IF($A625="","",TEXT($A625,"yyyymm")&amp;"|"&amp;$C625&amp;"|"&amp;$F625&amp;"|"&amp;$N625&amp;"|"&amp;$R625)</f>
        <v/>
      </c>
    </row>
    <row r="626" ht="11.55" customHeight="1">
      <c r="A626" s="10" t="n">
        <v>46055</v>
      </c>
      <c r="B626" s="7" t="inlineStr">
        <is>
          <t>Segunda</t>
        </is>
      </c>
      <c r="C626" s="7" t="inlineStr">
        <is>
          <t>CT MAR DE CORAL</t>
        </is>
      </c>
      <c r="D626" s="7" t="inlineStr">
        <is>
          <t>ELOÍZIO e LEANDRO e SILVESTRE</t>
        </is>
      </c>
      <c r="E626" s="7" t="inlineStr">
        <is>
          <t>Paulo</t>
        </is>
      </c>
      <c r="F626" s="13" t="inlineStr">
        <is>
          <t>Transformação PV 18</t>
        </is>
      </c>
      <c r="G626" s="7" t="inlineStr">
        <is>
          <t>18</t>
        </is>
      </c>
      <c r="H626" s="7" t="n"/>
      <c r="I626" s="7" t="inlineStr">
        <is>
          <t>18</t>
        </is>
      </c>
      <c r="J626" s="7" t="inlineStr">
        <is>
          <t>Transformação</t>
        </is>
      </c>
      <c r="K626" s="7" t="inlineStr">
        <is>
          <t>Planejamento</t>
        </is>
      </c>
      <c r="L626" s="16" t="inlineStr">
        <is>
          <t>PDS-Fevereiro(1).docx</t>
        </is>
      </c>
      <c r="M626">
        <f>IF($A626="","",TEXT($A626,"mmmm/yyyy"))</f>
        <v/>
      </c>
      <c r="P626">
        <f>IFERROR(_xludf.XLOOKUP($N626,Base_Enderecos!$A:$A,Base_Enderecos!$B:$B,""),"")</f>
        <v/>
      </c>
      <c r="Q626">
        <f>IFERROR(_xludf.XLOOKUP($N626,Base_Enderecos!$A:$A,Base_Enderecos!$C:$C,""),"")</f>
        <v/>
      </c>
      <c r="R626">
        <f>IF(OR(ISNUMBER(SEARCH("HDD",$F626)),ISNUMBER(SEARCH("MND",$F626)),ISNUMBER(SEARCH("PEAD",$F626)),ISNUMBER(SEARCH("Puxe",$J626)),ISNUMBER(SEARCH("Apoio HDD",$F626))),"MND",IF(OR(ISNUMBER(SEARCH("VCA",$F626)),ISNUMBER(SEARCH("PVC",$F626)),ISNUMBER(SEARCH("vca",$J626)),ISNUMBER(SEARCH("Transformação",$J626))),"VCA",IF(OR(ISNUMBER(SEARCH("crava",$F626)),ISNUMBER(SEARCH("tubo cravado",$F626)),ISNUMBER(SEARCH("shaft",$J626)),ISNUMBER(SEARCH("concreto",$F626))),"TUBO CRAVADO","")))</f>
        <v/>
      </c>
      <c r="T626">
        <f>IF($A626="","",TEXT($A626,"yyyymm")&amp;"|"&amp;$C626&amp;"|"&amp;$F626&amp;"|"&amp;$N626&amp;"|"&amp;$R626)</f>
        <v/>
      </c>
    </row>
    <row r="627" ht="11.55" customHeight="1">
      <c r="A627" s="10" t="n">
        <v>46055</v>
      </c>
      <c r="B627" s="7" t="inlineStr">
        <is>
          <t>Segunda</t>
        </is>
      </c>
      <c r="C627" s="7" t="inlineStr">
        <is>
          <t>CT MAR DE CORAL</t>
        </is>
      </c>
      <c r="D627" s="7" t="inlineStr">
        <is>
          <t>ELOÍZIO e LEANDRO e SILVESTRE</t>
        </is>
      </c>
      <c r="E627" s="7" t="inlineStr">
        <is>
          <t>Sergio</t>
        </is>
      </c>
      <c r="F627" s="13" t="inlineStr">
        <is>
          <t>Transformação PV 22</t>
        </is>
      </c>
      <c r="G627" s="7" t="inlineStr">
        <is>
          <t>22</t>
        </is>
      </c>
      <c r="H627" s="7" t="n"/>
      <c r="I627" s="7" t="inlineStr">
        <is>
          <t>22</t>
        </is>
      </c>
      <c r="J627" s="7" t="inlineStr">
        <is>
          <t>Transformação</t>
        </is>
      </c>
      <c r="K627" s="7" t="inlineStr">
        <is>
          <t>Planejamento</t>
        </is>
      </c>
      <c r="L627" s="16" t="inlineStr">
        <is>
          <t>PDS-Fevereiro(1).docx</t>
        </is>
      </c>
      <c r="M627">
        <f>IF($A627="","",TEXT($A627,"mmmm/yyyy"))</f>
        <v/>
      </c>
      <c r="P627">
        <f>IFERROR(_xludf.XLOOKUP($N627,Base_Enderecos!$A:$A,Base_Enderecos!$B:$B,""),"")</f>
        <v/>
      </c>
      <c r="Q627">
        <f>IFERROR(_xludf.XLOOKUP($N627,Base_Enderecos!$A:$A,Base_Enderecos!$C:$C,""),"")</f>
        <v/>
      </c>
      <c r="R627">
        <f>IF(OR(ISNUMBER(SEARCH("HDD",$F627)),ISNUMBER(SEARCH("MND",$F627)),ISNUMBER(SEARCH("PEAD",$F627)),ISNUMBER(SEARCH("Puxe",$J627)),ISNUMBER(SEARCH("Apoio HDD",$F627))),"MND",IF(OR(ISNUMBER(SEARCH("VCA",$F627)),ISNUMBER(SEARCH("PVC",$F627)),ISNUMBER(SEARCH("vca",$J627)),ISNUMBER(SEARCH("Transformação",$J627))),"VCA",IF(OR(ISNUMBER(SEARCH("crava",$F627)),ISNUMBER(SEARCH("tubo cravado",$F627)),ISNUMBER(SEARCH("shaft",$J627)),ISNUMBER(SEARCH("concreto",$F627))),"TUBO CRAVADO","")))</f>
        <v/>
      </c>
      <c r="T627">
        <f>IF($A627="","",TEXT($A627,"yyyymm")&amp;"|"&amp;$C627&amp;"|"&amp;$F627&amp;"|"&amp;$N627&amp;"|"&amp;$R627)</f>
        <v/>
      </c>
    </row>
    <row r="628" ht="11.55" customHeight="1">
      <c r="A628" s="10" t="n">
        <v>46055</v>
      </c>
      <c r="B628" s="7" t="inlineStr">
        <is>
          <t>Segunda</t>
        </is>
      </c>
      <c r="C628" s="7" t="inlineStr">
        <is>
          <t>CT LOURDES</t>
        </is>
      </c>
      <c r="D628" s="7" t="inlineStr">
        <is>
          <t>ROBSON e VALMIR</t>
        </is>
      </c>
      <c r="E628" s="7" t="inlineStr">
        <is>
          <t>Edvando</t>
        </is>
      </c>
      <c r="F628" s="13" t="inlineStr">
        <is>
          <t>Transformação PV 18</t>
        </is>
      </c>
      <c r="G628" s="7" t="inlineStr">
        <is>
          <t>18</t>
        </is>
      </c>
      <c r="H628" s="7" t="n"/>
      <c r="I628" s="7" t="inlineStr">
        <is>
          <t>18</t>
        </is>
      </c>
      <c r="J628" s="7" t="inlineStr">
        <is>
          <t>Transformação</t>
        </is>
      </c>
      <c r="K628" s="7" t="inlineStr">
        <is>
          <t>Planejamento</t>
        </is>
      </c>
      <c r="L628" s="16" t="inlineStr">
        <is>
          <t>PDS-Fevereiro(1).docx</t>
        </is>
      </c>
      <c r="M628">
        <f>IF($A628="","",TEXT($A628,"mmmm/yyyy"))</f>
        <v/>
      </c>
      <c r="P628">
        <f>IFERROR(_xludf.XLOOKUP($N628,Base_Enderecos!$A:$A,Base_Enderecos!$B:$B,""),"")</f>
        <v/>
      </c>
      <c r="Q628">
        <f>IFERROR(_xludf.XLOOKUP($N628,Base_Enderecos!$A:$A,Base_Enderecos!$C:$C,""),"")</f>
        <v/>
      </c>
      <c r="R628">
        <f>IF(OR(ISNUMBER(SEARCH("HDD",$F628)),ISNUMBER(SEARCH("MND",$F628)),ISNUMBER(SEARCH("PEAD",$F628)),ISNUMBER(SEARCH("Puxe",$J628)),ISNUMBER(SEARCH("Apoio HDD",$F628))),"MND",IF(OR(ISNUMBER(SEARCH("VCA",$F628)),ISNUMBER(SEARCH("PVC",$F628)),ISNUMBER(SEARCH("vca",$J628)),ISNUMBER(SEARCH("Transformação",$J628))),"VCA",IF(OR(ISNUMBER(SEARCH("crava",$F628)),ISNUMBER(SEARCH("tubo cravado",$F628)),ISNUMBER(SEARCH("shaft",$J628)),ISNUMBER(SEARCH("concreto",$F628))),"TUBO CRAVADO","")))</f>
        <v/>
      </c>
      <c r="T628">
        <f>IF($A628="","",TEXT($A628,"yyyymm")&amp;"|"&amp;$C628&amp;"|"&amp;$F628&amp;"|"&amp;$N628&amp;"|"&amp;$R628)</f>
        <v/>
      </c>
    </row>
    <row r="629" ht="11.55" customHeight="1">
      <c r="A629" s="10" t="n">
        <v>46055</v>
      </c>
      <c r="B629" s="7" t="inlineStr">
        <is>
          <t>Segunda</t>
        </is>
      </c>
      <c r="C629" s="7" t="inlineStr">
        <is>
          <t>CT LOURDES</t>
        </is>
      </c>
      <c r="D629" s="7" t="inlineStr">
        <is>
          <t>ROBSON e VALMIR</t>
        </is>
      </c>
      <c r="E629" s="7" t="inlineStr">
        <is>
          <t>Jonathan</t>
        </is>
      </c>
      <c r="F629" s="13" t="inlineStr">
        <is>
          <t>Transformação PV 13</t>
        </is>
      </c>
      <c r="G629" s="7" t="inlineStr">
        <is>
          <t>13</t>
        </is>
      </c>
      <c r="H629" s="7" t="n"/>
      <c r="I629" s="7" t="inlineStr">
        <is>
          <t>13</t>
        </is>
      </c>
      <c r="J629" s="7" t="inlineStr">
        <is>
          <t>Transformação</t>
        </is>
      </c>
      <c r="K629" s="7" t="inlineStr">
        <is>
          <t>Planejamento</t>
        </is>
      </c>
      <c r="L629" s="16" t="inlineStr">
        <is>
          <t>PDS-Fevereiro(1).docx</t>
        </is>
      </c>
      <c r="M629">
        <f>IF($A629="","",TEXT($A629,"mmmm/yyyy"))</f>
        <v/>
      </c>
      <c r="P629">
        <f>IFERROR(_xludf.XLOOKUP($N629,Base_Enderecos!$A:$A,Base_Enderecos!$B:$B,""),"")</f>
        <v/>
      </c>
      <c r="Q629">
        <f>IFERROR(_xludf.XLOOKUP($N629,Base_Enderecos!$A:$A,Base_Enderecos!$C:$C,""),"")</f>
        <v/>
      </c>
      <c r="R629">
        <f>IF(OR(ISNUMBER(SEARCH("HDD",$F629)),ISNUMBER(SEARCH("MND",$F629)),ISNUMBER(SEARCH("PEAD",$F629)),ISNUMBER(SEARCH("Puxe",$J629)),ISNUMBER(SEARCH("Apoio HDD",$F629))),"MND",IF(OR(ISNUMBER(SEARCH("VCA",$F629)),ISNUMBER(SEARCH("PVC",$F629)),ISNUMBER(SEARCH("vca",$J629)),ISNUMBER(SEARCH("Transformação",$J629))),"VCA",IF(OR(ISNUMBER(SEARCH("crava",$F629)),ISNUMBER(SEARCH("tubo cravado",$F629)),ISNUMBER(SEARCH("shaft",$J629)),ISNUMBER(SEARCH("concreto",$F629))),"TUBO CRAVADO","")))</f>
        <v/>
      </c>
      <c r="T629">
        <f>IF($A629="","",TEXT($A629,"yyyymm")&amp;"|"&amp;$C629&amp;"|"&amp;$F629&amp;"|"&amp;$N629&amp;"|"&amp;$R629)</f>
        <v/>
      </c>
    </row>
    <row r="630" ht="11.55" customHeight="1">
      <c r="A630" s="10" t="n">
        <v>46055</v>
      </c>
      <c r="B630" s="7" t="inlineStr">
        <is>
          <t>Segunda</t>
        </is>
      </c>
      <c r="C630" s="7" t="inlineStr">
        <is>
          <t>CT LOURDES</t>
        </is>
      </c>
      <c r="D630" s="7" t="inlineStr">
        <is>
          <t>ROBSON e VALMIR</t>
        </is>
      </c>
      <c r="E630" s="7" t="inlineStr">
        <is>
          <t>Carlos</t>
        </is>
      </c>
      <c r="F630" s="13" t="inlineStr">
        <is>
          <t>Transformação PV 14</t>
        </is>
      </c>
      <c r="G630" s="7" t="inlineStr">
        <is>
          <t>14</t>
        </is>
      </c>
      <c r="H630" s="7" t="n"/>
      <c r="I630" s="7" t="inlineStr">
        <is>
          <t>14</t>
        </is>
      </c>
      <c r="J630" s="7" t="inlineStr">
        <is>
          <t>Transformação</t>
        </is>
      </c>
      <c r="K630" s="7" t="inlineStr">
        <is>
          <t>Planejamento</t>
        </is>
      </c>
      <c r="L630" s="16" t="inlineStr">
        <is>
          <t>PDS-Fevereiro(1).docx</t>
        </is>
      </c>
      <c r="M630">
        <f>IF($A630="","",TEXT($A630,"mmmm/yyyy"))</f>
        <v/>
      </c>
      <c r="P630">
        <f>IFERROR(_xludf.XLOOKUP($N630,Base_Enderecos!$A:$A,Base_Enderecos!$B:$B,""),"")</f>
        <v/>
      </c>
      <c r="Q630">
        <f>IFERROR(_xludf.XLOOKUP($N630,Base_Enderecos!$A:$A,Base_Enderecos!$C:$C,""),"")</f>
        <v/>
      </c>
      <c r="R630">
        <f>IF(OR(ISNUMBER(SEARCH("HDD",$F630)),ISNUMBER(SEARCH("MND",$F630)),ISNUMBER(SEARCH("PEAD",$F630)),ISNUMBER(SEARCH("Puxe",$J630)),ISNUMBER(SEARCH("Apoio HDD",$F630))),"MND",IF(OR(ISNUMBER(SEARCH("VCA",$F630)),ISNUMBER(SEARCH("PVC",$F630)),ISNUMBER(SEARCH("vca",$J630)),ISNUMBER(SEARCH("Transformação",$J630))),"VCA",IF(OR(ISNUMBER(SEARCH("crava",$F630)),ISNUMBER(SEARCH("tubo cravado",$F630)),ISNUMBER(SEARCH("shaft",$J630)),ISNUMBER(SEARCH("concreto",$F630))),"TUBO CRAVADO","")))</f>
        <v/>
      </c>
      <c r="T630">
        <f>IF($A630="","",TEXT($A630,"yyyymm")&amp;"|"&amp;$C630&amp;"|"&amp;$F630&amp;"|"&amp;$N630&amp;"|"&amp;$R630)</f>
        <v/>
      </c>
    </row>
    <row r="631" ht="11.55" customHeight="1">
      <c r="A631" s="10" t="n">
        <v>46055</v>
      </c>
      <c r="B631" s="7" t="inlineStr">
        <is>
          <t>Segunda</t>
        </is>
      </c>
      <c r="C631" s="7" t="inlineStr">
        <is>
          <t>CT JARAGUÁ</t>
        </is>
      </c>
      <c r="D631" s="7" t="inlineStr">
        <is>
          <t>CAROLINE e FÁBIO</t>
        </is>
      </c>
      <c r="E631" s="7" t="inlineStr">
        <is>
          <t>Cesar</t>
        </is>
      </c>
      <c r="F631" s="13" t="inlineStr">
        <is>
          <t>Acabamento PVs</t>
        </is>
      </c>
      <c r="G631" s="7" t="n"/>
      <c r="H631" s="7" t="n"/>
      <c r="I631" s="7" t="n"/>
      <c r="J631" s="7" t="inlineStr">
        <is>
          <t>Acabamento</t>
        </is>
      </c>
      <c r="K631" s="7" t="inlineStr">
        <is>
          <t>Planejamento</t>
        </is>
      </c>
      <c r="L631" s="16" t="inlineStr">
        <is>
          <t>PDS-Fevereiro(1).docx</t>
        </is>
      </c>
      <c r="M631">
        <f>IF($A631="","",TEXT($A631,"mmmm/yyyy"))</f>
        <v/>
      </c>
      <c r="P631">
        <f>IFERROR(_xludf.XLOOKUP($N631,Base_Enderecos!$A:$A,Base_Enderecos!$B:$B,""),"")</f>
        <v/>
      </c>
      <c r="Q631">
        <f>IFERROR(_xludf.XLOOKUP($N631,Base_Enderecos!$A:$A,Base_Enderecos!$C:$C,""),"")</f>
        <v/>
      </c>
      <c r="R631">
        <f>IF(OR(ISNUMBER(SEARCH("HDD",$F631)),ISNUMBER(SEARCH("MND",$F631)),ISNUMBER(SEARCH("PEAD",$F631)),ISNUMBER(SEARCH("Puxe",$J631)),ISNUMBER(SEARCH("Apoio HDD",$F631))),"MND",IF(OR(ISNUMBER(SEARCH("VCA",$F631)),ISNUMBER(SEARCH("PVC",$F631)),ISNUMBER(SEARCH("vca",$J631)),ISNUMBER(SEARCH("Transformação",$J631))),"VCA",IF(OR(ISNUMBER(SEARCH("crava",$F631)),ISNUMBER(SEARCH("tubo cravado",$F631)),ISNUMBER(SEARCH("shaft",$J631)),ISNUMBER(SEARCH("concreto",$F631))),"TUBO CRAVADO","")))</f>
        <v/>
      </c>
      <c r="T631">
        <f>IF($A631="","",TEXT($A631,"yyyymm")&amp;"|"&amp;$C631&amp;"|"&amp;$F631&amp;"|"&amp;$N631&amp;"|"&amp;$R631)</f>
        <v/>
      </c>
    </row>
    <row r="632" ht="11.55" customHeight="1">
      <c r="A632" s="10" t="n">
        <v>46055</v>
      </c>
      <c r="B632" s="7" t="inlineStr">
        <is>
          <t>Segunda</t>
        </is>
      </c>
      <c r="C632" s="7" t="inlineStr">
        <is>
          <t>RCE ARARIBA</t>
        </is>
      </c>
      <c r="D632" s="7" t="inlineStr">
        <is>
          <t>ROBSON</t>
        </is>
      </c>
      <c r="E632" s="7" t="inlineStr">
        <is>
          <t>WJ - 02</t>
        </is>
      </c>
      <c r="F632" s="13" t="inlineStr">
        <is>
          <t>Furo piloto entre PVs 09 ao 07</t>
        </is>
      </c>
      <c r="G632" s="7" t="inlineStr">
        <is>
          <t>09</t>
        </is>
      </c>
      <c r="H632" s="7" t="n"/>
      <c r="I632" s="7" t="inlineStr">
        <is>
          <t>09</t>
        </is>
      </c>
      <c r="J632" s="7" t="inlineStr">
        <is>
          <t>Furo piloto</t>
        </is>
      </c>
      <c r="K632" s="7" t="inlineStr">
        <is>
          <t>Planejamento</t>
        </is>
      </c>
      <c r="L632" s="16" t="inlineStr">
        <is>
          <t>PDS-Fevereiro(1).docx</t>
        </is>
      </c>
      <c r="M632">
        <f>IF($A632="","",TEXT($A632,"mmmm/yyyy"))</f>
        <v/>
      </c>
      <c r="P632">
        <f>IFERROR(_xludf.XLOOKUP($N632,Base_Enderecos!$A:$A,Base_Enderecos!$B:$B,""),"")</f>
        <v/>
      </c>
      <c r="Q632">
        <f>IFERROR(_xludf.XLOOKUP($N632,Base_Enderecos!$A:$A,Base_Enderecos!$C:$C,""),"")</f>
        <v/>
      </c>
      <c r="R632">
        <f>IF(OR(ISNUMBER(SEARCH("HDD",$F632)),ISNUMBER(SEARCH("MND",$F632)),ISNUMBER(SEARCH("PEAD",$F632)),ISNUMBER(SEARCH("Puxe",$J632)),ISNUMBER(SEARCH("Apoio HDD",$F632))),"MND",IF(OR(ISNUMBER(SEARCH("VCA",$F632)),ISNUMBER(SEARCH("PVC",$F632)),ISNUMBER(SEARCH("vca",$J632)),ISNUMBER(SEARCH("Transformação",$J632))),"VCA",IF(OR(ISNUMBER(SEARCH("crava",$F632)),ISNUMBER(SEARCH("tubo cravado",$F632)),ISNUMBER(SEARCH("shaft",$J632)),ISNUMBER(SEARCH("concreto",$F632))),"TUBO CRAVADO","")))</f>
        <v/>
      </c>
      <c r="T632">
        <f>IF($A632="","",TEXT($A632,"yyyymm")&amp;"|"&amp;$C632&amp;"|"&amp;$F632&amp;"|"&amp;$N632&amp;"|"&amp;$R632)</f>
        <v/>
      </c>
    </row>
    <row r="633" ht="11.55" customHeight="1">
      <c r="A633" s="10" t="n">
        <v>46055</v>
      </c>
      <c r="B633" s="7" t="inlineStr">
        <is>
          <t>Segunda</t>
        </is>
      </c>
      <c r="C633" s="7" t="inlineStr">
        <is>
          <t>RCE ARARIBA</t>
        </is>
      </c>
      <c r="D633" s="7" t="inlineStr">
        <is>
          <t>ROBSON</t>
        </is>
      </c>
      <c r="E633" s="7" t="inlineStr">
        <is>
          <t>Natalino</t>
        </is>
      </c>
      <c r="F633" s="13" t="inlineStr">
        <is>
          <t>Apoio HDD PV 09 ao 07</t>
        </is>
      </c>
      <c r="G633" s="7" t="inlineStr">
        <is>
          <t>09</t>
        </is>
      </c>
      <c r="H633" s="7" t="n"/>
      <c r="I633" s="7" t="inlineStr">
        <is>
          <t>09</t>
        </is>
      </c>
      <c r="J633" s="7" t="inlineStr">
        <is>
          <t>Apoio HDD</t>
        </is>
      </c>
      <c r="K633" s="7" t="inlineStr">
        <is>
          <t>Planejamento</t>
        </is>
      </c>
      <c r="L633" s="16" t="inlineStr">
        <is>
          <t>PDS-Fevereiro(1).docx</t>
        </is>
      </c>
      <c r="M633">
        <f>IF($A633="","",TEXT($A633,"mmmm/yyyy"))</f>
        <v/>
      </c>
      <c r="P633">
        <f>IFERROR(_xludf.XLOOKUP($N633,Base_Enderecos!$A:$A,Base_Enderecos!$B:$B,""),"")</f>
        <v/>
      </c>
      <c r="Q633">
        <f>IFERROR(_xludf.XLOOKUP($N633,Base_Enderecos!$A:$A,Base_Enderecos!$C:$C,""),"")</f>
        <v/>
      </c>
      <c r="R633">
        <f>IF(OR(ISNUMBER(SEARCH("HDD",$F633)),ISNUMBER(SEARCH("MND",$F633)),ISNUMBER(SEARCH("PEAD",$F633)),ISNUMBER(SEARCH("Puxe",$J633)),ISNUMBER(SEARCH("Apoio HDD",$F633))),"MND",IF(OR(ISNUMBER(SEARCH("VCA",$F633)),ISNUMBER(SEARCH("PVC",$F633)),ISNUMBER(SEARCH("vca",$J633)),ISNUMBER(SEARCH("Transformação",$J633))),"VCA",IF(OR(ISNUMBER(SEARCH("crava",$F633)),ISNUMBER(SEARCH("tubo cravado",$F633)),ISNUMBER(SEARCH("shaft",$J633)),ISNUMBER(SEARCH("concreto",$F633))),"TUBO CRAVADO","")))</f>
        <v/>
      </c>
      <c r="T633">
        <f>IF($A633="","",TEXT($A633,"yyyymm")&amp;"|"&amp;$C633&amp;"|"&amp;$F633&amp;"|"&amp;$N633&amp;"|"&amp;$R633)</f>
        <v/>
      </c>
    </row>
    <row r="634" ht="11.55" customHeight="1">
      <c r="A634" s="10" t="n">
        <v>46055</v>
      </c>
      <c r="B634" s="7" t="inlineStr">
        <is>
          <t>Segunda</t>
        </is>
      </c>
      <c r="C634" s="7" t="inlineStr">
        <is>
          <t>Vacal</t>
        </is>
      </c>
      <c r="D634" s="7" t="n"/>
      <c r="E634" s="7" t="inlineStr">
        <is>
          <t>Lourdes</t>
        </is>
      </c>
      <c r="F634" s="13" t="inlineStr">
        <is>
          <t>Apoio Vacal</t>
        </is>
      </c>
      <c r="G634" s="7" t="n"/>
      <c r="H634" s="7" t="n"/>
      <c r="I634" s="7" t="n"/>
      <c r="J634" s="7" t="inlineStr">
        <is>
          <t>Vacal</t>
        </is>
      </c>
      <c r="K634" s="7" t="inlineStr">
        <is>
          <t>Apoio</t>
        </is>
      </c>
      <c r="L634" s="16" t="inlineStr">
        <is>
          <t>PDS-Fevereiro(1).docx</t>
        </is>
      </c>
      <c r="M634">
        <f>IF($A634="","",TEXT($A634,"mmmm/yyyy"))</f>
        <v/>
      </c>
      <c r="P634">
        <f>IFERROR(_xludf.XLOOKUP($N634,Base_Enderecos!$A:$A,Base_Enderecos!$B:$B,""),"")</f>
        <v/>
      </c>
      <c r="Q634">
        <f>IFERROR(_xludf.XLOOKUP($N634,Base_Enderecos!$A:$A,Base_Enderecos!$C:$C,""),"")</f>
        <v/>
      </c>
      <c r="R634">
        <f>IF(OR(ISNUMBER(SEARCH("HDD",$F634)),ISNUMBER(SEARCH("MND",$F634)),ISNUMBER(SEARCH("PEAD",$F634)),ISNUMBER(SEARCH("Puxe",$J634)),ISNUMBER(SEARCH("Apoio HDD",$F634))),"MND",IF(OR(ISNUMBER(SEARCH("VCA",$F634)),ISNUMBER(SEARCH("PVC",$F634)),ISNUMBER(SEARCH("vca",$J634)),ISNUMBER(SEARCH("Transformação",$J634))),"VCA",IF(OR(ISNUMBER(SEARCH("crava",$F634)),ISNUMBER(SEARCH("tubo cravado",$F634)),ISNUMBER(SEARCH("shaft",$J634)),ISNUMBER(SEARCH("concreto",$F634))),"TUBO CRAVADO","")))</f>
        <v/>
      </c>
      <c r="T634">
        <f>IF($A634="","",TEXT($A634,"yyyymm")&amp;"|"&amp;$C634&amp;"|"&amp;$F634&amp;"|"&amp;$N634&amp;"|"&amp;$R634)</f>
        <v/>
      </c>
    </row>
    <row r="635" ht="11.55" customHeight="1">
      <c r="A635" s="10" t="n">
        <v>46055</v>
      </c>
      <c r="B635" s="7" t="inlineStr">
        <is>
          <t>Segunda</t>
        </is>
      </c>
      <c r="C635" s="7" t="inlineStr">
        <is>
          <t>Vacal</t>
        </is>
      </c>
      <c r="D635" s="7" t="n"/>
      <c r="E635" s="7" t="inlineStr">
        <is>
          <t>Lourdes</t>
        </is>
      </c>
      <c r="F635" s="13" t="inlineStr">
        <is>
          <t>Apoio Vacal</t>
        </is>
      </c>
      <c r="G635" s="7" t="n"/>
      <c r="H635" s="7" t="n"/>
      <c r="I635" s="7" t="n"/>
      <c r="J635" s="7" t="inlineStr">
        <is>
          <t>Vacal</t>
        </is>
      </c>
      <c r="K635" s="7" t="inlineStr">
        <is>
          <t>Apoio</t>
        </is>
      </c>
      <c r="L635" s="16" t="inlineStr">
        <is>
          <t>PDS-Fevereiro(1).docx</t>
        </is>
      </c>
      <c r="M635">
        <f>IF($A635="","",TEXT($A635,"mmmm/yyyy"))</f>
        <v/>
      </c>
      <c r="P635">
        <f>IFERROR(_xludf.XLOOKUP($N635,Base_Enderecos!$A:$A,Base_Enderecos!$B:$B,""),"")</f>
        <v/>
      </c>
      <c r="Q635">
        <f>IFERROR(_xludf.XLOOKUP($N635,Base_Enderecos!$A:$A,Base_Enderecos!$C:$C,""),"")</f>
        <v/>
      </c>
      <c r="R635">
        <f>IF(OR(ISNUMBER(SEARCH("HDD",$F635)),ISNUMBER(SEARCH("MND",$F635)),ISNUMBER(SEARCH("PEAD",$F635)),ISNUMBER(SEARCH("Puxe",$J635)),ISNUMBER(SEARCH("Apoio HDD",$F635))),"MND",IF(OR(ISNUMBER(SEARCH("VCA",$F635)),ISNUMBER(SEARCH("PVC",$F635)),ISNUMBER(SEARCH("vca",$J635)),ISNUMBER(SEARCH("Transformação",$J635))),"VCA",IF(OR(ISNUMBER(SEARCH("crava",$F635)),ISNUMBER(SEARCH("tubo cravado",$F635)),ISNUMBER(SEARCH("shaft",$J635)),ISNUMBER(SEARCH("concreto",$F635))),"TUBO CRAVADO","")))</f>
        <v/>
      </c>
      <c r="T635">
        <f>IF($A635="","",TEXT($A635,"yyyymm")&amp;"|"&amp;$C635&amp;"|"&amp;$F635&amp;"|"&amp;$N635&amp;"|"&amp;$R635)</f>
        <v/>
      </c>
    </row>
    <row r="636" ht="11.55" customHeight="1">
      <c r="A636" s="10" t="n">
        <v>46055</v>
      </c>
      <c r="B636" s="7" t="inlineStr">
        <is>
          <t>Segunda</t>
        </is>
      </c>
      <c r="C636" s="7" t="inlineStr">
        <is>
          <t>Vacal</t>
        </is>
      </c>
      <c r="D636" s="7" t="n"/>
      <c r="E636" s="7" t="inlineStr">
        <is>
          <t>Mar de Coral</t>
        </is>
      </c>
      <c r="F636" s="13" t="inlineStr">
        <is>
          <t>Apoio Vacal</t>
        </is>
      </c>
      <c r="G636" s="7" t="n"/>
      <c r="H636" s="7" t="n"/>
      <c r="I636" s="7" t="n"/>
      <c r="J636" s="7" t="inlineStr">
        <is>
          <t>Vacal</t>
        </is>
      </c>
      <c r="K636" s="7" t="inlineStr">
        <is>
          <t>Apoio</t>
        </is>
      </c>
      <c r="L636" s="16" t="inlineStr">
        <is>
          <t>PDS-Fevereiro(1).docx</t>
        </is>
      </c>
      <c r="M636">
        <f>IF($A636="","",TEXT($A636,"mmmm/yyyy"))</f>
        <v/>
      </c>
      <c r="P636">
        <f>IFERROR(_xludf.XLOOKUP($N636,Base_Enderecos!$A:$A,Base_Enderecos!$B:$B,""),"")</f>
        <v/>
      </c>
      <c r="Q636">
        <f>IFERROR(_xludf.XLOOKUP($N636,Base_Enderecos!$A:$A,Base_Enderecos!$C:$C,""),"")</f>
        <v/>
      </c>
      <c r="R636">
        <f>IF(OR(ISNUMBER(SEARCH("HDD",$F636)),ISNUMBER(SEARCH("MND",$F636)),ISNUMBER(SEARCH("PEAD",$F636)),ISNUMBER(SEARCH("Puxe",$J636)),ISNUMBER(SEARCH("Apoio HDD",$F636))),"MND",IF(OR(ISNUMBER(SEARCH("VCA",$F636)),ISNUMBER(SEARCH("PVC",$F636)),ISNUMBER(SEARCH("vca",$J636)),ISNUMBER(SEARCH("Transformação",$J636))),"VCA",IF(OR(ISNUMBER(SEARCH("crava",$F636)),ISNUMBER(SEARCH("tubo cravado",$F636)),ISNUMBER(SEARCH("shaft",$J636)),ISNUMBER(SEARCH("concreto",$F636))),"TUBO CRAVADO","")))</f>
        <v/>
      </c>
      <c r="T636">
        <f>IF($A636="","",TEXT($A636,"yyyymm")&amp;"|"&amp;$C636&amp;"|"&amp;$F636&amp;"|"&amp;$N636&amp;"|"&amp;$R636)</f>
        <v/>
      </c>
    </row>
    <row r="637" ht="11.55" customHeight="1">
      <c r="A637" s="10" t="n">
        <v>46055</v>
      </c>
      <c r="B637" s="7" t="inlineStr">
        <is>
          <t>Segunda</t>
        </is>
      </c>
      <c r="C637" s="7" t="inlineStr">
        <is>
          <t>Vacal</t>
        </is>
      </c>
      <c r="D637" s="7" t="n"/>
      <c r="E637" s="7" t="inlineStr">
        <is>
          <t>Mar de Coral</t>
        </is>
      </c>
      <c r="F637" s="13" t="inlineStr">
        <is>
          <t>Apoio Vacal</t>
        </is>
      </c>
      <c r="G637" s="7" t="n"/>
      <c r="H637" s="7" t="n"/>
      <c r="I637" s="7" t="n"/>
      <c r="J637" s="7" t="inlineStr">
        <is>
          <t>Vacal</t>
        </is>
      </c>
      <c r="K637" s="7" t="inlineStr">
        <is>
          <t>Apoio</t>
        </is>
      </c>
      <c r="L637" s="16" t="inlineStr">
        <is>
          <t>PDS-Fevereiro(1).docx</t>
        </is>
      </c>
      <c r="M637">
        <f>IF($A637="","",TEXT($A637,"mmmm/yyyy"))</f>
        <v/>
      </c>
      <c r="P637">
        <f>IFERROR(_xludf.XLOOKUP($N637,Base_Enderecos!$A:$A,Base_Enderecos!$B:$B,""),"")</f>
        <v/>
      </c>
      <c r="Q637">
        <f>IFERROR(_xludf.XLOOKUP($N637,Base_Enderecos!$A:$A,Base_Enderecos!$C:$C,""),"")</f>
        <v/>
      </c>
      <c r="R637">
        <f>IF(OR(ISNUMBER(SEARCH("HDD",$F637)),ISNUMBER(SEARCH("MND",$F637)),ISNUMBER(SEARCH("PEAD",$F637)),ISNUMBER(SEARCH("Puxe",$J637)),ISNUMBER(SEARCH("Apoio HDD",$F637))),"MND",IF(OR(ISNUMBER(SEARCH("VCA",$F637)),ISNUMBER(SEARCH("PVC",$F637)),ISNUMBER(SEARCH("vca",$J637)),ISNUMBER(SEARCH("Transformação",$J637))),"VCA",IF(OR(ISNUMBER(SEARCH("crava",$F637)),ISNUMBER(SEARCH("tubo cravado",$F637)),ISNUMBER(SEARCH("shaft",$J637)),ISNUMBER(SEARCH("concreto",$F637))),"TUBO CRAVADO","")))</f>
        <v/>
      </c>
      <c r="T637">
        <f>IF($A637="","",TEXT($A637,"yyyymm")&amp;"|"&amp;$C637&amp;"|"&amp;$F637&amp;"|"&amp;$N637&amp;"|"&amp;$R637)</f>
        <v/>
      </c>
    </row>
    <row r="638" ht="11.55" customHeight="1">
      <c r="A638" s="10" t="n">
        <v>46055</v>
      </c>
      <c r="B638" s="7" t="inlineStr">
        <is>
          <t>Segunda</t>
        </is>
      </c>
      <c r="C638" s="7" t="inlineStr">
        <is>
          <t>Guindauto</t>
        </is>
      </c>
      <c r="D638" s="7" t="n"/>
      <c r="E638" s="7" t="inlineStr">
        <is>
          <t>Rodrigo</t>
        </is>
      </c>
      <c r="F638" s="13" t="inlineStr">
        <is>
          <t>Rodrigo - Apoio as equipes</t>
        </is>
      </c>
      <c r="G638" s="7" t="n"/>
      <c r="H638" s="7" t="n"/>
      <c r="I638" s="7" t="n"/>
      <c r="J638" s="7" t="inlineStr">
        <is>
          <t>Guindauto</t>
        </is>
      </c>
      <c r="K638" s="7" t="inlineStr">
        <is>
          <t>Apoio</t>
        </is>
      </c>
      <c r="L638" s="16" t="inlineStr">
        <is>
          <t>PDS-Fevereiro(1).docx</t>
        </is>
      </c>
      <c r="M638">
        <f>IF($A638="","",TEXT($A638,"mmmm/yyyy"))</f>
        <v/>
      </c>
      <c r="P638">
        <f>IFERROR(_xludf.XLOOKUP($N638,Base_Enderecos!$A:$A,Base_Enderecos!$B:$B,""),"")</f>
        <v/>
      </c>
      <c r="Q638">
        <f>IFERROR(_xludf.XLOOKUP($N638,Base_Enderecos!$A:$A,Base_Enderecos!$C:$C,""),"")</f>
        <v/>
      </c>
      <c r="R638">
        <f>IF(OR(ISNUMBER(SEARCH("HDD",$F638)),ISNUMBER(SEARCH("MND",$F638)),ISNUMBER(SEARCH("PEAD",$F638)),ISNUMBER(SEARCH("Puxe",$J638)),ISNUMBER(SEARCH("Apoio HDD",$F638))),"MND",IF(OR(ISNUMBER(SEARCH("VCA",$F638)),ISNUMBER(SEARCH("PVC",$F638)),ISNUMBER(SEARCH("vca",$J638)),ISNUMBER(SEARCH("Transformação",$J638))),"VCA",IF(OR(ISNUMBER(SEARCH("crava",$F638)),ISNUMBER(SEARCH("tubo cravado",$F638)),ISNUMBER(SEARCH("shaft",$J638)),ISNUMBER(SEARCH("concreto",$F638))),"TUBO CRAVADO","")))</f>
        <v/>
      </c>
      <c r="T638">
        <f>IF($A638="","",TEXT($A638,"yyyymm")&amp;"|"&amp;$C638&amp;"|"&amp;$F638&amp;"|"&amp;$N638&amp;"|"&amp;$R638)</f>
        <v/>
      </c>
    </row>
    <row r="639" ht="11.55" customHeight="1">
      <c r="A639" s="10" t="n">
        <v>46055</v>
      </c>
      <c r="B639" s="7" t="inlineStr">
        <is>
          <t>Segunda</t>
        </is>
      </c>
      <c r="C639" s="7" t="inlineStr">
        <is>
          <t>Guindauto</t>
        </is>
      </c>
      <c r="D639" s="7" t="n"/>
      <c r="E639" s="7" t="inlineStr">
        <is>
          <t>Marcio</t>
        </is>
      </c>
      <c r="F639" s="13" t="inlineStr">
        <is>
          <t>Marcio - Apoio PV 18</t>
        </is>
      </c>
      <c r="G639" s="7" t="n"/>
      <c r="H639" s="7" t="n"/>
      <c r="I639" s="7" t="n"/>
      <c r="J639" s="7" t="inlineStr">
        <is>
          <t>Guindauto</t>
        </is>
      </c>
      <c r="K639" s="7" t="inlineStr">
        <is>
          <t>Apoio</t>
        </is>
      </c>
      <c r="L639" s="16" t="inlineStr">
        <is>
          <t>PDS-Fevereiro(1).docx</t>
        </is>
      </c>
      <c r="M639">
        <f>IF($A639="","",TEXT($A639,"mmmm/yyyy"))</f>
        <v/>
      </c>
      <c r="P639">
        <f>IFERROR(_xludf.XLOOKUP($N639,Base_Enderecos!$A:$A,Base_Enderecos!$B:$B,""),"")</f>
        <v/>
      </c>
      <c r="Q639">
        <f>IFERROR(_xludf.XLOOKUP($N639,Base_Enderecos!$A:$A,Base_Enderecos!$C:$C,""),"")</f>
        <v/>
      </c>
      <c r="R639">
        <f>IF(OR(ISNUMBER(SEARCH("HDD",$F639)),ISNUMBER(SEARCH("MND",$F639)),ISNUMBER(SEARCH("PEAD",$F639)),ISNUMBER(SEARCH("Puxe",$J639)),ISNUMBER(SEARCH("Apoio HDD",$F639))),"MND",IF(OR(ISNUMBER(SEARCH("VCA",$F639)),ISNUMBER(SEARCH("PVC",$F639)),ISNUMBER(SEARCH("vca",$J639)),ISNUMBER(SEARCH("Transformação",$J639))),"VCA",IF(OR(ISNUMBER(SEARCH("crava",$F639)),ISNUMBER(SEARCH("tubo cravado",$F639)),ISNUMBER(SEARCH("shaft",$J639)),ISNUMBER(SEARCH("concreto",$F639))),"TUBO CRAVADO","")))</f>
        <v/>
      </c>
      <c r="T639">
        <f>IF($A639="","",TEXT($A639,"yyyymm")&amp;"|"&amp;$C639&amp;"|"&amp;$F639&amp;"|"&amp;$N639&amp;"|"&amp;$R639)</f>
        <v/>
      </c>
    </row>
    <row r="640" ht="11.55" customHeight="1">
      <c r="A640" s="10" t="n">
        <v>46055</v>
      </c>
      <c r="B640" s="7" t="inlineStr">
        <is>
          <t>Segunda</t>
        </is>
      </c>
      <c r="C640" s="7" t="inlineStr">
        <is>
          <t>CT MAR DE CORAL</t>
        </is>
      </c>
      <c r="D640" s="7" t="inlineStr">
        <is>
          <t>ELOÍZIO e LEANDRO e SILVESTRE</t>
        </is>
      </c>
      <c r="E640" s="7" t="inlineStr">
        <is>
          <t>Cidão</t>
        </is>
      </c>
      <c r="F640" s="13" t="inlineStr">
        <is>
          <t>Shaft PV 30</t>
        </is>
      </c>
      <c r="G640" s="7" t="inlineStr">
        <is>
          <t>30</t>
        </is>
      </c>
      <c r="H640" s="7" t="n"/>
      <c r="I640" s="7" t="inlineStr">
        <is>
          <t>30</t>
        </is>
      </c>
      <c r="J640" s="7" t="inlineStr">
        <is>
          <t>Shaft</t>
        </is>
      </c>
      <c r="K640" s="7" t="inlineStr">
        <is>
          <t>Planejamento</t>
        </is>
      </c>
      <c r="L640" s="16" t="inlineStr">
        <is>
          <t>PDS-janeiro(1).docx</t>
        </is>
      </c>
      <c r="M640">
        <f>IF($A640="","",TEXT($A640,"mmmm/yyyy"))</f>
        <v/>
      </c>
      <c r="P640">
        <f>IFERROR(_xludf.XLOOKUP($N640,Base_Enderecos!$A:$A,Base_Enderecos!$B:$B,""),"")</f>
        <v/>
      </c>
      <c r="Q640">
        <f>IFERROR(_xludf.XLOOKUP($N640,Base_Enderecos!$A:$A,Base_Enderecos!$C:$C,""),"")</f>
        <v/>
      </c>
      <c r="R640">
        <f>IF(OR(ISNUMBER(SEARCH("HDD",$F640)),ISNUMBER(SEARCH("MND",$F640)),ISNUMBER(SEARCH("PEAD",$F640)),ISNUMBER(SEARCH("Puxe",$J640)),ISNUMBER(SEARCH("Apoio HDD",$F640))),"MND",IF(OR(ISNUMBER(SEARCH("VCA",$F640)),ISNUMBER(SEARCH("PVC",$F640)),ISNUMBER(SEARCH("vca",$J640)),ISNUMBER(SEARCH("Transformação",$J640))),"VCA",IF(OR(ISNUMBER(SEARCH("crava",$F640)),ISNUMBER(SEARCH("tubo cravado",$F640)),ISNUMBER(SEARCH("shaft",$J640)),ISNUMBER(SEARCH("concreto",$F640))),"TUBO CRAVADO","")))</f>
        <v/>
      </c>
      <c r="T640">
        <f>IF($A640="","",TEXT($A640,"yyyymm")&amp;"|"&amp;$C640&amp;"|"&amp;$F640&amp;"|"&amp;$N640&amp;"|"&amp;$R640)</f>
        <v/>
      </c>
    </row>
    <row r="641" ht="11.55" customHeight="1">
      <c r="A641" s="10" t="n">
        <v>46055</v>
      </c>
      <c r="B641" s="7" t="inlineStr">
        <is>
          <t>Segunda</t>
        </is>
      </c>
      <c r="C641" s="7" t="inlineStr">
        <is>
          <t>CT MAR DE CORAL</t>
        </is>
      </c>
      <c r="D641" s="7" t="inlineStr">
        <is>
          <t>ELOÍZIO e LEANDRO e SILVESTRE</t>
        </is>
      </c>
      <c r="E641" s="7" t="inlineStr">
        <is>
          <t>Valter</t>
        </is>
      </c>
      <c r="F641" s="13" t="inlineStr">
        <is>
          <t>Transformação PV 08</t>
        </is>
      </c>
      <c r="G641" s="7" t="inlineStr">
        <is>
          <t>08</t>
        </is>
      </c>
      <c r="H641" s="7" t="n"/>
      <c r="I641" s="7" t="inlineStr">
        <is>
          <t>08</t>
        </is>
      </c>
      <c r="J641" s="7" t="inlineStr">
        <is>
          <t>Transformação</t>
        </is>
      </c>
      <c r="K641" s="7" t="inlineStr">
        <is>
          <t>Planejamento</t>
        </is>
      </c>
      <c r="L641" s="16" t="inlineStr">
        <is>
          <t>PDS-janeiro(1).docx</t>
        </is>
      </c>
      <c r="M641">
        <f>IF($A641="","",TEXT($A641,"mmmm/yyyy"))</f>
        <v/>
      </c>
      <c r="P641">
        <f>IFERROR(_xludf.XLOOKUP($N641,Base_Enderecos!$A:$A,Base_Enderecos!$B:$B,""),"")</f>
        <v/>
      </c>
      <c r="Q641">
        <f>IFERROR(_xludf.XLOOKUP($N641,Base_Enderecos!$A:$A,Base_Enderecos!$C:$C,""),"")</f>
        <v/>
      </c>
      <c r="R641">
        <f>IF(OR(ISNUMBER(SEARCH("HDD",$F641)),ISNUMBER(SEARCH("MND",$F641)),ISNUMBER(SEARCH("PEAD",$F641)),ISNUMBER(SEARCH("Puxe",$J641)),ISNUMBER(SEARCH("Apoio HDD",$F641))),"MND",IF(OR(ISNUMBER(SEARCH("VCA",$F641)),ISNUMBER(SEARCH("PVC",$F641)),ISNUMBER(SEARCH("vca",$J641)),ISNUMBER(SEARCH("Transformação",$J641))),"VCA",IF(OR(ISNUMBER(SEARCH("crava",$F641)),ISNUMBER(SEARCH("tubo cravado",$F641)),ISNUMBER(SEARCH("shaft",$J641)),ISNUMBER(SEARCH("concreto",$F641))),"TUBO CRAVADO","")))</f>
        <v/>
      </c>
      <c r="T641">
        <f>IF($A641="","",TEXT($A641,"yyyymm")&amp;"|"&amp;$C641&amp;"|"&amp;$F641&amp;"|"&amp;$N641&amp;"|"&amp;$R641)</f>
        <v/>
      </c>
    </row>
    <row r="642" ht="11.55" customHeight="1">
      <c r="A642" s="10" t="n">
        <v>46055</v>
      </c>
      <c r="B642" s="7" t="inlineStr">
        <is>
          <t>Segunda</t>
        </is>
      </c>
      <c r="C642" s="7" t="inlineStr">
        <is>
          <t>CT MAR DE CORAL</t>
        </is>
      </c>
      <c r="D642" s="7" t="inlineStr">
        <is>
          <t>ELOÍZIO e LEANDRO e SILVESTRE</t>
        </is>
      </c>
      <c r="E642" s="7" t="inlineStr">
        <is>
          <t>Work Drill</t>
        </is>
      </c>
      <c r="F642" s="13" t="inlineStr">
        <is>
          <t>Furo Piloto entre PVs 09 ao 10</t>
        </is>
      </c>
      <c r="G642" s="7" t="inlineStr">
        <is>
          <t>09</t>
        </is>
      </c>
      <c r="H642" s="7" t="n"/>
      <c r="I642" s="7" t="inlineStr">
        <is>
          <t>09</t>
        </is>
      </c>
      <c r="J642" s="7" t="inlineStr">
        <is>
          <t>Furo piloto</t>
        </is>
      </c>
      <c r="K642" s="7" t="inlineStr">
        <is>
          <t>Planejamento</t>
        </is>
      </c>
      <c r="L642" s="16" t="inlineStr">
        <is>
          <t>PDS-janeiro(1).docx</t>
        </is>
      </c>
      <c r="M642">
        <f>IF($A642="","",TEXT($A642,"mmmm/yyyy"))</f>
        <v/>
      </c>
      <c r="P642">
        <f>IFERROR(_xludf.XLOOKUP($N642,Base_Enderecos!$A:$A,Base_Enderecos!$B:$B,""),"")</f>
        <v/>
      </c>
      <c r="Q642">
        <f>IFERROR(_xludf.XLOOKUP($N642,Base_Enderecos!$A:$A,Base_Enderecos!$C:$C,""),"")</f>
        <v/>
      </c>
      <c r="R642">
        <f>IF(OR(ISNUMBER(SEARCH("HDD",$F642)),ISNUMBER(SEARCH("MND",$F642)),ISNUMBER(SEARCH("PEAD",$F642)),ISNUMBER(SEARCH("Puxe",$J642)),ISNUMBER(SEARCH("Apoio HDD",$F642))),"MND",IF(OR(ISNUMBER(SEARCH("VCA",$F642)),ISNUMBER(SEARCH("PVC",$F642)),ISNUMBER(SEARCH("vca",$J642)),ISNUMBER(SEARCH("Transformação",$J642))),"VCA",IF(OR(ISNUMBER(SEARCH("crava",$F642)),ISNUMBER(SEARCH("tubo cravado",$F642)),ISNUMBER(SEARCH("shaft",$J642)),ISNUMBER(SEARCH("concreto",$F642))),"TUBO CRAVADO","")))</f>
        <v/>
      </c>
      <c r="T642">
        <f>IF($A642="","",TEXT($A642,"yyyymm")&amp;"|"&amp;$C642&amp;"|"&amp;$F642&amp;"|"&amp;$N642&amp;"|"&amp;$R642)</f>
        <v/>
      </c>
    </row>
    <row r="643" ht="11.55" customHeight="1">
      <c r="A643" s="10" t="n">
        <v>46055</v>
      </c>
      <c r="B643" s="7" t="inlineStr">
        <is>
          <t>Segunda</t>
        </is>
      </c>
      <c r="C643" s="7" t="inlineStr">
        <is>
          <t>CT MAR DE CORAL</t>
        </is>
      </c>
      <c r="D643" s="7" t="inlineStr">
        <is>
          <t>ELOÍZIO e LEANDRO e SILVESTRE</t>
        </is>
      </c>
      <c r="E643" s="7" t="inlineStr">
        <is>
          <t>Medeiros</t>
        </is>
      </c>
      <c r="F643" s="13" t="inlineStr">
        <is>
          <t>Apoio HDD entre os PVs 09 ao PV 10</t>
        </is>
      </c>
      <c r="G643" s="7" t="inlineStr">
        <is>
          <t>09</t>
        </is>
      </c>
      <c r="H643" s="7" t="inlineStr">
        <is>
          <t>10</t>
        </is>
      </c>
      <c r="I643" s="7" t="inlineStr">
        <is>
          <t>09, 10</t>
        </is>
      </c>
      <c r="J643" s="7" t="inlineStr">
        <is>
          <t>Apoio HDD</t>
        </is>
      </c>
      <c r="K643" s="7" t="inlineStr">
        <is>
          <t>Planejamento</t>
        </is>
      </c>
      <c r="L643" s="16" t="inlineStr">
        <is>
          <t>PDS-janeiro(1).docx</t>
        </is>
      </c>
      <c r="M643">
        <f>IF($A643="","",TEXT($A643,"mmmm/yyyy"))</f>
        <v/>
      </c>
      <c r="P643">
        <f>IFERROR(_xludf.XLOOKUP($N643,Base_Enderecos!$A:$A,Base_Enderecos!$B:$B,""),"")</f>
        <v/>
      </c>
      <c r="Q643">
        <f>IFERROR(_xludf.XLOOKUP($N643,Base_Enderecos!$A:$A,Base_Enderecos!$C:$C,""),"")</f>
        <v/>
      </c>
      <c r="R643">
        <f>IF(OR(ISNUMBER(SEARCH("HDD",$F643)),ISNUMBER(SEARCH("MND",$F643)),ISNUMBER(SEARCH("PEAD",$F643)),ISNUMBER(SEARCH("Puxe",$J643)),ISNUMBER(SEARCH("Apoio HDD",$F643))),"MND",IF(OR(ISNUMBER(SEARCH("VCA",$F643)),ISNUMBER(SEARCH("PVC",$F643)),ISNUMBER(SEARCH("vca",$J643)),ISNUMBER(SEARCH("Transformação",$J643))),"VCA",IF(OR(ISNUMBER(SEARCH("crava",$F643)),ISNUMBER(SEARCH("tubo cravado",$F643)),ISNUMBER(SEARCH("shaft",$J643)),ISNUMBER(SEARCH("concreto",$F643))),"TUBO CRAVADO","")))</f>
        <v/>
      </c>
      <c r="T643">
        <f>IF($A643="","",TEXT($A643,"yyyymm")&amp;"|"&amp;$C643&amp;"|"&amp;$F643&amp;"|"&amp;$N643&amp;"|"&amp;$R643)</f>
        <v/>
      </c>
    </row>
    <row r="644" ht="11.55" customHeight="1">
      <c r="A644" s="10" t="n">
        <v>46055</v>
      </c>
      <c r="B644" s="7" t="inlineStr">
        <is>
          <t>Segunda</t>
        </is>
      </c>
      <c r="C644" s="7" t="inlineStr">
        <is>
          <t>CT MAR DE CORAL</t>
        </is>
      </c>
      <c r="D644" s="7" t="inlineStr">
        <is>
          <t>ELOÍZIO e LEANDRO e SILVESTRE</t>
        </is>
      </c>
      <c r="E644" s="7" t="inlineStr">
        <is>
          <t>Reinaldo</t>
        </is>
      </c>
      <c r="F644" s="13" t="inlineStr">
        <is>
          <t>Furo Piloto entre PVs 10 ao 13</t>
        </is>
      </c>
      <c r="G644" s="7" t="inlineStr">
        <is>
          <t>10</t>
        </is>
      </c>
      <c r="H644" s="7" t="n"/>
      <c r="I644" s="7" t="inlineStr">
        <is>
          <t>10</t>
        </is>
      </c>
      <c r="J644" s="7" t="inlineStr">
        <is>
          <t>Furo piloto</t>
        </is>
      </c>
      <c r="K644" s="7" t="inlineStr">
        <is>
          <t>Planejamento</t>
        </is>
      </c>
      <c r="L644" s="16" t="inlineStr">
        <is>
          <t>PDS-janeiro(1).docx</t>
        </is>
      </c>
      <c r="M644">
        <f>IF($A644="","",TEXT($A644,"mmmm/yyyy"))</f>
        <v/>
      </c>
      <c r="P644">
        <f>IFERROR(_xludf.XLOOKUP($N644,Base_Enderecos!$A:$A,Base_Enderecos!$B:$B,""),"")</f>
        <v/>
      </c>
      <c r="Q644">
        <f>IFERROR(_xludf.XLOOKUP($N644,Base_Enderecos!$A:$A,Base_Enderecos!$C:$C,""),"")</f>
        <v/>
      </c>
      <c r="R644">
        <f>IF(OR(ISNUMBER(SEARCH("HDD",$F644)),ISNUMBER(SEARCH("MND",$F644)),ISNUMBER(SEARCH("PEAD",$F644)),ISNUMBER(SEARCH("Puxe",$J644)),ISNUMBER(SEARCH("Apoio HDD",$F644))),"MND",IF(OR(ISNUMBER(SEARCH("VCA",$F644)),ISNUMBER(SEARCH("PVC",$F644)),ISNUMBER(SEARCH("vca",$J644)),ISNUMBER(SEARCH("Transformação",$J644))),"VCA",IF(OR(ISNUMBER(SEARCH("crava",$F644)),ISNUMBER(SEARCH("tubo cravado",$F644)),ISNUMBER(SEARCH("shaft",$J644)),ISNUMBER(SEARCH("concreto",$F644))),"TUBO CRAVADO","")))</f>
        <v/>
      </c>
      <c r="T644">
        <f>IF($A644="","",TEXT($A644,"yyyymm")&amp;"|"&amp;$C644&amp;"|"&amp;$F644&amp;"|"&amp;$N644&amp;"|"&amp;$R644)</f>
        <v/>
      </c>
    </row>
    <row r="645" ht="11.55" customHeight="1">
      <c r="A645" s="10" t="n">
        <v>46055</v>
      </c>
      <c r="B645" s="7" t="inlineStr">
        <is>
          <t>Segunda</t>
        </is>
      </c>
      <c r="C645" s="7" t="inlineStr">
        <is>
          <t>CT MAR DE CORAL</t>
        </is>
      </c>
      <c r="D645" s="7" t="inlineStr">
        <is>
          <t>ELOÍZIO e LEANDRO e SILVESTRE</t>
        </is>
      </c>
      <c r="E645" s="7" t="inlineStr">
        <is>
          <t>Márcio</t>
        </is>
      </c>
      <c r="F645" s="13" t="inlineStr">
        <is>
          <t>Apoio HDD entre PVs 10 ao 13</t>
        </is>
      </c>
      <c r="G645" s="7" t="inlineStr">
        <is>
          <t>10</t>
        </is>
      </c>
      <c r="H645" s="7" t="n"/>
      <c r="I645" s="7" t="inlineStr">
        <is>
          <t>10</t>
        </is>
      </c>
      <c r="J645" s="7" t="inlineStr">
        <is>
          <t>Apoio HDD</t>
        </is>
      </c>
      <c r="K645" s="7" t="inlineStr">
        <is>
          <t>Planejamento</t>
        </is>
      </c>
      <c r="L645" s="16" t="inlineStr">
        <is>
          <t>PDS-janeiro(1).docx</t>
        </is>
      </c>
      <c r="M645">
        <f>IF($A645="","",TEXT($A645,"mmmm/yyyy"))</f>
        <v/>
      </c>
      <c r="P645">
        <f>IFERROR(_xludf.XLOOKUP($N645,Base_Enderecos!$A:$A,Base_Enderecos!$B:$B,""),"")</f>
        <v/>
      </c>
      <c r="Q645">
        <f>IFERROR(_xludf.XLOOKUP($N645,Base_Enderecos!$A:$A,Base_Enderecos!$C:$C,""),"")</f>
        <v/>
      </c>
      <c r="R645">
        <f>IF(OR(ISNUMBER(SEARCH("HDD",$F645)),ISNUMBER(SEARCH("MND",$F645)),ISNUMBER(SEARCH("PEAD",$F645)),ISNUMBER(SEARCH("Puxe",$J645)),ISNUMBER(SEARCH("Apoio HDD",$F645))),"MND",IF(OR(ISNUMBER(SEARCH("VCA",$F645)),ISNUMBER(SEARCH("PVC",$F645)),ISNUMBER(SEARCH("vca",$J645)),ISNUMBER(SEARCH("Transformação",$J645))),"VCA",IF(OR(ISNUMBER(SEARCH("crava",$F645)),ISNUMBER(SEARCH("tubo cravado",$F645)),ISNUMBER(SEARCH("shaft",$J645)),ISNUMBER(SEARCH("concreto",$F645))),"TUBO CRAVADO","")))</f>
        <v/>
      </c>
      <c r="T645">
        <f>IF($A645="","",TEXT($A645,"yyyymm")&amp;"|"&amp;$C645&amp;"|"&amp;$F645&amp;"|"&amp;$N645&amp;"|"&amp;$R645)</f>
        <v/>
      </c>
    </row>
    <row r="646" ht="11.55" customHeight="1">
      <c r="A646" s="10" t="n">
        <v>46055</v>
      </c>
      <c r="B646" s="7" t="inlineStr">
        <is>
          <t>Segunda</t>
        </is>
      </c>
      <c r="C646" s="7" t="inlineStr">
        <is>
          <t>CT MAR DE CORAL</t>
        </is>
      </c>
      <c r="D646" s="7" t="inlineStr">
        <is>
          <t>ELOÍZIO e LEANDRO e SILVESTRE</t>
        </is>
      </c>
      <c r="E646" s="7" t="inlineStr">
        <is>
          <t>Marcelo</t>
        </is>
      </c>
      <c r="F646" s="13" t="inlineStr">
        <is>
          <t>Transformação PV 04</t>
        </is>
      </c>
      <c r="G646" s="7" t="inlineStr">
        <is>
          <t>04</t>
        </is>
      </c>
      <c r="H646" s="7" t="n"/>
      <c r="I646" s="7" t="inlineStr">
        <is>
          <t>04</t>
        </is>
      </c>
      <c r="J646" s="7" t="inlineStr">
        <is>
          <t>Transformação</t>
        </is>
      </c>
      <c r="K646" s="7" t="inlineStr">
        <is>
          <t>Planejamento</t>
        </is>
      </c>
      <c r="L646" s="16" t="inlineStr">
        <is>
          <t>PDS-janeiro(1).docx</t>
        </is>
      </c>
      <c r="M646">
        <f>IF($A646="","",TEXT($A646,"mmmm/yyyy"))</f>
        <v/>
      </c>
      <c r="P646">
        <f>IFERROR(_xludf.XLOOKUP($N646,Base_Enderecos!$A:$A,Base_Enderecos!$B:$B,""),"")</f>
        <v/>
      </c>
      <c r="Q646">
        <f>IFERROR(_xludf.XLOOKUP($N646,Base_Enderecos!$A:$A,Base_Enderecos!$C:$C,""),"")</f>
        <v/>
      </c>
      <c r="R646">
        <f>IF(OR(ISNUMBER(SEARCH("HDD",$F646)),ISNUMBER(SEARCH("MND",$F646)),ISNUMBER(SEARCH("PEAD",$F646)),ISNUMBER(SEARCH("Puxe",$J646)),ISNUMBER(SEARCH("Apoio HDD",$F646))),"MND",IF(OR(ISNUMBER(SEARCH("VCA",$F646)),ISNUMBER(SEARCH("PVC",$F646)),ISNUMBER(SEARCH("vca",$J646)),ISNUMBER(SEARCH("Transformação",$J646))),"VCA",IF(OR(ISNUMBER(SEARCH("crava",$F646)),ISNUMBER(SEARCH("tubo cravado",$F646)),ISNUMBER(SEARCH("shaft",$J646)),ISNUMBER(SEARCH("concreto",$F646))),"TUBO CRAVADO","")))</f>
        <v/>
      </c>
      <c r="T646">
        <f>IF($A646="","",TEXT($A646,"yyyymm")&amp;"|"&amp;$C646&amp;"|"&amp;$F646&amp;"|"&amp;$N646&amp;"|"&amp;$R646)</f>
        <v/>
      </c>
    </row>
    <row r="647" ht="11.55" customHeight="1">
      <c r="A647" s="10" t="n">
        <v>46055</v>
      </c>
      <c r="B647" s="7" t="inlineStr">
        <is>
          <t>Segunda</t>
        </is>
      </c>
      <c r="C647" s="7" t="inlineStr">
        <is>
          <t>CT MAR DE CORAL</t>
        </is>
      </c>
      <c r="D647" s="7" t="inlineStr">
        <is>
          <t>ELOÍZIO e LEANDRO e SILVESTRE</t>
        </is>
      </c>
      <c r="E647" s="7" t="inlineStr">
        <is>
          <t>Paulo</t>
        </is>
      </c>
      <c r="F647" s="13" t="inlineStr">
        <is>
          <t>Transformação PV 18</t>
        </is>
      </c>
      <c r="G647" s="7" t="inlineStr">
        <is>
          <t>18</t>
        </is>
      </c>
      <c r="H647" s="7" t="n"/>
      <c r="I647" s="7" t="inlineStr">
        <is>
          <t>18</t>
        </is>
      </c>
      <c r="J647" s="7" t="inlineStr">
        <is>
          <t>Transformação</t>
        </is>
      </c>
      <c r="K647" s="7" t="inlineStr">
        <is>
          <t>Planejamento</t>
        </is>
      </c>
      <c r="L647" s="16" t="inlineStr">
        <is>
          <t>PDS-janeiro(1).docx</t>
        </is>
      </c>
      <c r="M647">
        <f>IF($A647="","",TEXT($A647,"mmmm/yyyy"))</f>
        <v/>
      </c>
      <c r="P647">
        <f>IFERROR(_xludf.XLOOKUP($N647,Base_Enderecos!$A:$A,Base_Enderecos!$B:$B,""),"")</f>
        <v/>
      </c>
      <c r="Q647">
        <f>IFERROR(_xludf.XLOOKUP($N647,Base_Enderecos!$A:$A,Base_Enderecos!$C:$C,""),"")</f>
        <v/>
      </c>
      <c r="R647">
        <f>IF(OR(ISNUMBER(SEARCH("HDD",$F647)),ISNUMBER(SEARCH("MND",$F647)),ISNUMBER(SEARCH("PEAD",$F647)),ISNUMBER(SEARCH("Puxe",$J647)),ISNUMBER(SEARCH("Apoio HDD",$F647))),"MND",IF(OR(ISNUMBER(SEARCH("VCA",$F647)),ISNUMBER(SEARCH("PVC",$F647)),ISNUMBER(SEARCH("vca",$J647)),ISNUMBER(SEARCH("Transformação",$J647))),"VCA",IF(OR(ISNUMBER(SEARCH("crava",$F647)),ISNUMBER(SEARCH("tubo cravado",$F647)),ISNUMBER(SEARCH("shaft",$J647)),ISNUMBER(SEARCH("concreto",$F647))),"TUBO CRAVADO","")))</f>
        <v/>
      </c>
      <c r="T647">
        <f>IF($A647="","",TEXT($A647,"yyyymm")&amp;"|"&amp;$C647&amp;"|"&amp;$F647&amp;"|"&amp;$N647&amp;"|"&amp;$R647)</f>
        <v/>
      </c>
    </row>
    <row r="648" ht="11.55" customHeight="1">
      <c r="A648" s="10" t="n">
        <v>46055</v>
      </c>
      <c r="B648" s="7" t="inlineStr">
        <is>
          <t>Segunda</t>
        </is>
      </c>
      <c r="C648" s="7" t="inlineStr">
        <is>
          <t>CT MAR DE CORAL</t>
        </is>
      </c>
      <c r="D648" s="7" t="inlineStr">
        <is>
          <t>ELOÍZIO e LEANDRO e SILVESTRE</t>
        </is>
      </c>
      <c r="E648" s="7" t="inlineStr">
        <is>
          <t>Sergio</t>
        </is>
      </c>
      <c r="F648" s="13" t="inlineStr">
        <is>
          <t>Transformação PV 22</t>
        </is>
      </c>
      <c r="G648" s="7" t="inlineStr">
        <is>
          <t>22</t>
        </is>
      </c>
      <c r="H648" s="7" t="n"/>
      <c r="I648" s="7" t="inlineStr">
        <is>
          <t>22</t>
        </is>
      </c>
      <c r="J648" s="7" t="inlineStr">
        <is>
          <t>Transformação</t>
        </is>
      </c>
      <c r="K648" s="7" t="inlineStr">
        <is>
          <t>Planejamento</t>
        </is>
      </c>
      <c r="L648" s="16" t="inlineStr">
        <is>
          <t>PDS-janeiro(1).docx</t>
        </is>
      </c>
      <c r="M648">
        <f>IF($A648="","",TEXT($A648,"mmmm/yyyy"))</f>
        <v/>
      </c>
      <c r="P648">
        <f>IFERROR(_xludf.XLOOKUP($N648,Base_Enderecos!$A:$A,Base_Enderecos!$B:$B,""),"")</f>
        <v/>
      </c>
      <c r="Q648">
        <f>IFERROR(_xludf.XLOOKUP($N648,Base_Enderecos!$A:$A,Base_Enderecos!$C:$C,""),"")</f>
        <v/>
      </c>
      <c r="R648">
        <f>IF(OR(ISNUMBER(SEARCH("HDD",$F648)),ISNUMBER(SEARCH("MND",$F648)),ISNUMBER(SEARCH("PEAD",$F648)),ISNUMBER(SEARCH("Puxe",$J648)),ISNUMBER(SEARCH("Apoio HDD",$F648))),"MND",IF(OR(ISNUMBER(SEARCH("VCA",$F648)),ISNUMBER(SEARCH("PVC",$F648)),ISNUMBER(SEARCH("vca",$J648)),ISNUMBER(SEARCH("Transformação",$J648))),"VCA",IF(OR(ISNUMBER(SEARCH("crava",$F648)),ISNUMBER(SEARCH("tubo cravado",$F648)),ISNUMBER(SEARCH("shaft",$J648)),ISNUMBER(SEARCH("concreto",$F648))),"TUBO CRAVADO","")))</f>
        <v/>
      </c>
      <c r="T648">
        <f>IF($A648="","",TEXT($A648,"yyyymm")&amp;"|"&amp;$C648&amp;"|"&amp;$F648&amp;"|"&amp;$N648&amp;"|"&amp;$R648)</f>
        <v/>
      </c>
    </row>
    <row r="649" ht="11.55" customHeight="1">
      <c r="A649" s="10" t="n">
        <v>46055</v>
      </c>
      <c r="B649" s="7" t="inlineStr">
        <is>
          <t>Segunda</t>
        </is>
      </c>
      <c r="C649" s="7" t="inlineStr">
        <is>
          <t>CT LOURDES</t>
        </is>
      </c>
      <c r="D649" s="7" t="inlineStr">
        <is>
          <t>ROBSON e VALMIR</t>
        </is>
      </c>
      <c r="E649" s="7" t="inlineStr">
        <is>
          <t>Edvando</t>
        </is>
      </c>
      <c r="F649" s="13" t="inlineStr">
        <is>
          <t>Transformação PV 18</t>
        </is>
      </c>
      <c r="G649" s="7" t="inlineStr">
        <is>
          <t>18</t>
        </is>
      </c>
      <c r="H649" s="7" t="n"/>
      <c r="I649" s="7" t="inlineStr">
        <is>
          <t>18</t>
        </is>
      </c>
      <c r="J649" s="7" t="inlineStr">
        <is>
          <t>Transformação</t>
        </is>
      </c>
      <c r="K649" s="7" t="inlineStr">
        <is>
          <t>Planejamento</t>
        </is>
      </c>
      <c r="L649" s="16" t="inlineStr">
        <is>
          <t>PDS-janeiro(1).docx</t>
        </is>
      </c>
      <c r="M649">
        <f>IF($A649="","",TEXT($A649,"mmmm/yyyy"))</f>
        <v/>
      </c>
      <c r="P649">
        <f>IFERROR(_xludf.XLOOKUP($N649,Base_Enderecos!$A:$A,Base_Enderecos!$B:$B,""),"")</f>
        <v/>
      </c>
      <c r="Q649">
        <f>IFERROR(_xludf.XLOOKUP($N649,Base_Enderecos!$A:$A,Base_Enderecos!$C:$C,""),"")</f>
        <v/>
      </c>
      <c r="R649">
        <f>IF(OR(ISNUMBER(SEARCH("HDD",$F649)),ISNUMBER(SEARCH("MND",$F649)),ISNUMBER(SEARCH("PEAD",$F649)),ISNUMBER(SEARCH("Puxe",$J649)),ISNUMBER(SEARCH("Apoio HDD",$F649))),"MND",IF(OR(ISNUMBER(SEARCH("VCA",$F649)),ISNUMBER(SEARCH("PVC",$F649)),ISNUMBER(SEARCH("vca",$J649)),ISNUMBER(SEARCH("Transformação",$J649))),"VCA",IF(OR(ISNUMBER(SEARCH("crava",$F649)),ISNUMBER(SEARCH("tubo cravado",$F649)),ISNUMBER(SEARCH("shaft",$J649)),ISNUMBER(SEARCH("concreto",$F649))),"TUBO CRAVADO","")))</f>
        <v/>
      </c>
      <c r="T649">
        <f>IF($A649="","",TEXT($A649,"yyyymm")&amp;"|"&amp;$C649&amp;"|"&amp;$F649&amp;"|"&amp;$N649&amp;"|"&amp;$R649)</f>
        <v/>
      </c>
    </row>
    <row r="650" ht="11.55" customHeight="1">
      <c r="A650" s="10" t="n">
        <v>46055</v>
      </c>
      <c r="B650" s="7" t="inlineStr">
        <is>
          <t>Segunda</t>
        </is>
      </c>
      <c r="C650" s="7" t="inlineStr">
        <is>
          <t>CT LOURDES</t>
        </is>
      </c>
      <c r="D650" s="7" t="inlineStr">
        <is>
          <t>ROBSON e VALMIR</t>
        </is>
      </c>
      <c r="E650" s="7" t="inlineStr">
        <is>
          <t>Jonathan</t>
        </is>
      </c>
      <c r="F650" s="13" t="inlineStr">
        <is>
          <t>Transformação PV 13</t>
        </is>
      </c>
      <c r="G650" s="7" t="inlineStr">
        <is>
          <t>13</t>
        </is>
      </c>
      <c r="H650" s="7" t="n"/>
      <c r="I650" s="7" t="inlineStr">
        <is>
          <t>13</t>
        </is>
      </c>
      <c r="J650" s="7" t="inlineStr">
        <is>
          <t>Transformação</t>
        </is>
      </c>
      <c r="K650" s="7" t="inlineStr">
        <is>
          <t>Planejamento</t>
        </is>
      </c>
      <c r="L650" s="16" t="inlineStr">
        <is>
          <t>PDS-janeiro(1).docx</t>
        </is>
      </c>
      <c r="M650">
        <f>IF($A650="","",TEXT($A650,"mmmm/yyyy"))</f>
        <v/>
      </c>
      <c r="P650">
        <f>IFERROR(_xludf.XLOOKUP($N650,Base_Enderecos!$A:$A,Base_Enderecos!$B:$B,""),"")</f>
        <v/>
      </c>
      <c r="Q650">
        <f>IFERROR(_xludf.XLOOKUP($N650,Base_Enderecos!$A:$A,Base_Enderecos!$C:$C,""),"")</f>
        <v/>
      </c>
      <c r="R650">
        <f>IF(OR(ISNUMBER(SEARCH("HDD",$F650)),ISNUMBER(SEARCH("MND",$F650)),ISNUMBER(SEARCH("PEAD",$F650)),ISNUMBER(SEARCH("Puxe",$J650)),ISNUMBER(SEARCH("Apoio HDD",$F650))),"MND",IF(OR(ISNUMBER(SEARCH("VCA",$F650)),ISNUMBER(SEARCH("PVC",$F650)),ISNUMBER(SEARCH("vca",$J650)),ISNUMBER(SEARCH("Transformação",$J650))),"VCA",IF(OR(ISNUMBER(SEARCH("crava",$F650)),ISNUMBER(SEARCH("tubo cravado",$F650)),ISNUMBER(SEARCH("shaft",$J650)),ISNUMBER(SEARCH("concreto",$F650))),"TUBO CRAVADO","")))</f>
        <v/>
      </c>
      <c r="T650">
        <f>IF($A650="","",TEXT($A650,"yyyymm")&amp;"|"&amp;$C650&amp;"|"&amp;$F650&amp;"|"&amp;$N650&amp;"|"&amp;$R650)</f>
        <v/>
      </c>
    </row>
    <row r="651" ht="11.55" customHeight="1">
      <c r="A651" s="10" t="n">
        <v>46055</v>
      </c>
      <c r="B651" s="7" t="inlineStr">
        <is>
          <t>Segunda</t>
        </is>
      </c>
      <c r="C651" s="7" t="inlineStr">
        <is>
          <t>CT LOURDES</t>
        </is>
      </c>
      <c r="D651" s="7" t="inlineStr">
        <is>
          <t>ROBSON e VALMIR</t>
        </is>
      </c>
      <c r="E651" s="7" t="inlineStr">
        <is>
          <t>Carlos</t>
        </is>
      </c>
      <c r="F651" s="13" t="inlineStr">
        <is>
          <t>Transformação PV 14</t>
        </is>
      </c>
      <c r="G651" s="7" t="inlineStr">
        <is>
          <t>14</t>
        </is>
      </c>
      <c r="H651" s="7" t="n"/>
      <c r="I651" s="7" t="inlineStr">
        <is>
          <t>14</t>
        </is>
      </c>
      <c r="J651" s="7" t="inlineStr">
        <is>
          <t>Transformação</t>
        </is>
      </c>
      <c r="K651" s="7" t="inlineStr">
        <is>
          <t>Planejamento</t>
        </is>
      </c>
      <c r="L651" s="16" t="inlineStr">
        <is>
          <t>PDS-janeiro(1).docx</t>
        </is>
      </c>
      <c r="M651">
        <f>IF($A651="","",TEXT($A651,"mmmm/yyyy"))</f>
        <v/>
      </c>
      <c r="P651">
        <f>IFERROR(_xludf.XLOOKUP($N651,Base_Enderecos!$A:$A,Base_Enderecos!$B:$B,""),"")</f>
        <v/>
      </c>
      <c r="Q651">
        <f>IFERROR(_xludf.XLOOKUP($N651,Base_Enderecos!$A:$A,Base_Enderecos!$C:$C,""),"")</f>
        <v/>
      </c>
      <c r="R651">
        <f>IF(OR(ISNUMBER(SEARCH("HDD",$F651)),ISNUMBER(SEARCH("MND",$F651)),ISNUMBER(SEARCH("PEAD",$F651)),ISNUMBER(SEARCH("Puxe",$J651)),ISNUMBER(SEARCH("Apoio HDD",$F651))),"MND",IF(OR(ISNUMBER(SEARCH("VCA",$F651)),ISNUMBER(SEARCH("PVC",$F651)),ISNUMBER(SEARCH("vca",$J651)),ISNUMBER(SEARCH("Transformação",$J651))),"VCA",IF(OR(ISNUMBER(SEARCH("crava",$F651)),ISNUMBER(SEARCH("tubo cravado",$F651)),ISNUMBER(SEARCH("shaft",$J651)),ISNUMBER(SEARCH("concreto",$F651))),"TUBO CRAVADO","")))</f>
        <v/>
      </c>
      <c r="T651">
        <f>IF($A651="","",TEXT($A651,"yyyymm")&amp;"|"&amp;$C651&amp;"|"&amp;$F651&amp;"|"&amp;$N651&amp;"|"&amp;$R651)</f>
        <v/>
      </c>
    </row>
    <row r="652" ht="11.55" customHeight="1">
      <c r="A652" s="10" t="n">
        <v>46055</v>
      </c>
      <c r="B652" s="7" t="inlineStr">
        <is>
          <t>Segunda</t>
        </is>
      </c>
      <c r="C652" s="7" t="inlineStr">
        <is>
          <t>CT JARAGUÁ</t>
        </is>
      </c>
      <c r="D652" s="7" t="inlineStr">
        <is>
          <t>CAROLINE e FÁBIO</t>
        </is>
      </c>
      <c r="E652" s="7" t="inlineStr">
        <is>
          <t>Cesar</t>
        </is>
      </c>
      <c r="F652" s="13" t="inlineStr">
        <is>
          <t>Acabamento PVs</t>
        </is>
      </c>
      <c r="G652" s="7" t="n"/>
      <c r="H652" s="7" t="n"/>
      <c r="I652" s="7" t="n"/>
      <c r="J652" s="7" t="inlineStr">
        <is>
          <t>Acabamento</t>
        </is>
      </c>
      <c r="K652" s="7" t="inlineStr">
        <is>
          <t>Planejamento</t>
        </is>
      </c>
      <c r="L652" s="16" t="inlineStr">
        <is>
          <t>PDS-janeiro(1).docx</t>
        </is>
      </c>
      <c r="M652">
        <f>IF($A652="","",TEXT($A652,"mmmm/yyyy"))</f>
        <v/>
      </c>
      <c r="P652">
        <f>IFERROR(_xludf.XLOOKUP($N652,Base_Enderecos!$A:$A,Base_Enderecos!$B:$B,""),"")</f>
        <v/>
      </c>
      <c r="Q652">
        <f>IFERROR(_xludf.XLOOKUP($N652,Base_Enderecos!$A:$A,Base_Enderecos!$C:$C,""),"")</f>
        <v/>
      </c>
      <c r="R652">
        <f>IF(OR(ISNUMBER(SEARCH("HDD",$F652)),ISNUMBER(SEARCH("MND",$F652)),ISNUMBER(SEARCH("PEAD",$F652)),ISNUMBER(SEARCH("Puxe",$J652)),ISNUMBER(SEARCH("Apoio HDD",$F652))),"MND",IF(OR(ISNUMBER(SEARCH("VCA",$F652)),ISNUMBER(SEARCH("PVC",$F652)),ISNUMBER(SEARCH("vca",$J652)),ISNUMBER(SEARCH("Transformação",$J652))),"VCA",IF(OR(ISNUMBER(SEARCH("crava",$F652)),ISNUMBER(SEARCH("tubo cravado",$F652)),ISNUMBER(SEARCH("shaft",$J652)),ISNUMBER(SEARCH("concreto",$F652))),"TUBO CRAVADO","")))</f>
        <v/>
      </c>
      <c r="T652">
        <f>IF($A652="","",TEXT($A652,"yyyymm")&amp;"|"&amp;$C652&amp;"|"&amp;$F652&amp;"|"&amp;$N652&amp;"|"&amp;$R652)</f>
        <v/>
      </c>
    </row>
    <row r="653" ht="11.55" customHeight="1">
      <c r="A653" s="10" t="n">
        <v>46055</v>
      </c>
      <c r="B653" s="7" t="inlineStr">
        <is>
          <t>Segunda</t>
        </is>
      </c>
      <c r="C653" s="7" t="inlineStr">
        <is>
          <t>RCE ARARIBA</t>
        </is>
      </c>
      <c r="D653" s="7" t="inlineStr">
        <is>
          <t>ROBSON</t>
        </is>
      </c>
      <c r="E653" s="7" t="inlineStr">
        <is>
          <t>WJ - 02</t>
        </is>
      </c>
      <c r="F653" s="13" t="inlineStr">
        <is>
          <t>Furo piloto entre PVs 09 ao 07</t>
        </is>
      </c>
      <c r="G653" s="7" t="inlineStr">
        <is>
          <t>09</t>
        </is>
      </c>
      <c r="H653" s="7" t="n"/>
      <c r="I653" s="7" t="inlineStr">
        <is>
          <t>09</t>
        </is>
      </c>
      <c r="J653" s="7" t="inlineStr">
        <is>
          <t>Furo piloto</t>
        </is>
      </c>
      <c r="K653" s="7" t="inlineStr">
        <is>
          <t>Planejamento</t>
        </is>
      </c>
      <c r="L653" s="16" t="inlineStr">
        <is>
          <t>PDS-janeiro(1).docx</t>
        </is>
      </c>
      <c r="M653">
        <f>IF($A653="","",TEXT($A653,"mmmm/yyyy"))</f>
        <v/>
      </c>
      <c r="P653">
        <f>IFERROR(_xludf.XLOOKUP($N653,Base_Enderecos!$A:$A,Base_Enderecos!$B:$B,""),"")</f>
        <v/>
      </c>
      <c r="Q653">
        <f>IFERROR(_xludf.XLOOKUP($N653,Base_Enderecos!$A:$A,Base_Enderecos!$C:$C,""),"")</f>
        <v/>
      </c>
      <c r="R653">
        <f>IF(OR(ISNUMBER(SEARCH("HDD",$F653)),ISNUMBER(SEARCH("MND",$F653)),ISNUMBER(SEARCH("PEAD",$F653)),ISNUMBER(SEARCH("Puxe",$J653)),ISNUMBER(SEARCH("Apoio HDD",$F653))),"MND",IF(OR(ISNUMBER(SEARCH("VCA",$F653)),ISNUMBER(SEARCH("PVC",$F653)),ISNUMBER(SEARCH("vca",$J653)),ISNUMBER(SEARCH("Transformação",$J653))),"VCA",IF(OR(ISNUMBER(SEARCH("crava",$F653)),ISNUMBER(SEARCH("tubo cravado",$F653)),ISNUMBER(SEARCH("shaft",$J653)),ISNUMBER(SEARCH("concreto",$F653))),"TUBO CRAVADO","")))</f>
        <v/>
      </c>
      <c r="T653">
        <f>IF($A653="","",TEXT($A653,"yyyymm")&amp;"|"&amp;$C653&amp;"|"&amp;$F653&amp;"|"&amp;$N653&amp;"|"&amp;$R653)</f>
        <v/>
      </c>
    </row>
    <row r="654" ht="11.55" customHeight="1">
      <c r="A654" s="10" t="n">
        <v>46055</v>
      </c>
      <c r="B654" s="7" t="inlineStr">
        <is>
          <t>Segunda</t>
        </is>
      </c>
      <c r="C654" s="7" t="inlineStr">
        <is>
          <t>RCE ARARIBA</t>
        </is>
      </c>
      <c r="D654" s="7" t="inlineStr">
        <is>
          <t>ROBSON</t>
        </is>
      </c>
      <c r="E654" s="7" t="inlineStr">
        <is>
          <t>Natalino</t>
        </is>
      </c>
      <c r="F654" s="13" t="inlineStr">
        <is>
          <t>Apoio HDD PV 09 ao 07</t>
        </is>
      </c>
      <c r="G654" s="7" t="inlineStr">
        <is>
          <t>09</t>
        </is>
      </c>
      <c r="H654" s="7" t="n"/>
      <c r="I654" s="7" t="inlineStr">
        <is>
          <t>09</t>
        </is>
      </c>
      <c r="J654" s="7" t="inlineStr">
        <is>
          <t>Apoio HDD</t>
        </is>
      </c>
      <c r="K654" s="7" t="inlineStr">
        <is>
          <t>Planejamento</t>
        </is>
      </c>
      <c r="L654" s="16" t="inlineStr">
        <is>
          <t>PDS-janeiro(1).docx</t>
        </is>
      </c>
      <c r="M654">
        <f>IF($A654="","",TEXT($A654,"mmmm/yyyy"))</f>
        <v/>
      </c>
      <c r="P654">
        <f>IFERROR(_xludf.XLOOKUP($N654,Base_Enderecos!$A:$A,Base_Enderecos!$B:$B,""),"")</f>
        <v/>
      </c>
      <c r="Q654">
        <f>IFERROR(_xludf.XLOOKUP($N654,Base_Enderecos!$A:$A,Base_Enderecos!$C:$C,""),"")</f>
        <v/>
      </c>
      <c r="R654">
        <f>IF(OR(ISNUMBER(SEARCH("HDD",$F654)),ISNUMBER(SEARCH("MND",$F654)),ISNUMBER(SEARCH("PEAD",$F654)),ISNUMBER(SEARCH("Puxe",$J654)),ISNUMBER(SEARCH("Apoio HDD",$F654))),"MND",IF(OR(ISNUMBER(SEARCH("VCA",$F654)),ISNUMBER(SEARCH("PVC",$F654)),ISNUMBER(SEARCH("vca",$J654)),ISNUMBER(SEARCH("Transformação",$J654))),"VCA",IF(OR(ISNUMBER(SEARCH("crava",$F654)),ISNUMBER(SEARCH("tubo cravado",$F654)),ISNUMBER(SEARCH("shaft",$J654)),ISNUMBER(SEARCH("concreto",$F654))),"TUBO CRAVADO","")))</f>
        <v/>
      </c>
      <c r="T654">
        <f>IF($A654="","",TEXT($A654,"yyyymm")&amp;"|"&amp;$C654&amp;"|"&amp;$F654&amp;"|"&amp;$N654&amp;"|"&amp;$R654)</f>
        <v/>
      </c>
    </row>
    <row r="655" ht="11.55" customHeight="1">
      <c r="A655" s="10" t="n">
        <v>46055</v>
      </c>
      <c r="B655" s="7" t="inlineStr">
        <is>
          <t>Segunda</t>
        </is>
      </c>
      <c r="C655" s="7" t="inlineStr">
        <is>
          <t>Vacal</t>
        </is>
      </c>
      <c r="D655" s="7" t="n"/>
      <c r="E655" s="7" t="inlineStr">
        <is>
          <t>Lourdes</t>
        </is>
      </c>
      <c r="F655" s="13" t="inlineStr">
        <is>
          <t>Apoio Vacal</t>
        </is>
      </c>
      <c r="G655" s="7" t="n"/>
      <c r="H655" s="7" t="n"/>
      <c r="I655" s="7" t="n"/>
      <c r="J655" s="7" t="inlineStr">
        <is>
          <t>Vacal</t>
        </is>
      </c>
      <c r="K655" s="7" t="inlineStr">
        <is>
          <t>Apoio</t>
        </is>
      </c>
      <c r="L655" s="16" t="inlineStr">
        <is>
          <t>PDS-janeiro(1).docx</t>
        </is>
      </c>
      <c r="M655">
        <f>IF($A655="","",TEXT($A655,"mmmm/yyyy"))</f>
        <v/>
      </c>
      <c r="P655">
        <f>IFERROR(_xludf.XLOOKUP($N655,Base_Enderecos!$A:$A,Base_Enderecos!$B:$B,""),"")</f>
        <v/>
      </c>
      <c r="Q655">
        <f>IFERROR(_xludf.XLOOKUP($N655,Base_Enderecos!$A:$A,Base_Enderecos!$C:$C,""),"")</f>
        <v/>
      </c>
      <c r="R655">
        <f>IF(OR(ISNUMBER(SEARCH("HDD",$F655)),ISNUMBER(SEARCH("MND",$F655)),ISNUMBER(SEARCH("PEAD",$F655)),ISNUMBER(SEARCH("Puxe",$J655)),ISNUMBER(SEARCH("Apoio HDD",$F655))),"MND",IF(OR(ISNUMBER(SEARCH("VCA",$F655)),ISNUMBER(SEARCH("PVC",$F655)),ISNUMBER(SEARCH("vca",$J655)),ISNUMBER(SEARCH("Transformação",$J655))),"VCA",IF(OR(ISNUMBER(SEARCH("crava",$F655)),ISNUMBER(SEARCH("tubo cravado",$F655)),ISNUMBER(SEARCH("shaft",$J655)),ISNUMBER(SEARCH("concreto",$F655))),"TUBO CRAVADO","")))</f>
        <v/>
      </c>
      <c r="T655">
        <f>IF($A655="","",TEXT($A655,"yyyymm")&amp;"|"&amp;$C655&amp;"|"&amp;$F655&amp;"|"&amp;$N655&amp;"|"&amp;$R655)</f>
        <v/>
      </c>
    </row>
    <row r="656" ht="11.55" customHeight="1">
      <c r="A656" s="10" t="n">
        <v>46055</v>
      </c>
      <c r="B656" s="7" t="inlineStr">
        <is>
          <t>Segunda</t>
        </is>
      </c>
      <c r="C656" s="7" t="inlineStr">
        <is>
          <t>Vacal</t>
        </is>
      </c>
      <c r="D656" s="7" t="n"/>
      <c r="E656" s="7" t="inlineStr">
        <is>
          <t>Lourdes</t>
        </is>
      </c>
      <c r="F656" s="13" t="inlineStr">
        <is>
          <t>Apoio Vacal</t>
        </is>
      </c>
      <c r="G656" s="7" t="n"/>
      <c r="H656" s="7" t="n"/>
      <c r="I656" s="7" t="n"/>
      <c r="J656" s="7" t="inlineStr">
        <is>
          <t>Vacal</t>
        </is>
      </c>
      <c r="K656" s="7" t="inlineStr">
        <is>
          <t>Apoio</t>
        </is>
      </c>
      <c r="L656" s="16" t="inlineStr">
        <is>
          <t>PDS-janeiro(1).docx</t>
        </is>
      </c>
      <c r="M656">
        <f>IF($A656="","",TEXT($A656,"mmmm/yyyy"))</f>
        <v/>
      </c>
      <c r="P656">
        <f>IFERROR(_xludf.XLOOKUP($N656,Base_Enderecos!$A:$A,Base_Enderecos!$B:$B,""),"")</f>
        <v/>
      </c>
      <c r="Q656">
        <f>IFERROR(_xludf.XLOOKUP($N656,Base_Enderecos!$A:$A,Base_Enderecos!$C:$C,""),"")</f>
        <v/>
      </c>
      <c r="R656">
        <f>IF(OR(ISNUMBER(SEARCH("HDD",$F656)),ISNUMBER(SEARCH("MND",$F656)),ISNUMBER(SEARCH("PEAD",$F656)),ISNUMBER(SEARCH("Puxe",$J656)),ISNUMBER(SEARCH("Apoio HDD",$F656))),"MND",IF(OR(ISNUMBER(SEARCH("VCA",$F656)),ISNUMBER(SEARCH("PVC",$F656)),ISNUMBER(SEARCH("vca",$J656)),ISNUMBER(SEARCH("Transformação",$J656))),"VCA",IF(OR(ISNUMBER(SEARCH("crava",$F656)),ISNUMBER(SEARCH("tubo cravado",$F656)),ISNUMBER(SEARCH("shaft",$J656)),ISNUMBER(SEARCH("concreto",$F656))),"TUBO CRAVADO","")))</f>
        <v/>
      </c>
      <c r="T656">
        <f>IF($A656="","",TEXT($A656,"yyyymm")&amp;"|"&amp;$C656&amp;"|"&amp;$F656&amp;"|"&amp;$N656&amp;"|"&amp;$R656)</f>
        <v/>
      </c>
    </row>
    <row r="657" ht="11.55" customHeight="1">
      <c r="A657" s="10" t="n">
        <v>46055</v>
      </c>
      <c r="B657" s="7" t="inlineStr">
        <is>
          <t>Segunda</t>
        </is>
      </c>
      <c r="C657" s="7" t="inlineStr">
        <is>
          <t>Vacal</t>
        </is>
      </c>
      <c r="D657" s="7" t="n"/>
      <c r="E657" s="7" t="inlineStr">
        <is>
          <t>Mar de Coral</t>
        </is>
      </c>
      <c r="F657" s="13" t="inlineStr">
        <is>
          <t>Apoio Vacal</t>
        </is>
      </c>
      <c r="G657" s="7" t="n"/>
      <c r="H657" s="7" t="n"/>
      <c r="I657" s="7" t="n"/>
      <c r="J657" s="7" t="inlineStr">
        <is>
          <t>Vacal</t>
        </is>
      </c>
      <c r="K657" s="7" t="inlineStr">
        <is>
          <t>Apoio</t>
        </is>
      </c>
      <c r="L657" s="16" t="inlineStr">
        <is>
          <t>PDS-janeiro(1).docx</t>
        </is>
      </c>
      <c r="M657">
        <f>IF($A657="","",TEXT($A657,"mmmm/yyyy"))</f>
        <v/>
      </c>
      <c r="P657">
        <f>IFERROR(_xludf.XLOOKUP($N657,Base_Enderecos!$A:$A,Base_Enderecos!$B:$B,""),"")</f>
        <v/>
      </c>
      <c r="Q657">
        <f>IFERROR(_xludf.XLOOKUP($N657,Base_Enderecos!$A:$A,Base_Enderecos!$C:$C,""),"")</f>
        <v/>
      </c>
      <c r="R657">
        <f>IF(OR(ISNUMBER(SEARCH("HDD",$F657)),ISNUMBER(SEARCH("MND",$F657)),ISNUMBER(SEARCH("PEAD",$F657)),ISNUMBER(SEARCH("Puxe",$J657)),ISNUMBER(SEARCH("Apoio HDD",$F657))),"MND",IF(OR(ISNUMBER(SEARCH("VCA",$F657)),ISNUMBER(SEARCH("PVC",$F657)),ISNUMBER(SEARCH("vca",$J657)),ISNUMBER(SEARCH("Transformação",$J657))),"VCA",IF(OR(ISNUMBER(SEARCH("crava",$F657)),ISNUMBER(SEARCH("tubo cravado",$F657)),ISNUMBER(SEARCH("shaft",$J657)),ISNUMBER(SEARCH("concreto",$F657))),"TUBO CRAVADO","")))</f>
        <v/>
      </c>
      <c r="T657">
        <f>IF($A657="","",TEXT($A657,"yyyymm")&amp;"|"&amp;$C657&amp;"|"&amp;$F657&amp;"|"&amp;$N657&amp;"|"&amp;$R657)</f>
        <v/>
      </c>
    </row>
    <row r="658" ht="11.55" customHeight="1">
      <c r="A658" s="10" t="n">
        <v>46055</v>
      </c>
      <c r="B658" s="7" t="inlineStr">
        <is>
          <t>Segunda</t>
        </is>
      </c>
      <c r="C658" s="7" t="inlineStr">
        <is>
          <t>Vacal</t>
        </is>
      </c>
      <c r="D658" s="7" t="n"/>
      <c r="E658" s="7" t="inlineStr">
        <is>
          <t>Mar de Coral</t>
        </is>
      </c>
      <c r="F658" s="13" t="inlineStr">
        <is>
          <t>Apoio Vacal</t>
        </is>
      </c>
      <c r="G658" s="7" t="n"/>
      <c r="H658" s="7" t="n"/>
      <c r="I658" s="7" t="n"/>
      <c r="J658" s="7" t="inlineStr">
        <is>
          <t>Vacal</t>
        </is>
      </c>
      <c r="K658" s="7" t="inlineStr">
        <is>
          <t>Apoio</t>
        </is>
      </c>
      <c r="L658" s="16" t="inlineStr">
        <is>
          <t>PDS-janeiro(1).docx</t>
        </is>
      </c>
      <c r="M658">
        <f>IF($A658="","",TEXT($A658,"mmmm/yyyy"))</f>
        <v/>
      </c>
      <c r="P658">
        <f>IFERROR(_xludf.XLOOKUP($N658,Base_Enderecos!$A:$A,Base_Enderecos!$B:$B,""),"")</f>
        <v/>
      </c>
      <c r="Q658">
        <f>IFERROR(_xludf.XLOOKUP($N658,Base_Enderecos!$A:$A,Base_Enderecos!$C:$C,""),"")</f>
        <v/>
      </c>
      <c r="R658">
        <f>IF(OR(ISNUMBER(SEARCH("HDD",$F658)),ISNUMBER(SEARCH("MND",$F658)),ISNUMBER(SEARCH("PEAD",$F658)),ISNUMBER(SEARCH("Puxe",$J658)),ISNUMBER(SEARCH("Apoio HDD",$F658))),"MND",IF(OR(ISNUMBER(SEARCH("VCA",$F658)),ISNUMBER(SEARCH("PVC",$F658)),ISNUMBER(SEARCH("vca",$J658)),ISNUMBER(SEARCH("Transformação",$J658))),"VCA",IF(OR(ISNUMBER(SEARCH("crava",$F658)),ISNUMBER(SEARCH("tubo cravado",$F658)),ISNUMBER(SEARCH("shaft",$J658)),ISNUMBER(SEARCH("concreto",$F658))),"TUBO CRAVADO","")))</f>
        <v/>
      </c>
      <c r="T658">
        <f>IF($A658="","",TEXT($A658,"yyyymm")&amp;"|"&amp;$C658&amp;"|"&amp;$F658&amp;"|"&amp;$N658&amp;"|"&amp;$R658)</f>
        <v/>
      </c>
    </row>
    <row r="659" ht="11.55" customHeight="1">
      <c r="A659" s="10" t="n">
        <v>46055</v>
      </c>
      <c r="B659" s="7" t="inlineStr">
        <is>
          <t>Segunda</t>
        </is>
      </c>
      <c r="C659" s="7" t="inlineStr">
        <is>
          <t>Guindauto</t>
        </is>
      </c>
      <c r="D659" s="7" t="n"/>
      <c r="E659" s="7" t="inlineStr">
        <is>
          <t>Rodrigo</t>
        </is>
      </c>
      <c r="F659" s="13" t="inlineStr">
        <is>
          <t>Rodrigo - Apoio as equipes</t>
        </is>
      </c>
      <c r="G659" s="7" t="n"/>
      <c r="H659" s="7" t="n"/>
      <c r="I659" s="7" t="n"/>
      <c r="J659" s="7" t="inlineStr">
        <is>
          <t>Guindauto</t>
        </is>
      </c>
      <c r="K659" s="7" t="inlineStr">
        <is>
          <t>Apoio</t>
        </is>
      </c>
      <c r="L659" s="16" t="inlineStr">
        <is>
          <t>PDS-janeiro(1).docx</t>
        </is>
      </c>
      <c r="M659">
        <f>IF($A659="","",TEXT($A659,"mmmm/yyyy"))</f>
        <v/>
      </c>
      <c r="P659">
        <f>IFERROR(_xludf.XLOOKUP($N659,Base_Enderecos!$A:$A,Base_Enderecos!$B:$B,""),"")</f>
        <v/>
      </c>
      <c r="Q659">
        <f>IFERROR(_xludf.XLOOKUP($N659,Base_Enderecos!$A:$A,Base_Enderecos!$C:$C,""),"")</f>
        <v/>
      </c>
      <c r="R659">
        <f>IF(OR(ISNUMBER(SEARCH("HDD",$F659)),ISNUMBER(SEARCH("MND",$F659)),ISNUMBER(SEARCH("PEAD",$F659)),ISNUMBER(SEARCH("Puxe",$J659)),ISNUMBER(SEARCH("Apoio HDD",$F659))),"MND",IF(OR(ISNUMBER(SEARCH("VCA",$F659)),ISNUMBER(SEARCH("PVC",$F659)),ISNUMBER(SEARCH("vca",$J659)),ISNUMBER(SEARCH("Transformação",$J659))),"VCA",IF(OR(ISNUMBER(SEARCH("crava",$F659)),ISNUMBER(SEARCH("tubo cravado",$F659)),ISNUMBER(SEARCH("shaft",$J659)),ISNUMBER(SEARCH("concreto",$F659))),"TUBO CRAVADO","")))</f>
        <v/>
      </c>
      <c r="T659">
        <f>IF($A659="","",TEXT($A659,"yyyymm")&amp;"|"&amp;$C659&amp;"|"&amp;$F659&amp;"|"&amp;$N659&amp;"|"&amp;$R659)</f>
        <v/>
      </c>
    </row>
    <row r="660" ht="11.55" customHeight="1">
      <c r="A660" s="10" t="n">
        <v>46055</v>
      </c>
      <c r="B660" s="7" t="inlineStr">
        <is>
          <t>Segunda</t>
        </is>
      </c>
      <c r="C660" s="7" t="inlineStr">
        <is>
          <t>Guindauto</t>
        </is>
      </c>
      <c r="D660" s="7" t="n"/>
      <c r="E660" s="7" t="inlineStr">
        <is>
          <t>Marcio</t>
        </is>
      </c>
      <c r="F660" s="13" t="inlineStr">
        <is>
          <t>Marcio - Apoio PV 18</t>
        </is>
      </c>
      <c r="G660" s="7" t="n"/>
      <c r="H660" s="7" t="n"/>
      <c r="I660" s="7" t="n"/>
      <c r="J660" s="7" t="inlineStr">
        <is>
          <t>Guindauto</t>
        </is>
      </c>
      <c r="K660" s="7" t="inlineStr">
        <is>
          <t>Apoio</t>
        </is>
      </c>
      <c r="L660" s="16" t="inlineStr">
        <is>
          <t>PDS-janeiro(1).docx</t>
        </is>
      </c>
      <c r="M660">
        <f>IF($A660="","",TEXT($A660,"mmmm/yyyy"))</f>
        <v/>
      </c>
      <c r="P660">
        <f>IFERROR(_xludf.XLOOKUP($N660,Base_Enderecos!$A:$A,Base_Enderecos!$B:$B,""),"")</f>
        <v/>
      </c>
      <c r="Q660">
        <f>IFERROR(_xludf.XLOOKUP($N660,Base_Enderecos!$A:$A,Base_Enderecos!$C:$C,""),"")</f>
        <v/>
      </c>
      <c r="R660">
        <f>IF(OR(ISNUMBER(SEARCH("HDD",$F660)),ISNUMBER(SEARCH("MND",$F660)),ISNUMBER(SEARCH("PEAD",$F660)),ISNUMBER(SEARCH("Puxe",$J660)),ISNUMBER(SEARCH("Apoio HDD",$F660))),"MND",IF(OR(ISNUMBER(SEARCH("VCA",$F660)),ISNUMBER(SEARCH("PVC",$F660)),ISNUMBER(SEARCH("vca",$J660)),ISNUMBER(SEARCH("Transformação",$J660))),"VCA",IF(OR(ISNUMBER(SEARCH("crava",$F660)),ISNUMBER(SEARCH("tubo cravado",$F660)),ISNUMBER(SEARCH("shaft",$J660)),ISNUMBER(SEARCH("concreto",$F660))),"TUBO CRAVADO","")))</f>
        <v/>
      </c>
      <c r="T660">
        <f>IF($A660="","",TEXT($A660,"yyyymm")&amp;"|"&amp;$C660&amp;"|"&amp;$F660&amp;"|"&amp;$N660&amp;"|"&amp;$R660)</f>
        <v/>
      </c>
    </row>
    <row r="661" ht="11.55" customHeight="1">
      <c r="A661" s="10" t="n">
        <v>46056</v>
      </c>
      <c r="B661" s="7" t="inlineStr">
        <is>
          <t>Terça</t>
        </is>
      </c>
      <c r="C661" s="7" t="inlineStr">
        <is>
          <t>CT MAR DE CORAL</t>
        </is>
      </c>
      <c r="D661" s="7" t="inlineStr">
        <is>
          <t>ELOÍZIO e LEANDRO e SILVESTRE</t>
        </is>
      </c>
      <c r="E661" s="7" t="inlineStr">
        <is>
          <t>Cidão</t>
        </is>
      </c>
      <c r="F661" s="13" t="inlineStr">
        <is>
          <t>Shaft PV 36</t>
        </is>
      </c>
      <c r="G661" s="7" t="inlineStr">
        <is>
          <t>36</t>
        </is>
      </c>
      <c r="H661" s="7" t="n"/>
      <c r="I661" s="7" t="inlineStr">
        <is>
          <t>36</t>
        </is>
      </c>
      <c r="J661" s="7" t="inlineStr">
        <is>
          <t>Shaft</t>
        </is>
      </c>
      <c r="K661" s="7" t="inlineStr">
        <is>
          <t>Planejamento</t>
        </is>
      </c>
      <c r="L661" s="16" t="inlineStr">
        <is>
          <t>PDS-Fevereiro(1).docx</t>
        </is>
      </c>
      <c r="M661">
        <f>IF($A661="","",TEXT($A661,"mmmm/yyyy"))</f>
        <v/>
      </c>
      <c r="P661">
        <f>IFERROR(_xludf.XLOOKUP($N661,Base_Enderecos!$A:$A,Base_Enderecos!$B:$B,""),"")</f>
        <v/>
      </c>
      <c r="Q661">
        <f>IFERROR(_xludf.XLOOKUP($N661,Base_Enderecos!$A:$A,Base_Enderecos!$C:$C,""),"")</f>
        <v/>
      </c>
      <c r="R661">
        <f>IF(OR(ISNUMBER(SEARCH("HDD",$F661)),ISNUMBER(SEARCH("MND",$F661)),ISNUMBER(SEARCH("PEAD",$F661)),ISNUMBER(SEARCH("Puxe",$J661)),ISNUMBER(SEARCH("Apoio HDD",$F661))),"MND",IF(OR(ISNUMBER(SEARCH("VCA",$F661)),ISNUMBER(SEARCH("PVC",$F661)),ISNUMBER(SEARCH("vca",$J661)),ISNUMBER(SEARCH("Transformação",$J661))),"VCA",IF(OR(ISNUMBER(SEARCH("crava",$F661)),ISNUMBER(SEARCH("tubo cravado",$F661)),ISNUMBER(SEARCH("shaft",$J661)),ISNUMBER(SEARCH("concreto",$F661))),"TUBO CRAVADO","")))</f>
        <v/>
      </c>
      <c r="T661">
        <f>IF($A661="","",TEXT($A661,"yyyymm")&amp;"|"&amp;$C661&amp;"|"&amp;$F661&amp;"|"&amp;$N661&amp;"|"&amp;$R661)</f>
        <v/>
      </c>
    </row>
    <row r="662" ht="11.55" customHeight="1">
      <c r="A662" s="10" t="n">
        <v>46056</v>
      </c>
      <c r="B662" s="7" t="inlineStr">
        <is>
          <t>Terça</t>
        </is>
      </c>
      <c r="C662" s="7" t="inlineStr">
        <is>
          <t>CT MAR DE CORAL</t>
        </is>
      </c>
      <c r="D662" s="7" t="inlineStr">
        <is>
          <t>ELOÍZIO e LEANDRO e SILVESTRE</t>
        </is>
      </c>
      <c r="E662" s="7" t="inlineStr">
        <is>
          <t>Valter</t>
        </is>
      </c>
      <c r="F662" s="13" t="inlineStr">
        <is>
          <t>Transformação PV 08</t>
        </is>
      </c>
      <c r="G662" s="7" t="inlineStr">
        <is>
          <t>08</t>
        </is>
      </c>
      <c r="H662" s="7" t="n"/>
      <c r="I662" s="7" t="inlineStr">
        <is>
          <t>08</t>
        </is>
      </c>
      <c r="J662" s="7" t="inlineStr">
        <is>
          <t>Transformação</t>
        </is>
      </c>
      <c r="K662" s="7" t="inlineStr">
        <is>
          <t>Planejamento</t>
        </is>
      </c>
      <c r="L662" s="16" t="inlineStr">
        <is>
          <t>PDS-Fevereiro(1).docx</t>
        </is>
      </c>
      <c r="M662">
        <f>IF($A662="","",TEXT($A662,"mmmm/yyyy"))</f>
        <v/>
      </c>
      <c r="P662">
        <f>IFERROR(_xludf.XLOOKUP($N662,Base_Enderecos!$A:$A,Base_Enderecos!$B:$B,""),"")</f>
        <v/>
      </c>
      <c r="Q662">
        <f>IFERROR(_xludf.XLOOKUP($N662,Base_Enderecos!$A:$A,Base_Enderecos!$C:$C,""),"")</f>
        <v/>
      </c>
      <c r="R662">
        <f>IF(OR(ISNUMBER(SEARCH("HDD",$F662)),ISNUMBER(SEARCH("MND",$F662)),ISNUMBER(SEARCH("PEAD",$F662)),ISNUMBER(SEARCH("Puxe",$J662)),ISNUMBER(SEARCH("Apoio HDD",$F662))),"MND",IF(OR(ISNUMBER(SEARCH("VCA",$F662)),ISNUMBER(SEARCH("PVC",$F662)),ISNUMBER(SEARCH("vca",$J662)),ISNUMBER(SEARCH("Transformação",$J662))),"VCA",IF(OR(ISNUMBER(SEARCH("crava",$F662)),ISNUMBER(SEARCH("tubo cravado",$F662)),ISNUMBER(SEARCH("shaft",$J662)),ISNUMBER(SEARCH("concreto",$F662))),"TUBO CRAVADO","")))</f>
        <v/>
      </c>
      <c r="T662">
        <f>IF($A662="","",TEXT($A662,"yyyymm")&amp;"|"&amp;$C662&amp;"|"&amp;$F662&amp;"|"&amp;$N662&amp;"|"&amp;$R662)</f>
        <v/>
      </c>
    </row>
    <row r="663" ht="11.55" customHeight="1">
      <c r="A663" s="10" t="n">
        <v>46056</v>
      </c>
      <c r="B663" s="7" t="inlineStr">
        <is>
          <t>Terça</t>
        </is>
      </c>
      <c r="C663" s="7" t="inlineStr">
        <is>
          <t>CT MAR DE CORAL</t>
        </is>
      </c>
      <c r="D663" s="7" t="inlineStr">
        <is>
          <t>ELOÍZIO e LEANDRO e SILVESTRE</t>
        </is>
      </c>
      <c r="E663" s="7" t="inlineStr">
        <is>
          <t>Work Drill</t>
        </is>
      </c>
      <c r="F663" s="13" t="inlineStr">
        <is>
          <t>Furo Piloto entre PVs 25 ao 30</t>
        </is>
      </c>
      <c r="G663" s="7" t="inlineStr">
        <is>
          <t>25</t>
        </is>
      </c>
      <c r="H663" s="7" t="n"/>
      <c r="I663" s="7" t="inlineStr">
        <is>
          <t>25</t>
        </is>
      </c>
      <c r="J663" s="7" t="inlineStr">
        <is>
          <t>Furo piloto</t>
        </is>
      </c>
      <c r="K663" s="7" t="inlineStr">
        <is>
          <t>Planejamento</t>
        </is>
      </c>
      <c r="L663" s="16" t="inlineStr">
        <is>
          <t>PDS-Fevereiro(1).docx</t>
        </is>
      </c>
      <c r="M663">
        <f>IF($A663="","",TEXT($A663,"mmmm/yyyy"))</f>
        <v/>
      </c>
      <c r="P663">
        <f>IFERROR(_xludf.XLOOKUP($N663,Base_Enderecos!$A:$A,Base_Enderecos!$B:$B,""),"")</f>
        <v/>
      </c>
      <c r="Q663">
        <f>IFERROR(_xludf.XLOOKUP($N663,Base_Enderecos!$A:$A,Base_Enderecos!$C:$C,""),"")</f>
        <v/>
      </c>
      <c r="R663">
        <f>IF(OR(ISNUMBER(SEARCH("HDD",$F663)),ISNUMBER(SEARCH("MND",$F663)),ISNUMBER(SEARCH("PEAD",$F663)),ISNUMBER(SEARCH("Puxe",$J663)),ISNUMBER(SEARCH("Apoio HDD",$F663))),"MND",IF(OR(ISNUMBER(SEARCH("VCA",$F663)),ISNUMBER(SEARCH("PVC",$F663)),ISNUMBER(SEARCH("vca",$J663)),ISNUMBER(SEARCH("Transformação",$J663))),"VCA",IF(OR(ISNUMBER(SEARCH("crava",$F663)),ISNUMBER(SEARCH("tubo cravado",$F663)),ISNUMBER(SEARCH("shaft",$J663)),ISNUMBER(SEARCH("concreto",$F663))),"TUBO CRAVADO","")))</f>
        <v/>
      </c>
      <c r="T663">
        <f>IF($A663="","",TEXT($A663,"yyyymm")&amp;"|"&amp;$C663&amp;"|"&amp;$F663&amp;"|"&amp;$N663&amp;"|"&amp;$R663)</f>
        <v/>
      </c>
    </row>
    <row r="664" ht="11.55" customHeight="1">
      <c r="A664" s="10" t="n">
        <v>46056</v>
      </c>
      <c r="B664" s="7" t="inlineStr">
        <is>
          <t>Terça</t>
        </is>
      </c>
      <c r="C664" s="7" t="inlineStr">
        <is>
          <t>CT MAR DE CORAL</t>
        </is>
      </c>
      <c r="D664" s="7" t="inlineStr">
        <is>
          <t>ELOÍZIO e LEANDRO e SILVESTRE</t>
        </is>
      </c>
      <c r="E664" s="7" t="inlineStr">
        <is>
          <t>Medeiros</t>
        </is>
      </c>
      <c r="F664" s="13" t="inlineStr">
        <is>
          <t>Apoio HDD entre os PVs 25 ao PV 30</t>
        </is>
      </c>
      <c r="G664" s="7" t="inlineStr">
        <is>
          <t>25</t>
        </is>
      </c>
      <c r="H664" s="7" t="inlineStr">
        <is>
          <t>30</t>
        </is>
      </c>
      <c r="I664" s="7" t="inlineStr">
        <is>
          <t>25, 30</t>
        </is>
      </c>
      <c r="J664" s="7" t="inlineStr">
        <is>
          <t>Apoio HDD</t>
        </is>
      </c>
      <c r="K664" s="7" t="inlineStr">
        <is>
          <t>Planejamento</t>
        </is>
      </c>
      <c r="L664" s="16" t="inlineStr">
        <is>
          <t>PDS-Fevereiro(1).docx</t>
        </is>
      </c>
      <c r="M664">
        <f>IF($A664="","",TEXT($A664,"mmmm/yyyy"))</f>
        <v/>
      </c>
      <c r="P664">
        <f>IFERROR(_xludf.XLOOKUP($N664,Base_Enderecos!$A:$A,Base_Enderecos!$B:$B,""),"")</f>
        <v/>
      </c>
      <c r="Q664">
        <f>IFERROR(_xludf.XLOOKUP($N664,Base_Enderecos!$A:$A,Base_Enderecos!$C:$C,""),"")</f>
        <v/>
      </c>
      <c r="R664">
        <f>IF(OR(ISNUMBER(SEARCH("HDD",$F664)),ISNUMBER(SEARCH("MND",$F664)),ISNUMBER(SEARCH("PEAD",$F664)),ISNUMBER(SEARCH("Puxe",$J664)),ISNUMBER(SEARCH("Apoio HDD",$F664))),"MND",IF(OR(ISNUMBER(SEARCH("VCA",$F664)),ISNUMBER(SEARCH("PVC",$F664)),ISNUMBER(SEARCH("vca",$J664)),ISNUMBER(SEARCH("Transformação",$J664))),"VCA",IF(OR(ISNUMBER(SEARCH("crava",$F664)),ISNUMBER(SEARCH("tubo cravado",$F664)),ISNUMBER(SEARCH("shaft",$J664)),ISNUMBER(SEARCH("concreto",$F664))),"TUBO CRAVADO","")))</f>
        <v/>
      </c>
      <c r="T664">
        <f>IF($A664="","",TEXT($A664,"yyyymm")&amp;"|"&amp;$C664&amp;"|"&amp;$F664&amp;"|"&amp;$N664&amp;"|"&amp;$R664)</f>
        <v/>
      </c>
    </row>
    <row r="665" ht="11.55" customHeight="1">
      <c r="A665" s="10" t="n">
        <v>46056</v>
      </c>
      <c r="B665" s="7" t="inlineStr">
        <is>
          <t>Terça</t>
        </is>
      </c>
      <c r="C665" s="7" t="inlineStr">
        <is>
          <t>CT MAR DE CORAL</t>
        </is>
      </c>
      <c r="D665" s="7" t="inlineStr">
        <is>
          <t>ELOÍZIO e LEANDRO e SILVESTRE</t>
        </is>
      </c>
      <c r="E665" s="7" t="inlineStr">
        <is>
          <t>Reinaldo</t>
        </is>
      </c>
      <c r="F665" s="13" t="inlineStr">
        <is>
          <t>Furo Piloto e Puxe entre PVs 10 ao 13</t>
        </is>
      </c>
      <c r="G665" s="7" t="inlineStr">
        <is>
          <t>10</t>
        </is>
      </c>
      <c r="H665" s="7" t="n"/>
      <c r="I665" s="7" t="inlineStr">
        <is>
          <t>10</t>
        </is>
      </c>
      <c r="J665" s="7" t="inlineStr">
        <is>
          <t>Furo piloto</t>
        </is>
      </c>
      <c r="K665" s="7" t="inlineStr">
        <is>
          <t>Planejamento</t>
        </is>
      </c>
      <c r="L665" s="16" t="inlineStr">
        <is>
          <t>PDS-Fevereiro(1).docx</t>
        </is>
      </c>
      <c r="M665">
        <f>IF($A665="","",TEXT($A665,"mmmm/yyyy"))</f>
        <v/>
      </c>
      <c r="P665">
        <f>IFERROR(_xludf.XLOOKUP($N665,Base_Enderecos!$A:$A,Base_Enderecos!$B:$B,""),"")</f>
        <v/>
      </c>
      <c r="Q665">
        <f>IFERROR(_xludf.XLOOKUP($N665,Base_Enderecos!$A:$A,Base_Enderecos!$C:$C,""),"")</f>
        <v/>
      </c>
      <c r="R665">
        <f>IF(OR(ISNUMBER(SEARCH("HDD",$F665)),ISNUMBER(SEARCH("MND",$F665)),ISNUMBER(SEARCH("PEAD",$F665)),ISNUMBER(SEARCH("Puxe",$J665)),ISNUMBER(SEARCH("Apoio HDD",$F665))),"MND",IF(OR(ISNUMBER(SEARCH("VCA",$F665)),ISNUMBER(SEARCH("PVC",$F665)),ISNUMBER(SEARCH("vca",$J665)),ISNUMBER(SEARCH("Transformação",$J665))),"VCA",IF(OR(ISNUMBER(SEARCH("crava",$F665)),ISNUMBER(SEARCH("tubo cravado",$F665)),ISNUMBER(SEARCH("shaft",$J665)),ISNUMBER(SEARCH("concreto",$F665))),"TUBO CRAVADO","")))</f>
        <v/>
      </c>
      <c r="T665">
        <f>IF($A665="","",TEXT($A665,"yyyymm")&amp;"|"&amp;$C665&amp;"|"&amp;$F665&amp;"|"&amp;$N665&amp;"|"&amp;$R665)</f>
        <v/>
      </c>
    </row>
    <row r="666" ht="11.55" customHeight="1">
      <c r="A666" s="10" t="n">
        <v>46056</v>
      </c>
      <c r="B666" s="7" t="inlineStr">
        <is>
          <t>Terça</t>
        </is>
      </c>
      <c r="C666" s="7" t="inlineStr">
        <is>
          <t>CT MAR DE CORAL</t>
        </is>
      </c>
      <c r="D666" s="7" t="inlineStr">
        <is>
          <t>ELOÍZIO e LEANDRO e SILVESTRE</t>
        </is>
      </c>
      <c r="E666" s="7" t="inlineStr">
        <is>
          <t>Márcio</t>
        </is>
      </c>
      <c r="F666" s="13" t="inlineStr">
        <is>
          <t>Apoio HDD entre PVs 10 ao 13</t>
        </is>
      </c>
      <c r="G666" s="7" t="inlineStr">
        <is>
          <t>10</t>
        </is>
      </c>
      <c r="H666" s="7" t="n"/>
      <c r="I666" s="7" t="inlineStr">
        <is>
          <t>10</t>
        </is>
      </c>
      <c r="J666" s="7" t="inlineStr">
        <is>
          <t>Apoio HDD</t>
        </is>
      </c>
      <c r="K666" s="7" t="inlineStr">
        <is>
          <t>Planejamento</t>
        </is>
      </c>
      <c r="L666" s="16" t="inlineStr">
        <is>
          <t>PDS-Fevereiro(1).docx</t>
        </is>
      </c>
      <c r="M666">
        <f>IF($A666="","",TEXT($A666,"mmmm/yyyy"))</f>
        <v/>
      </c>
      <c r="P666">
        <f>IFERROR(_xludf.XLOOKUP($N666,Base_Enderecos!$A:$A,Base_Enderecos!$B:$B,""),"")</f>
        <v/>
      </c>
      <c r="Q666">
        <f>IFERROR(_xludf.XLOOKUP($N666,Base_Enderecos!$A:$A,Base_Enderecos!$C:$C,""),"")</f>
        <v/>
      </c>
      <c r="R666">
        <f>IF(OR(ISNUMBER(SEARCH("HDD",$F666)),ISNUMBER(SEARCH("MND",$F666)),ISNUMBER(SEARCH("PEAD",$F666)),ISNUMBER(SEARCH("Puxe",$J666)),ISNUMBER(SEARCH("Apoio HDD",$F666))),"MND",IF(OR(ISNUMBER(SEARCH("VCA",$F666)),ISNUMBER(SEARCH("PVC",$F666)),ISNUMBER(SEARCH("vca",$J666)),ISNUMBER(SEARCH("Transformação",$J666))),"VCA",IF(OR(ISNUMBER(SEARCH("crava",$F666)),ISNUMBER(SEARCH("tubo cravado",$F666)),ISNUMBER(SEARCH("shaft",$J666)),ISNUMBER(SEARCH("concreto",$F666))),"TUBO CRAVADO","")))</f>
        <v/>
      </c>
      <c r="T666">
        <f>IF($A666="","",TEXT($A666,"yyyymm")&amp;"|"&amp;$C666&amp;"|"&amp;$F666&amp;"|"&amp;$N666&amp;"|"&amp;$R666)</f>
        <v/>
      </c>
    </row>
    <row r="667" ht="11.55" customHeight="1">
      <c r="A667" s="10" t="n">
        <v>46056</v>
      </c>
      <c r="B667" s="7" t="inlineStr">
        <is>
          <t>Terça</t>
        </is>
      </c>
      <c r="C667" s="7" t="inlineStr">
        <is>
          <t>CT MAR DE CORAL</t>
        </is>
      </c>
      <c r="D667" s="7" t="inlineStr">
        <is>
          <t>ELOÍZIO e LEANDRO e SILVESTRE</t>
        </is>
      </c>
      <c r="E667" s="7" t="inlineStr">
        <is>
          <t>Paulo</t>
        </is>
      </c>
      <c r="F667" s="13" t="inlineStr">
        <is>
          <t>Transformação PV 22</t>
        </is>
      </c>
      <c r="G667" s="7" t="inlineStr">
        <is>
          <t>22</t>
        </is>
      </c>
      <c r="H667" s="7" t="n"/>
      <c r="I667" s="7" t="inlineStr">
        <is>
          <t>22</t>
        </is>
      </c>
      <c r="J667" s="7" t="inlineStr">
        <is>
          <t>Transformação</t>
        </is>
      </c>
      <c r="K667" s="7" t="inlineStr">
        <is>
          <t>Planejamento</t>
        </is>
      </c>
      <c r="L667" s="16" t="inlineStr">
        <is>
          <t>PDS-Fevereiro(1).docx</t>
        </is>
      </c>
      <c r="M667">
        <f>IF($A667="","",TEXT($A667,"mmmm/yyyy"))</f>
        <v/>
      </c>
      <c r="P667">
        <f>IFERROR(_xludf.XLOOKUP($N667,Base_Enderecos!$A:$A,Base_Enderecos!$B:$B,""),"")</f>
        <v/>
      </c>
      <c r="Q667">
        <f>IFERROR(_xludf.XLOOKUP($N667,Base_Enderecos!$A:$A,Base_Enderecos!$C:$C,""),"")</f>
        <v/>
      </c>
      <c r="R667">
        <f>IF(OR(ISNUMBER(SEARCH("HDD",$F667)),ISNUMBER(SEARCH("MND",$F667)),ISNUMBER(SEARCH("PEAD",$F667)),ISNUMBER(SEARCH("Puxe",$J667)),ISNUMBER(SEARCH("Apoio HDD",$F667))),"MND",IF(OR(ISNUMBER(SEARCH("VCA",$F667)),ISNUMBER(SEARCH("PVC",$F667)),ISNUMBER(SEARCH("vca",$J667)),ISNUMBER(SEARCH("Transformação",$J667))),"VCA",IF(OR(ISNUMBER(SEARCH("crava",$F667)),ISNUMBER(SEARCH("tubo cravado",$F667)),ISNUMBER(SEARCH("shaft",$J667)),ISNUMBER(SEARCH("concreto",$F667))),"TUBO CRAVADO","")))</f>
        <v/>
      </c>
      <c r="T667">
        <f>IF($A667="","",TEXT($A667,"yyyymm")&amp;"|"&amp;$C667&amp;"|"&amp;$F667&amp;"|"&amp;$N667&amp;"|"&amp;$R667)</f>
        <v/>
      </c>
    </row>
    <row r="668" ht="11.55" customHeight="1">
      <c r="A668" s="10" t="n">
        <v>46056</v>
      </c>
      <c r="B668" s="7" t="inlineStr">
        <is>
          <t>Terça</t>
        </is>
      </c>
      <c r="C668" s="7" t="inlineStr">
        <is>
          <t>CT MAR DE CORAL</t>
        </is>
      </c>
      <c r="D668" s="7" t="inlineStr">
        <is>
          <t>ELOÍZIO e LEANDRO e SILVESTRE</t>
        </is>
      </c>
      <c r="E668" s="7" t="inlineStr">
        <is>
          <t>Sergio</t>
        </is>
      </c>
      <c r="F668" s="13" t="inlineStr">
        <is>
          <t>Transformação PV 18</t>
        </is>
      </c>
      <c r="G668" s="7" t="inlineStr">
        <is>
          <t>18</t>
        </is>
      </c>
      <c r="H668" s="7" t="n"/>
      <c r="I668" s="7" t="inlineStr">
        <is>
          <t>18</t>
        </is>
      </c>
      <c r="J668" s="7" t="inlineStr">
        <is>
          <t>Transformação</t>
        </is>
      </c>
      <c r="K668" s="7" t="inlineStr">
        <is>
          <t>Planejamento</t>
        </is>
      </c>
      <c r="L668" s="16" t="inlineStr">
        <is>
          <t>PDS-Fevereiro(1).docx</t>
        </is>
      </c>
      <c r="M668">
        <f>IF($A668="","",TEXT($A668,"mmmm/yyyy"))</f>
        <v/>
      </c>
      <c r="P668">
        <f>IFERROR(_xludf.XLOOKUP($N668,Base_Enderecos!$A:$A,Base_Enderecos!$B:$B,""),"")</f>
        <v/>
      </c>
      <c r="Q668">
        <f>IFERROR(_xludf.XLOOKUP($N668,Base_Enderecos!$A:$A,Base_Enderecos!$C:$C,""),"")</f>
        <v/>
      </c>
      <c r="R668">
        <f>IF(OR(ISNUMBER(SEARCH("HDD",$F668)),ISNUMBER(SEARCH("MND",$F668)),ISNUMBER(SEARCH("PEAD",$F668)),ISNUMBER(SEARCH("Puxe",$J668)),ISNUMBER(SEARCH("Apoio HDD",$F668))),"MND",IF(OR(ISNUMBER(SEARCH("VCA",$F668)),ISNUMBER(SEARCH("PVC",$F668)),ISNUMBER(SEARCH("vca",$J668)),ISNUMBER(SEARCH("Transformação",$J668))),"VCA",IF(OR(ISNUMBER(SEARCH("crava",$F668)),ISNUMBER(SEARCH("tubo cravado",$F668)),ISNUMBER(SEARCH("shaft",$J668)),ISNUMBER(SEARCH("concreto",$F668))),"TUBO CRAVADO","")))</f>
        <v/>
      </c>
      <c r="T668">
        <f>IF($A668="","",TEXT($A668,"yyyymm")&amp;"|"&amp;$C668&amp;"|"&amp;$F668&amp;"|"&amp;$N668&amp;"|"&amp;$R668)</f>
        <v/>
      </c>
    </row>
    <row r="669" ht="11.55" customHeight="1">
      <c r="A669" s="10" t="n">
        <v>46056</v>
      </c>
      <c r="B669" s="7" t="inlineStr">
        <is>
          <t>Terça</t>
        </is>
      </c>
      <c r="C669" s="7" t="inlineStr">
        <is>
          <t>CT LOURDES</t>
        </is>
      </c>
      <c r="D669" s="7" t="inlineStr">
        <is>
          <t>ROBSON e VALMIR</t>
        </is>
      </c>
      <c r="E669" s="7" t="inlineStr">
        <is>
          <t>Edvando</t>
        </is>
      </c>
      <c r="F669" s="13" t="inlineStr">
        <is>
          <t>Transformação PV 18</t>
        </is>
      </c>
      <c r="G669" s="7" t="inlineStr">
        <is>
          <t>18</t>
        </is>
      </c>
      <c r="H669" s="7" t="n"/>
      <c r="I669" s="7" t="inlineStr">
        <is>
          <t>18</t>
        </is>
      </c>
      <c r="J669" s="7" t="inlineStr">
        <is>
          <t>Transformação</t>
        </is>
      </c>
      <c r="K669" s="7" t="inlineStr">
        <is>
          <t>Planejamento</t>
        </is>
      </c>
      <c r="L669" s="16" t="inlineStr">
        <is>
          <t>PDS-Fevereiro(1).docx</t>
        </is>
      </c>
      <c r="M669">
        <f>IF($A669="","",TEXT($A669,"mmmm/yyyy"))</f>
        <v/>
      </c>
      <c r="P669">
        <f>IFERROR(_xludf.XLOOKUP($N669,Base_Enderecos!$A:$A,Base_Enderecos!$B:$B,""),"")</f>
        <v/>
      </c>
      <c r="Q669">
        <f>IFERROR(_xludf.XLOOKUP($N669,Base_Enderecos!$A:$A,Base_Enderecos!$C:$C,""),"")</f>
        <v/>
      </c>
      <c r="R669">
        <f>IF(OR(ISNUMBER(SEARCH("HDD",$F669)),ISNUMBER(SEARCH("MND",$F669)),ISNUMBER(SEARCH("PEAD",$F669)),ISNUMBER(SEARCH("Puxe",$J669)),ISNUMBER(SEARCH("Apoio HDD",$F669))),"MND",IF(OR(ISNUMBER(SEARCH("VCA",$F669)),ISNUMBER(SEARCH("PVC",$F669)),ISNUMBER(SEARCH("vca",$J669)),ISNUMBER(SEARCH("Transformação",$J669))),"VCA",IF(OR(ISNUMBER(SEARCH("crava",$F669)),ISNUMBER(SEARCH("tubo cravado",$F669)),ISNUMBER(SEARCH("shaft",$J669)),ISNUMBER(SEARCH("concreto",$F669))),"TUBO CRAVADO","")))</f>
        <v/>
      </c>
      <c r="T669">
        <f>IF($A669="","",TEXT($A669,"yyyymm")&amp;"|"&amp;$C669&amp;"|"&amp;$F669&amp;"|"&amp;$N669&amp;"|"&amp;$R669)</f>
        <v/>
      </c>
    </row>
    <row r="670" ht="11.55" customHeight="1">
      <c r="A670" s="10" t="n">
        <v>46056</v>
      </c>
      <c r="B670" s="7" t="inlineStr">
        <is>
          <t>Terça</t>
        </is>
      </c>
      <c r="C670" s="7" t="inlineStr">
        <is>
          <t>CT LOURDES</t>
        </is>
      </c>
      <c r="D670" s="7" t="inlineStr">
        <is>
          <t>ROBSON e VALMIR</t>
        </is>
      </c>
      <c r="E670" s="7" t="inlineStr">
        <is>
          <t>Jonathan</t>
        </is>
      </c>
      <c r="F670" s="13" t="inlineStr">
        <is>
          <t>Transformação PV 13</t>
        </is>
      </c>
      <c r="G670" s="7" t="inlineStr">
        <is>
          <t>13</t>
        </is>
      </c>
      <c r="H670" s="7" t="n"/>
      <c r="I670" s="7" t="inlineStr">
        <is>
          <t>13</t>
        </is>
      </c>
      <c r="J670" s="7" t="inlineStr">
        <is>
          <t>Transformação</t>
        </is>
      </c>
      <c r="K670" s="7" t="inlineStr">
        <is>
          <t>Planejamento</t>
        </is>
      </c>
      <c r="L670" s="16" t="inlineStr">
        <is>
          <t>PDS-Fevereiro(1).docx</t>
        </is>
      </c>
      <c r="M670">
        <f>IF($A670="","",TEXT($A670,"mmmm/yyyy"))</f>
        <v/>
      </c>
      <c r="P670">
        <f>IFERROR(_xludf.XLOOKUP($N670,Base_Enderecos!$A:$A,Base_Enderecos!$B:$B,""),"")</f>
        <v/>
      </c>
      <c r="Q670">
        <f>IFERROR(_xludf.XLOOKUP($N670,Base_Enderecos!$A:$A,Base_Enderecos!$C:$C,""),"")</f>
        <v/>
      </c>
      <c r="R670">
        <f>IF(OR(ISNUMBER(SEARCH("HDD",$F670)),ISNUMBER(SEARCH("MND",$F670)),ISNUMBER(SEARCH("PEAD",$F670)),ISNUMBER(SEARCH("Puxe",$J670)),ISNUMBER(SEARCH("Apoio HDD",$F670))),"MND",IF(OR(ISNUMBER(SEARCH("VCA",$F670)),ISNUMBER(SEARCH("PVC",$F670)),ISNUMBER(SEARCH("vca",$J670)),ISNUMBER(SEARCH("Transformação",$J670))),"VCA",IF(OR(ISNUMBER(SEARCH("crava",$F670)),ISNUMBER(SEARCH("tubo cravado",$F670)),ISNUMBER(SEARCH("shaft",$J670)),ISNUMBER(SEARCH("concreto",$F670))),"TUBO CRAVADO","")))</f>
        <v/>
      </c>
      <c r="T670">
        <f>IF($A670="","",TEXT($A670,"yyyymm")&amp;"|"&amp;$C670&amp;"|"&amp;$F670&amp;"|"&amp;$N670&amp;"|"&amp;$R670)</f>
        <v/>
      </c>
    </row>
    <row r="671" ht="11.55" customHeight="1">
      <c r="A671" s="10" t="n">
        <v>46056</v>
      </c>
      <c r="B671" s="7" t="inlineStr">
        <is>
          <t>Terça</t>
        </is>
      </c>
      <c r="C671" s="7" t="inlineStr">
        <is>
          <t>CT LOURDES</t>
        </is>
      </c>
      <c r="D671" s="7" t="inlineStr">
        <is>
          <t>ROBSON e VALMIR</t>
        </is>
      </c>
      <c r="E671" s="7" t="inlineStr">
        <is>
          <t>Higor</t>
        </is>
      </c>
      <c r="F671" s="13" t="inlineStr">
        <is>
          <t>Transformação PV 14</t>
        </is>
      </c>
      <c r="G671" s="7" t="inlineStr">
        <is>
          <t>14</t>
        </is>
      </c>
      <c r="H671" s="7" t="n"/>
      <c r="I671" s="7" t="inlineStr">
        <is>
          <t>14</t>
        </is>
      </c>
      <c r="J671" s="7" t="inlineStr">
        <is>
          <t>Transformação</t>
        </is>
      </c>
      <c r="K671" s="7" t="inlineStr">
        <is>
          <t>Planejamento</t>
        </is>
      </c>
      <c r="L671" s="16" t="inlineStr">
        <is>
          <t>PDS-Fevereiro(1).docx</t>
        </is>
      </c>
      <c r="M671">
        <f>IF($A671="","",TEXT($A671,"mmmm/yyyy"))</f>
        <v/>
      </c>
      <c r="P671">
        <f>IFERROR(_xludf.XLOOKUP($N671,Base_Enderecos!$A:$A,Base_Enderecos!$B:$B,""),"")</f>
        <v/>
      </c>
      <c r="Q671">
        <f>IFERROR(_xludf.XLOOKUP($N671,Base_Enderecos!$A:$A,Base_Enderecos!$C:$C,""),"")</f>
        <v/>
      </c>
      <c r="R671">
        <f>IF(OR(ISNUMBER(SEARCH("HDD",$F671)),ISNUMBER(SEARCH("MND",$F671)),ISNUMBER(SEARCH("PEAD",$F671)),ISNUMBER(SEARCH("Puxe",$J671)),ISNUMBER(SEARCH("Apoio HDD",$F671))),"MND",IF(OR(ISNUMBER(SEARCH("VCA",$F671)),ISNUMBER(SEARCH("PVC",$F671)),ISNUMBER(SEARCH("vca",$J671)),ISNUMBER(SEARCH("Transformação",$J671))),"VCA",IF(OR(ISNUMBER(SEARCH("crava",$F671)),ISNUMBER(SEARCH("tubo cravado",$F671)),ISNUMBER(SEARCH("shaft",$J671)),ISNUMBER(SEARCH("concreto",$F671))),"TUBO CRAVADO","")))</f>
        <v/>
      </c>
      <c r="T671">
        <f>IF($A671="","",TEXT($A671,"yyyymm")&amp;"|"&amp;$C671&amp;"|"&amp;$F671&amp;"|"&amp;$N671&amp;"|"&amp;$R671)</f>
        <v/>
      </c>
    </row>
    <row r="672" ht="11.55" customHeight="1">
      <c r="A672" s="10" t="n">
        <v>46056</v>
      </c>
      <c r="B672" s="7" t="inlineStr">
        <is>
          <t>Terça</t>
        </is>
      </c>
      <c r="C672" s="7" t="inlineStr">
        <is>
          <t>CT ÁGUA VERMELHA M.D</t>
        </is>
      </c>
      <c r="D672" s="7" t="inlineStr">
        <is>
          <t>CAROLINE e FÁBIO</t>
        </is>
      </c>
      <c r="E672" s="7" t="inlineStr">
        <is>
          <t>Marcelo</t>
        </is>
      </c>
      <c r="F672" s="13" t="inlineStr">
        <is>
          <t>Shaft PV 02</t>
        </is>
      </c>
      <c r="G672" s="7" t="inlineStr">
        <is>
          <t>02</t>
        </is>
      </c>
      <c r="H672" s="7" t="n"/>
      <c r="I672" s="7" t="inlineStr">
        <is>
          <t>02</t>
        </is>
      </c>
      <c r="J672" s="7" t="inlineStr">
        <is>
          <t>Shaft</t>
        </is>
      </c>
      <c r="K672" s="7" t="inlineStr">
        <is>
          <t>Planejamento</t>
        </is>
      </c>
      <c r="L672" s="16" t="inlineStr">
        <is>
          <t>PDS-Fevereiro(1).docx</t>
        </is>
      </c>
      <c r="M672">
        <f>IF($A672="","",TEXT($A672,"mmmm/yyyy"))</f>
        <v/>
      </c>
      <c r="P672">
        <f>IFERROR(_xludf.XLOOKUP($N672,Base_Enderecos!$A:$A,Base_Enderecos!$B:$B,""),"")</f>
        <v/>
      </c>
      <c r="Q672">
        <f>IFERROR(_xludf.XLOOKUP($N672,Base_Enderecos!$A:$A,Base_Enderecos!$C:$C,""),"")</f>
        <v/>
      </c>
      <c r="R672">
        <f>IF(OR(ISNUMBER(SEARCH("HDD",$F672)),ISNUMBER(SEARCH("MND",$F672)),ISNUMBER(SEARCH("PEAD",$F672)),ISNUMBER(SEARCH("Puxe",$J672)),ISNUMBER(SEARCH("Apoio HDD",$F672))),"MND",IF(OR(ISNUMBER(SEARCH("VCA",$F672)),ISNUMBER(SEARCH("PVC",$F672)),ISNUMBER(SEARCH("vca",$J672)),ISNUMBER(SEARCH("Transformação",$J672))),"VCA",IF(OR(ISNUMBER(SEARCH("crava",$F672)),ISNUMBER(SEARCH("tubo cravado",$F672)),ISNUMBER(SEARCH("shaft",$J672)),ISNUMBER(SEARCH("concreto",$F672))),"TUBO CRAVADO","")))</f>
        <v/>
      </c>
      <c r="T672">
        <f>IF($A672="","",TEXT($A672,"yyyymm")&amp;"|"&amp;$C672&amp;"|"&amp;$F672&amp;"|"&amp;$N672&amp;"|"&amp;$R672)</f>
        <v/>
      </c>
    </row>
    <row r="673" ht="11.55" customHeight="1">
      <c r="A673" s="10" t="n">
        <v>46056</v>
      </c>
      <c r="B673" s="7" t="inlineStr">
        <is>
          <t>Terça</t>
        </is>
      </c>
      <c r="C673" s="7" t="inlineStr">
        <is>
          <t>CT ÁGUA VERMELHA M.D</t>
        </is>
      </c>
      <c r="D673" s="7" t="inlineStr">
        <is>
          <t>CAROLINE e FÁBIO</t>
        </is>
      </c>
      <c r="E673" s="7" t="inlineStr">
        <is>
          <t>Cesar</t>
        </is>
      </c>
      <c r="F673" s="13" t="inlineStr">
        <is>
          <t>Shaft PV 03</t>
        </is>
      </c>
      <c r="G673" s="7" t="inlineStr">
        <is>
          <t>03</t>
        </is>
      </c>
      <c r="H673" s="7" t="n"/>
      <c r="I673" s="7" t="inlineStr">
        <is>
          <t>03</t>
        </is>
      </c>
      <c r="J673" s="7" t="inlineStr">
        <is>
          <t>Shaft</t>
        </is>
      </c>
      <c r="K673" s="7" t="inlineStr">
        <is>
          <t>Planejamento</t>
        </is>
      </c>
      <c r="L673" s="16" t="inlineStr">
        <is>
          <t>PDS-Fevereiro(1).docx</t>
        </is>
      </c>
      <c r="M673">
        <f>IF($A673="","",TEXT($A673,"mmmm/yyyy"))</f>
        <v/>
      </c>
      <c r="P673">
        <f>IFERROR(_xludf.XLOOKUP($N673,Base_Enderecos!$A:$A,Base_Enderecos!$B:$B,""),"")</f>
        <v/>
      </c>
      <c r="Q673">
        <f>IFERROR(_xludf.XLOOKUP($N673,Base_Enderecos!$A:$A,Base_Enderecos!$C:$C,""),"")</f>
        <v/>
      </c>
      <c r="R673">
        <f>IF(OR(ISNUMBER(SEARCH("HDD",$F673)),ISNUMBER(SEARCH("MND",$F673)),ISNUMBER(SEARCH("PEAD",$F673)),ISNUMBER(SEARCH("Puxe",$J673)),ISNUMBER(SEARCH("Apoio HDD",$F673))),"MND",IF(OR(ISNUMBER(SEARCH("VCA",$F673)),ISNUMBER(SEARCH("PVC",$F673)),ISNUMBER(SEARCH("vca",$J673)),ISNUMBER(SEARCH("Transformação",$J673))),"VCA",IF(OR(ISNUMBER(SEARCH("crava",$F673)),ISNUMBER(SEARCH("tubo cravado",$F673)),ISNUMBER(SEARCH("shaft",$J673)),ISNUMBER(SEARCH("concreto",$F673))),"TUBO CRAVADO","")))</f>
        <v/>
      </c>
      <c r="T673">
        <f>IF($A673="","",TEXT($A673,"yyyymm")&amp;"|"&amp;$C673&amp;"|"&amp;$F673&amp;"|"&amp;$N673&amp;"|"&amp;$R673)</f>
        <v/>
      </c>
    </row>
    <row r="674" ht="11.55" customHeight="1">
      <c r="A674" s="10" t="n">
        <v>46056</v>
      </c>
      <c r="B674" s="7" t="inlineStr">
        <is>
          <t>Terça</t>
        </is>
      </c>
      <c r="C674" s="7" t="inlineStr">
        <is>
          <t>RCE ARARIBA</t>
        </is>
      </c>
      <c r="D674" s="7" t="inlineStr">
        <is>
          <t>ROBSON</t>
        </is>
      </c>
      <c r="E674" s="7" t="inlineStr">
        <is>
          <t>WJ - 02</t>
        </is>
      </c>
      <c r="F674" s="13" t="inlineStr">
        <is>
          <t>Furo piloto entre PVs 10 ao 11</t>
        </is>
      </c>
      <c r="G674" s="7" t="inlineStr">
        <is>
          <t>10</t>
        </is>
      </c>
      <c r="H674" s="7" t="n"/>
      <c r="I674" s="7" t="inlineStr">
        <is>
          <t>10</t>
        </is>
      </c>
      <c r="J674" s="7" t="inlineStr">
        <is>
          <t>Furo piloto</t>
        </is>
      </c>
      <c r="K674" s="7" t="inlineStr">
        <is>
          <t>Planejamento</t>
        </is>
      </c>
      <c r="L674" s="16" t="inlineStr">
        <is>
          <t>PDS-Fevereiro(1).docx</t>
        </is>
      </c>
      <c r="M674">
        <f>IF($A674="","",TEXT($A674,"mmmm/yyyy"))</f>
        <v/>
      </c>
      <c r="P674">
        <f>IFERROR(_xludf.XLOOKUP($N674,Base_Enderecos!$A:$A,Base_Enderecos!$B:$B,""),"")</f>
        <v/>
      </c>
      <c r="Q674">
        <f>IFERROR(_xludf.XLOOKUP($N674,Base_Enderecos!$A:$A,Base_Enderecos!$C:$C,""),"")</f>
        <v/>
      </c>
      <c r="R674">
        <f>IF(OR(ISNUMBER(SEARCH("HDD",$F674)),ISNUMBER(SEARCH("MND",$F674)),ISNUMBER(SEARCH("PEAD",$F674)),ISNUMBER(SEARCH("Puxe",$J674)),ISNUMBER(SEARCH("Apoio HDD",$F674))),"MND",IF(OR(ISNUMBER(SEARCH("VCA",$F674)),ISNUMBER(SEARCH("PVC",$F674)),ISNUMBER(SEARCH("vca",$J674)),ISNUMBER(SEARCH("Transformação",$J674))),"VCA",IF(OR(ISNUMBER(SEARCH("crava",$F674)),ISNUMBER(SEARCH("tubo cravado",$F674)),ISNUMBER(SEARCH("shaft",$J674)),ISNUMBER(SEARCH("concreto",$F674))),"TUBO CRAVADO","")))</f>
        <v/>
      </c>
      <c r="T674">
        <f>IF($A674="","",TEXT($A674,"yyyymm")&amp;"|"&amp;$C674&amp;"|"&amp;$F674&amp;"|"&amp;$N674&amp;"|"&amp;$R674)</f>
        <v/>
      </c>
    </row>
    <row r="675" ht="11.55" customHeight="1">
      <c r="A675" s="10" t="n">
        <v>46056</v>
      </c>
      <c r="B675" s="7" t="inlineStr">
        <is>
          <t>Terça</t>
        </is>
      </c>
      <c r="C675" s="7" t="inlineStr">
        <is>
          <t>RCE ARARIBA</t>
        </is>
      </c>
      <c r="D675" s="7" t="inlineStr">
        <is>
          <t>ROBSON</t>
        </is>
      </c>
      <c r="E675" s="7" t="inlineStr">
        <is>
          <t>Natalino</t>
        </is>
      </c>
      <c r="F675" s="13" t="inlineStr">
        <is>
          <t>Apoio HDD PV 10 ao 11</t>
        </is>
      </c>
      <c r="G675" s="7" t="inlineStr">
        <is>
          <t>10</t>
        </is>
      </c>
      <c r="H675" s="7" t="n"/>
      <c r="I675" s="7" t="inlineStr">
        <is>
          <t>10</t>
        </is>
      </c>
      <c r="J675" s="7" t="inlineStr">
        <is>
          <t>Apoio HDD</t>
        </is>
      </c>
      <c r="K675" s="7" t="inlineStr">
        <is>
          <t>Planejamento</t>
        </is>
      </c>
      <c r="L675" s="16" t="inlineStr">
        <is>
          <t>PDS-Fevereiro(1).docx</t>
        </is>
      </c>
      <c r="M675">
        <f>IF($A675="","",TEXT($A675,"mmmm/yyyy"))</f>
        <v/>
      </c>
      <c r="P675">
        <f>IFERROR(_xludf.XLOOKUP($N675,Base_Enderecos!$A:$A,Base_Enderecos!$B:$B,""),"")</f>
        <v/>
      </c>
      <c r="Q675">
        <f>IFERROR(_xludf.XLOOKUP($N675,Base_Enderecos!$A:$A,Base_Enderecos!$C:$C,""),"")</f>
        <v/>
      </c>
      <c r="R675">
        <f>IF(OR(ISNUMBER(SEARCH("HDD",$F675)),ISNUMBER(SEARCH("MND",$F675)),ISNUMBER(SEARCH("PEAD",$F675)),ISNUMBER(SEARCH("Puxe",$J675)),ISNUMBER(SEARCH("Apoio HDD",$F675))),"MND",IF(OR(ISNUMBER(SEARCH("VCA",$F675)),ISNUMBER(SEARCH("PVC",$F675)),ISNUMBER(SEARCH("vca",$J675)),ISNUMBER(SEARCH("Transformação",$J675))),"VCA",IF(OR(ISNUMBER(SEARCH("crava",$F675)),ISNUMBER(SEARCH("tubo cravado",$F675)),ISNUMBER(SEARCH("shaft",$J675)),ISNUMBER(SEARCH("concreto",$F675))),"TUBO CRAVADO","")))</f>
        <v/>
      </c>
      <c r="T675">
        <f>IF($A675="","",TEXT($A675,"yyyymm")&amp;"|"&amp;$C675&amp;"|"&amp;$F675&amp;"|"&amp;$N675&amp;"|"&amp;$R675)</f>
        <v/>
      </c>
    </row>
    <row r="676" ht="11.55" customHeight="1">
      <c r="A676" s="10" t="n">
        <v>46056</v>
      </c>
      <c r="B676" s="7" t="inlineStr">
        <is>
          <t>Terça</t>
        </is>
      </c>
      <c r="C676" s="7" t="inlineStr">
        <is>
          <t>Vacal</t>
        </is>
      </c>
      <c r="D676" s="7" t="n"/>
      <c r="E676" s="7" t="inlineStr">
        <is>
          <t>Lourdes</t>
        </is>
      </c>
      <c r="F676" s="13" t="inlineStr">
        <is>
          <t>Apoio Vacal</t>
        </is>
      </c>
      <c r="G676" s="7" t="n"/>
      <c r="H676" s="7" t="n"/>
      <c r="I676" s="7" t="n"/>
      <c r="J676" s="7" t="inlineStr">
        <is>
          <t>Vacal</t>
        </is>
      </c>
      <c r="K676" s="7" t="inlineStr">
        <is>
          <t>Apoio</t>
        </is>
      </c>
      <c r="L676" s="16" t="inlineStr">
        <is>
          <t>PDS-Fevereiro(1).docx</t>
        </is>
      </c>
      <c r="M676">
        <f>IF($A676="","",TEXT($A676,"mmmm/yyyy"))</f>
        <v/>
      </c>
      <c r="P676">
        <f>IFERROR(_xludf.XLOOKUP($N676,Base_Enderecos!$A:$A,Base_Enderecos!$B:$B,""),"")</f>
        <v/>
      </c>
      <c r="Q676">
        <f>IFERROR(_xludf.XLOOKUP($N676,Base_Enderecos!$A:$A,Base_Enderecos!$C:$C,""),"")</f>
        <v/>
      </c>
      <c r="R676">
        <f>IF(OR(ISNUMBER(SEARCH("HDD",$F676)),ISNUMBER(SEARCH("MND",$F676)),ISNUMBER(SEARCH("PEAD",$F676)),ISNUMBER(SEARCH("Puxe",$J676)),ISNUMBER(SEARCH("Apoio HDD",$F676))),"MND",IF(OR(ISNUMBER(SEARCH("VCA",$F676)),ISNUMBER(SEARCH("PVC",$F676)),ISNUMBER(SEARCH("vca",$J676)),ISNUMBER(SEARCH("Transformação",$J676))),"VCA",IF(OR(ISNUMBER(SEARCH("crava",$F676)),ISNUMBER(SEARCH("tubo cravado",$F676)),ISNUMBER(SEARCH("shaft",$J676)),ISNUMBER(SEARCH("concreto",$F676))),"TUBO CRAVADO","")))</f>
        <v/>
      </c>
      <c r="T676">
        <f>IF($A676="","",TEXT($A676,"yyyymm")&amp;"|"&amp;$C676&amp;"|"&amp;$F676&amp;"|"&amp;$N676&amp;"|"&amp;$R676)</f>
        <v/>
      </c>
    </row>
    <row r="677" ht="11.55" customHeight="1">
      <c r="A677" s="10" t="n">
        <v>46056</v>
      </c>
      <c r="B677" s="7" t="inlineStr">
        <is>
          <t>Terça</t>
        </is>
      </c>
      <c r="C677" s="7" t="inlineStr">
        <is>
          <t>Vacal</t>
        </is>
      </c>
      <c r="D677" s="7" t="n"/>
      <c r="E677" s="7" t="inlineStr">
        <is>
          <t>Lourdes</t>
        </is>
      </c>
      <c r="F677" s="13" t="inlineStr">
        <is>
          <t>Apoio Vacal</t>
        </is>
      </c>
      <c r="G677" s="7" t="n"/>
      <c r="H677" s="7" t="n"/>
      <c r="I677" s="7" t="n"/>
      <c r="J677" s="7" t="inlineStr">
        <is>
          <t>Vacal</t>
        </is>
      </c>
      <c r="K677" s="7" t="inlineStr">
        <is>
          <t>Apoio</t>
        </is>
      </c>
      <c r="L677" s="16" t="inlineStr">
        <is>
          <t>PDS-Fevereiro(1).docx</t>
        </is>
      </c>
      <c r="M677">
        <f>IF($A677="","",TEXT($A677,"mmmm/yyyy"))</f>
        <v/>
      </c>
      <c r="P677">
        <f>IFERROR(_xludf.XLOOKUP($N677,Base_Enderecos!$A:$A,Base_Enderecos!$B:$B,""),"")</f>
        <v/>
      </c>
      <c r="Q677">
        <f>IFERROR(_xludf.XLOOKUP($N677,Base_Enderecos!$A:$A,Base_Enderecos!$C:$C,""),"")</f>
        <v/>
      </c>
      <c r="R677">
        <f>IF(OR(ISNUMBER(SEARCH("HDD",$F677)),ISNUMBER(SEARCH("MND",$F677)),ISNUMBER(SEARCH("PEAD",$F677)),ISNUMBER(SEARCH("Puxe",$J677)),ISNUMBER(SEARCH("Apoio HDD",$F677))),"MND",IF(OR(ISNUMBER(SEARCH("VCA",$F677)),ISNUMBER(SEARCH("PVC",$F677)),ISNUMBER(SEARCH("vca",$J677)),ISNUMBER(SEARCH("Transformação",$J677))),"VCA",IF(OR(ISNUMBER(SEARCH("crava",$F677)),ISNUMBER(SEARCH("tubo cravado",$F677)),ISNUMBER(SEARCH("shaft",$J677)),ISNUMBER(SEARCH("concreto",$F677))),"TUBO CRAVADO","")))</f>
        <v/>
      </c>
      <c r="T677">
        <f>IF($A677="","",TEXT($A677,"yyyymm")&amp;"|"&amp;$C677&amp;"|"&amp;$F677&amp;"|"&amp;$N677&amp;"|"&amp;$R677)</f>
        <v/>
      </c>
    </row>
    <row r="678" ht="11.55" customHeight="1">
      <c r="A678" s="10" t="n">
        <v>46056</v>
      </c>
      <c r="B678" s="7" t="inlineStr">
        <is>
          <t>Terça</t>
        </is>
      </c>
      <c r="C678" s="7" t="inlineStr">
        <is>
          <t>Vacal</t>
        </is>
      </c>
      <c r="D678" s="7" t="n"/>
      <c r="E678" s="7" t="inlineStr">
        <is>
          <t>Mar de Coral</t>
        </is>
      </c>
      <c r="F678" s="13" t="inlineStr">
        <is>
          <t>Apoio Vacal</t>
        </is>
      </c>
      <c r="G678" s="7" t="n"/>
      <c r="H678" s="7" t="n"/>
      <c r="I678" s="7" t="n"/>
      <c r="J678" s="7" t="inlineStr">
        <is>
          <t>Vacal</t>
        </is>
      </c>
      <c r="K678" s="7" t="inlineStr">
        <is>
          <t>Apoio</t>
        </is>
      </c>
      <c r="L678" s="16" t="inlineStr">
        <is>
          <t>PDS-Fevereiro(1).docx</t>
        </is>
      </c>
      <c r="M678">
        <f>IF($A678="","",TEXT($A678,"mmmm/yyyy"))</f>
        <v/>
      </c>
      <c r="P678">
        <f>IFERROR(_xludf.XLOOKUP($N678,Base_Enderecos!$A:$A,Base_Enderecos!$B:$B,""),"")</f>
        <v/>
      </c>
      <c r="Q678">
        <f>IFERROR(_xludf.XLOOKUP($N678,Base_Enderecos!$A:$A,Base_Enderecos!$C:$C,""),"")</f>
        <v/>
      </c>
      <c r="R678">
        <f>IF(OR(ISNUMBER(SEARCH("HDD",$F678)),ISNUMBER(SEARCH("MND",$F678)),ISNUMBER(SEARCH("PEAD",$F678)),ISNUMBER(SEARCH("Puxe",$J678)),ISNUMBER(SEARCH("Apoio HDD",$F678))),"MND",IF(OR(ISNUMBER(SEARCH("VCA",$F678)),ISNUMBER(SEARCH("PVC",$F678)),ISNUMBER(SEARCH("vca",$J678)),ISNUMBER(SEARCH("Transformação",$J678))),"VCA",IF(OR(ISNUMBER(SEARCH("crava",$F678)),ISNUMBER(SEARCH("tubo cravado",$F678)),ISNUMBER(SEARCH("shaft",$J678)),ISNUMBER(SEARCH("concreto",$F678))),"TUBO CRAVADO","")))</f>
        <v/>
      </c>
      <c r="T678">
        <f>IF($A678="","",TEXT($A678,"yyyymm")&amp;"|"&amp;$C678&amp;"|"&amp;$F678&amp;"|"&amp;$N678&amp;"|"&amp;$R678)</f>
        <v/>
      </c>
    </row>
    <row r="679" ht="11.55" customHeight="1">
      <c r="A679" s="10" t="n">
        <v>46056</v>
      </c>
      <c r="B679" s="7" t="inlineStr">
        <is>
          <t>Terça</t>
        </is>
      </c>
      <c r="C679" s="7" t="inlineStr">
        <is>
          <t>Vacal</t>
        </is>
      </c>
      <c r="D679" s="7" t="n"/>
      <c r="E679" s="7" t="inlineStr">
        <is>
          <t>Mar de Coral</t>
        </is>
      </c>
      <c r="F679" s="13" t="inlineStr">
        <is>
          <t>Apoio Vacal</t>
        </is>
      </c>
      <c r="G679" s="7" t="n"/>
      <c r="H679" s="7" t="n"/>
      <c r="I679" s="7" t="n"/>
      <c r="J679" s="7" t="inlineStr">
        <is>
          <t>Vacal</t>
        </is>
      </c>
      <c r="K679" s="7" t="inlineStr">
        <is>
          <t>Apoio</t>
        </is>
      </c>
      <c r="L679" s="16" t="inlineStr">
        <is>
          <t>PDS-Fevereiro(1).docx</t>
        </is>
      </c>
      <c r="M679">
        <f>IF($A679="","",TEXT($A679,"mmmm/yyyy"))</f>
        <v/>
      </c>
      <c r="P679">
        <f>IFERROR(_xludf.XLOOKUP($N679,Base_Enderecos!$A:$A,Base_Enderecos!$B:$B,""),"")</f>
        <v/>
      </c>
      <c r="Q679">
        <f>IFERROR(_xludf.XLOOKUP($N679,Base_Enderecos!$A:$A,Base_Enderecos!$C:$C,""),"")</f>
        <v/>
      </c>
      <c r="R679">
        <f>IF(OR(ISNUMBER(SEARCH("HDD",$F679)),ISNUMBER(SEARCH("MND",$F679)),ISNUMBER(SEARCH("PEAD",$F679)),ISNUMBER(SEARCH("Puxe",$J679)),ISNUMBER(SEARCH("Apoio HDD",$F679))),"MND",IF(OR(ISNUMBER(SEARCH("VCA",$F679)),ISNUMBER(SEARCH("PVC",$F679)),ISNUMBER(SEARCH("vca",$J679)),ISNUMBER(SEARCH("Transformação",$J679))),"VCA",IF(OR(ISNUMBER(SEARCH("crava",$F679)),ISNUMBER(SEARCH("tubo cravado",$F679)),ISNUMBER(SEARCH("shaft",$J679)),ISNUMBER(SEARCH("concreto",$F679))),"TUBO CRAVADO","")))</f>
        <v/>
      </c>
      <c r="T679">
        <f>IF($A679="","",TEXT($A679,"yyyymm")&amp;"|"&amp;$C679&amp;"|"&amp;$F679&amp;"|"&amp;$N679&amp;"|"&amp;$R679)</f>
        <v/>
      </c>
    </row>
    <row r="680" ht="11.55" customHeight="1">
      <c r="A680" s="10" t="n">
        <v>46056</v>
      </c>
      <c r="B680" s="7" t="inlineStr">
        <is>
          <t>Terça</t>
        </is>
      </c>
      <c r="C680" s="7" t="inlineStr">
        <is>
          <t>Guindauto</t>
        </is>
      </c>
      <c r="D680" s="7" t="n"/>
      <c r="E680" s="7" t="inlineStr">
        <is>
          <t>Rodrigo</t>
        </is>
      </c>
      <c r="F680" s="13" t="inlineStr">
        <is>
          <t>Rodrigo - Apoio as equipes</t>
        </is>
      </c>
      <c r="G680" s="7" t="n"/>
      <c r="H680" s="7" t="n"/>
      <c r="I680" s="7" t="n"/>
      <c r="J680" s="7" t="inlineStr">
        <is>
          <t>Guindauto</t>
        </is>
      </c>
      <c r="K680" s="7" t="inlineStr">
        <is>
          <t>Apoio</t>
        </is>
      </c>
      <c r="L680" s="16" t="inlineStr">
        <is>
          <t>PDS-Fevereiro(1).docx</t>
        </is>
      </c>
      <c r="M680">
        <f>IF($A680="","",TEXT($A680,"mmmm/yyyy"))</f>
        <v/>
      </c>
      <c r="P680">
        <f>IFERROR(_xludf.XLOOKUP($N680,Base_Enderecos!$A:$A,Base_Enderecos!$B:$B,""),"")</f>
        <v/>
      </c>
      <c r="Q680">
        <f>IFERROR(_xludf.XLOOKUP($N680,Base_Enderecos!$A:$A,Base_Enderecos!$C:$C,""),"")</f>
        <v/>
      </c>
      <c r="R680">
        <f>IF(OR(ISNUMBER(SEARCH("HDD",$F680)),ISNUMBER(SEARCH("MND",$F680)),ISNUMBER(SEARCH("PEAD",$F680)),ISNUMBER(SEARCH("Puxe",$J680)),ISNUMBER(SEARCH("Apoio HDD",$F680))),"MND",IF(OR(ISNUMBER(SEARCH("VCA",$F680)),ISNUMBER(SEARCH("PVC",$F680)),ISNUMBER(SEARCH("vca",$J680)),ISNUMBER(SEARCH("Transformação",$J680))),"VCA",IF(OR(ISNUMBER(SEARCH("crava",$F680)),ISNUMBER(SEARCH("tubo cravado",$F680)),ISNUMBER(SEARCH("shaft",$J680)),ISNUMBER(SEARCH("concreto",$F680))),"TUBO CRAVADO","")))</f>
        <v/>
      </c>
      <c r="T680">
        <f>IF($A680="","",TEXT($A680,"yyyymm")&amp;"|"&amp;$C680&amp;"|"&amp;$F680&amp;"|"&amp;$N680&amp;"|"&amp;$R680)</f>
        <v/>
      </c>
    </row>
    <row r="681" ht="11.55" customHeight="1">
      <c r="A681" s="10" t="n">
        <v>46056</v>
      </c>
      <c r="B681" s="7" t="inlineStr">
        <is>
          <t>Terça</t>
        </is>
      </c>
      <c r="C681" s="7" t="inlineStr">
        <is>
          <t>Guindauto</t>
        </is>
      </c>
      <c r="D681" s="7" t="n"/>
      <c r="E681" s="7" t="inlineStr">
        <is>
          <t>Marcio</t>
        </is>
      </c>
      <c r="F681" s="13" t="inlineStr">
        <is>
          <t>Marcio - Apoio PV 18</t>
        </is>
      </c>
      <c r="G681" s="7" t="n"/>
      <c r="H681" s="7" t="n"/>
      <c r="I681" s="7" t="n"/>
      <c r="J681" s="7" t="inlineStr">
        <is>
          <t>Guindauto</t>
        </is>
      </c>
      <c r="K681" s="7" t="inlineStr">
        <is>
          <t>Apoio</t>
        </is>
      </c>
      <c r="L681" s="16" t="inlineStr">
        <is>
          <t>PDS-Fevereiro(1).docx</t>
        </is>
      </c>
      <c r="M681">
        <f>IF($A681="","",TEXT($A681,"mmmm/yyyy"))</f>
        <v/>
      </c>
      <c r="P681">
        <f>IFERROR(_xludf.XLOOKUP($N681,Base_Enderecos!$A:$A,Base_Enderecos!$B:$B,""),"")</f>
        <v/>
      </c>
      <c r="Q681">
        <f>IFERROR(_xludf.XLOOKUP($N681,Base_Enderecos!$A:$A,Base_Enderecos!$C:$C,""),"")</f>
        <v/>
      </c>
      <c r="R681">
        <f>IF(OR(ISNUMBER(SEARCH("HDD",$F681)),ISNUMBER(SEARCH("MND",$F681)),ISNUMBER(SEARCH("PEAD",$F681)),ISNUMBER(SEARCH("Puxe",$J681)),ISNUMBER(SEARCH("Apoio HDD",$F681))),"MND",IF(OR(ISNUMBER(SEARCH("VCA",$F681)),ISNUMBER(SEARCH("PVC",$F681)),ISNUMBER(SEARCH("vca",$J681)),ISNUMBER(SEARCH("Transformação",$J681))),"VCA",IF(OR(ISNUMBER(SEARCH("crava",$F681)),ISNUMBER(SEARCH("tubo cravado",$F681)),ISNUMBER(SEARCH("shaft",$J681)),ISNUMBER(SEARCH("concreto",$F681))),"TUBO CRAVADO","")))</f>
        <v/>
      </c>
      <c r="T681">
        <f>IF($A681="","",TEXT($A681,"yyyymm")&amp;"|"&amp;$C681&amp;"|"&amp;$F681&amp;"|"&amp;$N681&amp;"|"&amp;$R681)</f>
        <v/>
      </c>
    </row>
    <row r="682" ht="11.55" customHeight="1">
      <c r="A682" s="10" t="n">
        <v>46057</v>
      </c>
      <c r="B682" s="7" t="inlineStr">
        <is>
          <t>Quarta</t>
        </is>
      </c>
      <c r="C682" s="7" t="inlineStr">
        <is>
          <t>CT MAR DE CORAL</t>
        </is>
      </c>
      <c r="D682" s="7" t="inlineStr">
        <is>
          <t>ELOÍZIO e LEANDRO e SILVESTRE</t>
        </is>
      </c>
      <c r="E682" s="7" t="inlineStr">
        <is>
          <t>Cidão</t>
        </is>
      </c>
      <c r="F682" s="13" t="inlineStr">
        <is>
          <t>Shaft PV 33</t>
        </is>
      </c>
      <c r="G682" s="7" t="inlineStr">
        <is>
          <t>33</t>
        </is>
      </c>
      <c r="H682" s="7" t="n"/>
      <c r="I682" s="7" t="inlineStr">
        <is>
          <t>33</t>
        </is>
      </c>
      <c r="J682" s="7" t="inlineStr">
        <is>
          <t>Shaft</t>
        </is>
      </c>
      <c r="K682" s="7" t="inlineStr">
        <is>
          <t>Planejamento</t>
        </is>
      </c>
      <c r="L682" s="16" t="inlineStr">
        <is>
          <t>PDS-Fevereiro(1).docx</t>
        </is>
      </c>
      <c r="M682">
        <f>IF($A682="","",TEXT($A682,"mmmm/yyyy"))</f>
        <v/>
      </c>
      <c r="P682">
        <f>IFERROR(_xludf.XLOOKUP($N682,Base_Enderecos!$A:$A,Base_Enderecos!$B:$B,""),"")</f>
        <v/>
      </c>
      <c r="Q682">
        <f>IFERROR(_xludf.XLOOKUP($N682,Base_Enderecos!$A:$A,Base_Enderecos!$C:$C,""),"")</f>
        <v/>
      </c>
      <c r="R682">
        <f>IF(OR(ISNUMBER(SEARCH("HDD",$F682)),ISNUMBER(SEARCH("MND",$F682)),ISNUMBER(SEARCH("PEAD",$F682)),ISNUMBER(SEARCH("Puxe",$J682)),ISNUMBER(SEARCH("Apoio HDD",$F682))),"MND",IF(OR(ISNUMBER(SEARCH("VCA",$F682)),ISNUMBER(SEARCH("PVC",$F682)),ISNUMBER(SEARCH("vca",$J682)),ISNUMBER(SEARCH("Transformação",$J682))),"VCA",IF(OR(ISNUMBER(SEARCH("crava",$F682)),ISNUMBER(SEARCH("tubo cravado",$F682)),ISNUMBER(SEARCH("shaft",$J682)),ISNUMBER(SEARCH("concreto",$F682))),"TUBO CRAVADO","")))</f>
        <v/>
      </c>
      <c r="T682">
        <f>IF($A682="","",TEXT($A682,"yyyymm")&amp;"|"&amp;$C682&amp;"|"&amp;$F682&amp;"|"&amp;$N682&amp;"|"&amp;$R682)</f>
        <v/>
      </c>
    </row>
    <row r="683" ht="11.55" customHeight="1">
      <c r="A683" s="10" t="n">
        <v>46057</v>
      </c>
      <c r="B683" s="7" t="inlineStr">
        <is>
          <t>Quarta</t>
        </is>
      </c>
      <c r="C683" s="7" t="inlineStr">
        <is>
          <t>CT MAR DE CORAL</t>
        </is>
      </c>
      <c r="D683" s="7" t="inlineStr">
        <is>
          <t>ELOÍZIO e LEANDRO e SILVESTRE</t>
        </is>
      </c>
      <c r="E683" s="7" t="inlineStr">
        <is>
          <t>Valter</t>
        </is>
      </c>
      <c r="F683" s="13" t="inlineStr">
        <is>
          <t>Transformação PV 09</t>
        </is>
      </c>
      <c r="G683" s="7" t="inlineStr">
        <is>
          <t>09</t>
        </is>
      </c>
      <c r="H683" s="7" t="n"/>
      <c r="I683" s="7" t="inlineStr">
        <is>
          <t>09</t>
        </is>
      </c>
      <c r="J683" s="7" t="inlineStr">
        <is>
          <t>Transformação</t>
        </is>
      </c>
      <c r="K683" s="7" t="inlineStr">
        <is>
          <t>Planejamento</t>
        </is>
      </c>
      <c r="L683" s="16" t="inlineStr">
        <is>
          <t>PDS-Fevereiro(1).docx</t>
        </is>
      </c>
      <c r="M683">
        <f>IF($A683="","",TEXT($A683,"mmmm/yyyy"))</f>
        <v/>
      </c>
      <c r="P683">
        <f>IFERROR(_xludf.XLOOKUP($N683,Base_Enderecos!$A:$A,Base_Enderecos!$B:$B,""),"")</f>
        <v/>
      </c>
      <c r="Q683">
        <f>IFERROR(_xludf.XLOOKUP($N683,Base_Enderecos!$A:$A,Base_Enderecos!$C:$C,""),"")</f>
        <v/>
      </c>
      <c r="R683">
        <f>IF(OR(ISNUMBER(SEARCH("HDD",$F683)),ISNUMBER(SEARCH("MND",$F683)),ISNUMBER(SEARCH("PEAD",$F683)),ISNUMBER(SEARCH("Puxe",$J683)),ISNUMBER(SEARCH("Apoio HDD",$F683))),"MND",IF(OR(ISNUMBER(SEARCH("VCA",$F683)),ISNUMBER(SEARCH("PVC",$F683)),ISNUMBER(SEARCH("vca",$J683)),ISNUMBER(SEARCH("Transformação",$J683))),"VCA",IF(OR(ISNUMBER(SEARCH("crava",$F683)),ISNUMBER(SEARCH("tubo cravado",$F683)),ISNUMBER(SEARCH("shaft",$J683)),ISNUMBER(SEARCH("concreto",$F683))),"TUBO CRAVADO","")))</f>
        <v/>
      </c>
      <c r="T683">
        <f>IF($A683="","",TEXT($A683,"yyyymm")&amp;"|"&amp;$C683&amp;"|"&amp;$F683&amp;"|"&amp;$N683&amp;"|"&amp;$R683)</f>
        <v/>
      </c>
    </row>
    <row r="684" ht="11.55" customHeight="1">
      <c r="A684" s="10" t="n">
        <v>46057</v>
      </c>
      <c r="B684" s="7" t="inlineStr">
        <is>
          <t>Quarta</t>
        </is>
      </c>
      <c r="C684" s="7" t="inlineStr">
        <is>
          <t>CT MAR DE CORAL</t>
        </is>
      </c>
      <c r="D684" s="7" t="inlineStr">
        <is>
          <t>ELOÍZIO e LEANDRO e SILVESTRE</t>
        </is>
      </c>
      <c r="E684" s="7" t="inlineStr">
        <is>
          <t>Work Drill</t>
        </is>
      </c>
      <c r="F684" s="13" t="inlineStr">
        <is>
          <t>Puxe entre PVs 25 ao 30</t>
        </is>
      </c>
      <c r="G684" s="7" t="inlineStr">
        <is>
          <t>25</t>
        </is>
      </c>
      <c r="H684" s="7" t="n"/>
      <c r="I684" s="7" t="inlineStr">
        <is>
          <t>25</t>
        </is>
      </c>
      <c r="J684" s="7" t="inlineStr">
        <is>
          <t>Puxe</t>
        </is>
      </c>
      <c r="K684" s="7" t="inlineStr">
        <is>
          <t>Planejamento</t>
        </is>
      </c>
      <c r="L684" s="16" t="inlineStr">
        <is>
          <t>PDS-Fevereiro(1).docx</t>
        </is>
      </c>
      <c r="M684">
        <f>IF($A684="","",TEXT($A684,"mmmm/yyyy"))</f>
        <v/>
      </c>
      <c r="P684">
        <f>IFERROR(_xludf.XLOOKUP($N684,Base_Enderecos!$A:$A,Base_Enderecos!$B:$B,""),"")</f>
        <v/>
      </c>
      <c r="Q684">
        <f>IFERROR(_xludf.XLOOKUP($N684,Base_Enderecos!$A:$A,Base_Enderecos!$C:$C,""),"")</f>
        <v/>
      </c>
      <c r="R684">
        <f>IF(OR(ISNUMBER(SEARCH("HDD",$F684)),ISNUMBER(SEARCH("MND",$F684)),ISNUMBER(SEARCH("PEAD",$F684)),ISNUMBER(SEARCH("Puxe",$J684)),ISNUMBER(SEARCH("Apoio HDD",$F684))),"MND",IF(OR(ISNUMBER(SEARCH("VCA",$F684)),ISNUMBER(SEARCH("PVC",$F684)),ISNUMBER(SEARCH("vca",$J684)),ISNUMBER(SEARCH("Transformação",$J684))),"VCA",IF(OR(ISNUMBER(SEARCH("crava",$F684)),ISNUMBER(SEARCH("tubo cravado",$F684)),ISNUMBER(SEARCH("shaft",$J684)),ISNUMBER(SEARCH("concreto",$F684))),"TUBO CRAVADO","")))</f>
        <v/>
      </c>
      <c r="T684">
        <f>IF($A684="","",TEXT($A684,"yyyymm")&amp;"|"&amp;$C684&amp;"|"&amp;$F684&amp;"|"&amp;$N684&amp;"|"&amp;$R684)</f>
        <v/>
      </c>
    </row>
    <row r="685" ht="11.55" customHeight="1">
      <c r="A685" s="10" t="n">
        <v>46057</v>
      </c>
      <c r="B685" s="7" t="inlineStr">
        <is>
          <t>Quarta</t>
        </is>
      </c>
      <c r="C685" s="7" t="inlineStr">
        <is>
          <t>CT MAR DE CORAL</t>
        </is>
      </c>
      <c r="D685" s="7" t="inlineStr">
        <is>
          <t>ELOÍZIO e LEANDRO e SILVESTRE</t>
        </is>
      </c>
      <c r="E685" s="7" t="inlineStr">
        <is>
          <t>Medeiros</t>
        </is>
      </c>
      <c r="F685" s="13" t="inlineStr">
        <is>
          <t>Apoio HDD entre os PVs 25 ao PV 30</t>
        </is>
      </c>
      <c r="G685" s="7" t="inlineStr">
        <is>
          <t>25</t>
        </is>
      </c>
      <c r="H685" s="7" t="inlineStr">
        <is>
          <t>30</t>
        </is>
      </c>
      <c r="I685" s="7" t="inlineStr">
        <is>
          <t>25, 30</t>
        </is>
      </c>
      <c r="J685" s="7" t="inlineStr">
        <is>
          <t>Apoio HDD</t>
        </is>
      </c>
      <c r="K685" s="7" t="inlineStr">
        <is>
          <t>Planejamento</t>
        </is>
      </c>
      <c r="L685" s="16" t="inlineStr">
        <is>
          <t>PDS-Fevereiro(1).docx</t>
        </is>
      </c>
      <c r="M685">
        <f>IF($A685="","",TEXT($A685,"mmmm/yyyy"))</f>
        <v/>
      </c>
      <c r="P685">
        <f>IFERROR(_xludf.XLOOKUP($N685,Base_Enderecos!$A:$A,Base_Enderecos!$B:$B,""),"")</f>
        <v/>
      </c>
      <c r="Q685">
        <f>IFERROR(_xludf.XLOOKUP($N685,Base_Enderecos!$A:$A,Base_Enderecos!$C:$C,""),"")</f>
        <v/>
      </c>
      <c r="R685">
        <f>IF(OR(ISNUMBER(SEARCH("HDD",$F685)),ISNUMBER(SEARCH("MND",$F685)),ISNUMBER(SEARCH("PEAD",$F685)),ISNUMBER(SEARCH("Puxe",$J685)),ISNUMBER(SEARCH("Apoio HDD",$F685))),"MND",IF(OR(ISNUMBER(SEARCH("VCA",$F685)),ISNUMBER(SEARCH("PVC",$F685)),ISNUMBER(SEARCH("vca",$J685)),ISNUMBER(SEARCH("Transformação",$J685))),"VCA",IF(OR(ISNUMBER(SEARCH("crava",$F685)),ISNUMBER(SEARCH("tubo cravado",$F685)),ISNUMBER(SEARCH("shaft",$J685)),ISNUMBER(SEARCH("concreto",$F685))),"TUBO CRAVADO","")))</f>
        <v/>
      </c>
      <c r="T685">
        <f>IF($A685="","",TEXT($A685,"yyyymm")&amp;"|"&amp;$C685&amp;"|"&amp;$F685&amp;"|"&amp;$N685&amp;"|"&amp;$R685)</f>
        <v/>
      </c>
    </row>
    <row r="686" ht="11.55" customHeight="1">
      <c r="A686" s="10" t="n">
        <v>46057</v>
      </c>
      <c r="B686" s="7" t="inlineStr">
        <is>
          <t>Quarta</t>
        </is>
      </c>
      <c r="C686" s="7" t="inlineStr">
        <is>
          <t>CT MAR DE CORAL</t>
        </is>
      </c>
      <c r="D686" s="7" t="inlineStr">
        <is>
          <t>ELOÍZIO e LEANDRO e SILVESTRE</t>
        </is>
      </c>
      <c r="E686" s="7" t="inlineStr">
        <is>
          <t>Reinaldo</t>
        </is>
      </c>
      <c r="F686" s="13" t="inlineStr">
        <is>
          <t>Furo Piloto e Puxe entre PVs 10 ao 13</t>
        </is>
      </c>
      <c r="G686" s="7" t="inlineStr">
        <is>
          <t>10</t>
        </is>
      </c>
      <c r="H686" s="7" t="n"/>
      <c r="I686" s="7" t="inlineStr">
        <is>
          <t>10</t>
        </is>
      </c>
      <c r="J686" s="7" t="inlineStr">
        <is>
          <t>Furo piloto</t>
        </is>
      </c>
      <c r="K686" s="7" t="inlineStr">
        <is>
          <t>Planejamento</t>
        </is>
      </c>
      <c r="L686" s="16" t="inlineStr">
        <is>
          <t>PDS-Fevereiro(1).docx</t>
        </is>
      </c>
      <c r="M686">
        <f>IF($A686="","",TEXT($A686,"mmmm/yyyy"))</f>
        <v/>
      </c>
      <c r="P686">
        <f>IFERROR(_xludf.XLOOKUP($N686,Base_Enderecos!$A:$A,Base_Enderecos!$B:$B,""),"")</f>
        <v/>
      </c>
      <c r="Q686">
        <f>IFERROR(_xludf.XLOOKUP($N686,Base_Enderecos!$A:$A,Base_Enderecos!$C:$C,""),"")</f>
        <v/>
      </c>
      <c r="R686">
        <f>IF(OR(ISNUMBER(SEARCH("HDD",$F686)),ISNUMBER(SEARCH("MND",$F686)),ISNUMBER(SEARCH("PEAD",$F686)),ISNUMBER(SEARCH("Puxe",$J686)),ISNUMBER(SEARCH("Apoio HDD",$F686))),"MND",IF(OR(ISNUMBER(SEARCH("VCA",$F686)),ISNUMBER(SEARCH("PVC",$F686)),ISNUMBER(SEARCH("vca",$J686)),ISNUMBER(SEARCH("Transformação",$J686))),"VCA",IF(OR(ISNUMBER(SEARCH("crava",$F686)),ISNUMBER(SEARCH("tubo cravado",$F686)),ISNUMBER(SEARCH("shaft",$J686)),ISNUMBER(SEARCH("concreto",$F686))),"TUBO CRAVADO","")))</f>
        <v/>
      </c>
      <c r="T686">
        <f>IF($A686="","",TEXT($A686,"yyyymm")&amp;"|"&amp;$C686&amp;"|"&amp;$F686&amp;"|"&amp;$N686&amp;"|"&amp;$R686)</f>
        <v/>
      </c>
    </row>
    <row r="687" ht="11.55" customHeight="1">
      <c r="A687" s="10" t="n">
        <v>46057</v>
      </c>
      <c r="B687" s="7" t="inlineStr">
        <is>
          <t>Quarta</t>
        </is>
      </c>
      <c r="C687" s="7" t="inlineStr">
        <is>
          <t>CT MAR DE CORAL</t>
        </is>
      </c>
      <c r="D687" s="7" t="inlineStr">
        <is>
          <t>ELOÍZIO e LEANDRO e SILVESTRE</t>
        </is>
      </c>
      <c r="E687" s="7" t="inlineStr">
        <is>
          <t>Márcio</t>
        </is>
      </c>
      <c r="F687" s="13" t="inlineStr">
        <is>
          <t>Apoio HDD entre PVs 5.10 ao 5.11</t>
        </is>
      </c>
      <c r="G687" s="7" t="inlineStr">
        <is>
          <t>5.10</t>
        </is>
      </c>
      <c r="H687" s="7" t="n"/>
      <c r="I687" s="7" t="inlineStr">
        <is>
          <t>5.10</t>
        </is>
      </c>
      <c r="J687" s="7" t="inlineStr">
        <is>
          <t>Apoio HDD</t>
        </is>
      </c>
      <c r="K687" s="7" t="inlineStr">
        <is>
          <t>Planejamento</t>
        </is>
      </c>
      <c r="L687" s="16" t="inlineStr">
        <is>
          <t>PDS-Fevereiro(1).docx</t>
        </is>
      </c>
      <c r="M687">
        <f>IF($A687="","",TEXT($A687,"mmmm/yyyy"))</f>
        <v/>
      </c>
      <c r="P687">
        <f>IFERROR(_xludf.XLOOKUP($N687,Base_Enderecos!$A:$A,Base_Enderecos!$B:$B,""),"")</f>
        <v/>
      </c>
      <c r="Q687">
        <f>IFERROR(_xludf.XLOOKUP($N687,Base_Enderecos!$A:$A,Base_Enderecos!$C:$C,""),"")</f>
        <v/>
      </c>
      <c r="R687">
        <f>IF(OR(ISNUMBER(SEARCH("HDD",$F687)),ISNUMBER(SEARCH("MND",$F687)),ISNUMBER(SEARCH("PEAD",$F687)),ISNUMBER(SEARCH("Puxe",$J687)),ISNUMBER(SEARCH("Apoio HDD",$F687))),"MND",IF(OR(ISNUMBER(SEARCH("VCA",$F687)),ISNUMBER(SEARCH("PVC",$F687)),ISNUMBER(SEARCH("vca",$J687)),ISNUMBER(SEARCH("Transformação",$J687))),"VCA",IF(OR(ISNUMBER(SEARCH("crava",$F687)),ISNUMBER(SEARCH("tubo cravado",$F687)),ISNUMBER(SEARCH("shaft",$J687)),ISNUMBER(SEARCH("concreto",$F687))),"TUBO CRAVADO","")))</f>
        <v/>
      </c>
      <c r="T687">
        <f>IF($A687="","",TEXT($A687,"yyyymm")&amp;"|"&amp;$C687&amp;"|"&amp;$F687&amp;"|"&amp;$N687&amp;"|"&amp;$R687)</f>
        <v/>
      </c>
    </row>
    <row r="688" ht="11.55" customHeight="1">
      <c r="A688" s="10" t="n">
        <v>46057</v>
      </c>
      <c r="B688" s="7" t="inlineStr">
        <is>
          <t>Quarta</t>
        </is>
      </c>
      <c r="C688" s="7" t="inlineStr">
        <is>
          <t>CT MAR DE CORAL</t>
        </is>
      </c>
      <c r="D688" s="7" t="inlineStr">
        <is>
          <t>ELOÍZIO e LEANDRO e SILVESTRE</t>
        </is>
      </c>
      <c r="E688" s="7" t="inlineStr">
        <is>
          <t>Sergio</t>
        </is>
      </c>
      <c r="F688" s="13" t="inlineStr">
        <is>
          <t>Transformação PV 18</t>
        </is>
      </c>
      <c r="G688" s="7" t="inlineStr">
        <is>
          <t>18</t>
        </is>
      </c>
      <c r="H688" s="7" t="n"/>
      <c r="I688" s="7" t="inlineStr">
        <is>
          <t>18</t>
        </is>
      </c>
      <c r="J688" s="7" t="inlineStr">
        <is>
          <t>Transformação</t>
        </is>
      </c>
      <c r="K688" s="7" t="inlineStr">
        <is>
          <t>Planejamento</t>
        </is>
      </c>
      <c r="L688" s="16" t="inlineStr">
        <is>
          <t>PDS-Fevereiro(1).docx</t>
        </is>
      </c>
      <c r="M688">
        <f>IF($A688="","",TEXT($A688,"mmmm/yyyy"))</f>
        <v/>
      </c>
      <c r="P688">
        <f>IFERROR(_xludf.XLOOKUP($N688,Base_Enderecos!$A:$A,Base_Enderecos!$B:$B,""),"")</f>
        <v/>
      </c>
      <c r="Q688">
        <f>IFERROR(_xludf.XLOOKUP($N688,Base_Enderecos!$A:$A,Base_Enderecos!$C:$C,""),"")</f>
        <v/>
      </c>
      <c r="R688">
        <f>IF(OR(ISNUMBER(SEARCH("HDD",$F688)),ISNUMBER(SEARCH("MND",$F688)),ISNUMBER(SEARCH("PEAD",$F688)),ISNUMBER(SEARCH("Puxe",$J688)),ISNUMBER(SEARCH("Apoio HDD",$F688))),"MND",IF(OR(ISNUMBER(SEARCH("VCA",$F688)),ISNUMBER(SEARCH("PVC",$F688)),ISNUMBER(SEARCH("vca",$J688)),ISNUMBER(SEARCH("Transformação",$J688))),"VCA",IF(OR(ISNUMBER(SEARCH("crava",$F688)),ISNUMBER(SEARCH("tubo cravado",$F688)),ISNUMBER(SEARCH("shaft",$J688)),ISNUMBER(SEARCH("concreto",$F688))),"TUBO CRAVADO","")))</f>
        <v/>
      </c>
      <c r="T688">
        <f>IF($A688="","",TEXT($A688,"yyyymm")&amp;"|"&amp;$C688&amp;"|"&amp;$F688&amp;"|"&amp;$N688&amp;"|"&amp;$R688)</f>
        <v/>
      </c>
    </row>
    <row r="689" ht="11.55" customHeight="1">
      <c r="A689" s="10" t="n">
        <v>46057</v>
      </c>
      <c r="B689" s="7" t="inlineStr">
        <is>
          <t>Quarta</t>
        </is>
      </c>
      <c r="C689" s="7" t="inlineStr">
        <is>
          <t>CT MAR DE CORAL</t>
        </is>
      </c>
      <c r="D689" s="7" t="inlineStr">
        <is>
          <t>ELOÍZIO e LEANDRO e SILVESTRE</t>
        </is>
      </c>
      <c r="E689" s="7" t="inlineStr">
        <is>
          <t>Carlos</t>
        </is>
      </c>
      <c r="F689" s="13" t="inlineStr">
        <is>
          <t>Transformação PV 22</t>
        </is>
      </c>
      <c r="G689" s="7" t="inlineStr">
        <is>
          <t>22</t>
        </is>
      </c>
      <c r="H689" s="7" t="n"/>
      <c r="I689" s="7" t="inlineStr">
        <is>
          <t>22</t>
        </is>
      </c>
      <c r="J689" s="7" t="inlineStr">
        <is>
          <t>Transformação</t>
        </is>
      </c>
      <c r="K689" s="7" t="inlineStr">
        <is>
          <t>Planejamento</t>
        </is>
      </c>
      <c r="L689" s="16" t="inlineStr">
        <is>
          <t>PDS-Fevereiro(1).docx</t>
        </is>
      </c>
      <c r="M689">
        <f>IF($A689="","",TEXT($A689,"mmmm/yyyy"))</f>
        <v/>
      </c>
      <c r="P689">
        <f>IFERROR(_xludf.XLOOKUP($N689,Base_Enderecos!$A:$A,Base_Enderecos!$B:$B,""),"")</f>
        <v/>
      </c>
      <c r="Q689">
        <f>IFERROR(_xludf.XLOOKUP($N689,Base_Enderecos!$A:$A,Base_Enderecos!$C:$C,""),"")</f>
        <v/>
      </c>
      <c r="R689">
        <f>IF(OR(ISNUMBER(SEARCH("HDD",$F689)),ISNUMBER(SEARCH("MND",$F689)),ISNUMBER(SEARCH("PEAD",$F689)),ISNUMBER(SEARCH("Puxe",$J689)),ISNUMBER(SEARCH("Apoio HDD",$F689))),"MND",IF(OR(ISNUMBER(SEARCH("VCA",$F689)),ISNUMBER(SEARCH("PVC",$F689)),ISNUMBER(SEARCH("vca",$J689)),ISNUMBER(SEARCH("Transformação",$J689))),"VCA",IF(OR(ISNUMBER(SEARCH("crava",$F689)),ISNUMBER(SEARCH("tubo cravado",$F689)),ISNUMBER(SEARCH("shaft",$J689)),ISNUMBER(SEARCH("concreto",$F689))),"TUBO CRAVADO","")))</f>
        <v/>
      </c>
      <c r="T689">
        <f>IF($A689="","",TEXT($A689,"yyyymm")&amp;"|"&amp;$C689&amp;"|"&amp;$F689&amp;"|"&amp;$N689&amp;"|"&amp;$R689)</f>
        <v/>
      </c>
    </row>
    <row r="690" ht="11.55" customHeight="1">
      <c r="A690" s="10" t="n">
        <v>46057</v>
      </c>
      <c r="B690" s="7" t="inlineStr">
        <is>
          <t>Quarta</t>
        </is>
      </c>
      <c r="C690" s="7" t="inlineStr">
        <is>
          <t>CT MAR DE CORAL</t>
        </is>
      </c>
      <c r="D690" s="7" t="inlineStr">
        <is>
          <t>ELOÍZIO e LEANDRO e SILVESTRE</t>
        </is>
      </c>
      <c r="E690" s="7" t="inlineStr">
        <is>
          <t>Jonathan</t>
        </is>
      </c>
      <c r="F690" s="13" t="inlineStr">
        <is>
          <t>Transformação PV 14</t>
        </is>
      </c>
      <c r="G690" s="7" t="inlineStr">
        <is>
          <t>14</t>
        </is>
      </c>
      <c r="H690" s="7" t="n"/>
      <c r="I690" s="7" t="inlineStr">
        <is>
          <t>14</t>
        </is>
      </c>
      <c r="J690" s="7" t="inlineStr">
        <is>
          <t>Transformação</t>
        </is>
      </c>
      <c r="K690" s="7" t="inlineStr">
        <is>
          <t>Planejamento</t>
        </is>
      </c>
      <c r="L690" s="16" t="inlineStr">
        <is>
          <t>PDS-Fevereiro(1).docx</t>
        </is>
      </c>
      <c r="M690">
        <f>IF($A690="","",TEXT($A690,"mmmm/yyyy"))</f>
        <v/>
      </c>
      <c r="P690">
        <f>IFERROR(_xludf.XLOOKUP($N690,Base_Enderecos!$A:$A,Base_Enderecos!$B:$B,""),"")</f>
        <v/>
      </c>
      <c r="Q690">
        <f>IFERROR(_xludf.XLOOKUP($N690,Base_Enderecos!$A:$A,Base_Enderecos!$C:$C,""),"")</f>
        <v/>
      </c>
      <c r="R690">
        <f>IF(OR(ISNUMBER(SEARCH("HDD",$F690)),ISNUMBER(SEARCH("MND",$F690)),ISNUMBER(SEARCH("PEAD",$F690)),ISNUMBER(SEARCH("Puxe",$J690)),ISNUMBER(SEARCH("Apoio HDD",$F690))),"MND",IF(OR(ISNUMBER(SEARCH("VCA",$F690)),ISNUMBER(SEARCH("PVC",$F690)),ISNUMBER(SEARCH("vca",$J690)),ISNUMBER(SEARCH("Transformação",$J690))),"VCA",IF(OR(ISNUMBER(SEARCH("crava",$F690)),ISNUMBER(SEARCH("tubo cravado",$F690)),ISNUMBER(SEARCH("shaft",$J690)),ISNUMBER(SEARCH("concreto",$F690))),"TUBO CRAVADO","")))</f>
        <v/>
      </c>
      <c r="T690">
        <f>IF($A690="","",TEXT($A690,"yyyymm")&amp;"|"&amp;$C690&amp;"|"&amp;$F690&amp;"|"&amp;$N690&amp;"|"&amp;$R690)</f>
        <v/>
      </c>
    </row>
    <row r="691" ht="11.55" customHeight="1">
      <c r="A691" s="10" t="n">
        <v>46057</v>
      </c>
      <c r="B691" s="7" t="inlineStr">
        <is>
          <t>Quarta</t>
        </is>
      </c>
      <c r="C691" s="7" t="inlineStr">
        <is>
          <t>CT LOURDES</t>
        </is>
      </c>
      <c r="D691" s="7" t="inlineStr">
        <is>
          <t>ROBSON e VALMIR</t>
        </is>
      </c>
      <c r="E691" s="7" t="inlineStr">
        <is>
          <t>Edvando</t>
        </is>
      </c>
      <c r="F691" s="13" t="inlineStr">
        <is>
          <t>Transformação PV 18</t>
        </is>
      </c>
      <c r="G691" s="7" t="inlineStr">
        <is>
          <t>18</t>
        </is>
      </c>
      <c r="H691" s="7" t="n"/>
      <c r="I691" s="7" t="inlineStr">
        <is>
          <t>18</t>
        </is>
      </c>
      <c r="J691" s="7" t="inlineStr">
        <is>
          <t>Transformação</t>
        </is>
      </c>
      <c r="K691" s="7" t="inlineStr">
        <is>
          <t>Planejamento</t>
        </is>
      </c>
      <c r="L691" s="16" t="inlineStr">
        <is>
          <t>PDS-Fevereiro(1).docx</t>
        </is>
      </c>
      <c r="M691">
        <f>IF($A691="","",TEXT($A691,"mmmm/yyyy"))</f>
        <v/>
      </c>
      <c r="P691">
        <f>IFERROR(_xludf.XLOOKUP($N691,Base_Enderecos!$A:$A,Base_Enderecos!$B:$B,""),"")</f>
        <v/>
      </c>
      <c r="Q691">
        <f>IFERROR(_xludf.XLOOKUP($N691,Base_Enderecos!$A:$A,Base_Enderecos!$C:$C,""),"")</f>
        <v/>
      </c>
      <c r="R691">
        <f>IF(OR(ISNUMBER(SEARCH("HDD",$F691)),ISNUMBER(SEARCH("MND",$F691)),ISNUMBER(SEARCH("PEAD",$F691)),ISNUMBER(SEARCH("Puxe",$J691)),ISNUMBER(SEARCH("Apoio HDD",$F691))),"MND",IF(OR(ISNUMBER(SEARCH("VCA",$F691)),ISNUMBER(SEARCH("PVC",$F691)),ISNUMBER(SEARCH("vca",$J691)),ISNUMBER(SEARCH("Transformação",$J691))),"VCA",IF(OR(ISNUMBER(SEARCH("crava",$F691)),ISNUMBER(SEARCH("tubo cravado",$F691)),ISNUMBER(SEARCH("shaft",$J691)),ISNUMBER(SEARCH("concreto",$F691))),"TUBO CRAVADO","")))</f>
        <v/>
      </c>
      <c r="T691">
        <f>IF($A691="","",TEXT($A691,"yyyymm")&amp;"|"&amp;$C691&amp;"|"&amp;$F691&amp;"|"&amp;$N691&amp;"|"&amp;$R691)</f>
        <v/>
      </c>
    </row>
    <row r="692" ht="11.55" customHeight="1">
      <c r="A692" s="10" t="n">
        <v>46057</v>
      </c>
      <c r="B692" s="7" t="inlineStr">
        <is>
          <t>Quarta</t>
        </is>
      </c>
      <c r="C692" s="7" t="inlineStr">
        <is>
          <t>CT LOURDES</t>
        </is>
      </c>
      <c r="D692" s="7" t="inlineStr">
        <is>
          <t>ROBSON e VALMIR</t>
        </is>
      </c>
      <c r="E692" s="7" t="inlineStr">
        <is>
          <t>Higor</t>
        </is>
      </c>
      <c r="F692" s="13" t="inlineStr">
        <is>
          <t>Transformação PV 14</t>
        </is>
      </c>
      <c r="G692" s="7" t="inlineStr">
        <is>
          <t>14</t>
        </is>
      </c>
      <c r="H692" s="7" t="n"/>
      <c r="I692" s="7" t="inlineStr">
        <is>
          <t>14</t>
        </is>
      </c>
      <c r="J692" s="7" t="inlineStr">
        <is>
          <t>Transformação</t>
        </is>
      </c>
      <c r="K692" s="7" t="inlineStr">
        <is>
          <t>Planejamento</t>
        </is>
      </c>
      <c r="L692" s="16" t="inlineStr">
        <is>
          <t>PDS-Fevereiro(1).docx</t>
        </is>
      </c>
      <c r="M692">
        <f>IF($A692="","",TEXT($A692,"mmmm/yyyy"))</f>
        <v/>
      </c>
      <c r="P692">
        <f>IFERROR(_xludf.XLOOKUP($N692,Base_Enderecos!$A:$A,Base_Enderecos!$B:$B,""),"")</f>
        <v/>
      </c>
      <c r="Q692">
        <f>IFERROR(_xludf.XLOOKUP($N692,Base_Enderecos!$A:$A,Base_Enderecos!$C:$C,""),"")</f>
        <v/>
      </c>
      <c r="R692">
        <f>IF(OR(ISNUMBER(SEARCH("HDD",$F692)),ISNUMBER(SEARCH("MND",$F692)),ISNUMBER(SEARCH("PEAD",$F692)),ISNUMBER(SEARCH("Puxe",$J692)),ISNUMBER(SEARCH("Apoio HDD",$F692))),"MND",IF(OR(ISNUMBER(SEARCH("VCA",$F692)),ISNUMBER(SEARCH("PVC",$F692)),ISNUMBER(SEARCH("vca",$J692)),ISNUMBER(SEARCH("Transformação",$J692))),"VCA",IF(OR(ISNUMBER(SEARCH("crava",$F692)),ISNUMBER(SEARCH("tubo cravado",$F692)),ISNUMBER(SEARCH("shaft",$J692)),ISNUMBER(SEARCH("concreto",$F692))),"TUBO CRAVADO","")))</f>
        <v/>
      </c>
      <c r="T692">
        <f>IF($A692="","",TEXT($A692,"yyyymm")&amp;"|"&amp;$C692&amp;"|"&amp;$F692&amp;"|"&amp;$N692&amp;"|"&amp;$R692)</f>
        <v/>
      </c>
    </row>
    <row r="693" ht="11.55" customHeight="1">
      <c r="A693" s="10" t="n">
        <v>46057</v>
      </c>
      <c r="B693" s="7" t="inlineStr">
        <is>
          <t>Quarta</t>
        </is>
      </c>
      <c r="C693" s="7" t="inlineStr">
        <is>
          <t>CT LOURDES</t>
        </is>
      </c>
      <c r="D693" s="7" t="inlineStr">
        <is>
          <t>ROBSON e VALMIR</t>
        </is>
      </c>
      <c r="E693" s="7" t="inlineStr">
        <is>
          <t>Paulo</t>
        </is>
      </c>
      <c r="F693" s="13" t="inlineStr">
        <is>
          <t>Transformação PV 13</t>
        </is>
      </c>
      <c r="G693" s="7" t="inlineStr">
        <is>
          <t>13</t>
        </is>
      </c>
      <c r="H693" s="7" t="n"/>
      <c r="I693" s="7" t="inlineStr">
        <is>
          <t>13</t>
        </is>
      </c>
      <c r="J693" s="7" t="inlineStr">
        <is>
          <t>Transformação</t>
        </is>
      </c>
      <c r="K693" s="7" t="inlineStr">
        <is>
          <t>Planejamento</t>
        </is>
      </c>
      <c r="L693" s="16" t="inlineStr">
        <is>
          <t>PDS-Fevereiro(1).docx</t>
        </is>
      </c>
      <c r="M693">
        <f>IF($A693="","",TEXT($A693,"mmmm/yyyy"))</f>
        <v/>
      </c>
      <c r="P693">
        <f>IFERROR(_xludf.XLOOKUP($N693,Base_Enderecos!$A:$A,Base_Enderecos!$B:$B,""),"")</f>
        <v/>
      </c>
      <c r="Q693">
        <f>IFERROR(_xludf.XLOOKUP($N693,Base_Enderecos!$A:$A,Base_Enderecos!$C:$C,""),"")</f>
        <v/>
      </c>
      <c r="R693">
        <f>IF(OR(ISNUMBER(SEARCH("HDD",$F693)),ISNUMBER(SEARCH("MND",$F693)),ISNUMBER(SEARCH("PEAD",$F693)),ISNUMBER(SEARCH("Puxe",$J693)),ISNUMBER(SEARCH("Apoio HDD",$F693))),"MND",IF(OR(ISNUMBER(SEARCH("VCA",$F693)),ISNUMBER(SEARCH("PVC",$F693)),ISNUMBER(SEARCH("vca",$J693)),ISNUMBER(SEARCH("Transformação",$J693))),"VCA",IF(OR(ISNUMBER(SEARCH("crava",$F693)),ISNUMBER(SEARCH("tubo cravado",$F693)),ISNUMBER(SEARCH("shaft",$J693)),ISNUMBER(SEARCH("concreto",$F693))),"TUBO CRAVADO","")))</f>
        <v/>
      </c>
      <c r="T693">
        <f>IF($A693="","",TEXT($A693,"yyyymm")&amp;"|"&amp;$C693&amp;"|"&amp;$F693&amp;"|"&amp;$N693&amp;"|"&amp;$R693)</f>
        <v/>
      </c>
    </row>
    <row r="694" ht="11.55" customHeight="1">
      <c r="A694" s="10" t="n">
        <v>46057</v>
      </c>
      <c r="B694" s="7" t="inlineStr">
        <is>
          <t>Quarta</t>
        </is>
      </c>
      <c r="C694" s="7" t="inlineStr">
        <is>
          <t>CT ÁGUA VERMELHA M.D</t>
        </is>
      </c>
      <c r="D694" s="7" t="inlineStr">
        <is>
          <t>CAROLINE e FÁBIO</t>
        </is>
      </c>
      <c r="E694" s="7" t="inlineStr">
        <is>
          <t>Marcelo</t>
        </is>
      </c>
      <c r="F694" s="13" t="inlineStr">
        <is>
          <t>Shaft PV 02</t>
        </is>
      </c>
      <c r="G694" s="7" t="inlineStr">
        <is>
          <t>02</t>
        </is>
      </c>
      <c r="H694" s="7" t="n"/>
      <c r="I694" s="7" t="inlineStr">
        <is>
          <t>02</t>
        </is>
      </c>
      <c r="J694" s="7" t="inlineStr">
        <is>
          <t>Shaft</t>
        </is>
      </c>
      <c r="K694" s="7" t="inlineStr">
        <is>
          <t>Planejamento</t>
        </is>
      </c>
      <c r="L694" s="16" t="inlineStr">
        <is>
          <t>PDS-Fevereiro(1).docx</t>
        </is>
      </c>
      <c r="M694">
        <f>IF($A694="","",TEXT($A694,"mmmm/yyyy"))</f>
        <v/>
      </c>
      <c r="P694">
        <f>IFERROR(_xludf.XLOOKUP($N694,Base_Enderecos!$A:$A,Base_Enderecos!$B:$B,""),"")</f>
        <v/>
      </c>
      <c r="Q694">
        <f>IFERROR(_xludf.XLOOKUP($N694,Base_Enderecos!$A:$A,Base_Enderecos!$C:$C,""),"")</f>
        <v/>
      </c>
      <c r="R694">
        <f>IF(OR(ISNUMBER(SEARCH("HDD",$F694)),ISNUMBER(SEARCH("MND",$F694)),ISNUMBER(SEARCH("PEAD",$F694)),ISNUMBER(SEARCH("Puxe",$J694)),ISNUMBER(SEARCH("Apoio HDD",$F694))),"MND",IF(OR(ISNUMBER(SEARCH("VCA",$F694)),ISNUMBER(SEARCH("PVC",$F694)),ISNUMBER(SEARCH("vca",$J694)),ISNUMBER(SEARCH("Transformação",$J694))),"VCA",IF(OR(ISNUMBER(SEARCH("crava",$F694)),ISNUMBER(SEARCH("tubo cravado",$F694)),ISNUMBER(SEARCH("shaft",$J694)),ISNUMBER(SEARCH("concreto",$F694))),"TUBO CRAVADO","")))</f>
        <v/>
      </c>
      <c r="T694">
        <f>IF($A694="","",TEXT($A694,"yyyymm")&amp;"|"&amp;$C694&amp;"|"&amp;$F694&amp;"|"&amp;$N694&amp;"|"&amp;$R694)</f>
        <v/>
      </c>
    </row>
    <row r="695" ht="11.55" customHeight="1">
      <c r="A695" s="10" t="n">
        <v>46057</v>
      </c>
      <c r="B695" s="7" t="inlineStr">
        <is>
          <t>Quarta</t>
        </is>
      </c>
      <c r="C695" s="7" t="inlineStr">
        <is>
          <t>CT ÁGUA VERMELHA M.D</t>
        </is>
      </c>
      <c r="D695" s="7" t="inlineStr">
        <is>
          <t>CAROLINE e FÁBIO</t>
        </is>
      </c>
      <c r="E695" s="7" t="inlineStr">
        <is>
          <t>Cesar</t>
        </is>
      </c>
      <c r="F695" s="13" t="inlineStr">
        <is>
          <t>Shaft PV 03</t>
        </is>
      </c>
      <c r="G695" s="7" t="inlineStr">
        <is>
          <t>03</t>
        </is>
      </c>
      <c r="H695" s="7" t="n"/>
      <c r="I695" s="7" t="inlineStr">
        <is>
          <t>03</t>
        </is>
      </c>
      <c r="J695" s="7" t="inlineStr">
        <is>
          <t>Shaft</t>
        </is>
      </c>
      <c r="K695" s="7" t="inlineStr">
        <is>
          <t>Planejamento</t>
        </is>
      </c>
      <c r="L695" s="16" t="inlineStr">
        <is>
          <t>PDS-Fevereiro(1).docx</t>
        </is>
      </c>
      <c r="M695">
        <f>IF($A695="","",TEXT($A695,"mmmm/yyyy"))</f>
        <v/>
      </c>
      <c r="P695">
        <f>IFERROR(_xludf.XLOOKUP($N695,Base_Enderecos!$A:$A,Base_Enderecos!$B:$B,""),"")</f>
        <v/>
      </c>
      <c r="Q695">
        <f>IFERROR(_xludf.XLOOKUP($N695,Base_Enderecos!$A:$A,Base_Enderecos!$C:$C,""),"")</f>
        <v/>
      </c>
      <c r="R695">
        <f>IF(OR(ISNUMBER(SEARCH("HDD",$F695)),ISNUMBER(SEARCH("MND",$F695)),ISNUMBER(SEARCH("PEAD",$F695)),ISNUMBER(SEARCH("Puxe",$J695)),ISNUMBER(SEARCH("Apoio HDD",$F695))),"MND",IF(OR(ISNUMBER(SEARCH("VCA",$F695)),ISNUMBER(SEARCH("PVC",$F695)),ISNUMBER(SEARCH("vca",$J695)),ISNUMBER(SEARCH("Transformação",$J695))),"VCA",IF(OR(ISNUMBER(SEARCH("crava",$F695)),ISNUMBER(SEARCH("tubo cravado",$F695)),ISNUMBER(SEARCH("shaft",$J695)),ISNUMBER(SEARCH("concreto",$F695))),"TUBO CRAVADO","")))</f>
        <v/>
      </c>
      <c r="T695">
        <f>IF($A695="","",TEXT($A695,"yyyymm")&amp;"|"&amp;$C695&amp;"|"&amp;$F695&amp;"|"&amp;$N695&amp;"|"&amp;$R695)</f>
        <v/>
      </c>
    </row>
    <row r="696" ht="11.55" customHeight="1">
      <c r="A696" s="10" t="n">
        <v>46057</v>
      </c>
      <c r="B696" s="7" t="inlineStr">
        <is>
          <t>Quarta</t>
        </is>
      </c>
      <c r="C696" s="7" t="inlineStr">
        <is>
          <t>RCE ARARIBA</t>
        </is>
      </c>
      <c r="D696" s="7" t="inlineStr">
        <is>
          <t>ROBSON</t>
        </is>
      </c>
      <c r="E696" s="7" t="inlineStr">
        <is>
          <t>WJ - 02</t>
        </is>
      </c>
      <c r="F696" s="13" t="inlineStr">
        <is>
          <t>Furo piloto entre PVs 10 ao 13</t>
        </is>
      </c>
      <c r="G696" s="7" t="inlineStr">
        <is>
          <t>10</t>
        </is>
      </c>
      <c r="H696" s="7" t="n"/>
      <c r="I696" s="7" t="inlineStr">
        <is>
          <t>10</t>
        </is>
      </c>
      <c r="J696" s="7" t="inlineStr">
        <is>
          <t>Furo piloto</t>
        </is>
      </c>
      <c r="K696" s="7" t="inlineStr">
        <is>
          <t>Planejamento</t>
        </is>
      </c>
      <c r="L696" s="16" t="inlineStr">
        <is>
          <t>PDS-Fevereiro(1).docx</t>
        </is>
      </c>
      <c r="M696">
        <f>IF($A696="","",TEXT($A696,"mmmm/yyyy"))</f>
        <v/>
      </c>
      <c r="P696">
        <f>IFERROR(_xludf.XLOOKUP($N696,Base_Enderecos!$A:$A,Base_Enderecos!$B:$B,""),"")</f>
        <v/>
      </c>
      <c r="Q696">
        <f>IFERROR(_xludf.XLOOKUP($N696,Base_Enderecos!$A:$A,Base_Enderecos!$C:$C,""),"")</f>
        <v/>
      </c>
      <c r="R696">
        <f>IF(OR(ISNUMBER(SEARCH("HDD",$F696)),ISNUMBER(SEARCH("MND",$F696)),ISNUMBER(SEARCH("PEAD",$F696)),ISNUMBER(SEARCH("Puxe",$J696)),ISNUMBER(SEARCH("Apoio HDD",$F696))),"MND",IF(OR(ISNUMBER(SEARCH("VCA",$F696)),ISNUMBER(SEARCH("PVC",$F696)),ISNUMBER(SEARCH("vca",$J696)),ISNUMBER(SEARCH("Transformação",$J696))),"VCA",IF(OR(ISNUMBER(SEARCH("crava",$F696)),ISNUMBER(SEARCH("tubo cravado",$F696)),ISNUMBER(SEARCH("shaft",$J696)),ISNUMBER(SEARCH("concreto",$F696))),"TUBO CRAVADO","")))</f>
        <v/>
      </c>
      <c r="T696">
        <f>IF($A696="","",TEXT($A696,"yyyymm")&amp;"|"&amp;$C696&amp;"|"&amp;$F696&amp;"|"&amp;$N696&amp;"|"&amp;$R696)</f>
        <v/>
      </c>
    </row>
    <row r="697" ht="11.55" customHeight="1">
      <c r="A697" s="10" t="n">
        <v>46057</v>
      </c>
      <c r="B697" s="7" t="inlineStr">
        <is>
          <t>Quarta</t>
        </is>
      </c>
      <c r="C697" s="7" t="inlineStr">
        <is>
          <t>RCE ARARIBA</t>
        </is>
      </c>
      <c r="D697" s="7" t="inlineStr">
        <is>
          <t>ROBSON</t>
        </is>
      </c>
      <c r="E697" s="7" t="inlineStr">
        <is>
          <t>Natalino</t>
        </is>
      </c>
      <c r="F697" s="13" t="inlineStr">
        <is>
          <t>Apoio HDD PV 10 ao 13</t>
        </is>
      </c>
      <c r="G697" s="7" t="inlineStr">
        <is>
          <t>10</t>
        </is>
      </c>
      <c r="H697" s="7" t="n"/>
      <c r="I697" s="7" t="inlineStr">
        <is>
          <t>10</t>
        </is>
      </c>
      <c r="J697" s="7" t="inlineStr">
        <is>
          <t>Apoio HDD</t>
        </is>
      </c>
      <c r="K697" s="7" t="inlineStr">
        <is>
          <t>Planejamento</t>
        </is>
      </c>
      <c r="L697" s="16" t="inlineStr">
        <is>
          <t>PDS-Fevereiro(1).docx</t>
        </is>
      </c>
      <c r="M697">
        <f>IF($A697="","",TEXT($A697,"mmmm/yyyy"))</f>
        <v/>
      </c>
      <c r="P697">
        <f>IFERROR(_xludf.XLOOKUP($N697,Base_Enderecos!$A:$A,Base_Enderecos!$B:$B,""),"")</f>
        <v/>
      </c>
      <c r="Q697">
        <f>IFERROR(_xludf.XLOOKUP($N697,Base_Enderecos!$A:$A,Base_Enderecos!$C:$C,""),"")</f>
        <v/>
      </c>
      <c r="R697">
        <f>IF(OR(ISNUMBER(SEARCH("HDD",$F697)),ISNUMBER(SEARCH("MND",$F697)),ISNUMBER(SEARCH("PEAD",$F697)),ISNUMBER(SEARCH("Puxe",$J697)),ISNUMBER(SEARCH("Apoio HDD",$F697))),"MND",IF(OR(ISNUMBER(SEARCH("VCA",$F697)),ISNUMBER(SEARCH("PVC",$F697)),ISNUMBER(SEARCH("vca",$J697)),ISNUMBER(SEARCH("Transformação",$J697))),"VCA",IF(OR(ISNUMBER(SEARCH("crava",$F697)),ISNUMBER(SEARCH("tubo cravado",$F697)),ISNUMBER(SEARCH("shaft",$J697)),ISNUMBER(SEARCH("concreto",$F697))),"TUBO CRAVADO","")))</f>
        <v/>
      </c>
      <c r="T697">
        <f>IF($A697="","",TEXT($A697,"yyyymm")&amp;"|"&amp;$C697&amp;"|"&amp;$F697&amp;"|"&amp;$N697&amp;"|"&amp;$R697)</f>
        <v/>
      </c>
    </row>
    <row r="698" ht="11.55" customHeight="1">
      <c r="A698" s="10" t="n">
        <v>46057</v>
      </c>
      <c r="B698" s="7" t="inlineStr">
        <is>
          <t>Quarta</t>
        </is>
      </c>
      <c r="C698" s="7" t="inlineStr">
        <is>
          <t>Vacal</t>
        </is>
      </c>
      <c r="D698" s="7" t="n"/>
      <c r="E698" s="7" t="inlineStr">
        <is>
          <t>Lourdes</t>
        </is>
      </c>
      <c r="F698" s="13" t="inlineStr">
        <is>
          <t>Apoio Vacal</t>
        </is>
      </c>
      <c r="G698" s="7" t="n"/>
      <c r="H698" s="7" t="n"/>
      <c r="I698" s="7" t="n"/>
      <c r="J698" s="7" t="inlineStr">
        <is>
          <t>Vacal</t>
        </is>
      </c>
      <c r="K698" s="7" t="inlineStr">
        <is>
          <t>Apoio</t>
        </is>
      </c>
      <c r="L698" s="16" t="inlineStr">
        <is>
          <t>PDS-Fevereiro(1).docx</t>
        </is>
      </c>
      <c r="M698">
        <f>IF($A698="","",TEXT($A698,"mmmm/yyyy"))</f>
        <v/>
      </c>
      <c r="P698">
        <f>IFERROR(_xludf.XLOOKUP($N698,Base_Enderecos!$A:$A,Base_Enderecos!$B:$B,""),"")</f>
        <v/>
      </c>
      <c r="Q698">
        <f>IFERROR(_xludf.XLOOKUP($N698,Base_Enderecos!$A:$A,Base_Enderecos!$C:$C,""),"")</f>
        <v/>
      </c>
      <c r="R698">
        <f>IF(OR(ISNUMBER(SEARCH("HDD",$F698)),ISNUMBER(SEARCH("MND",$F698)),ISNUMBER(SEARCH("PEAD",$F698)),ISNUMBER(SEARCH("Puxe",$J698)),ISNUMBER(SEARCH("Apoio HDD",$F698))),"MND",IF(OR(ISNUMBER(SEARCH("VCA",$F698)),ISNUMBER(SEARCH("PVC",$F698)),ISNUMBER(SEARCH("vca",$J698)),ISNUMBER(SEARCH("Transformação",$J698))),"VCA",IF(OR(ISNUMBER(SEARCH("crava",$F698)),ISNUMBER(SEARCH("tubo cravado",$F698)),ISNUMBER(SEARCH("shaft",$J698)),ISNUMBER(SEARCH("concreto",$F698))),"TUBO CRAVADO","")))</f>
        <v/>
      </c>
      <c r="T698">
        <f>IF($A698="","",TEXT($A698,"yyyymm")&amp;"|"&amp;$C698&amp;"|"&amp;$F698&amp;"|"&amp;$N698&amp;"|"&amp;$R698)</f>
        <v/>
      </c>
    </row>
    <row r="699" ht="11.55" customHeight="1">
      <c r="A699" s="10" t="n">
        <v>46057</v>
      </c>
      <c r="B699" s="7" t="inlineStr">
        <is>
          <t>Quarta</t>
        </is>
      </c>
      <c r="C699" s="7" t="inlineStr">
        <is>
          <t>Vacal</t>
        </is>
      </c>
      <c r="D699" s="7" t="n"/>
      <c r="E699" s="7" t="inlineStr">
        <is>
          <t>Arariba</t>
        </is>
      </c>
      <c r="F699" s="13" t="inlineStr">
        <is>
          <t>Apoio Vacal</t>
        </is>
      </c>
      <c r="G699" s="7" t="n"/>
      <c r="H699" s="7" t="n"/>
      <c r="I699" s="7" t="n"/>
      <c r="J699" s="7" t="inlineStr">
        <is>
          <t>Vacal</t>
        </is>
      </c>
      <c r="K699" s="7" t="inlineStr">
        <is>
          <t>Apoio</t>
        </is>
      </c>
      <c r="L699" s="16" t="inlineStr">
        <is>
          <t>PDS-Fevereiro(1).docx</t>
        </is>
      </c>
      <c r="M699">
        <f>IF($A699="","",TEXT($A699,"mmmm/yyyy"))</f>
        <v/>
      </c>
      <c r="P699">
        <f>IFERROR(_xludf.XLOOKUP($N699,Base_Enderecos!$A:$A,Base_Enderecos!$B:$B,""),"")</f>
        <v/>
      </c>
      <c r="Q699">
        <f>IFERROR(_xludf.XLOOKUP($N699,Base_Enderecos!$A:$A,Base_Enderecos!$C:$C,""),"")</f>
        <v/>
      </c>
      <c r="R699">
        <f>IF(OR(ISNUMBER(SEARCH("HDD",$F699)),ISNUMBER(SEARCH("MND",$F699)),ISNUMBER(SEARCH("PEAD",$F699)),ISNUMBER(SEARCH("Puxe",$J699)),ISNUMBER(SEARCH("Apoio HDD",$F699))),"MND",IF(OR(ISNUMBER(SEARCH("VCA",$F699)),ISNUMBER(SEARCH("PVC",$F699)),ISNUMBER(SEARCH("vca",$J699)),ISNUMBER(SEARCH("Transformação",$J699))),"VCA",IF(OR(ISNUMBER(SEARCH("crava",$F699)),ISNUMBER(SEARCH("tubo cravado",$F699)),ISNUMBER(SEARCH("shaft",$J699)),ISNUMBER(SEARCH("concreto",$F699))),"TUBO CRAVADO","")))</f>
        <v/>
      </c>
      <c r="T699">
        <f>IF($A699="","",TEXT($A699,"yyyymm")&amp;"|"&amp;$C699&amp;"|"&amp;$F699&amp;"|"&amp;$N699&amp;"|"&amp;$R699)</f>
        <v/>
      </c>
    </row>
    <row r="700" ht="11.55" customHeight="1">
      <c r="A700" s="10" t="n">
        <v>46057</v>
      </c>
      <c r="B700" s="7" t="inlineStr">
        <is>
          <t>Quarta</t>
        </is>
      </c>
      <c r="C700" s="7" t="inlineStr">
        <is>
          <t>Vacal</t>
        </is>
      </c>
      <c r="D700" s="7" t="n"/>
      <c r="E700" s="7" t="inlineStr">
        <is>
          <t>Mar de Coral</t>
        </is>
      </c>
      <c r="F700" s="13" t="inlineStr">
        <is>
          <t>Apoio Vacal</t>
        </is>
      </c>
      <c r="G700" s="7" t="n"/>
      <c r="H700" s="7" t="n"/>
      <c r="I700" s="7" t="n"/>
      <c r="J700" s="7" t="inlineStr">
        <is>
          <t>Vacal</t>
        </is>
      </c>
      <c r="K700" s="7" t="inlineStr">
        <is>
          <t>Apoio</t>
        </is>
      </c>
      <c r="L700" s="16" t="inlineStr">
        <is>
          <t>PDS-Fevereiro(1).docx</t>
        </is>
      </c>
      <c r="M700">
        <f>IF($A700="","",TEXT($A700,"mmmm/yyyy"))</f>
        <v/>
      </c>
      <c r="P700">
        <f>IFERROR(_xludf.XLOOKUP($N700,Base_Enderecos!$A:$A,Base_Enderecos!$B:$B,""),"")</f>
        <v/>
      </c>
      <c r="Q700">
        <f>IFERROR(_xludf.XLOOKUP($N700,Base_Enderecos!$A:$A,Base_Enderecos!$C:$C,""),"")</f>
        <v/>
      </c>
      <c r="R700">
        <f>IF(OR(ISNUMBER(SEARCH("HDD",$F700)),ISNUMBER(SEARCH("MND",$F700)),ISNUMBER(SEARCH("PEAD",$F700)),ISNUMBER(SEARCH("Puxe",$J700)),ISNUMBER(SEARCH("Apoio HDD",$F700))),"MND",IF(OR(ISNUMBER(SEARCH("VCA",$F700)),ISNUMBER(SEARCH("PVC",$F700)),ISNUMBER(SEARCH("vca",$J700)),ISNUMBER(SEARCH("Transformação",$J700))),"VCA",IF(OR(ISNUMBER(SEARCH("crava",$F700)),ISNUMBER(SEARCH("tubo cravado",$F700)),ISNUMBER(SEARCH("shaft",$J700)),ISNUMBER(SEARCH("concreto",$F700))),"TUBO CRAVADO","")))</f>
        <v/>
      </c>
      <c r="T700">
        <f>IF($A700="","",TEXT($A700,"yyyymm")&amp;"|"&amp;$C700&amp;"|"&amp;$F700&amp;"|"&amp;$N700&amp;"|"&amp;$R700)</f>
        <v/>
      </c>
    </row>
    <row r="701" ht="11.55" customHeight="1">
      <c r="A701" s="10" t="n">
        <v>46057</v>
      </c>
      <c r="B701" s="7" t="inlineStr">
        <is>
          <t>Quarta</t>
        </is>
      </c>
      <c r="C701" s="7" t="inlineStr">
        <is>
          <t>Vacal</t>
        </is>
      </c>
      <c r="D701" s="7" t="n"/>
      <c r="E701" s="7" t="inlineStr">
        <is>
          <t>Mar de Coral</t>
        </is>
      </c>
      <c r="F701" s="13" t="inlineStr">
        <is>
          <t>Apoio Vacal</t>
        </is>
      </c>
      <c r="G701" s="7" t="n"/>
      <c r="H701" s="7" t="n"/>
      <c r="I701" s="7" t="n"/>
      <c r="J701" s="7" t="inlineStr">
        <is>
          <t>Vacal</t>
        </is>
      </c>
      <c r="K701" s="7" t="inlineStr">
        <is>
          <t>Apoio</t>
        </is>
      </c>
      <c r="L701" s="16" t="inlineStr">
        <is>
          <t>PDS-Fevereiro(1).docx</t>
        </is>
      </c>
      <c r="M701">
        <f>IF($A701="","",TEXT($A701,"mmmm/yyyy"))</f>
        <v/>
      </c>
      <c r="P701">
        <f>IFERROR(_xludf.XLOOKUP($N701,Base_Enderecos!$A:$A,Base_Enderecos!$B:$B,""),"")</f>
        <v/>
      </c>
      <c r="Q701">
        <f>IFERROR(_xludf.XLOOKUP($N701,Base_Enderecos!$A:$A,Base_Enderecos!$C:$C,""),"")</f>
        <v/>
      </c>
      <c r="R701">
        <f>IF(OR(ISNUMBER(SEARCH("HDD",$F701)),ISNUMBER(SEARCH("MND",$F701)),ISNUMBER(SEARCH("PEAD",$F701)),ISNUMBER(SEARCH("Puxe",$J701)),ISNUMBER(SEARCH("Apoio HDD",$F701))),"MND",IF(OR(ISNUMBER(SEARCH("VCA",$F701)),ISNUMBER(SEARCH("PVC",$F701)),ISNUMBER(SEARCH("vca",$J701)),ISNUMBER(SEARCH("Transformação",$J701))),"VCA",IF(OR(ISNUMBER(SEARCH("crava",$F701)),ISNUMBER(SEARCH("tubo cravado",$F701)),ISNUMBER(SEARCH("shaft",$J701)),ISNUMBER(SEARCH("concreto",$F701))),"TUBO CRAVADO","")))</f>
        <v/>
      </c>
      <c r="T701">
        <f>IF($A701="","",TEXT($A701,"yyyymm")&amp;"|"&amp;$C701&amp;"|"&amp;$F701&amp;"|"&amp;$N701&amp;"|"&amp;$R701)</f>
        <v/>
      </c>
    </row>
    <row r="702" ht="11.55" customHeight="1">
      <c r="A702" s="10" t="n">
        <v>46057</v>
      </c>
      <c r="B702" s="7" t="inlineStr">
        <is>
          <t>Quarta</t>
        </is>
      </c>
      <c r="C702" s="7" t="inlineStr">
        <is>
          <t>Guindauto</t>
        </is>
      </c>
      <c r="D702" s="7" t="n"/>
      <c r="E702" s="7" t="inlineStr">
        <is>
          <t>Rodrigo</t>
        </is>
      </c>
      <c r="F702" s="13" t="inlineStr">
        <is>
          <t>Rodrigo - Apoio as equipes</t>
        </is>
      </c>
      <c r="G702" s="7" t="n"/>
      <c r="H702" s="7" t="n"/>
      <c r="I702" s="7" t="n"/>
      <c r="J702" s="7" t="inlineStr">
        <is>
          <t>Guindauto</t>
        </is>
      </c>
      <c r="K702" s="7" t="inlineStr">
        <is>
          <t>Apoio</t>
        </is>
      </c>
      <c r="L702" s="16" t="inlineStr">
        <is>
          <t>PDS-Fevereiro(1).docx</t>
        </is>
      </c>
      <c r="M702">
        <f>IF($A702="","",TEXT($A702,"mmmm/yyyy"))</f>
        <v/>
      </c>
      <c r="P702">
        <f>IFERROR(_xludf.XLOOKUP($N702,Base_Enderecos!$A:$A,Base_Enderecos!$B:$B,""),"")</f>
        <v/>
      </c>
      <c r="Q702">
        <f>IFERROR(_xludf.XLOOKUP($N702,Base_Enderecos!$A:$A,Base_Enderecos!$C:$C,""),"")</f>
        <v/>
      </c>
      <c r="R702">
        <f>IF(OR(ISNUMBER(SEARCH("HDD",$F702)),ISNUMBER(SEARCH("MND",$F702)),ISNUMBER(SEARCH("PEAD",$F702)),ISNUMBER(SEARCH("Puxe",$J702)),ISNUMBER(SEARCH("Apoio HDD",$F702))),"MND",IF(OR(ISNUMBER(SEARCH("VCA",$F702)),ISNUMBER(SEARCH("PVC",$F702)),ISNUMBER(SEARCH("vca",$J702)),ISNUMBER(SEARCH("Transformação",$J702))),"VCA",IF(OR(ISNUMBER(SEARCH("crava",$F702)),ISNUMBER(SEARCH("tubo cravado",$F702)),ISNUMBER(SEARCH("shaft",$J702)),ISNUMBER(SEARCH("concreto",$F702))),"TUBO CRAVADO","")))</f>
        <v/>
      </c>
      <c r="T702">
        <f>IF($A702="","",TEXT($A702,"yyyymm")&amp;"|"&amp;$C702&amp;"|"&amp;$F702&amp;"|"&amp;$N702&amp;"|"&amp;$R702)</f>
        <v/>
      </c>
    </row>
    <row r="703" ht="11.55" customHeight="1">
      <c r="A703" s="10" t="n">
        <v>46057</v>
      </c>
      <c r="B703" s="7" t="inlineStr">
        <is>
          <t>Quarta</t>
        </is>
      </c>
      <c r="C703" s="7" t="inlineStr">
        <is>
          <t>Guindauto</t>
        </is>
      </c>
      <c r="D703" s="7" t="n"/>
      <c r="E703" s="7" t="inlineStr">
        <is>
          <t>Marcio</t>
        </is>
      </c>
      <c r="F703" s="13" t="inlineStr">
        <is>
          <t>Marcio - Apoio as equipes</t>
        </is>
      </c>
      <c r="G703" s="7" t="n"/>
      <c r="H703" s="7" t="n"/>
      <c r="I703" s="7" t="n"/>
      <c r="J703" s="7" t="inlineStr">
        <is>
          <t>Guindauto</t>
        </is>
      </c>
      <c r="K703" s="7" t="inlineStr">
        <is>
          <t>Apoio</t>
        </is>
      </c>
      <c r="L703" s="16" t="inlineStr">
        <is>
          <t>PDS-Fevereiro(1).docx</t>
        </is>
      </c>
      <c r="M703">
        <f>IF($A703="","",TEXT($A703,"mmmm/yyyy"))</f>
        <v/>
      </c>
      <c r="P703">
        <f>IFERROR(_xludf.XLOOKUP($N703,Base_Enderecos!$A:$A,Base_Enderecos!$B:$B,""),"")</f>
        <v/>
      </c>
      <c r="Q703">
        <f>IFERROR(_xludf.XLOOKUP($N703,Base_Enderecos!$A:$A,Base_Enderecos!$C:$C,""),"")</f>
        <v/>
      </c>
      <c r="R703">
        <f>IF(OR(ISNUMBER(SEARCH("HDD",$F703)),ISNUMBER(SEARCH("MND",$F703)),ISNUMBER(SEARCH("PEAD",$F703)),ISNUMBER(SEARCH("Puxe",$J703)),ISNUMBER(SEARCH("Apoio HDD",$F703))),"MND",IF(OR(ISNUMBER(SEARCH("VCA",$F703)),ISNUMBER(SEARCH("PVC",$F703)),ISNUMBER(SEARCH("vca",$J703)),ISNUMBER(SEARCH("Transformação",$J703))),"VCA",IF(OR(ISNUMBER(SEARCH("crava",$F703)),ISNUMBER(SEARCH("tubo cravado",$F703)),ISNUMBER(SEARCH("shaft",$J703)),ISNUMBER(SEARCH("concreto",$F703))),"TUBO CRAVADO","")))</f>
        <v/>
      </c>
      <c r="T703">
        <f>IF($A703="","",TEXT($A703,"yyyymm")&amp;"|"&amp;$C703&amp;"|"&amp;$F703&amp;"|"&amp;$N703&amp;"|"&amp;$R703)</f>
        <v/>
      </c>
    </row>
    <row r="704" ht="11.55" customHeight="1">
      <c r="A704" s="10" t="n">
        <v>46058</v>
      </c>
      <c r="B704" s="7" t="inlineStr">
        <is>
          <t>Quinta</t>
        </is>
      </c>
      <c r="C704" s="7" t="inlineStr">
        <is>
          <t>CT MAR DE CORAL</t>
        </is>
      </c>
      <c r="D704" s="7" t="inlineStr">
        <is>
          <t>ELOÍZIO e LEANDRO e SILVESTRE</t>
        </is>
      </c>
      <c r="E704" s="7" t="inlineStr">
        <is>
          <t>Cidão</t>
        </is>
      </c>
      <c r="F704" s="13" t="inlineStr">
        <is>
          <t>Shaft PV 36</t>
        </is>
      </c>
      <c r="G704" s="7" t="inlineStr">
        <is>
          <t>36</t>
        </is>
      </c>
      <c r="H704" s="7" t="n"/>
      <c r="I704" s="7" t="inlineStr">
        <is>
          <t>36</t>
        </is>
      </c>
      <c r="J704" s="7" t="inlineStr">
        <is>
          <t>Shaft</t>
        </is>
      </c>
      <c r="K704" s="7" t="inlineStr">
        <is>
          <t>Planejamento</t>
        </is>
      </c>
      <c r="L704" s="16" t="inlineStr">
        <is>
          <t>PDS-Fevereiro(1).docx</t>
        </is>
      </c>
      <c r="M704">
        <f>IF($A704="","",TEXT($A704,"mmmm/yyyy"))</f>
        <v/>
      </c>
      <c r="P704">
        <f>IFERROR(_xludf.XLOOKUP($N704,Base_Enderecos!$A:$A,Base_Enderecos!$B:$B,""),"")</f>
        <v/>
      </c>
      <c r="Q704">
        <f>IFERROR(_xludf.XLOOKUP($N704,Base_Enderecos!$A:$A,Base_Enderecos!$C:$C,""),"")</f>
        <v/>
      </c>
      <c r="R704">
        <f>IF(OR(ISNUMBER(SEARCH("HDD",$F704)),ISNUMBER(SEARCH("MND",$F704)),ISNUMBER(SEARCH("PEAD",$F704)),ISNUMBER(SEARCH("Puxe",$J704)),ISNUMBER(SEARCH("Apoio HDD",$F704))),"MND",IF(OR(ISNUMBER(SEARCH("VCA",$F704)),ISNUMBER(SEARCH("PVC",$F704)),ISNUMBER(SEARCH("vca",$J704)),ISNUMBER(SEARCH("Transformação",$J704))),"VCA",IF(OR(ISNUMBER(SEARCH("crava",$F704)),ISNUMBER(SEARCH("tubo cravado",$F704)),ISNUMBER(SEARCH("shaft",$J704)),ISNUMBER(SEARCH("concreto",$F704))),"TUBO CRAVADO","")))</f>
        <v/>
      </c>
      <c r="T704">
        <f>IF($A704="","",TEXT($A704,"yyyymm")&amp;"|"&amp;$C704&amp;"|"&amp;$F704&amp;"|"&amp;$N704&amp;"|"&amp;$R704)</f>
        <v/>
      </c>
    </row>
    <row r="705" ht="11.55" customHeight="1">
      <c r="A705" s="10" t="n">
        <v>46058</v>
      </c>
      <c r="B705" s="7" t="inlineStr">
        <is>
          <t>Quinta</t>
        </is>
      </c>
      <c r="C705" s="7" t="inlineStr">
        <is>
          <t>CT MAR DE CORAL</t>
        </is>
      </c>
      <c r="D705" s="7" t="inlineStr">
        <is>
          <t>ELOÍZIO e LEANDRO e SILVESTRE</t>
        </is>
      </c>
      <c r="E705" s="7" t="inlineStr">
        <is>
          <t>Valter</t>
        </is>
      </c>
      <c r="F705" s="13" t="inlineStr">
        <is>
          <t>Transformação PV 09</t>
        </is>
      </c>
      <c r="G705" s="7" t="inlineStr">
        <is>
          <t>09</t>
        </is>
      </c>
      <c r="H705" s="7" t="n"/>
      <c r="I705" s="7" t="inlineStr">
        <is>
          <t>09</t>
        </is>
      </c>
      <c r="J705" s="7" t="inlineStr">
        <is>
          <t>Transformação</t>
        </is>
      </c>
      <c r="K705" s="7" t="inlineStr">
        <is>
          <t>Planejamento</t>
        </is>
      </c>
      <c r="L705" s="16" t="inlineStr">
        <is>
          <t>PDS-Fevereiro(1).docx</t>
        </is>
      </c>
      <c r="M705">
        <f>IF($A705="","",TEXT($A705,"mmmm/yyyy"))</f>
        <v/>
      </c>
      <c r="P705">
        <f>IFERROR(_xludf.XLOOKUP($N705,Base_Enderecos!$A:$A,Base_Enderecos!$B:$B,""),"")</f>
        <v/>
      </c>
      <c r="Q705">
        <f>IFERROR(_xludf.XLOOKUP($N705,Base_Enderecos!$A:$A,Base_Enderecos!$C:$C,""),"")</f>
        <v/>
      </c>
      <c r="R705">
        <f>IF(OR(ISNUMBER(SEARCH("HDD",$F705)),ISNUMBER(SEARCH("MND",$F705)),ISNUMBER(SEARCH("PEAD",$F705)),ISNUMBER(SEARCH("Puxe",$J705)),ISNUMBER(SEARCH("Apoio HDD",$F705))),"MND",IF(OR(ISNUMBER(SEARCH("VCA",$F705)),ISNUMBER(SEARCH("PVC",$F705)),ISNUMBER(SEARCH("vca",$J705)),ISNUMBER(SEARCH("Transformação",$J705))),"VCA",IF(OR(ISNUMBER(SEARCH("crava",$F705)),ISNUMBER(SEARCH("tubo cravado",$F705)),ISNUMBER(SEARCH("shaft",$J705)),ISNUMBER(SEARCH("concreto",$F705))),"TUBO CRAVADO","")))</f>
        <v/>
      </c>
      <c r="T705">
        <f>IF($A705="","",TEXT($A705,"yyyymm")&amp;"|"&amp;$C705&amp;"|"&amp;$F705&amp;"|"&amp;$N705&amp;"|"&amp;$R705)</f>
        <v/>
      </c>
    </row>
    <row r="706" ht="11.55" customHeight="1">
      <c r="A706" s="10" t="n">
        <v>46058</v>
      </c>
      <c r="B706" s="7" t="inlineStr">
        <is>
          <t>Quinta</t>
        </is>
      </c>
      <c r="C706" s="7" t="inlineStr">
        <is>
          <t>CT MAR DE CORAL</t>
        </is>
      </c>
      <c r="D706" s="7" t="inlineStr">
        <is>
          <t>ELOÍZIO e LEANDRO e SILVESTRE</t>
        </is>
      </c>
      <c r="E706" s="7" t="inlineStr">
        <is>
          <t>Work Drill</t>
        </is>
      </c>
      <c r="F706" s="13" t="n"/>
      <c r="G706" s="7" t="n"/>
      <c r="H706" s="7" t="n"/>
      <c r="I706" s="7" t="n"/>
      <c r="J706" s="7" t="n"/>
      <c r="K706" s="7" t="inlineStr">
        <is>
          <t>Planejamento</t>
        </is>
      </c>
      <c r="L706" s="16" t="inlineStr">
        <is>
          <t>PDS-Fevereiro(1).docx</t>
        </is>
      </c>
      <c r="M706">
        <f>IF($A706="","",TEXT($A706,"mmmm/yyyy"))</f>
        <v/>
      </c>
      <c r="P706">
        <f>IFERROR(_xludf.XLOOKUP($N706,Base_Enderecos!$A:$A,Base_Enderecos!$B:$B,""),"")</f>
        <v/>
      </c>
      <c r="Q706">
        <f>IFERROR(_xludf.XLOOKUP($N706,Base_Enderecos!$A:$A,Base_Enderecos!$C:$C,""),"")</f>
        <v/>
      </c>
      <c r="R706">
        <f>IF(OR(ISNUMBER(SEARCH("HDD",$F706)),ISNUMBER(SEARCH("MND",$F706)),ISNUMBER(SEARCH("PEAD",$F706)),ISNUMBER(SEARCH("Puxe",$J706)),ISNUMBER(SEARCH("Apoio HDD",$F706))),"MND",IF(OR(ISNUMBER(SEARCH("VCA",$F706)),ISNUMBER(SEARCH("PVC",$F706)),ISNUMBER(SEARCH("vca",$J706)),ISNUMBER(SEARCH("Transformação",$J706))),"VCA",IF(OR(ISNUMBER(SEARCH("crava",$F706)),ISNUMBER(SEARCH("tubo cravado",$F706)),ISNUMBER(SEARCH("shaft",$J706)),ISNUMBER(SEARCH("concreto",$F706))),"TUBO CRAVADO","")))</f>
        <v/>
      </c>
      <c r="T706">
        <f>IF($A706="","",TEXT($A706,"yyyymm")&amp;"|"&amp;$C706&amp;"|"&amp;$F706&amp;"|"&amp;$N706&amp;"|"&amp;$R706)</f>
        <v/>
      </c>
    </row>
    <row r="707" ht="11.55" customHeight="1">
      <c r="A707" s="10" t="n">
        <v>46058</v>
      </c>
      <c r="B707" s="7" t="inlineStr">
        <is>
          <t>Quinta</t>
        </is>
      </c>
      <c r="C707" s="7" t="inlineStr">
        <is>
          <t>CT MAR DE CORAL</t>
        </is>
      </c>
      <c r="D707" s="7" t="inlineStr">
        <is>
          <t>ELOÍZIO e LEANDRO e SILVESTRE</t>
        </is>
      </c>
      <c r="E707" s="7" t="inlineStr">
        <is>
          <t>Medeiros</t>
        </is>
      </c>
      <c r="F707" s="13" t="inlineStr">
        <is>
          <t>Resgate cabeça de puxe PV 30</t>
        </is>
      </c>
      <c r="G707" s="7" t="inlineStr">
        <is>
          <t>30</t>
        </is>
      </c>
      <c r="H707" s="7" t="n"/>
      <c r="I707" s="7" t="inlineStr">
        <is>
          <t>30</t>
        </is>
      </c>
      <c r="J707" s="7" t="inlineStr">
        <is>
          <t>Puxe</t>
        </is>
      </c>
      <c r="K707" s="7" t="inlineStr">
        <is>
          <t>Planejamento</t>
        </is>
      </c>
      <c r="L707" s="16" t="inlineStr">
        <is>
          <t>PDS-Fevereiro(1).docx</t>
        </is>
      </c>
      <c r="M707">
        <f>IF($A707="","",TEXT($A707,"mmmm/yyyy"))</f>
        <v/>
      </c>
      <c r="P707">
        <f>IFERROR(_xludf.XLOOKUP($N707,Base_Enderecos!$A:$A,Base_Enderecos!$B:$B,""),"")</f>
        <v/>
      </c>
      <c r="Q707">
        <f>IFERROR(_xludf.XLOOKUP($N707,Base_Enderecos!$A:$A,Base_Enderecos!$C:$C,""),"")</f>
        <v/>
      </c>
      <c r="R707">
        <f>IF(OR(ISNUMBER(SEARCH("HDD",$F707)),ISNUMBER(SEARCH("MND",$F707)),ISNUMBER(SEARCH("PEAD",$F707)),ISNUMBER(SEARCH("Puxe",$J707)),ISNUMBER(SEARCH("Apoio HDD",$F707))),"MND",IF(OR(ISNUMBER(SEARCH("VCA",$F707)),ISNUMBER(SEARCH("PVC",$F707)),ISNUMBER(SEARCH("vca",$J707)),ISNUMBER(SEARCH("Transformação",$J707))),"VCA",IF(OR(ISNUMBER(SEARCH("crava",$F707)),ISNUMBER(SEARCH("tubo cravado",$F707)),ISNUMBER(SEARCH("shaft",$J707)),ISNUMBER(SEARCH("concreto",$F707))),"TUBO CRAVADO","")))</f>
        <v/>
      </c>
      <c r="T707">
        <f>IF($A707="","",TEXT($A707,"yyyymm")&amp;"|"&amp;$C707&amp;"|"&amp;$F707&amp;"|"&amp;$N707&amp;"|"&amp;$R707)</f>
        <v/>
      </c>
    </row>
    <row r="708" ht="11.55" customHeight="1">
      <c r="A708" s="10" t="n">
        <v>46058</v>
      </c>
      <c r="B708" s="7" t="inlineStr">
        <is>
          <t>Quinta</t>
        </is>
      </c>
      <c r="C708" s="7" t="inlineStr">
        <is>
          <t>CT MAR DE CORAL</t>
        </is>
      </c>
      <c r="D708" s="7" t="inlineStr">
        <is>
          <t>ELOÍZIO e LEANDRO e SILVESTRE</t>
        </is>
      </c>
      <c r="E708" s="7" t="inlineStr">
        <is>
          <t>Márcio</t>
        </is>
      </c>
      <c r="F708" s="13" t="inlineStr">
        <is>
          <t>Apoio HDD entre PVs 5.10 ao 5.11</t>
        </is>
      </c>
      <c r="G708" s="7" t="inlineStr">
        <is>
          <t>5.10</t>
        </is>
      </c>
      <c r="H708" s="7" t="n"/>
      <c r="I708" s="7" t="inlineStr">
        <is>
          <t>5.10</t>
        </is>
      </c>
      <c r="J708" s="7" t="inlineStr">
        <is>
          <t>Apoio HDD</t>
        </is>
      </c>
      <c r="K708" s="7" t="inlineStr">
        <is>
          <t>Planejamento</t>
        </is>
      </c>
      <c r="L708" s="16" t="inlineStr">
        <is>
          <t>PDS-Fevereiro(1).docx</t>
        </is>
      </c>
      <c r="M708">
        <f>IF($A708="","",TEXT($A708,"mmmm/yyyy"))</f>
        <v/>
      </c>
      <c r="P708">
        <f>IFERROR(_xludf.XLOOKUP($N708,Base_Enderecos!$A:$A,Base_Enderecos!$B:$B,""),"")</f>
        <v/>
      </c>
      <c r="Q708">
        <f>IFERROR(_xludf.XLOOKUP($N708,Base_Enderecos!$A:$A,Base_Enderecos!$C:$C,""),"")</f>
        <v/>
      </c>
      <c r="R708">
        <f>IF(OR(ISNUMBER(SEARCH("HDD",$F708)),ISNUMBER(SEARCH("MND",$F708)),ISNUMBER(SEARCH("PEAD",$F708)),ISNUMBER(SEARCH("Puxe",$J708)),ISNUMBER(SEARCH("Apoio HDD",$F708))),"MND",IF(OR(ISNUMBER(SEARCH("VCA",$F708)),ISNUMBER(SEARCH("PVC",$F708)),ISNUMBER(SEARCH("vca",$J708)),ISNUMBER(SEARCH("Transformação",$J708))),"VCA",IF(OR(ISNUMBER(SEARCH("crava",$F708)),ISNUMBER(SEARCH("tubo cravado",$F708)),ISNUMBER(SEARCH("shaft",$J708)),ISNUMBER(SEARCH("concreto",$F708))),"TUBO CRAVADO","")))</f>
        <v/>
      </c>
      <c r="T708">
        <f>IF($A708="","",TEXT($A708,"yyyymm")&amp;"|"&amp;$C708&amp;"|"&amp;$F708&amp;"|"&amp;$N708&amp;"|"&amp;$R708)</f>
        <v/>
      </c>
    </row>
    <row r="709" ht="11.55" customHeight="1">
      <c r="A709" s="10" t="n">
        <v>46058</v>
      </c>
      <c r="B709" s="7" t="inlineStr">
        <is>
          <t>Quinta</t>
        </is>
      </c>
      <c r="C709" s="7" t="inlineStr">
        <is>
          <t>CT MAR DE CORAL</t>
        </is>
      </c>
      <c r="D709" s="7" t="inlineStr">
        <is>
          <t>ELOÍZIO e LEANDRO e SILVESTRE</t>
        </is>
      </c>
      <c r="E709" s="7" t="inlineStr">
        <is>
          <t>Sergio</t>
        </is>
      </c>
      <c r="F709" s="13" t="inlineStr">
        <is>
          <t>Transformação PV 23</t>
        </is>
      </c>
      <c r="G709" s="7" t="inlineStr">
        <is>
          <t>23</t>
        </is>
      </c>
      <c r="H709" s="7" t="n"/>
      <c r="I709" s="7" t="inlineStr">
        <is>
          <t>23</t>
        </is>
      </c>
      <c r="J709" s="7" t="inlineStr">
        <is>
          <t>Transformação</t>
        </is>
      </c>
      <c r="K709" s="7" t="inlineStr">
        <is>
          <t>Planejamento</t>
        </is>
      </c>
      <c r="L709" s="16" t="inlineStr">
        <is>
          <t>PDS-Fevereiro(1).docx</t>
        </is>
      </c>
      <c r="M709">
        <f>IF($A709="","",TEXT($A709,"mmmm/yyyy"))</f>
        <v/>
      </c>
      <c r="P709">
        <f>IFERROR(_xludf.XLOOKUP($N709,Base_Enderecos!$A:$A,Base_Enderecos!$B:$B,""),"")</f>
        <v/>
      </c>
      <c r="Q709">
        <f>IFERROR(_xludf.XLOOKUP($N709,Base_Enderecos!$A:$A,Base_Enderecos!$C:$C,""),"")</f>
        <v/>
      </c>
      <c r="R709">
        <f>IF(OR(ISNUMBER(SEARCH("HDD",$F709)),ISNUMBER(SEARCH("MND",$F709)),ISNUMBER(SEARCH("PEAD",$F709)),ISNUMBER(SEARCH("Puxe",$J709)),ISNUMBER(SEARCH("Apoio HDD",$F709))),"MND",IF(OR(ISNUMBER(SEARCH("VCA",$F709)),ISNUMBER(SEARCH("PVC",$F709)),ISNUMBER(SEARCH("vca",$J709)),ISNUMBER(SEARCH("Transformação",$J709))),"VCA",IF(OR(ISNUMBER(SEARCH("crava",$F709)),ISNUMBER(SEARCH("tubo cravado",$F709)),ISNUMBER(SEARCH("shaft",$J709)),ISNUMBER(SEARCH("concreto",$F709))),"TUBO CRAVADO","")))</f>
        <v/>
      </c>
      <c r="T709">
        <f>IF($A709="","",TEXT($A709,"yyyymm")&amp;"|"&amp;$C709&amp;"|"&amp;$F709&amp;"|"&amp;$N709&amp;"|"&amp;$R709)</f>
        <v/>
      </c>
    </row>
    <row r="710" ht="11.55" customHeight="1">
      <c r="A710" s="10" t="n">
        <v>46058</v>
      </c>
      <c r="B710" s="7" t="inlineStr">
        <is>
          <t>Quinta</t>
        </is>
      </c>
      <c r="C710" s="7" t="inlineStr">
        <is>
          <t>CT MAR DE CORAL</t>
        </is>
      </c>
      <c r="D710" s="7" t="inlineStr">
        <is>
          <t>ELOÍZIO e LEANDRO e SILVESTRE</t>
        </is>
      </c>
      <c r="E710" s="7" t="inlineStr">
        <is>
          <t>Carlos</t>
        </is>
      </c>
      <c r="F710" s="13" t="inlineStr">
        <is>
          <t>Transformação PV 22</t>
        </is>
      </c>
      <c r="G710" s="7" t="inlineStr">
        <is>
          <t>22</t>
        </is>
      </c>
      <c r="H710" s="7" t="n"/>
      <c r="I710" s="7" t="inlineStr">
        <is>
          <t>22</t>
        </is>
      </c>
      <c r="J710" s="7" t="inlineStr">
        <is>
          <t>Transformação</t>
        </is>
      </c>
      <c r="K710" s="7" t="inlineStr">
        <is>
          <t>Planejamento</t>
        </is>
      </c>
      <c r="L710" s="16" t="inlineStr">
        <is>
          <t>PDS-Fevereiro(1).docx</t>
        </is>
      </c>
      <c r="M710">
        <f>IF($A710="","",TEXT($A710,"mmmm/yyyy"))</f>
        <v/>
      </c>
      <c r="P710">
        <f>IFERROR(_xludf.XLOOKUP($N710,Base_Enderecos!$A:$A,Base_Enderecos!$B:$B,""),"")</f>
        <v/>
      </c>
      <c r="Q710">
        <f>IFERROR(_xludf.XLOOKUP($N710,Base_Enderecos!$A:$A,Base_Enderecos!$C:$C,""),"")</f>
        <v/>
      </c>
      <c r="R710">
        <f>IF(OR(ISNUMBER(SEARCH("HDD",$F710)),ISNUMBER(SEARCH("MND",$F710)),ISNUMBER(SEARCH("PEAD",$F710)),ISNUMBER(SEARCH("Puxe",$J710)),ISNUMBER(SEARCH("Apoio HDD",$F710))),"MND",IF(OR(ISNUMBER(SEARCH("VCA",$F710)),ISNUMBER(SEARCH("PVC",$F710)),ISNUMBER(SEARCH("vca",$J710)),ISNUMBER(SEARCH("Transformação",$J710))),"VCA",IF(OR(ISNUMBER(SEARCH("crava",$F710)),ISNUMBER(SEARCH("tubo cravado",$F710)),ISNUMBER(SEARCH("shaft",$J710)),ISNUMBER(SEARCH("concreto",$F710))),"TUBO CRAVADO","")))</f>
        <v/>
      </c>
      <c r="T710">
        <f>IF($A710="","",TEXT($A710,"yyyymm")&amp;"|"&amp;$C710&amp;"|"&amp;$F710&amp;"|"&amp;$N710&amp;"|"&amp;$R710)</f>
        <v/>
      </c>
    </row>
    <row r="711" ht="11.55" customHeight="1">
      <c r="A711" s="10" t="n">
        <v>46058</v>
      </c>
      <c r="B711" s="7" t="inlineStr">
        <is>
          <t>Quinta</t>
        </is>
      </c>
      <c r="C711" s="7" t="inlineStr">
        <is>
          <t>CT LOURDES</t>
        </is>
      </c>
      <c r="D711" s="7" t="inlineStr">
        <is>
          <t>ROBSON e VALMIR</t>
        </is>
      </c>
      <c r="E711" s="7" t="inlineStr">
        <is>
          <t>Edvando</t>
        </is>
      </c>
      <c r="F711" s="13" t="inlineStr">
        <is>
          <t>Transformação PV 18</t>
        </is>
      </c>
      <c r="G711" s="7" t="inlineStr">
        <is>
          <t>18</t>
        </is>
      </c>
      <c r="H711" s="7" t="n"/>
      <c r="I711" s="7" t="inlineStr">
        <is>
          <t>18</t>
        </is>
      </c>
      <c r="J711" s="7" t="inlineStr">
        <is>
          <t>Transformação</t>
        </is>
      </c>
      <c r="K711" s="7" t="inlineStr">
        <is>
          <t>Planejamento</t>
        </is>
      </c>
      <c r="L711" s="16" t="inlineStr">
        <is>
          <t>PDS-Fevereiro(1).docx</t>
        </is>
      </c>
      <c r="M711">
        <f>IF($A711="","",TEXT($A711,"mmmm/yyyy"))</f>
        <v/>
      </c>
      <c r="P711">
        <f>IFERROR(_xludf.XLOOKUP($N711,Base_Enderecos!$A:$A,Base_Enderecos!$B:$B,""),"")</f>
        <v/>
      </c>
      <c r="Q711">
        <f>IFERROR(_xludf.XLOOKUP($N711,Base_Enderecos!$A:$A,Base_Enderecos!$C:$C,""),"")</f>
        <v/>
      </c>
      <c r="R711">
        <f>IF(OR(ISNUMBER(SEARCH("HDD",$F711)),ISNUMBER(SEARCH("MND",$F711)),ISNUMBER(SEARCH("PEAD",$F711)),ISNUMBER(SEARCH("Puxe",$J711)),ISNUMBER(SEARCH("Apoio HDD",$F711))),"MND",IF(OR(ISNUMBER(SEARCH("VCA",$F711)),ISNUMBER(SEARCH("PVC",$F711)),ISNUMBER(SEARCH("vca",$J711)),ISNUMBER(SEARCH("Transformação",$J711))),"VCA",IF(OR(ISNUMBER(SEARCH("crava",$F711)),ISNUMBER(SEARCH("tubo cravado",$F711)),ISNUMBER(SEARCH("shaft",$J711)),ISNUMBER(SEARCH("concreto",$F711))),"TUBO CRAVADO","")))</f>
        <v/>
      </c>
      <c r="T711">
        <f>IF($A711="","",TEXT($A711,"yyyymm")&amp;"|"&amp;$C711&amp;"|"&amp;$F711&amp;"|"&amp;$N711&amp;"|"&amp;$R711)</f>
        <v/>
      </c>
    </row>
    <row r="712" ht="11.55" customHeight="1">
      <c r="A712" s="10" t="n">
        <v>46058</v>
      </c>
      <c r="B712" s="7" t="inlineStr">
        <is>
          <t>Quinta</t>
        </is>
      </c>
      <c r="C712" s="7" t="inlineStr">
        <is>
          <t>CT LOURDES</t>
        </is>
      </c>
      <c r="D712" s="7" t="inlineStr">
        <is>
          <t>ROBSON e VALMIR</t>
        </is>
      </c>
      <c r="E712" s="7" t="inlineStr">
        <is>
          <t>Higor</t>
        </is>
      </c>
      <c r="F712" s="13" t="inlineStr">
        <is>
          <t>Transformação PV 14</t>
        </is>
      </c>
      <c r="G712" s="7" t="inlineStr">
        <is>
          <t>14</t>
        </is>
      </c>
      <c r="H712" s="7" t="n"/>
      <c r="I712" s="7" t="inlineStr">
        <is>
          <t>14</t>
        </is>
      </c>
      <c r="J712" s="7" t="inlineStr">
        <is>
          <t>Transformação</t>
        </is>
      </c>
      <c r="K712" s="7" t="inlineStr">
        <is>
          <t>Planejamento</t>
        </is>
      </c>
      <c r="L712" s="16" t="inlineStr">
        <is>
          <t>PDS-Fevereiro(1).docx</t>
        </is>
      </c>
      <c r="M712">
        <f>IF($A712="","",TEXT($A712,"mmmm/yyyy"))</f>
        <v/>
      </c>
      <c r="P712">
        <f>IFERROR(_xludf.XLOOKUP($N712,Base_Enderecos!$A:$A,Base_Enderecos!$B:$B,""),"")</f>
        <v/>
      </c>
      <c r="Q712">
        <f>IFERROR(_xludf.XLOOKUP($N712,Base_Enderecos!$A:$A,Base_Enderecos!$C:$C,""),"")</f>
        <v/>
      </c>
      <c r="R712">
        <f>IF(OR(ISNUMBER(SEARCH("HDD",$F712)),ISNUMBER(SEARCH("MND",$F712)),ISNUMBER(SEARCH("PEAD",$F712)),ISNUMBER(SEARCH("Puxe",$J712)),ISNUMBER(SEARCH("Apoio HDD",$F712))),"MND",IF(OR(ISNUMBER(SEARCH("VCA",$F712)),ISNUMBER(SEARCH("PVC",$F712)),ISNUMBER(SEARCH("vca",$J712)),ISNUMBER(SEARCH("Transformação",$J712))),"VCA",IF(OR(ISNUMBER(SEARCH("crava",$F712)),ISNUMBER(SEARCH("tubo cravado",$F712)),ISNUMBER(SEARCH("shaft",$J712)),ISNUMBER(SEARCH("concreto",$F712))),"TUBO CRAVADO","")))</f>
        <v/>
      </c>
      <c r="T712">
        <f>IF($A712="","",TEXT($A712,"yyyymm")&amp;"|"&amp;$C712&amp;"|"&amp;$F712&amp;"|"&amp;$N712&amp;"|"&amp;$R712)</f>
        <v/>
      </c>
    </row>
    <row r="713" ht="11.55" customHeight="1">
      <c r="A713" s="10" t="n">
        <v>46058</v>
      </c>
      <c r="B713" s="7" t="inlineStr">
        <is>
          <t>Quinta</t>
        </is>
      </c>
      <c r="C713" s="7" t="inlineStr">
        <is>
          <t>CT LOURDES</t>
        </is>
      </c>
      <c r="D713" s="7" t="inlineStr">
        <is>
          <t>ROBSON e VALMIR</t>
        </is>
      </c>
      <c r="E713" s="7" t="inlineStr">
        <is>
          <t>Paulo</t>
        </is>
      </c>
      <c r="F713" s="13" t="inlineStr">
        <is>
          <t>Transformação PV 13</t>
        </is>
      </c>
      <c r="G713" s="7" t="inlineStr">
        <is>
          <t>13</t>
        </is>
      </c>
      <c r="H713" s="7" t="n"/>
      <c r="I713" s="7" t="inlineStr">
        <is>
          <t>13</t>
        </is>
      </c>
      <c r="J713" s="7" t="inlineStr">
        <is>
          <t>Transformação</t>
        </is>
      </c>
      <c r="K713" s="7" t="inlineStr">
        <is>
          <t>Planejamento</t>
        </is>
      </c>
      <c r="L713" s="16" t="inlineStr">
        <is>
          <t>PDS-Fevereiro(1).docx</t>
        </is>
      </c>
      <c r="M713">
        <f>IF($A713="","",TEXT($A713,"mmmm/yyyy"))</f>
        <v/>
      </c>
      <c r="P713">
        <f>IFERROR(_xludf.XLOOKUP($N713,Base_Enderecos!$A:$A,Base_Enderecos!$B:$B,""),"")</f>
        <v/>
      </c>
      <c r="Q713">
        <f>IFERROR(_xludf.XLOOKUP($N713,Base_Enderecos!$A:$A,Base_Enderecos!$C:$C,""),"")</f>
        <v/>
      </c>
      <c r="R713">
        <f>IF(OR(ISNUMBER(SEARCH("HDD",$F713)),ISNUMBER(SEARCH("MND",$F713)),ISNUMBER(SEARCH("PEAD",$F713)),ISNUMBER(SEARCH("Puxe",$J713)),ISNUMBER(SEARCH("Apoio HDD",$F713))),"MND",IF(OR(ISNUMBER(SEARCH("VCA",$F713)),ISNUMBER(SEARCH("PVC",$F713)),ISNUMBER(SEARCH("vca",$J713)),ISNUMBER(SEARCH("Transformação",$J713))),"VCA",IF(OR(ISNUMBER(SEARCH("crava",$F713)),ISNUMBER(SEARCH("tubo cravado",$F713)),ISNUMBER(SEARCH("shaft",$J713)),ISNUMBER(SEARCH("concreto",$F713))),"TUBO CRAVADO","")))</f>
        <v/>
      </c>
      <c r="T713">
        <f>IF($A713="","",TEXT($A713,"yyyymm")&amp;"|"&amp;$C713&amp;"|"&amp;$F713&amp;"|"&amp;$N713&amp;"|"&amp;$R713)</f>
        <v/>
      </c>
    </row>
    <row r="714" ht="11.55" customHeight="1">
      <c r="A714" s="10" t="n">
        <v>46058</v>
      </c>
      <c r="B714" s="7" t="inlineStr">
        <is>
          <t>Quinta</t>
        </is>
      </c>
      <c r="C714" s="7" t="inlineStr">
        <is>
          <t>CT ÁGUA VERMELHA M.D</t>
        </is>
      </c>
      <c r="D714" s="7" t="inlineStr">
        <is>
          <t>CAROLINE e FÁBIO</t>
        </is>
      </c>
      <c r="E714" s="7" t="inlineStr">
        <is>
          <t>Marcelo</t>
        </is>
      </c>
      <c r="F714" s="13" t="inlineStr">
        <is>
          <t>Shaft PV 04</t>
        </is>
      </c>
      <c r="G714" s="7" t="inlineStr">
        <is>
          <t>04</t>
        </is>
      </c>
      <c r="H714" s="7" t="n"/>
      <c r="I714" s="7" t="inlineStr">
        <is>
          <t>04</t>
        </is>
      </c>
      <c r="J714" s="7" t="inlineStr">
        <is>
          <t>Shaft</t>
        </is>
      </c>
      <c r="K714" s="7" t="inlineStr">
        <is>
          <t>Planejamento</t>
        </is>
      </c>
      <c r="L714" s="16" t="inlineStr">
        <is>
          <t>PDS-Fevereiro(1).docx</t>
        </is>
      </c>
      <c r="M714">
        <f>IF($A714="","",TEXT($A714,"mmmm/yyyy"))</f>
        <v/>
      </c>
      <c r="P714">
        <f>IFERROR(_xludf.XLOOKUP($N714,Base_Enderecos!$A:$A,Base_Enderecos!$B:$B,""),"")</f>
        <v/>
      </c>
      <c r="Q714">
        <f>IFERROR(_xludf.XLOOKUP($N714,Base_Enderecos!$A:$A,Base_Enderecos!$C:$C,""),"")</f>
        <v/>
      </c>
      <c r="R714">
        <f>IF(OR(ISNUMBER(SEARCH("HDD",$F714)),ISNUMBER(SEARCH("MND",$F714)),ISNUMBER(SEARCH("PEAD",$F714)),ISNUMBER(SEARCH("Puxe",$J714)),ISNUMBER(SEARCH("Apoio HDD",$F714))),"MND",IF(OR(ISNUMBER(SEARCH("VCA",$F714)),ISNUMBER(SEARCH("PVC",$F714)),ISNUMBER(SEARCH("vca",$J714)),ISNUMBER(SEARCH("Transformação",$J714))),"VCA",IF(OR(ISNUMBER(SEARCH("crava",$F714)),ISNUMBER(SEARCH("tubo cravado",$F714)),ISNUMBER(SEARCH("shaft",$J714)),ISNUMBER(SEARCH("concreto",$F714))),"TUBO CRAVADO","")))</f>
        <v/>
      </c>
      <c r="T714">
        <f>IF($A714="","",TEXT($A714,"yyyymm")&amp;"|"&amp;$C714&amp;"|"&amp;$F714&amp;"|"&amp;$N714&amp;"|"&amp;$R714)</f>
        <v/>
      </c>
    </row>
    <row r="715" ht="11.55" customHeight="1">
      <c r="A715" s="10" t="n">
        <v>46058</v>
      </c>
      <c r="B715" s="7" t="inlineStr">
        <is>
          <t>Quinta</t>
        </is>
      </c>
      <c r="C715" s="7" t="inlineStr">
        <is>
          <t>CT ÁGUA VERMELHA M.D</t>
        </is>
      </c>
      <c r="D715" s="7" t="inlineStr">
        <is>
          <t>CAROLINE e FÁBIO</t>
        </is>
      </c>
      <c r="E715" s="7" t="inlineStr">
        <is>
          <t>Cesar</t>
        </is>
      </c>
      <c r="F715" s="13" t="inlineStr">
        <is>
          <t>Shaft PV 05</t>
        </is>
      </c>
      <c r="G715" s="7" t="inlineStr">
        <is>
          <t>05</t>
        </is>
      </c>
      <c r="H715" s="7" t="n"/>
      <c r="I715" s="7" t="inlineStr">
        <is>
          <t>05</t>
        </is>
      </c>
      <c r="J715" s="7" t="inlineStr">
        <is>
          <t>Shaft</t>
        </is>
      </c>
      <c r="K715" s="7" t="inlineStr">
        <is>
          <t>Planejamento</t>
        </is>
      </c>
      <c r="L715" s="16" t="inlineStr">
        <is>
          <t>PDS-Fevereiro(1).docx</t>
        </is>
      </c>
      <c r="M715">
        <f>IF($A715="","",TEXT($A715,"mmmm/yyyy"))</f>
        <v/>
      </c>
      <c r="P715">
        <f>IFERROR(_xludf.XLOOKUP($N715,Base_Enderecos!$A:$A,Base_Enderecos!$B:$B,""),"")</f>
        <v/>
      </c>
      <c r="Q715">
        <f>IFERROR(_xludf.XLOOKUP($N715,Base_Enderecos!$A:$A,Base_Enderecos!$C:$C,""),"")</f>
        <v/>
      </c>
      <c r="R715">
        <f>IF(OR(ISNUMBER(SEARCH("HDD",$F715)),ISNUMBER(SEARCH("MND",$F715)),ISNUMBER(SEARCH("PEAD",$F715)),ISNUMBER(SEARCH("Puxe",$J715)),ISNUMBER(SEARCH("Apoio HDD",$F715))),"MND",IF(OR(ISNUMBER(SEARCH("VCA",$F715)),ISNUMBER(SEARCH("PVC",$F715)),ISNUMBER(SEARCH("vca",$J715)),ISNUMBER(SEARCH("Transformação",$J715))),"VCA",IF(OR(ISNUMBER(SEARCH("crava",$F715)),ISNUMBER(SEARCH("tubo cravado",$F715)),ISNUMBER(SEARCH("shaft",$J715)),ISNUMBER(SEARCH("concreto",$F715))),"TUBO CRAVADO","")))</f>
        <v/>
      </c>
      <c r="T715">
        <f>IF($A715="","",TEXT($A715,"yyyymm")&amp;"|"&amp;$C715&amp;"|"&amp;$F715&amp;"|"&amp;$N715&amp;"|"&amp;$R715)</f>
        <v/>
      </c>
    </row>
    <row r="716" ht="11.55" customHeight="1">
      <c r="A716" s="10" t="n">
        <v>46058</v>
      </c>
      <c r="B716" s="7" t="inlineStr">
        <is>
          <t>Quinta</t>
        </is>
      </c>
      <c r="C716" s="7" t="inlineStr">
        <is>
          <t>CT ÁGUA VERMELHA M.D</t>
        </is>
      </c>
      <c r="D716" s="7" t="inlineStr">
        <is>
          <t>CAROLINE e FÁBIO</t>
        </is>
      </c>
      <c r="E716" s="7" t="inlineStr">
        <is>
          <t>Reinaldo</t>
        </is>
      </c>
      <c r="F716" s="13" t="inlineStr">
        <is>
          <t>Furo piloto entre PVs existente ao 01</t>
        </is>
      </c>
      <c r="G716" s="7" t="n"/>
      <c r="H716" s="7" t="n"/>
      <c r="I716" s="7" t="n"/>
      <c r="J716" s="7" t="inlineStr">
        <is>
          <t>Furo piloto</t>
        </is>
      </c>
      <c r="K716" s="7" t="inlineStr">
        <is>
          <t>Planejamento</t>
        </is>
      </c>
      <c r="L716" s="16" t="inlineStr">
        <is>
          <t>PDS-Fevereiro(1).docx</t>
        </is>
      </c>
      <c r="M716">
        <f>IF($A716="","",TEXT($A716,"mmmm/yyyy"))</f>
        <v/>
      </c>
      <c r="P716">
        <f>IFERROR(_xludf.XLOOKUP($N716,Base_Enderecos!$A:$A,Base_Enderecos!$B:$B,""),"")</f>
        <v/>
      </c>
      <c r="Q716">
        <f>IFERROR(_xludf.XLOOKUP($N716,Base_Enderecos!$A:$A,Base_Enderecos!$C:$C,""),"")</f>
        <v/>
      </c>
      <c r="R716">
        <f>IF(OR(ISNUMBER(SEARCH("HDD",$F716)),ISNUMBER(SEARCH("MND",$F716)),ISNUMBER(SEARCH("PEAD",$F716)),ISNUMBER(SEARCH("Puxe",$J716)),ISNUMBER(SEARCH("Apoio HDD",$F716))),"MND",IF(OR(ISNUMBER(SEARCH("VCA",$F716)),ISNUMBER(SEARCH("PVC",$F716)),ISNUMBER(SEARCH("vca",$J716)),ISNUMBER(SEARCH("Transformação",$J716))),"VCA",IF(OR(ISNUMBER(SEARCH("crava",$F716)),ISNUMBER(SEARCH("tubo cravado",$F716)),ISNUMBER(SEARCH("shaft",$J716)),ISNUMBER(SEARCH("concreto",$F716))),"TUBO CRAVADO","")))</f>
        <v/>
      </c>
      <c r="T716">
        <f>IF($A716="","",TEXT($A716,"yyyymm")&amp;"|"&amp;$C716&amp;"|"&amp;$F716&amp;"|"&amp;$N716&amp;"|"&amp;$R716)</f>
        <v/>
      </c>
    </row>
    <row r="717" ht="11.55" customHeight="1">
      <c r="A717" s="10" t="n">
        <v>46058</v>
      </c>
      <c r="B717" s="7" t="inlineStr">
        <is>
          <t>Quinta</t>
        </is>
      </c>
      <c r="C717" s="7" t="inlineStr">
        <is>
          <t>CT ÁGUA VERMELHA M.D</t>
        </is>
      </c>
      <c r="D717" s="7" t="inlineStr">
        <is>
          <t>CAROLINE e FÁBIO</t>
        </is>
      </c>
      <c r="E717" s="7" t="inlineStr">
        <is>
          <t>Jonathan</t>
        </is>
      </c>
      <c r="F717" s="13" t="inlineStr">
        <is>
          <t>Apoio HDD jusante ao PV 01</t>
        </is>
      </c>
      <c r="G717" s="7" t="inlineStr">
        <is>
          <t>01</t>
        </is>
      </c>
      <c r="H717" s="7" t="n"/>
      <c r="I717" s="7" t="inlineStr">
        <is>
          <t>01</t>
        </is>
      </c>
      <c r="J717" s="7" t="inlineStr">
        <is>
          <t>Apoio HDD</t>
        </is>
      </c>
      <c r="K717" s="7" t="inlineStr">
        <is>
          <t>Planejamento</t>
        </is>
      </c>
      <c r="L717" s="16" t="inlineStr">
        <is>
          <t>PDS-Fevereiro(1).docx</t>
        </is>
      </c>
      <c r="M717">
        <f>IF($A717="","",TEXT($A717,"mmmm/yyyy"))</f>
        <v/>
      </c>
      <c r="P717">
        <f>IFERROR(_xludf.XLOOKUP($N717,Base_Enderecos!$A:$A,Base_Enderecos!$B:$B,""),"")</f>
        <v/>
      </c>
      <c r="Q717">
        <f>IFERROR(_xludf.XLOOKUP($N717,Base_Enderecos!$A:$A,Base_Enderecos!$C:$C,""),"")</f>
        <v/>
      </c>
      <c r="R717">
        <f>IF(OR(ISNUMBER(SEARCH("HDD",$F717)),ISNUMBER(SEARCH("MND",$F717)),ISNUMBER(SEARCH("PEAD",$F717)),ISNUMBER(SEARCH("Puxe",$J717)),ISNUMBER(SEARCH("Apoio HDD",$F717))),"MND",IF(OR(ISNUMBER(SEARCH("VCA",$F717)),ISNUMBER(SEARCH("PVC",$F717)),ISNUMBER(SEARCH("vca",$J717)),ISNUMBER(SEARCH("Transformação",$J717))),"VCA",IF(OR(ISNUMBER(SEARCH("crava",$F717)),ISNUMBER(SEARCH("tubo cravado",$F717)),ISNUMBER(SEARCH("shaft",$J717)),ISNUMBER(SEARCH("concreto",$F717))),"TUBO CRAVADO","")))</f>
        <v/>
      </c>
      <c r="T717">
        <f>IF($A717="","",TEXT($A717,"yyyymm")&amp;"|"&amp;$C717&amp;"|"&amp;$F717&amp;"|"&amp;$N717&amp;"|"&amp;$R717)</f>
        <v/>
      </c>
    </row>
    <row r="718" ht="11.55" customHeight="1">
      <c r="A718" s="10" t="n">
        <v>46058</v>
      </c>
      <c r="B718" s="7" t="inlineStr">
        <is>
          <t>Quinta</t>
        </is>
      </c>
      <c r="C718" s="7" t="inlineStr">
        <is>
          <t>RCE ARARIBA</t>
        </is>
      </c>
      <c r="D718" s="7" t="inlineStr">
        <is>
          <t>ROBSON</t>
        </is>
      </c>
      <c r="E718" s="7" t="inlineStr">
        <is>
          <t>WJ - 02 Alex</t>
        </is>
      </c>
      <c r="F718" s="13" t="n"/>
      <c r="G718" s="7" t="n"/>
      <c r="H718" s="7" t="n"/>
      <c r="I718" s="7" t="n"/>
      <c r="J718" s="7" t="n"/>
      <c r="K718" s="7" t="inlineStr">
        <is>
          <t>Planejamento</t>
        </is>
      </c>
      <c r="L718" s="16" t="inlineStr">
        <is>
          <t>PDS-Fevereiro(1).docx</t>
        </is>
      </c>
      <c r="M718">
        <f>IF($A718="","",TEXT($A718,"mmmm/yyyy"))</f>
        <v/>
      </c>
      <c r="P718">
        <f>IFERROR(_xludf.XLOOKUP($N718,Base_Enderecos!$A:$A,Base_Enderecos!$B:$B,""),"")</f>
        <v/>
      </c>
      <c r="Q718">
        <f>IFERROR(_xludf.XLOOKUP($N718,Base_Enderecos!$A:$A,Base_Enderecos!$C:$C,""),"")</f>
        <v/>
      </c>
      <c r="R718">
        <f>IF(OR(ISNUMBER(SEARCH("HDD",$F718)),ISNUMBER(SEARCH("MND",$F718)),ISNUMBER(SEARCH("PEAD",$F718)),ISNUMBER(SEARCH("Puxe",$J718)),ISNUMBER(SEARCH("Apoio HDD",$F718))),"MND",IF(OR(ISNUMBER(SEARCH("VCA",$F718)),ISNUMBER(SEARCH("PVC",$F718)),ISNUMBER(SEARCH("vca",$J718)),ISNUMBER(SEARCH("Transformação",$J718))),"VCA",IF(OR(ISNUMBER(SEARCH("crava",$F718)),ISNUMBER(SEARCH("tubo cravado",$F718)),ISNUMBER(SEARCH("shaft",$J718)),ISNUMBER(SEARCH("concreto",$F718))),"TUBO CRAVADO","")))</f>
        <v/>
      </c>
      <c r="T718">
        <f>IF($A718="","",TEXT($A718,"yyyymm")&amp;"|"&amp;$C718&amp;"|"&amp;$F718&amp;"|"&amp;$N718&amp;"|"&amp;$R718)</f>
        <v/>
      </c>
    </row>
    <row r="719" ht="11.55" customHeight="1">
      <c r="A719" s="10" t="n">
        <v>46058</v>
      </c>
      <c r="B719" s="7" t="inlineStr">
        <is>
          <t>Quinta</t>
        </is>
      </c>
      <c r="C719" s="7" t="inlineStr">
        <is>
          <t>RCE ARARIBA</t>
        </is>
      </c>
      <c r="D719" s="7" t="inlineStr">
        <is>
          <t>ROBSON</t>
        </is>
      </c>
      <c r="E719" s="7" t="inlineStr">
        <is>
          <t>Natalino</t>
        </is>
      </c>
      <c r="F719" s="13" t="inlineStr">
        <is>
          <t>Resgate cabeça de puxe PV 09</t>
        </is>
      </c>
      <c r="G719" s="7" t="inlineStr">
        <is>
          <t>09</t>
        </is>
      </c>
      <c r="H719" s="7" t="n"/>
      <c r="I719" s="7" t="inlineStr">
        <is>
          <t>09</t>
        </is>
      </c>
      <c r="J719" s="7" t="inlineStr">
        <is>
          <t>Puxe</t>
        </is>
      </c>
      <c r="K719" s="7" t="inlineStr">
        <is>
          <t>Planejamento</t>
        </is>
      </c>
      <c r="L719" s="16" t="inlineStr">
        <is>
          <t>PDS-Fevereiro(1).docx</t>
        </is>
      </c>
      <c r="M719">
        <f>IF($A719="","",TEXT($A719,"mmmm/yyyy"))</f>
        <v/>
      </c>
      <c r="P719">
        <f>IFERROR(_xludf.XLOOKUP($N719,Base_Enderecos!$A:$A,Base_Enderecos!$B:$B,""),"")</f>
        <v/>
      </c>
      <c r="Q719">
        <f>IFERROR(_xludf.XLOOKUP($N719,Base_Enderecos!$A:$A,Base_Enderecos!$C:$C,""),"")</f>
        <v/>
      </c>
      <c r="R719">
        <f>IF(OR(ISNUMBER(SEARCH("HDD",$F719)),ISNUMBER(SEARCH("MND",$F719)),ISNUMBER(SEARCH("PEAD",$F719)),ISNUMBER(SEARCH("Puxe",$J719)),ISNUMBER(SEARCH("Apoio HDD",$F719))),"MND",IF(OR(ISNUMBER(SEARCH("VCA",$F719)),ISNUMBER(SEARCH("PVC",$F719)),ISNUMBER(SEARCH("vca",$J719)),ISNUMBER(SEARCH("Transformação",$J719))),"VCA",IF(OR(ISNUMBER(SEARCH("crava",$F719)),ISNUMBER(SEARCH("tubo cravado",$F719)),ISNUMBER(SEARCH("shaft",$J719)),ISNUMBER(SEARCH("concreto",$F719))),"TUBO CRAVADO","")))</f>
        <v/>
      </c>
      <c r="T719">
        <f>IF($A719="","",TEXT($A719,"yyyymm")&amp;"|"&amp;$C719&amp;"|"&amp;$F719&amp;"|"&amp;$N719&amp;"|"&amp;$R719)</f>
        <v/>
      </c>
    </row>
    <row r="720" ht="11.55" customHeight="1">
      <c r="A720" s="10" t="n">
        <v>46058</v>
      </c>
      <c r="B720" s="7" t="inlineStr">
        <is>
          <t>Quinta</t>
        </is>
      </c>
      <c r="C720" s="7" t="inlineStr">
        <is>
          <t>Vacal</t>
        </is>
      </c>
      <c r="D720" s="7" t="n"/>
      <c r="E720" s="7" t="n"/>
      <c r="F720" s="13" t="inlineStr">
        <is>
          <t>Apoio Vacal</t>
        </is>
      </c>
      <c r="G720" s="7" t="n"/>
      <c r="H720" s="7" t="n"/>
      <c r="I720" s="7" t="n"/>
      <c r="J720" s="7" t="inlineStr">
        <is>
          <t>Vacal</t>
        </is>
      </c>
      <c r="K720" s="7" t="inlineStr">
        <is>
          <t>Apoio</t>
        </is>
      </c>
      <c r="L720" s="16" t="inlineStr">
        <is>
          <t>PDS-Fevereiro(1).docx</t>
        </is>
      </c>
      <c r="M720">
        <f>IF($A720="","",TEXT($A720,"mmmm/yyyy"))</f>
        <v/>
      </c>
      <c r="P720">
        <f>IFERROR(_xludf.XLOOKUP($N720,Base_Enderecos!$A:$A,Base_Enderecos!$B:$B,""),"")</f>
        <v/>
      </c>
      <c r="Q720">
        <f>IFERROR(_xludf.XLOOKUP($N720,Base_Enderecos!$A:$A,Base_Enderecos!$C:$C,""),"")</f>
        <v/>
      </c>
      <c r="R720">
        <f>IF(OR(ISNUMBER(SEARCH("HDD",$F720)),ISNUMBER(SEARCH("MND",$F720)),ISNUMBER(SEARCH("PEAD",$F720)),ISNUMBER(SEARCH("Puxe",$J720)),ISNUMBER(SEARCH("Apoio HDD",$F720))),"MND",IF(OR(ISNUMBER(SEARCH("VCA",$F720)),ISNUMBER(SEARCH("PVC",$F720)),ISNUMBER(SEARCH("vca",$J720)),ISNUMBER(SEARCH("Transformação",$J720))),"VCA",IF(OR(ISNUMBER(SEARCH("crava",$F720)),ISNUMBER(SEARCH("tubo cravado",$F720)),ISNUMBER(SEARCH("shaft",$J720)),ISNUMBER(SEARCH("concreto",$F720))),"TUBO CRAVADO","")))</f>
        <v/>
      </c>
      <c r="T720">
        <f>IF($A720="","",TEXT($A720,"yyyymm")&amp;"|"&amp;$C720&amp;"|"&amp;$F720&amp;"|"&amp;$N720&amp;"|"&amp;$R720)</f>
        <v/>
      </c>
    </row>
    <row r="721" ht="11.55" customHeight="1">
      <c r="A721" s="10" t="n">
        <v>46058</v>
      </c>
      <c r="B721" s="7" t="inlineStr">
        <is>
          <t>Quinta</t>
        </is>
      </c>
      <c r="C721" s="7" t="inlineStr">
        <is>
          <t>Vacal</t>
        </is>
      </c>
      <c r="D721" s="7" t="n"/>
      <c r="E721" s="7" t="inlineStr">
        <is>
          <t>Mar de Coral</t>
        </is>
      </c>
      <c r="F721" s="13" t="inlineStr">
        <is>
          <t>Apoio Vacal</t>
        </is>
      </c>
      <c r="G721" s="7" t="n"/>
      <c r="H721" s="7" t="n"/>
      <c r="I721" s="7" t="n"/>
      <c r="J721" s="7" t="inlineStr">
        <is>
          <t>Vacal</t>
        </is>
      </c>
      <c r="K721" s="7" t="inlineStr">
        <is>
          <t>Apoio</t>
        </is>
      </c>
      <c r="L721" s="16" t="inlineStr">
        <is>
          <t>PDS-Fevereiro(1).docx</t>
        </is>
      </c>
      <c r="M721">
        <f>IF($A721="","",TEXT($A721,"mmmm/yyyy"))</f>
        <v/>
      </c>
      <c r="P721">
        <f>IFERROR(_xludf.XLOOKUP($N721,Base_Enderecos!$A:$A,Base_Enderecos!$B:$B,""),"")</f>
        <v/>
      </c>
      <c r="Q721">
        <f>IFERROR(_xludf.XLOOKUP($N721,Base_Enderecos!$A:$A,Base_Enderecos!$C:$C,""),"")</f>
        <v/>
      </c>
      <c r="R721">
        <f>IF(OR(ISNUMBER(SEARCH("HDD",$F721)),ISNUMBER(SEARCH("MND",$F721)),ISNUMBER(SEARCH("PEAD",$F721)),ISNUMBER(SEARCH("Puxe",$J721)),ISNUMBER(SEARCH("Apoio HDD",$F721))),"MND",IF(OR(ISNUMBER(SEARCH("VCA",$F721)),ISNUMBER(SEARCH("PVC",$F721)),ISNUMBER(SEARCH("vca",$J721)),ISNUMBER(SEARCH("Transformação",$J721))),"VCA",IF(OR(ISNUMBER(SEARCH("crava",$F721)),ISNUMBER(SEARCH("tubo cravado",$F721)),ISNUMBER(SEARCH("shaft",$J721)),ISNUMBER(SEARCH("concreto",$F721))),"TUBO CRAVADO","")))</f>
        <v/>
      </c>
      <c r="T721">
        <f>IF($A721="","",TEXT($A721,"yyyymm")&amp;"|"&amp;$C721&amp;"|"&amp;$F721&amp;"|"&amp;$N721&amp;"|"&amp;$R721)</f>
        <v/>
      </c>
    </row>
    <row r="722" ht="11.55" customHeight="1">
      <c r="A722" s="10" t="n">
        <v>46058</v>
      </c>
      <c r="B722" s="7" t="inlineStr">
        <is>
          <t>Quinta</t>
        </is>
      </c>
      <c r="C722" s="7" t="inlineStr">
        <is>
          <t>Vacal</t>
        </is>
      </c>
      <c r="D722" s="7" t="n"/>
      <c r="E722" s="7" t="inlineStr">
        <is>
          <t>Mar de Coral</t>
        </is>
      </c>
      <c r="F722" s="13" t="inlineStr">
        <is>
          <t>Apoio Vacal</t>
        </is>
      </c>
      <c r="G722" s="7" t="n"/>
      <c r="H722" s="7" t="n"/>
      <c r="I722" s="7" t="n"/>
      <c r="J722" s="7" t="inlineStr">
        <is>
          <t>Vacal</t>
        </is>
      </c>
      <c r="K722" s="7" t="inlineStr">
        <is>
          <t>Apoio</t>
        </is>
      </c>
      <c r="L722" s="16" t="inlineStr">
        <is>
          <t>PDS-Fevereiro(1).docx</t>
        </is>
      </c>
      <c r="M722">
        <f>IF($A722="","",TEXT($A722,"mmmm/yyyy"))</f>
        <v/>
      </c>
      <c r="P722">
        <f>IFERROR(_xludf.XLOOKUP($N722,Base_Enderecos!$A:$A,Base_Enderecos!$B:$B,""),"")</f>
        <v/>
      </c>
      <c r="Q722">
        <f>IFERROR(_xludf.XLOOKUP($N722,Base_Enderecos!$A:$A,Base_Enderecos!$C:$C,""),"")</f>
        <v/>
      </c>
      <c r="R722">
        <f>IF(OR(ISNUMBER(SEARCH("HDD",$F722)),ISNUMBER(SEARCH("MND",$F722)),ISNUMBER(SEARCH("PEAD",$F722)),ISNUMBER(SEARCH("Puxe",$J722)),ISNUMBER(SEARCH("Apoio HDD",$F722))),"MND",IF(OR(ISNUMBER(SEARCH("VCA",$F722)),ISNUMBER(SEARCH("PVC",$F722)),ISNUMBER(SEARCH("vca",$J722)),ISNUMBER(SEARCH("Transformação",$J722))),"VCA",IF(OR(ISNUMBER(SEARCH("crava",$F722)),ISNUMBER(SEARCH("tubo cravado",$F722)),ISNUMBER(SEARCH("shaft",$J722)),ISNUMBER(SEARCH("concreto",$F722))),"TUBO CRAVADO","")))</f>
        <v/>
      </c>
      <c r="T722">
        <f>IF($A722="","",TEXT($A722,"yyyymm")&amp;"|"&amp;$C722&amp;"|"&amp;$F722&amp;"|"&amp;$N722&amp;"|"&amp;$R722)</f>
        <v/>
      </c>
    </row>
    <row r="723" ht="11.55" customHeight="1">
      <c r="A723" s="10" t="n">
        <v>46058</v>
      </c>
      <c r="B723" s="7" t="inlineStr">
        <is>
          <t>Quinta</t>
        </is>
      </c>
      <c r="C723" s="7" t="inlineStr">
        <is>
          <t>Vacal</t>
        </is>
      </c>
      <c r="D723" s="7" t="n"/>
      <c r="E723" s="7" t="inlineStr">
        <is>
          <t>Mar de Coral</t>
        </is>
      </c>
      <c r="F723" s="13" t="inlineStr">
        <is>
          <t>Apoio Vacal</t>
        </is>
      </c>
      <c r="G723" s="7" t="n"/>
      <c r="H723" s="7" t="n"/>
      <c r="I723" s="7" t="n"/>
      <c r="J723" s="7" t="inlineStr">
        <is>
          <t>Vacal</t>
        </is>
      </c>
      <c r="K723" s="7" t="inlineStr">
        <is>
          <t>Apoio</t>
        </is>
      </c>
      <c r="L723" s="16" t="inlineStr">
        <is>
          <t>PDS-Fevereiro(1).docx</t>
        </is>
      </c>
      <c r="M723">
        <f>IF($A723="","",TEXT($A723,"mmmm/yyyy"))</f>
        <v/>
      </c>
      <c r="P723">
        <f>IFERROR(_xludf.XLOOKUP($N723,Base_Enderecos!$A:$A,Base_Enderecos!$B:$B,""),"")</f>
        <v/>
      </c>
      <c r="Q723">
        <f>IFERROR(_xludf.XLOOKUP($N723,Base_Enderecos!$A:$A,Base_Enderecos!$C:$C,""),"")</f>
        <v/>
      </c>
      <c r="R723">
        <f>IF(OR(ISNUMBER(SEARCH("HDD",$F723)),ISNUMBER(SEARCH("MND",$F723)),ISNUMBER(SEARCH("PEAD",$F723)),ISNUMBER(SEARCH("Puxe",$J723)),ISNUMBER(SEARCH("Apoio HDD",$F723))),"MND",IF(OR(ISNUMBER(SEARCH("VCA",$F723)),ISNUMBER(SEARCH("PVC",$F723)),ISNUMBER(SEARCH("vca",$J723)),ISNUMBER(SEARCH("Transformação",$J723))),"VCA",IF(OR(ISNUMBER(SEARCH("crava",$F723)),ISNUMBER(SEARCH("tubo cravado",$F723)),ISNUMBER(SEARCH("shaft",$J723)),ISNUMBER(SEARCH("concreto",$F723))),"TUBO CRAVADO","")))</f>
        <v/>
      </c>
      <c r="T723">
        <f>IF($A723="","",TEXT($A723,"yyyymm")&amp;"|"&amp;$C723&amp;"|"&amp;$F723&amp;"|"&amp;$N723&amp;"|"&amp;$R723)</f>
        <v/>
      </c>
    </row>
    <row r="724" ht="11.55" customHeight="1">
      <c r="A724" s="10" t="n">
        <v>46058</v>
      </c>
      <c r="B724" s="7" t="inlineStr">
        <is>
          <t>Quinta</t>
        </is>
      </c>
      <c r="C724" s="7" t="inlineStr">
        <is>
          <t>Guindauto</t>
        </is>
      </c>
      <c r="D724" s="7" t="n"/>
      <c r="E724" s="7" t="inlineStr">
        <is>
          <t>Rodrigo</t>
        </is>
      </c>
      <c r="F724" s="13" t="inlineStr">
        <is>
          <t>Rodrigo - Apoio as equipes</t>
        </is>
      </c>
      <c r="G724" s="7" t="n"/>
      <c r="H724" s="7" t="n"/>
      <c r="I724" s="7" t="n"/>
      <c r="J724" s="7" t="inlineStr">
        <is>
          <t>Guindauto</t>
        </is>
      </c>
      <c r="K724" s="7" t="inlineStr">
        <is>
          <t>Apoio</t>
        </is>
      </c>
      <c r="L724" s="16" t="inlineStr">
        <is>
          <t>PDS-Fevereiro(1).docx</t>
        </is>
      </c>
      <c r="M724">
        <f>IF($A724="","",TEXT($A724,"mmmm/yyyy"))</f>
        <v/>
      </c>
      <c r="P724">
        <f>IFERROR(_xludf.XLOOKUP($N724,Base_Enderecos!$A:$A,Base_Enderecos!$B:$B,""),"")</f>
        <v/>
      </c>
      <c r="Q724">
        <f>IFERROR(_xludf.XLOOKUP($N724,Base_Enderecos!$A:$A,Base_Enderecos!$C:$C,""),"")</f>
        <v/>
      </c>
      <c r="R724">
        <f>IF(OR(ISNUMBER(SEARCH("HDD",$F724)),ISNUMBER(SEARCH("MND",$F724)),ISNUMBER(SEARCH("PEAD",$F724)),ISNUMBER(SEARCH("Puxe",$J724)),ISNUMBER(SEARCH("Apoio HDD",$F724))),"MND",IF(OR(ISNUMBER(SEARCH("VCA",$F724)),ISNUMBER(SEARCH("PVC",$F724)),ISNUMBER(SEARCH("vca",$J724)),ISNUMBER(SEARCH("Transformação",$J724))),"VCA",IF(OR(ISNUMBER(SEARCH("crava",$F724)),ISNUMBER(SEARCH("tubo cravado",$F724)),ISNUMBER(SEARCH("shaft",$J724)),ISNUMBER(SEARCH("concreto",$F724))),"TUBO CRAVADO","")))</f>
        <v/>
      </c>
      <c r="T724">
        <f>IF($A724="","",TEXT($A724,"yyyymm")&amp;"|"&amp;$C724&amp;"|"&amp;$F724&amp;"|"&amp;$N724&amp;"|"&amp;$R724)</f>
        <v/>
      </c>
    </row>
    <row r="725" ht="11.55" customHeight="1">
      <c r="A725" s="10" t="n">
        <v>46058</v>
      </c>
      <c r="B725" s="7" t="inlineStr">
        <is>
          <t>Quinta</t>
        </is>
      </c>
      <c r="C725" s="7" t="inlineStr">
        <is>
          <t>Guindauto</t>
        </is>
      </c>
      <c r="D725" s="7" t="n"/>
      <c r="E725" s="7" t="inlineStr">
        <is>
          <t>Marcio</t>
        </is>
      </c>
      <c r="F725" s="13" t="inlineStr">
        <is>
          <t>Marcio - Apoio as equipes</t>
        </is>
      </c>
      <c r="G725" s="7" t="n"/>
      <c r="H725" s="7" t="n"/>
      <c r="I725" s="7" t="n"/>
      <c r="J725" s="7" t="inlineStr">
        <is>
          <t>Guindauto</t>
        </is>
      </c>
      <c r="K725" s="7" t="inlineStr">
        <is>
          <t>Apoio</t>
        </is>
      </c>
      <c r="L725" s="16" t="inlineStr">
        <is>
          <t>PDS-Fevereiro(1).docx</t>
        </is>
      </c>
      <c r="M725">
        <f>IF($A725="","",TEXT($A725,"mmmm/yyyy"))</f>
        <v/>
      </c>
      <c r="P725">
        <f>IFERROR(_xludf.XLOOKUP($N725,Base_Enderecos!$A:$A,Base_Enderecos!$B:$B,""),"")</f>
        <v/>
      </c>
      <c r="Q725">
        <f>IFERROR(_xludf.XLOOKUP($N725,Base_Enderecos!$A:$A,Base_Enderecos!$C:$C,""),"")</f>
        <v/>
      </c>
      <c r="R725">
        <f>IF(OR(ISNUMBER(SEARCH("HDD",$F725)),ISNUMBER(SEARCH("MND",$F725)),ISNUMBER(SEARCH("PEAD",$F725)),ISNUMBER(SEARCH("Puxe",$J725)),ISNUMBER(SEARCH("Apoio HDD",$F725))),"MND",IF(OR(ISNUMBER(SEARCH("VCA",$F725)),ISNUMBER(SEARCH("PVC",$F725)),ISNUMBER(SEARCH("vca",$J725)),ISNUMBER(SEARCH("Transformação",$J725))),"VCA",IF(OR(ISNUMBER(SEARCH("crava",$F725)),ISNUMBER(SEARCH("tubo cravado",$F725)),ISNUMBER(SEARCH("shaft",$J725)),ISNUMBER(SEARCH("concreto",$F725))),"TUBO CRAVADO","")))</f>
        <v/>
      </c>
      <c r="T725">
        <f>IF($A725="","",TEXT($A725,"yyyymm")&amp;"|"&amp;$C725&amp;"|"&amp;$F725&amp;"|"&amp;$N725&amp;"|"&amp;$R725)</f>
        <v/>
      </c>
    </row>
    <row r="726" ht="11.55" customHeight="1">
      <c r="A726" s="10" t="n">
        <v>46059</v>
      </c>
      <c r="B726" s="7" t="inlineStr">
        <is>
          <t>Sexta</t>
        </is>
      </c>
      <c r="C726" s="7" t="inlineStr">
        <is>
          <t>CT MAR DE CORAL</t>
        </is>
      </c>
      <c r="D726" s="7" t="inlineStr">
        <is>
          <t>LEANDRO e SILVESTRE</t>
        </is>
      </c>
      <c r="E726" s="7" t="inlineStr">
        <is>
          <t>Cidão</t>
        </is>
      </c>
      <c r="F726" s="13" t="inlineStr">
        <is>
          <t>Shaft PV 33</t>
        </is>
      </c>
      <c r="G726" s="7" t="inlineStr">
        <is>
          <t>33</t>
        </is>
      </c>
      <c r="H726" s="7" t="n"/>
      <c r="I726" s="7" t="inlineStr">
        <is>
          <t>33</t>
        </is>
      </c>
      <c r="J726" s="7" t="inlineStr">
        <is>
          <t>Shaft</t>
        </is>
      </c>
      <c r="K726" s="7" t="inlineStr">
        <is>
          <t>Planejamento</t>
        </is>
      </c>
      <c r="L726" s="16" t="inlineStr">
        <is>
          <t>PDS-Fevereiro(1).docx</t>
        </is>
      </c>
      <c r="M726">
        <f>IF($A726="","",TEXT($A726,"mmmm/yyyy"))</f>
        <v/>
      </c>
      <c r="P726">
        <f>IFERROR(_xludf.XLOOKUP($N726,Base_Enderecos!$A:$A,Base_Enderecos!$B:$B,""),"")</f>
        <v/>
      </c>
      <c r="Q726">
        <f>IFERROR(_xludf.XLOOKUP($N726,Base_Enderecos!$A:$A,Base_Enderecos!$C:$C,""),"")</f>
        <v/>
      </c>
      <c r="R726">
        <f>IF(OR(ISNUMBER(SEARCH("HDD",$F726)),ISNUMBER(SEARCH("MND",$F726)),ISNUMBER(SEARCH("PEAD",$F726)),ISNUMBER(SEARCH("Puxe",$J726)),ISNUMBER(SEARCH("Apoio HDD",$F726))),"MND",IF(OR(ISNUMBER(SEARCH("VCA",$F726)),ISNUMBER(SEARCH("PVC",$F726)),ISNUMBER(SEARCH("vca",$J726)),ISNUMBER(SEARCH("Transformação",$J726))),"VCA",IF(OR(ISNUMBER(SEARCH("crava",$F726)),ISNUMBER(SEARCH("tubo cravado",$F726)),ISNUMBER(SEARCH("shaft",$J726)),ISNUMBER(SEARCH("concreto",$F726))),"TUBO CRAVADO","")))</f>
        <v/>
      </c>
      <c r="T726">
        <f>IF($A726="","",TEXT($A726,"yyyymm")&amp;"|"&amp;$C726&amp;"|"&amp;$F726&amp;"|"&amp;$N726&amp;"|"&amp;$R726)</f>
        <v/>
      </c>
    </row>
    <row r="727" ht="11.55" customHeight="1">
      <c r="A727" s="10" t="n">
        <v>46059</v>
      </c>
      <c r="B727" s="7" t="inlineStr">
        <is>
          <t>Sexta</t>
        </is>
      </c>
      <c r="C727" s="7" t="inlineStr">
        <is>
          <t>CT MAR DE CORAL</t>
        </is>
      </c>
      <c r="D727" s="7" t="inlineStr">
        <is>
          <t>LEANDRO e SILVESTRE</t>
        </is>
      </c>
      <c r="E727" s="7" t="inlineStr">
        <is>
          <t>Valter</t>
        </is>
      </c>
      <c r="F727" s="13" t="inlineStr">
        <is>
          <t>Transformação PV 09</t>
        </is>
      </c>
      <c r="G727" s="7" t="inlineStr">
        <is>
          <t>09</t>
        </is>
      </c>
      <c r="H727" s="7" t="n"/>
      <c r="I727" s="7" t="inlineStr">
        <is>
          <t>09</t>
        </is>
      </c>
      <c r="J727" s="7" t="inlineStr">
        <is>
          <t>Transformação</t>
        </is>
      </c>
      <c r="K727" s="7" t="inlineStr">
        <is>
          <t>Planejamento</t>
        </is>
      </c>
      <c r="L727" s="16" t="inlineStr">
        <is>
          <t>PDS-Fevereiro(1).docx</t>
        </is>
      </c>
      <c r="M727">
        <f>IF($A727="","",TEXT($A727,"mmmm/yyyy"))</f>
        <v/>
      </c>
      <c r="P727">
        <f>IFERROR(_xludf.XLOOKUP($N727,Base_Enderecos!$A:$A,Base_Enderecos!$B:$B,""),"")</f>
        <v/>
      </c>
      <c r="Q727">
        <f>IFERROR(_xludf.XLOOKUP($N727,Base_Enderecos!$A:$A,Base_Enderecos!$C:$C,""),"")</f>
        <v/>
      </c>
      <c r="R727">
        <f>IF(OR(ISNUMBER(SEARCH("HDD",$F727)),ISNUMBER(SEARCH("MND",$F727)),ISNUMBER(SEARCH("PEAD",$F727)),ISNUMBER(SEARCH("Puxe",$J727)),ISNUMBER(SEARCH("Apoio HDD",$F727))),"MND",IF(OR(ISNUMBER(SEARCH("VCA",$F727)),ISNUMBER(SEARCH("PVC",$F727)),ISNUMBER(SEARCH("vca",$J727)),ISNUMBER(SEARCH("Transformação",$J727))),"VCA",IF(OR(ISNUMBER(SEARCH("crava",$F727)),ISNUMBER(SEARCH("tubo cravado",$F727)),ISNUMBER(SEARCH("shaft",$J727)),ISNUMBER(SEARCH("concreto",$F727))),"TUBO CRAVADO","")))</f>
        <v/>
      </c>
      <c r="T727">
        <f>IF($A727="","",TEXT($A727,"yyyymm")&amp;"|"&amp;$C727&amp;"|"&amp;$F727&amp;"|"&amp;$N727&amp;"|"&amp;$R727)</f>
        <v/>
      </c>
    </row>
    <row r="728" ht="11.55" customHeight="1">
      <c r="A728" s="10" t="n">
        <v>46059</v>
      </c>
      <c r="B728" s="7" t="inlineStr">
        <is>
          <t>Sexta</t>
        </is>
      </c>
      <c r="C728" s="7" t="inlineStr">
        <is>
          <t>CT MAR DE CORAL</t>
        </is>
      </c>
      <c r="D728" s="7" t="inlineStr">
        <is>
          <t>LEANDRO e SILVESTRE</t>
        </is>
      </c>
      <c r="E728" s="7" t="inlineStr">
        <is>
          <t>Work Drill</t>
        </is>
      </c>
      <c r="F728" s="13" t="inlineStr">
        <is>
          <t>Furo Piloto entre PVs 30 ao 33</t>
        </is>
      </c>
      <c r="G728" s="7" t="inlineStr">
        <is>
          <t>30</t>
        </is>
      </c>
      <c r="H728" s="7" t="n"/>
      <c r="I728" s="7" t="inlineStr">
        <is>
          <t>30</t>
        </is>
      </c>
      <c r="J728" s="7" t="inlineStr">
        <is>
          <t>Furo piloto</t>
        </is>
      </c>
      <c r="K728" s="7" t="inlineStr">
        <is>
          <t>Planejamento</t>
        </is>
      </c>
      <c r="L728" s="16" t="inlineStr">
        <is>
          <t>PDS-Fevereiro(1).docx</t>
        </is>
      </c>
      <c r="M728">
        <f>IF($A728="","",TEXT($A728,"mmmm/yyyy"))</f>
        <v/>
      </c>
      <c r="P728">
        <f>IFERROR(_xludf.XLOOKUP($N728,Base_Enderecos!$A:$A,Base_Enderecos!$B:$B,""),"")</f>
        <v/>
      </c>
      <c r="Q728">
        <f>IFERROR(_xludf.XLOOKUP($N728,Base_Enderecos!$A:$A,Base_Enderecos!$C:$C,""),"")</f>
        <v/>
      </c>
      <c r="R728">
        <f>IF(OR(ISNUMBER(SEARCH("HDD",$F728)),ISNUMBER(SEARCH("MND",$F728)),ISNUMBER(SEARCH("PEAD",$F728)),ISNUMBER(SEARCH("Puxe",$J728)),ISNUMBER(SEARCH("Apoio HDD",$F728))),"MND",IF(OR(ISNUMBER(SEARCH("VCA",$F728)),ISNUMBER(SEARCH("PVC",$F728)),ISNUMBER(SEARCH("vca",$J728)),ISNUMBER(SEARCH("Transformação",$J728))),"VCA",IF(OR(ISNUMBER(SEARCH("crava",$F728)),ISNUMBER(SEARCH("tubo cravado",$F728)),ISNUMBER(SEARCH("shaft",$J728)),ISNUMBER(SEARCH("concreto",$F728))),"TUBO CRAVADO","")))</f>
        <v/>
      </c>
      <c r="T728">
        <f>IF($A728="","",TEXT($A728,"yyyymm")&amp;"|"&amp;$C728&amp;"|"&amp;$F728&amp;"|"&amp;$N728&amp;"|"&amp;$R728)</f>
        <v/>
      </c>
    </row>
    <row r="729" ht="11.55" customHeight="1">
      <c r="A729" s="10" t="n">
        <v>46059</v>
      </c>
      <c r="B729" s="7" t="inlineStr">
        <is>
          <t>Sexta</t>
        </is>
      </c>
      <c r="C729" s="7" t="inlineStr">
        <is>
          <t>CT MAR DE CORAL</t>
        </is>
      </c>
      <c r="D729" s="7" t="inlineStr">
        <is>
          <t>LEANDRO e SILVESTRE</t>
        </is>
      </c>
      <c r="E729" s="7" t="inlineStr">
        <is>
          <t>Medeiros</t>
        </is>
      </c>
      <c r="F729" s="13" t="inlineStr">
        <is>
          <t>Apoio HDD entre os PVs 30 ao PV 33</t>
        </is>
      </c>
      <c r="G729" s="7" t="inlineStr">
        <is>
          <t>30</t>
        </is>
      </c>
      <c r="H729" s="7" t="inlineStr">
        <is>
          <t>33</t>
        </is>
      </c>
      <c r="I729" s="7" t="inlineStr">
        <is>
          <t>30, 33</t>
        </is>
      </c>
      <c r="J729" s="7" t="inlineStr">
        <is>
          <t>Apoio HDD</t>
        </is>
      </c>
      <c r="K729" s="7" t="inlineStr">
        <is>
          <t>Planejamento</t>
        </is>
      </c>
      <c r="L729" s="16" t="inlineStr">
        <is>
          <t>PDS-Fevereiro(1).docx</t>
        </is>
      </c>
      <c r="M729">
        <f>IF($A729="","",TEXT($A729,"mmmm/yyyy"))</f>
        <v/>
      </c>
      <c r="P729">
        <f>IFERROR(_xludf.XLOOKUP($N729,Base_Enderecos!$A:$A,Base_Enderecos!$B:$B,""),"")</f>
        <v/>
      </c>
      <c r="Q729">
        <f>IFERROR(_xludf.XLOOKUP($N729,Base_Enderecos!$A:$A,Base_Enderecos!$C:$C,""),"")</f>
        <v/>
      </c>
      <c r="R729">
        <f>IF(OR(ISNUMBER(SEARCH("HDD",$F729)),ISNUMBER(SEARCH("MND",$F729)),ISNUMBER(SEARCH("PEAD",$F729)),ISNUMBER(SEARCH("Puxe",$J729)),ISNUMBER(SEARCH("Apoio HDD",$F729))),"MND",IF(OR(ISNUMBER(SEARCH("VCA",$F729)),ISNUMBER(SEARCH("PVC",$F729)),ISNUMBER(SEARCH("vca",$J729)),ISNUMBER(SEARCH("Transformação",$J729))),"VCA",IF(OR(ISNUMBER(SEARCH("crava",$F729)),ISNUMBER(SEARCH("tubo cravado",$F729)),ISNUMBER(SEARCH("shaft",$J729)),ISNUMBER(SEARCH("concreto",$F729))),"TUBO CRAVADO","")))</f>
        <v/>
      </c>
      <c r="T729">
        <f>IF($A729="","",TEXT($A729,"yyyymm")&amp;"|"&amp;$C729&amp;"|"&amp;$F729&amp;"|"&amp;$N729&amp;"|"&amp;$R729)</f>
        <v/>
      </c>
    </row>
    <row r="730" ht="11.55" customHeight="1">
      <c r="A730" s="10" t="n">
        <v>46059</v>
      </c>
      <c r="B730" s="7" t="inlineStr">
        <is>
          <t>Sexta</t>
        </is>
      </c>
      <c r="C730" s="7" t="inlineStr">
        <is>
          <t>CT MAR DE CORAL</t>
        </is>
      </c>
      <c r="D730" s="7" t="inlineStr">
        <is>
          <t>LEANDRO e SILVESTRE</t>
        </is>
      </c>
      <c r="E730" s="7" t="inlineStr">
        <is>
          <t>WJ 01</t>
        </is>
      </c>
      <c r="F730" s="13" t="inlineStr">
        <is>
          <t>Puxe entre PVs 10 ao 13</t>
        </is>
      </c>
      <c r="G730" s="7" t="inlineStr">
        <is>
          <t>10</t>
        </is>
      </c>
      <c r="H730" s="7" t="n"/>
      <c r="I730" s="7" t="inlineStr">
        <is>
          <t>10</t>
        </is>
      </c>
      <c r="J730" s="7" t="inlineStr">
        <is>
          <t>Puxe</t>
        </is>
      </c>
      <c r="K730" s="7" t="inlineStr">
        <is>
          <t>Planejamento</t>
        </is>
      </c>
      <c r="L730" s="16" t="inlineStr">
        <is>
          <t>PDS-Fevereiro(1).docx</t>
        </is>
      </c>
      <c r="M730">
        <f>IF($A730="","",TEXT($A730,"mmmm/yyyy"))</f>
        <v/>
      </c>
      <c r="P730">
        <f>IFERROR(_xludf.XLOOKUP($N730,Base_Enderecos!$A:$A,Base_Enderecos!$B:$B,""),"")</f>
        <v/>
      </c>
      <c r="Q730">
        <f>IFERROR(_xludf.XLOOKUP($N730,Base_Enderecos!$A:$A,Base_Enderecos!$C:$C,""),"")</f>
        <v/>
      </c>
      <c r="R730">
        <f>IF(OR(ISNUMBER(SEARCH("HDD",$F730)),ISNUMBER(SEARCH("MND",$F730)),ISNUMBER(SEARCH("PEAD",$F730)),ISNUMBER(SEARCH("Puxe",$J730)),ISNUMBER(SEARCH("Apoio HDD",$F730))),"MND",IF(OR(ISNUMBER(SEARCH("VCA",$F730)),ISNUMBER(SEARCH("PVC",$F730)),ISNUMBER(SEARCH("vca",$J730)),ISNUMBER(SEARCH("Transformação",$J730))),"VCA",IF(OR(ISNUMBER(SEARCH("crava",$F730)),ISNUMBER(SEARCH("tubo cravado",$F730)),ISNUMBER(SEARCH("shaft",$J730)),ISNUMBER(SEARCH("concreto",$F730))),"TUBO CRAVADO","")))</f>
        <v/>
      </c>
      <c r="T730">
        <f>IF($A730="","",TEXT($A730,"yyyymm")&amp;"|"&amp;$C730&amp;"|"&amp;$F730&amp;"|"&amp;$N730&amp;"|"&amp;$R730)</f>
        <v/>
      </c>
    </row>
    <row r="731" ht="11.55" customHeight="1">
      <c r="A731" s="10" t="n">
        <v>46059</v>
      </c>
      <c r="B731" s="7" t="inlineStr">
        <is>
          <t>Sexta</t>
        </is>
      </c>
      <c r="C731" s="7" t="inlineStr">
        <is>
          <t>CT MAR DE CORAL</t>
        </is>
      </c>
      <c r="D731" s="7" t="inlineStr">
        <is>
          <t>LEANDRO e SILVESTRE</t>
        </is>
      </c>
      <c r="E731" s="7" t="inlineStr">
        <is>
          <t>Higor</t>
        </is>
      </c>
      <c r="F731" s="13" t="inlineStr">
        <is>
          <t>Apoio HDD entre PVs 10 ao 13</t>
        </is>
      </c>
      <c r="G731" s="7" t="inlineStr">
        <is>
          <t>10</t>
        </is>
      </c>
      <c r="H731" s="7" t="n"/>
      <c r="I731" s="7" t="inlineStr">
        <is>
          <t>10</t>
        </is>
      </c>
      <c r="J731" s="7" t="inlineStr">
        <is>
          <t>Apoio HDD</t>
        </is>
      </c>
      <c r="K731" s="7" t="inlineStr">
        <is>
          <t>Planejamento</t>
        </is>
      </c>
      <c r="L731" s="16" t="inlineStr">
        <is>
          <t>PDS-Fevereiro(1).docx</t>
        </is>
      </c>
      <c r="M731">
        <f>IF($A731="","",TEXT($A731,"mmmm/yyyy"))</f>
        <v/>
      </c>
      <c r="P731">
        <f>IFERROR(_xludf.XLOOKUP($N731,Base_Enderecos!$A:$A,Base_Enderecos!$B:$B,""),"")</f>
        <v/>
      </c>
      <c r="Q731">
        <f>IFERROR(_xludf.XLOOKUP($N731,Base_Enderecos!$A:$A,Base_Enderecos!$C:$C,""),"")</f>
        <v/>
      </c>
      <c r="R731">
        <f>IF(OR(ISNUMBER(SEARCH("HDD",$F731)),ISNUMBER(SEARCH("MND",$F731)),ISNUMBER(SEARCH("PEAD",$F731)),ISNUMBER(SEARCH("Puxe",$J731)),ISNUMBER(SEARCH("Apoio HDD",$F731))),"MND",IF(OR(ISNUMBER(SEARCH("VCA",$F731)),ISNUMBER(SEARCH("PVC",$F731)),ISNUMBER(SEARCH("vca",$J731)),ISNUMBER(SEARCH("Transformação",$J731))),"VCA",IF(OR(ISNUMBER(SEARCH("crava",$F731)),ISNUMBER(SEARCH("tubo cravado",$F731)),ISNUMBER(SEARCH("shaft",$J731)),ISNUMBER(SEARCH("concreto",$F731))),"TUBO CRAVADO","")))</f>
        <v/>
      </c>
      <c r="T731">
        <f>IF($A731="","",TEXT($A731,"yyyymm")&amp;"|"&amp;$C731&amp;"|"&amp;$F731&amp;"|"&amp;$N731&amp;"|"&amp;$R731)</f>
        <v/>
      </c>
    </row>
    <row r="732" ht="11.55" customHeight="1">
      <c r="A732" s="10" t="n">
        <v>46059</v>
      </c>
      <c r="B732" s="7" t="inlineStr">
        <is>
          <t>Sexta</t>
        </is>
      </c>
      <c r="C732" s="7" t="inlineStr">
        <is>
          <t>CT MAR DE CORAL</t>
        </is>
      </c>
      <c r="D732" s="7" t="inlineStr">
        <is>
          <t>LEANDRO e SILVESTRE</t>
        </is>
      </c>
      <c r="E732" s="7" t="inlineStr">
        <is>
          <t>Sergio</t>
        </is>
      </c>
      <c r="F732" s="13" t="inlineStr">
        <is>
          <t>Transformação PV 23</t>
        </is>
      </c>
      <c r="G732" s="7" t="inlineStr">
        <is>
          <t>23</t>
        </is>
      </c>
      <c r="H732" s="7" t="n"/>
      <c r="I732" s="7" t="inlineStr">
        <is>
          <t>23</t>
        </is>
      </c>
      <c r="J732" s="7" t="inlineStr">
        <is>
          <t>Transformação</t>
        </is>
      </c>
      <c r="K732" s="7" t="inlineStr">
        <is>
          <t>Planejamento</t>
        </is>
      </c>
      <c r="L732" s="16" t="inlineStr">
        <is>
          <t>PDS-Fevereiro(1).docx</t>
        </is>
      </c>
      <c r="M732">
        <f>IF($A732="","",TEXT($A732,"mmmm/yyyy"))</f>
        <v/>
      </c>
      <c r="P732">
        <f>IFERROR(_xludf.XLOOKUP($N732,Base_Enderecos!$A:$A,Base_Enderecos!$B:$B,""),"")</f>
        <v/>
      </c>
      <c r="Q732">
        <f>IFERROR(_xludf.XLOOKUP($N732,Base_Enderecos!$A:$A,Base_Enderecos!$C:$C,""),"")</f>
        <v/>
      </c>
      <c r="R732">
        <f>IF(OR(ISNUMBER(SEARCH("HDD",$F732)),ISNUMBER(SEARCH("MND",$F732)),ISNUMBER(SEARCH("PEAD",$F732)),ISNUMBER(SEARCH("Puxe",$J732)),ISNUMBER(SEARCH("Apoio HDD",$F732))),"MND",IF(OR(ISNUMBER(SEARCH("VCA",$F732)),ISNUMBER(SEARCH("PVC",$F732)),ISNUMBER(SEARCH("vca",$J732)),ISNUMBER(SEARCH("Transformação",$J732))),"VCA",IF(OR(ISNUMBER(SEARCH("crava",$F732)),ISNUMBER(SEARCH("tubo cravado",$F732)),ISNUMBER(SEARCH("shaft",$J732)),ISNUMBER(SEARCH("concreto",$F732))),"TUBO CRAVADO","")))</f>
        <v/>
      </c>
      <c r="T732">
        <f>IF($A732="","",TEXT($A732,"yyyymm")&amp;"|"&amp;$C732&amp;"|"&amp;$F732&amp;"|"&amp;$N732&amp;"|"&amp;$R732)</f>
        <v/>
      </c>
    </row>
    <row r="733" ht="11.55" customHeight="1">
      <c r="A733" s="10" t="n">
        <v>46059</v>
      </c>
      <c r="B733" s="7" t="inlineStr">
        <is>
          <t>Sexta</t>
        </is>
      </c>
      <c r="C733" s="7" t="inlineStr">
        <is>
          <t>CT MAR DE CORAL</t>
        </is>
      </c>
      <c r="D733" s="7" t="inlineStr">
        <is>
          <t>LEANDRO e SILVESTRE</t>
        </is>
      </c>
      <c r="E733" s="7" t="inlineStr">
        <is>
          <t>Carlos</t>
        </is>
      </c>
      <c r="F733" s="13" t="inlineStr">
        <is>
          <t>Transformação PV 22</t>
        </is>
      </c>
      <c r="G733" s="7" t="inlineStr">
        <is>
          <t>22</t>
        </is>
      </c>
      <c r="H733" s="7" t="n"/>
      <c r="I733" s="7" t="inlineStr">
        <is>
          <t>22</t>
        </is>
      </c>
      <c r="J733" s="7" t="inlineStr">
        <is>
          <t>Transformação</t>
        </is>
      </c>
      <c r="K733" s="7" t="inlineStr">
        <is>
          <t>Planejamento</t>
        </is>
      </c>
      <c r="L733" s="16" t="inlineStr">
        <is>
          <t>PDS-Fevereiro(1).docx</t>
        </is>
      </c>
      <c r="M733">
        <f>IF($A733="","",TEXT($A733,"mmmm/yyyy"))</f>
        <v/>
      </c>
      <c r="P733">
        <f>IFERROR(_xludf.XLOOKUP($N733,Base_Enderecos!$A:$A,Base_Enderecos!$B:$B,""),"")</f>
        <v/>
      </c>
      <c r="Q733">
        <f>IFERROR(_xludf.XLOOKUP($N733,Base_Enderecos!$A:$A,Base_Enderecos!$C:$C,""),"")</f>
        <v/>
      </c>
      <c r="R733">
        <f>IF(OR(ISNUMBER(SEARCH("HDD",$F733)),ISNUMBER(SEARCH("MND",$F733)),ISNUMBER(SEARCH("PEAD",$F733)),ISNUMBER(SEARCH("Puxe",$J733)),ISNUMBER(SEARCH("Apoio HDD",$F733))),"MND",IF(OR(ISNUMBER(SEARCH("VCA",$F733)),ISNUMBER(SEARCH("PVC",$F733)),ISNUMBER(SEARCH("vca",$J733)),ISNUMBER(SEARCH("Transformação",$J733))),"VCA",IF(OR(ISNUMBER(SEARCH("crava",$F733)),ISNUMBER(SEARCH("tubo cravado",$F733)),ISNUMBER(SEARCH("shaft",$J733)),ISNUMBER(SEARCH("concreto",$F733))),"TUBO CRAVADO","")))</f>
        <v/>
      </c>
      <c r="T733">
        <f>IF($A733="","",TEXT($A733,"yyyymm")&amp;"|"&amp;$C733&amp;"|"&amp;$F733&amp;"|"&amp;$N733&amp;"|"&amp;$R733)</f>
        <v/>
      </c>
    </row>
    <row r="734" ht="11.55" customHeight="1">
      <c r="A734" s="10" t="n">
        <v>46059</v>
      </c>
      <c r="B734" s="7" t="inlineStr">
        <is>
          <t>Sexta</t>
        </is>
      </c>
      <c r="C734" s="7" t="inlineStr">
        <is>
          <t>CT LOURDES</t>
        </is>
      </c>
      <c r="D734" s="7" t="inlineStr">
        <is>
          <t>ROBSON</t>
        </is>
      </c>
      <c r="E734" s="7" t="inlineStr">
        <is>
          <t>Edvando</t>
        </is>
      </c>
      <c r="F734" s="13" t="inlineStr">
        <is>
          <t>Transformação PV 18</t>
        </is>
      </c>
      <c r="G734" s="7" t="inlineStr">
        <is>
          <t>18</t>
        </is>
      </c>
      <c r="H734" s="7" t="n"/>
      <c r="I734" s="7" t="inlineStr">
        <is>
          <t>18</t>
        </is>
      </c>
      <c r="J734" s="7" t="inlineStr">
        <is>
          <t>Transformação</t>
        </is>
      </c>
      <c r="K734" s="7" t="inlineStr">
        <is>
          <t>Planejamento</t>
        </is>
      </c>
      <c r="L734" s="16" t="inlineStr">
        <is>
          <t>PDS-Fevereiro(1).docx</t>
        </is>
      </c>
      <c r="M734">
        <f>IF($A734="","",TEXT($A734,"mmmm/yyyy"))</f>
        <v/>
      </c>
      <c r="P734">
        <f>IFERROR(_xludf.XLOOKUP($N734,Base_Enderecos!$A:$A,Base_Enderecos!$B:$B,""),"")</f>
        <v/>
      </c>
      <c r="Q734">
        <f>IFERROR(_xludf.XLOOKUP($N734,Base_Enderecos!$A:$A,Base_Enderecos!$C:$C,""),"")</f>
        <v/>
      </c>
      <c r="R734">
        <f>IF(OR(ISNUMBER(SEARCH("HDD",$F734)),ISNUMBER(SEARCH("MND",$F734)),ISNUMBER(SEARCH("PEAD",$F734)),ISNUMBER(SEARCH("Puxe",$J734)),ISNUMBER(SEARCH("Apoio HDD",$F734))),"MND",IF(OR(ISNUMBER(SEARCH("VCA",$F734)),ISNUMBER(SEARCH("PVC",$F734)),ISNUMBER(SEARCH("vca",$J734)),ISNUMBER(SEARCH("Transformação",$J734))),"VCA",IF(OR(ISNUMBER(SEARCH("crava",$F734)),ISNUMBER(SEARCH("tubo cravado",$F734)),ISNUMBER(SEARCH("shaft",$J734)),ISNUMBER(SEARCH("concreto",$F734))),"TUBO CRAVADO","")))</f>
        <v/>
      </c>
      <c r="T734">
        <f>IF($A734="","",TEXT($A734,"yyyymm")&amp;"|"&amp;$C734&amp;"|"&amp;$F734&amp;"|"&amp;$N734&amp;"|"&amp;$R734)</f>
        <v/>
      </c>
    </row>
    <row r="735" ht="11.55" customHeight="1">
      <c r="A735" s="10" t="n">
        <v>46059</v>
      </c>
      <c r="B735" s="7" t="inlineStr">
        <is>
          <t>Sexta</t>
        </is>
      </c>
      <c r="C735" s="7" t="inlineStr">
        <is>
          <t>CT ÁGUA VERMELHA M.D</t>
        </is>
      </c>
      <c r="D735" s="7" t="inlineStr">
        <is>
          <t>CAROLINE e FÁBIO</t>
        </is>
      </c>
      <c r="E735" s="7" t="inlineStr">
        <is>
          <t>Marcelo</t>
        </is>
      </c>
      <c r="F735" s="13" t="inlineStr">
        <is>
          <t>Shaft PV 06</t>
        </is>
      </c>
      <c r="G735" s="7" t="inlineStr">
        <is>
          <t>06</t>
        </is>
      </c>
      <c r="H735" s="7" t="n"/>
      <c r="I735" s="7" t="inlineStr">
        <is>
          <t>06</t>
        </is>
      </c>
      <c r="J735" s="7" t="inlineStr">
        <is>
          <t>Shaft</t>
        </is>
      </c>
      <c r="K735" s="7" t="inlineStr">
        <is>
          <t>Planejamento</t>
        </is>
      </c>
      <c r="L735" s="16" t="inlineStr">
        <is>
          <t>PDS-Fevereiro(1).docx</t>
        </is>
      </c>
      <c r="M735">
        <f>IF($A735="","",TEXT($A735,"mmmm/yyyy"))</f>
        <v/>
      </c>
      <c r="P735">
        <f>IFERROR(_xludf.XLOOKUP($N735,Base_Enderecos!$A:$A,Base_Enderecos!$B:$B,""),"")</f>
        <v/>
      </c>
      <c r="Q735">
        <f>IFERROR(_xludf.XLOOKUP($N735,Base_Enderecos!$A:$A,Base_Enderecos!$C:$C,""),"")</f>
        <v/>
      </c>
      <c r="R735">
        <f>IF(OR(ISNUMBER(SEARCH("HDD",$F735)),ISNUMBER(SEARCH("MND",$F735)),ISNUMBER(SEARCH("PEAD",$F735)),ISNUMBER(SEARCH("Puxe",$J735)),ISNUMBER(SEARCH("Apoio HDD",$F735))),"MND",IF(OR(ISNUMBER(SEARCH("VCA",$F735)),ISNUMBER(SEARCH("PVC",$F735)),ISNUMBER(SEARCH("vca",$J735)),ISNUMBER(SEARCH("Transformação",$J735))),"VCA",IF(OR(ISNUMBER(SEARCH("crava",$F735)),ISNUMBER(SEARCH("tubo cravado",$F735)),ISNUMBER(SEARCH("shaft",$J735)),ISNUMBER(SEARCH("concreto",$F735))),"TUBO CRAVADO","")))</f>
        <v/>
      </c>
      <c r="T735">
        <f>IF($A735="","",TEXT($A735,"yyyymm")&amp;"|"&amp;$C735&amp;"|"&amp;$F735&amp;"|"&amp;$N735&amp;"|"&amp;$R735)</f>
        <v/>
      </c>
    </row>
    <row r="736" ht="11.55" customHeight="1">
      <c r="A736" s="10" t="n">
        <v>46059</v>
      </c>
      <c r="B736" s="7" t="inlineStr">
        <is>
          <t>Sexta</t>
        </is>
      </c>
      <c r="C736" s="7" t="inlineStr">
        <is>
          <t>CT ÁGUA VERMELHA M.D</t>
        </is>
      </c>
      <c r="D736" s="7" t="inlineStr">
        <is>
          <t>CAROLINE e FÁBIO</t>
        </is>
      </c>
      <c r="E736" s="7" t="inlineStr">
        <is>
          <t>Cesar</t>
        </is>
      </c>
      <c r="F736" s="13" t="inlineStr">
        <is>
          <t>Shaft PV 05</t>
        </is>
      </c>
      <c r="G736" s="7" t="inlineStr">
        <is>
          <t>05</t>
        </is>
      </c>
      <c r="H736" s="7" t="n"/>
      <c r="I736" s="7" t="inlineStr">
        <is>
          <t>05</t>
        </is>
      </c>
      <c r="J736" s="7" t="inlineStr">
        <is>
          <t>Shaft</t>
        </is>
      </c>
      <c r="K736" s="7" t="inlineStr">
        <is>
          <t>Planejamento</t>
        </is>
      </c>
      <c r="L736" s="16" t="inlineStr">
        <is>
          <t>PDS-Fevereiro(1).docx</t>
        </is>
      </c>
      <c r="M736">
        <f>IF($A736="","",TEXT($A736,"mmmm/yyyy"))</f>
        <v/>
      </c>
      <c r="P736">
        <f>IFERROR(_xludf.XLOOKUP($N736,Base_Enderecos!$A:$A,Base_Enderecos!$B:$B,""),"")</f>
        <v/>
      </c>
      <c r="Q736">
        <f>IFERROR(_xludf.XLOOKUP($N736,Base_Enderecos!$A:$A,Base_Enderecos!$C:$C,""),"")</f>
        <v/>
      </c>
      <c r="R736">
        <f>IF(OR(ISNUMBER(SEARCH("HDD",$F736)),ISNUMBER(SEARCH("MND",$F736)),ISNUMBER(SEARCH("PEAD",$F736)),ISNUMBER(SEARCH("Puxe",$J736)),ISNUMBER(SEARCH("Apoio HDD",$F736))),"MND",IF(OR(ISNUMBER(SEARCH("VCA",$F736)),ISNUMBER(SEARCH("PVC",$F736)),ISNUMBER(SEARCH("vca",$J736)),ISNUMBER(SEARCH("Transformação",$J736))),"VCA",IF(OR(ISNUMBER(SEARCH("crava",$F736)),ISNUMBER(SEARCH("tubo cravado",$F736)),ISNUMBER(SEARCH("shaft",$J736)),ISNUMBER(SEARCH("concreto",$F736))),"TUBO CRAVADO","")))</f>
        <v/>
      </c>
      <c r="T736">
        <f>IF($A736="","",TEXT($A736,"yyyymm")&amp;"|"&amp;$C736&amp;"|"&amp;$F736&amp;"|"&amp;$N736&amp;"|"&amp;$R736)</f>
        <v/>
      </c>
    </row>
    <row r="737" ht="11.55" customHeight="1">
      <c r="A737" s="10" t="n">
        <v>46059</v>
      </c>
      <c r="B737" s="7" t="inlineStr">
        <is>
          <t>Sexta</t>
        </is>
      </c>
      <c r="C737" s="7" t="inlineStr">
        <is>
          <t>CT ÁGUA VERMELHA M.D</t>
        </is>
      </c>
      <c r="D737" s="7" t="inlineStr">
        <is>
          <t>CAROLINE e FÁBIO</t>
        </is>
      </c>
      <c r="E737" s="7" t="inlineStr">
        <is>
          <t>Reinaldo</t>
        </is>
      </c>
      <c r="F737" s="13" t="inlineStr">
        <is>
          <t>Furo Piloto e Puxe PVE e PV02</t>
        </is>
      </c>
      <c r="G737" s="7" t="inlineStr">
        <is>
          <t>02</t>
        </is>
      </c>
      <c r="H737" s="7" t="n"/>
      <c r="I737" s="7" t="inlineStr">
        <is>
          <t>02</t>
        </is>
      </c>
      <c r="J737" s="7" t="inlineStr">
        <is>
          <t>Furo piloto</t>
        </is>
      </c>
      <c r="K737" s="7" t="inlineStr">
        <is>
          <t>Planejamento</t>
        </is>
      </c>
      <c r="L737" s="16" t="inlineStr">
        <is>
          <t>PDS-Fevereiro(1).docx</t>
        </is>
      </c>
      <c r="M737">
        <f>IF($A737="","",TEXT($A737,"mmmm/yyyy"))</f>
        <v/>
      </c>
      <c r="P737">
        <f>IFERROR(_xludf.XLOOKUP($N737,Base_Enderecos!$A:$A,Base_Enderecos!$B:$B,""),"")</f>
        <v/>
      </c>
      <c r="Q737">
        <f>IFERROR(_xludf.XLOOKUP($N737,Base_Enderecos!$A:$A,Base_Enderecos!$C:$C,""),"")</f>
        <v/>
      </c>
      <c r="R737">
        <f>IF(OR(ISNUMBER(SEARCH("HDD",$F737)),ISNUMBER(SEARCH("MND",$F737)),ISNUMBER(SEARCH("PEAD",$F737)),ISNUMBER(SEARCH("Puxe",$J737)),ISNUMBER(SEARCH("Apoio HDD",$F737))),"MND",IF(OR(ISNUMBER(SEARCH("VCA",$F737)),ISNUMBER(SEARCH("PVC",$F737)),ISNUMBER(SEARCH("vca",$J737)),ISNUMBER(SEARCH("Transformação",$J737))),"VCA",IF(OR(ISNUMBER(SEARCH("crava",$F737)),ISNUMBER(SEARCH("tubo cravado",$F737)),ISNUMBER(SEARCH("shaft",$J737)),ISNUMBER(SEARCH("concreto",$F737))),"TUBO CRAVADO","")))</f>
        <v/>
      </c>
      <c r="T737">
        <f>IF($A737="","",TEXT($A737,"yyyymm")&amp;"|"&amp;$C737&amp;"|"&amp;$F737&amp;"|"&amp;$N737&amp;"|"&amp;$R737)</f>
        <v/>
      </c>
    </row>
    <row r="738" ht="11.55" customHeight="1">
      <c r="A738" s="10" t="n">
        <v>46059</v>
      </c>
      <c r="B738" s="7" t="inlineStr">
        <is>
          <t>Sexta</t>
        </is>
      </c>
      <c r="C738" s="7" t="inlineStr">
        <is>
          <t>CT ÁGUA VERMELHA M.D</t>
        </is>
      </c>
      <c r="D738" s="7" t="inlineStr">
        <is>
          <t>CAROLINE e FÁBIO</t>
        </is>
      </c>
      <c r="E738" s="7" t="inlineStr">
        <is>
          <t>Jonathan</t>
        </is>
      </c>
      <c r="F738" s="13" t="inlineStr">
        <is>
          <t>Apoio HDD entre PVE e PV02</t>
        </is>
      </c>
      <c r="G738" s="7" t="inlineStr">
        <is>
          <t>02</t>
        </is>
      </c>
      <c r="H738" s="7" t="n"/>
      <c r="I738" s="7" t="inlineStr">
        <is>
          <t>02</t>
        </is>
      </c>
      <c r="J738" s="7" t="inlineStr">
        <is>
          <t>Apoio HDD</t>
        </is>
      </c>
      <c r="K738" s="7" t="inlineStr">
        <is>
          <t>Planejamento</t>
        </is>
      </c>
      <c r="L738" s="16" t="inlineStr">
        <is>
          <t>PDS-Fevereiro(1).docx</t>
        </is>
      </c>
      <c r="M738">
        <f>IF($A738="","",TEXT($A738,"mmmm/yyyy"))</f>
        <v/>
      </c>
      <c r="P738">
        <f>IFERROR(_xludf.XLOOKUP($N738,Base_Enderecos!$A:$A,Base_Enderecos!$B:$B,""),"")</f>
        <v/>
      </c>
      <c r="Q738">
        <f>IFERROR(_xludf.XLOOKUP($N738,Base_Enderecos!$A:$A,Base_Enderecos!$C:$C,""),"")</f>
        <v/>
      </c>
      <c r="R738">
        <f>IF(OR(ISNUMBER(SEARCH("HDD",$F738)),ISNUMBER(SEARCH("MND",$F738)),ISNUMBER(SEARCH("PEAD",$F738)),ISNUMBER(SEARCH("Puxe",$J738)),ISNUMBER(SEARCH("Apoio HDD",$F738))),"MND",IF(OR(ISNUMBER(SEARCH("VCA",$F738)),ISNUMBER(SEARCH("PVC",$F738)),ISNUMBER(SEARCH("vca",$J738)),ISNUMBER(SEARCH("Transformação",$J738))),"VCA",IF(OR(ISNUMBER(SEARCH("crava",$F738)),ISNUMBER(SEARCH("tubo cravado",$F738)),ISNUMBER(SEARCH("shaft",$J738)),ISNUMBER(SEARCH("concreto",$F738))),"TUBO CRAVADO","")))</f>
        <v/>
      </c>
      <c r="T738">
        <f>IF($A738="","",TEXT($A738,"yyyymm")&amp;"|"&amp;$C738&amp;"|"&amp;$F738&amp;"|"&amp;$N738&amp;"|"&amp;$R738)</f>
        <v/>
      </c>
    </row>
    <row r="739" ht="11.55" customHeight="1">
      <c r="A739" s="10" t="n">
        <v>46059</v>
      </c>
      <c r="B739" s="7" t="inlineStr">
        <is>
          <t>Sexta</t>
        </is>
      </c>
      <c r="C739" s="7" t="inlineStr">
        <is>
          <t>RCE ARARIBA</t>
        </is>
      </c>
      <c r="D739" s="7" t="inlineStr">
        <is>
          <t>ELOÍZIO</t>
        </is>
      </c>
      <c r="E739" s="7" t="inlineStr">
        <is>
          <t>WJ - 02</t>
        </is>
      </c>
      <c r="F739" s="13" t="inlineStr">
        <is>
          <t>Furo piloto entre PVs 10 ao 13</t>
        </is>
      </c>
      <c r="G739" s="7" t="inlineStr">
        <is>
          <t>10</t>
        </is>
      </c>
      <c r="H739" s="7" t="n"/>
      <c r="I739" s="7" t="inlineStr">
        <is>
          <t>10</t>
        </is>
      </c>
      <c r="J739" s="7" t="inlineStr">
        <is>
          <t>Furo piloto</t>
        </is>
      </c>
      <c r="K739" s="7" t="inlineStr">
        <is>
          <t>Planejamento</t>
        </is>
      </c>
      <c r="L739" s="16" t="inlineStr">
        <is>
          <t>PDS-Fevereiro(1).docx</t>
        </is>
      </c>
      <c r="M739">
        <f>IF($A739="","",TEXT($A739,"mmmm/yyyy"))</f>
        <v/>
      </c>
      <c r="P739">
        <f>IFERROR(_xludf.XLOOKUP($N739,Base_Enderecos!$A:$A,Base_Enderecos!$B:$B,""),"")</f>
        <v/>
      </c>
      <c r="Q739">
        <f>IFERROR(_xludf.XLOOKUP($N739,Base_Enderecos!$A:$A,Base_Enderecos!$C:$C,""),"")</f>
        <v/>
      </c>
      <c r="R739">
        <f>IF(OR(ISNUMBER(SEARCH("HDD",$F739)),ISNUMBER(SEARCH("MND",$F739)),ISNUMBER(SEARCH("PEAD",$F739)),ISNUMBER(SEARCH("Puxe",$J739)),ISNUMBER(SEARCH("Apoio HDD",$F739))),"MND",IF(OR(ISNUMBER(SEARCH("VCA",$F739)),ISNUMBER(SEARCH("PVC",$F739)),ISNUMBER(SEARCH("vca",$J739)),ISNUMBER(SEARCH("Transformação",$J739))),"VCA",IF(OR(ISNUMBER(SEARCH("crava",$F739)),ISNUMBER(SEARCH("tubo cravado",$F739)),ISNUMBER(SEARCH("shaft",$J739)),ISNUMBER(SEARCH("concreto",$F739))),"TUBO CRAVADO","")))</f>
        <v/>
      </c>
      <c r="T739">
        <f>IF($A739="","",TEXT($A739,"yyyymm")&amp;"|"&amp;$C739&amp;"|"&amp;$F739&amp;"|"&amp;$N739&amp;"|"&amp;$R739)</f>
        <v/>
      </c>
    </row>
    <row r="740" ht="11.55" customHeight="1">
      <c r="A740" s="10" t="n">
        <v>46059</v>
      </c>
      <c r="B740" s="7" t="inlineStr">
        <is>
          <t>Sexta</t>
        </is>
      </c>
      <c r="C740" s="7" t="inlineStr">
        <is>
          <t>RCE ARARIBA</t>
        </is>
      </c>
      <c r="D740" s="7" t="inlineStr">
        <is>
          <t>ELOÍZIO</t>
        </is>
      </c>
      <c r="E740" s="7" t="inlineStr">
        <is>
          <t>Natalino</t>
        </is>
      </c>
      <c r="F740" s="13" t="inlineStr">
        <is>
          <t>Apoio HDD PV 10 ao 13</t>
        </is>
      </c>
      <c r="G740" s="7" t="inlineStr">
        <is>
          <t>10</t>
        </is>
      </c>
      <c r="H740" s="7" t="n"/>
      <c r="I740" s="7" t="inlineStr">
        <is>
          <t>10</t>
        </is>
      </c>
      <c r="J740" s="7" t="inlineStr">
        <is>
          <t>Apoio HDD</t>
        </is>
      </c>
      <c r="K740" s="7" t="inlineStr">
        <is>
          <t>Planejamento</t>
        </is>
      </c>
      <c r="L740" s="16" t="inlineStr">
        <is>
          <t>PDS-Fevereiro(1).docx</t>
        </is>
      </c>
      <c r="M740">
        <f>IF($A740="","",TEXT($A740,"mmmm/yyyy"))</f>
        <v/>
      </c>
      <c r="P740">
        <f>IFERROR(_xludf.XLOOKUP($N740,Base_Enderecos!$A:$A,Base_Enderecos!$B:$B,""),"")</f>
        <v/>
      </c>
      <c r="Q740">
        <f>IFERROR(_xludf.XLOOKUP($N740,Base_Enderecos!$A:$A,Base_Enderecos!$C:$C,""),"")</f>
        <v/>
      </c>
      <c r="R740">
        <f>IF(OR(ISNUMBER(SEARCH("HDD",$F740)),ISNUMBER(SEARCH("MND",$F740)),ISNUMBER(SEARCH("PEAD",$F740)),ISNUMBER(SEARCH("Puxe",$J740)),ISNUMBER(SEARCH("Apoio HDD",$F740))),"MND",IF(OR(ISNUMBER(SEARCH("VCA",$F740)),ISNUMBER(SEARCH("PVC",$F740)),ISNUMBER(SEARCH("vca",$J740)),ISNUMBER(SEARCH("Transformação",$J740))),"VCA",IF(OR(ISNUMBER(SEARCH("crava",$F740)),ISNUMBER(SEARCH("tubo cravado",$F740)),ISNUMBER(SEARCH("shaft",$J740)),ISNUMBER(SEARCH("concreto",$F740))),"TUBO CRAVADO","")))</f>
        <v/>
      </c>
      <c r="T740">
        <f>IF($A740="","",TEXT($A740,"yyyymm")&amp;"|"&amp;$C740&amp;"|"&amp;$F740&amp;"|"&amp;$N740&amp;"|"&amp;$R740)</f>
        <v/>
      </c>
    </row>
    <row r="741" ht="11.55" customHeight="1">
      <c r="A741" s="10" t="n">
        <v>46059</v>
      </c>
      <c r="B741" s="7" t="inlineStr">
        <is>
          <t>Sexta</t>
        </is>
      </c>
      <c r="C741" s="7" t="inlineStr">
        <is>
          <t>RCE ARARIBA</t>
        </is>
      </c>
      <c r="D741" s="7" t="inlineStr">
        <is>
          <t>ELOÍZIO</t>
        </is>
      </c>
      <c r="E741" s="7" t="inlineStr">
        <is>
          <t>Paulo</t>
        </is>
      </c>
      <c r="F741" s="13" t="inlineStr">
        <is>
          <t>Transformação PV 09</t>
        </is>
      </c>
      <c r="G741" s="7" t="inlineStr">
        <is>
          <t>09</t>
        </is>
      </c>
      <c r="H741" s="7" t="n"/>
      <c r="I741" s="7" t="inlineStr">
        <is>
          <t>09</t>
        </is>
      </c>
      <c r="J741" s="7" t="inlineStr">
        <is>
          <t>Transformação</t>
        </is>
      </c>
      <c r="K741" s="7" t="inlineStr">
        <is>
          <t>Planejamento</t>
        </is>
      </c>
      <c r="L741" s="16" t="inlineStr">
        <is>
          <t>PDS-Fevereiro(1).docx</t>
        </is>
      </c>
      <c r="M741">
        <f>IF($A741="","",TEXT($A741,"mmmm/yyyy"))</f>
        <v/>
      </c>
      <c r="P741">
        <f>IFERROR(_xludf.XLOOKUP($N741,Base_Enderecos!$A:$A,Base_Enderecos!$B:$B,""),"")</f>
        <v/>
      </c>
      <c r="Q741">
        <f>IFERROR(_xludf.XLOOKUP($N741,Base_Enderecos!$A:$A,Base_Enderecos!$C:$C,""),"")</f>
        <v/>
      </c>
      <c r="R741">
        <f>IF(OR(ISNUMBER(SEARCH("HDD",$F741)),ISNUMBER(SEARCH("MND",$F741)),ISNUMBER(SEARCH("PEAD",$F741)),ISNUMBER(SEARCH("Puxe",$J741)),ISNUMBER(SEARCH("Apoio HDD",$F741))),"MND",IF(OR(ISNUMBER(SEARCH("VCA",$F741)),ISNUMBER(SEARCH("PVC",$F741)),ISNUMBER(SEARCH("vca",$J741)),ISNUMBER(SEARCH("Transformação",$J741))),"VCA",IF(OR(ISNUMBER(SEARCH("crava",$F741)),ISNUMBER(SEARCH("tubo cravado",$F741)),ISNUMBER(SEARCH("shaft",$J741)),ISNUMBER(SEARCH("concreto",$F741))),"TUBO CRAVADO","")))</f>
        <v/>
      </c>
      <c r="T741">
        <f>IF($A741="","",TEXT($A741,"yyyymm")&amp;"|"&amp;$C741&amp;"|"&amp;$F741&amp;"|"&amp;$N741&amp;"|"&amp;$R741)</f>
        <v/>
      </c>
    </row>
    <row r="742" ht="11.55" customHeight="1">
      <c r="A742" s="10" t="n">
        <v>46059</v>
      </c>
      <c r="B742" s="7" t="inlineStr">
        <is>
          <t>Sexta</t>
        </is>
      </c>
      <c r="C742" s="7" t="inlineStr">
        <is>
          <t>Vacal</t>
        </is>
      </c>
      <c r="D742" s="7" t="n"/>
      <c r="E742" s="7" t="inlineStr">
        <is>
          <t>Mar de Coral</t>
        </is>
      </c>
      <c r="F742" s="13" t="inlineStr">
        <is>
          <t>Apoio Vacal</t>
        </is>
      </c>
      <c r="G742" s="7" t="n"/>
      <c r="H742" s="7" t="n"/>
      <c r="I742" s="7" t="n"/>
      <c r="J742" s="7" t="inlineStr">
        <is>
          <t>Vacal</t>
        </is>
      </c>
      <c r="K742" s="7" t="inlineStr">
        <is>
          <t>Apoio</t>
        </is>
      </c>
      <c r="L742" s="16" t="inlineStr">
        <is>
          <t>PDS-Fevereiro(1).docx</t>
        </is>
      </c>
      <c r="M742">
        <f>IF($A742="","",TEXT($A742,"mmmm/yyyy"))</f>
        <v/>
      </c>
      <c r="P742">
        <f>IFERROR(_xludf.XLOOKUP($N742,Base_Enderecos!$A:$A,Base_Enderecos!$B:$B,""),"")</f>
        <v/>
      </c>
      <c r="Q742">
        <f>IFERROR(_xludf.XLOOKUP($N742,Base_Enderecos!$A:$A,Base_Enderecos!$C:$C,""),"")</f>
        <v/>
      </c>
      <c r="R742">
        <f>IF(OR(ISNUMBER(SEARCH("HDD",$F742)),ISNUMBER(SEARCH("MND",$F742)),ISNUMBER(SEARCH("PEAD",$F742)),ISNUMBER(SEARCH("Puxe",$J742)),ISNUMBER(SEARCH("Apoio HDD",$F742))),"MND",IF(OR(ISNUMBER(SEARCH("VCA",$F742)),ISNUMBER(SEARCH("PVC",$F742)),ISNUMBER(SEARCH("vca",$J742)),ISNUMBER(SEARCH("Transformação",$J742))),"VCA",IF(OR(ISNUMBER(SEARCH("crava",$F742)),ISNUMBER(SEARCH("tubo cravado",$F742)),ISNUMBER(SEARCH("shaft",$J742)),ISNUMBER(SEARCH("concreto",$F742))),"TUBO CRAVADO","")))</f>
        <v/>
      </c>
      <c r="T742">
        <f>IF($A742="","",TEXT($A742,"yyyymm")&amp;"|"&amp;$C742&amp;"|"&amp;$F742&amp;"|"&amp;$N742&amp;"|"&amp;$R742)</f>
        <v/>
      </c>
    </row>
    <row r="743" ht="11.55" customHeight="1">
      <c r="A743" s="10" t="n">
        <v>46059</v>
      </c>
      <c r="B743" s="7" t="inlineStr">
        <is>
          <t>Sexta</t>
        </is>
      </c>
      <c r="C743" s="7" t="inlineStr">
        <is>
          <t>Vacal</t>
        </is>
      </c>
      <c r="D743" s="7" t="n"/>
      <c r="E743" s="7" t="inlineStr">
        <is>
          <t>Mar de Coral</t>
        </is>
      </c>
      <c r="F743" s="13" t="inlineStr">
        <is>
          <t>Apoio Vacal</t>
        </is>
      </c>
      <c r="G743" s="7" t="n"/>
      <c r="H743" s="7" t="n"/>
      <c r="I743" s="7" t="n"/>
      <c r="J743" s="7" t="inlineStr">
        <is>
          <t>Vacal</t>
        </is>
      </c>
      <c r="K743" s="7" t="inlineStr">
        <is>
          <t>Apoio</t>
        </is>
      </c>
      <c r="L743" s="16" t="inlineStr">
        <is>
          <t>PDS-Fevereiro(1).docx</t>
        </is>
      </c>
      <c r="M743">
        <f>IF($A743="","",TEXT($A743,"mmmm/yyyy"))</f>
        <v/>
      </c>
      <c r="P743">
        <f>IFERROR(_xludf.XLOOKUP($N743,Base_Enderecos!$A:$A,Base_Enderecos!$B:$B,""),"")</f>
        <v/>
      </c>
      <c r="Q743">
        <f>IFERROR(_xludf.XLOOKUP($N743,Base_Enderecos!$A:$A,Base_Enderecos!$C:$C,""),"")</f>
        <v/>
      </c>
      <c r="R743">
        <f>IF(OR(ISNUMBER(SEARCH("HDD",$F743)),ISNUMBER(SEARCH("MND",$F743)),ISNUMBER(SEARCH("PEAD",$F743)),ISNUMBER(SEARCH("Puxe",$J743)),ISNUMBER(SEARCH("Apoio HDD",$F743))),"MND",IF(OR(ISNUMBER(SEARCH("VCA",$F743)),ISNUMBER(SEARCH("PVC",$F743)),ISNUMBER(SEARCH("vca",$J743)),ISNUMBER(SEARCH("Transformação",$J743))),"VCA",IF(OR(ISNUMBER(SEARCH("crava",$F743)),ISNUMBER(SEARCH("tubo cravado",$F743)),ISNUMBER(SEARCH("shaft",$J743)),ISNUMBER(SEARCH("concreto",$F743))),"TUBO CRAVADO","")))</f>
        <v/>
      </c>
      <c r="T743">
        <f>IF($A743="","",TEXT($A743,"yyyymm")&amp;"|"&amp;$C743&amp;"|"&amp;$F743&amp;"|"&amp;$N743&amp;"|"&amp;$R743)</f>
        <v/>
      </c>
    </row>
    <row r="744" ht="11.55" customHeight="1">
      <c r="A744" s="10" t="n">
        <v>46059</v>
      </c>
      <c r="B744" s="7" t="inlineStr">
        <is>
          <t>Sexta</t>
        </is>
      </c>
      <c r="C744" s="7" t="inlineStr">
        <is>
          <t>Guindauto</t>
        </is>
      </c>
      <c r="D744" s="7" t="n"/>
      <c r="E744" s="7" t="inlineStr">
        <is>
          <t>Rodrigo</t>
        </is>
      </c>
      <c r="F744" s="13" t="inlineStr">
        <is>
          <t>Rodrigo - Apoio as equipes</t>
        </is>
      </c>
      <c r="G744" s="7" t="n"/>
      <c r="H744" s="7" t="n"/>
      <c r="I744" s="7" t="n"/>
      <c r="J744" s="7" t="inlineStr">
        <is>
          <t>Guindauto</t>
        </is>
      </c>
      <c r="K744" s="7" t="inlineStr">
        <is>
          <t>Apoio</t>
        </is>
      </c>
      <c r="L744" s="16" t="inlineStr">
        <is>
          <t>PDS-Fevereiro(1).docx</t>
        </is>
      </c>
      <c r="M744">
        <f>IF($A744="","",TEXT($A744,"mmmm/yyyy"))</f>
        <v/>
      </c>
      <c r="P744">
        <f>IFERROR(_xludf.XLOOKUP($N744,Base_Enderecos!$A:$A,Base_Enderecos!$B:$B,""),"")</f>
        <v/>
      </c>
      <c r="Q744">
        <f>IFERROR(_xludf.XLOOKUP($N744,Base_Enderecos!$A:$A,Base_Enderecos!$C:$C,""),"")</f>
        <v/>
      </c>
      <c r="R744">
        <f>IF(OR(ISNUMBER(SEARCH("HDD",$F744)),ISNUMBER(SEARCH("MND",$F744)),ISNUMBER(SEARCH("PEAD",$F744)),ISNUMBER(SEARCH("Puxe",$J744)),ISNUMBER(SEARCH("Apoio HDD",$F744))),"MND",IF(OR(ISNUMBER(SEARCH("VCA",$F744)),ISNUMBER(SEARCH("PVC",$F744)),ISNUMBER(SEARCH("vca",$J744)),ISNUMBER(SEARCH("Transformação",$J744))),"VCA",IF(OR(ISNUMBER(SEARCH("crava",$F744)),ISNUMBER(SEARCH("tubo cravado",$F744)),ISNUMBER(SEARCH("shaft",$J744)),ISNUMBER(SEARCH("concreto",$F744))),"TUBO CRAVADO","")))</f>
        <v/>
      </c>
      <c r="T744">
        <f>IF($A744="","",TEXT($A744,"yyyymm")&amp;"|"&amp;$C744&amp;"|"&amp;$F744&amp;"|"&amp;$N744&amp;"|"&amp;$R744)</f>
        <v/>
      </c>
    </row>
    <row r="745" ht="11.55" customHeight="1">
      <c r="A745" s="10" t="n">
        <v>46059</v>
      </c>
      <c r="B745" s="7" t="inlineStr">
        <is>
          <t>Sexta</t>
        </is>
      </c>
      <c r="C745" s="7" t="inlineStr">
        <is>
          <t>Guindauto</t>
        </is>
      </c>
      <c r="D745" s="7" t="n"/>
      <c r="E745" s="7" t="inlineStr">
        <is>
          <t>Marcio</t>
        </is>
      </c>
      <c r="F745" s="13" t="inlineStr">
        <is>
          <t>Marcio - Apoio as equipes</t>
        </is>
      </c>
      <c r="G745" s="7" t="n"/>
      <c r="H745" s="7" t="n"/>
      <c r="I745" s="7" t="n"/>
      <c r="J745" s="7" t="inlineStr">
        <is>
          <t>Guindauto</t>
        </is>
      </c>
      <c r="K745" s="7" t="inlineStr">
        <is>
          <t>Apoio</t>
        </is>
      </c>
      <c r="L745" s="16" t="inlineStr">
        <is>
          <t>PDS-Fevereiro(1).docx</t>
        </is>
      </c>
      <c r="M745">
        <f>IF($A745="","",TEXT($A745,"mmmm/yyyy"))</f>
        <v/>
      </c>
      <c r="P745">
        <f>IFERROR(_xludf.XLOOKUP($N745,Base_Enderecos!$A:$A,Base_Enderecos!$B:$B,""),"")</f>
        <v/>
      </c>
      <c r="Q745">
        <f>IFERROR(_xludf.XLOOKUP($N745,Base_Enderecos!$A:$A,Base_Enderecos!$C:$C,""),"")</f>
        <v/>
      </c>
      <c r="R745">
        <f>IF(OR(ISNUMBER(SEARCH("HDD",$F745)),ISNUMBER(SEARCH("MND",$F745)),ISNUMBER(SEARCH("PEAD",$F745)),ISNUMBER(SEARCH("Puxe",$J745)),ISNUMBER(SEARCH("Apoio HDD",$F745))),"MND",IF(OR(ISNUMBER(SEARCH("VCA",$F745)),ISNUMBER(SEARCH("PVC",$F745)),ISNUMBER(SEARCH("vca",$J745)),ISNUMBER(SEARCH("Transformação",$J745))),"VCA",IF(OR(ISNUMBER(SEARCH("crava",$F745)),ISNUMBER(SEARCH("tubo cravado",$F745)),ISNUMBER(SEARCH("shaft",$J745)),ISNUMBER(SEARCH("concreto",$F745))),"TUBO CRAVADO","")))</f>
        <v/>
      </c>
      <c r="T745">
        <f>IF($A745="","",TEXT($A745,"yyyymm")&amp;"|"&amp;$C745&amp;"|"&amp;$F745&amp;"|"&amp;$N745&amp;"|"&amp;$R745)</f>
        <v/>
      </c>
    </row>
    <row r="746" ht="11.55" customHeight="1">
      <c r="A746" s="10" t="n">
        <v>46062</v>
      </c>
      <c r="B746" s="7" t="inlineStr">
        <is>
          <t>Segunda</t>
        </is>
      </c>
      <c r="C746" s="7" t="inlineStr">
        <is>
          <t>CT MAR DE CORAL</t>
        </is>
      </c>
      <c r="D746" s="7" t="inlineStr">
        <is>
          <t>LEANDRO e SILVESTRE</t>
        </is>
      </c>
      <c r="E746" s="7" t="inlineStr">
        <is>
          <t>Valter</t>
        </is>
      </c>
      <c r="F746" s="13" t="inlineStr">
        <is>
          <t>Transformação PV 09</t>
        </is>
      </c>
      <c r="G746" s="7" t="inlineStr">
        <is>
          <t>09</t>
        </is>
      </c>
      <c r="H746" s="7" t="n"/>
      <c r="I746" s="7" t="inlineStr">
        <is>
          <t>09</t>
        </is>
      </c>
      <c r="J746" s="7" t="inlineStr">
        <is>
          <t>Transformação</t>
        </is>
      </c>
      <c r="K746" s="7" t="inlineStr">
        <is>
          <t>Planejamento</t>
        </is>
      </c>
      <c r="L746" s="16" t="inlineStr">
        <is>
          <t>PDS-Fevereiro(1).docx</t>
        </is>
      </c>
      <c r="M746">
        <f>IF($A746="","",TEXT($A746,"mmmm/yyyy"))</f>
        <v/>
      </c>
      <c r="P746">
        <f>IFERROR(_xludf.XLOOKUP($N746,Base_Enderecos!$A:$A,Base_Enderecos!$B:$B,""),"")</f>
        <v/>
      </c>
      <c r="Q746">
        <f>IFERROR(_xludf.XLOOKUP($N746,Base_Enderecos!$A:$A,Base_Enderecos!$C:$C,""),"")</f>
        <v/>
      </c>
      <c r="R746">
        <f>IF(OR(ISNUMBER(SEARCH("HDD",$F746)),ISNUMBER(SEARCH("MND",$F746)),ISNUMBER(SEARCH("PEAD",$F746)),ISNUMBER(SEARCH("Puxe",$J746)),ISNUMBER(SEARCH("Apoio HDD",$F746))),"MND",IF(OR(ISNUMBER(SEARCH("VCA",$F746)),ISNUMBER(SEARCH("PVC",$F746)),ISNUMBER(SEARCH("vca",$J746)),ISNUMBER(SEARCH("Transformação",$J746))),"VCA",IF(OR(ISNUMBER(SEARCH("crava",$F746)),ISNUMBER(SEARCH("tubo cravado",$F746)),ISNUMBER(SEARCH("shaft",$J746)),ISNUMBER(SEARCH("concreto",$F746))),"TUBO CRAVADO","")))</f>
        <v/>
      </c>
      <c r="T746">
        <f>IF($A746="","",TEXT($A746,"yyyymm")&amp;"|"&amp;$C746&amp;"|"&amp;$F746&amp;"|"&amp;$N746&amp;"|"&amp;$R746)</f>
        <v/>
      </c>
    </row>
    <row r="747" ht="11.55" customHeight="1">
      <c r="A747" s="10" t="n">
        <v>46062</v>
      </c>
      <c r="B747" s="7" t="inlineStr">
        <is>
          <t>Segunda</t>
        </is>
      </c>
      <c r="C747" s="7" t="inlineStr">
        <is>
          <t>CT MAR DE CORAL</t>
        </is>
      </c>
      <c r="D747" s="7" t="inlineStr">
        <is>
          <t>LEANDRO e SILVESTRE</t>
        </is>
      </c>
      <c r="E747" s="7" t="inlineStr">
        <is>
          <t>Work Drill</t>
        </is>
      </c>
      <c r="F747" s="13" t="inlineStr">
        <is>
          <t>Furo Piloto e Puxe entre PVs 30 ao 33</t>
        </is>
      </c>
      <c r="G747" s="7" t="inlineStr">
        <is>
          <t>30</t>
        </is>
      </c>
      <c r="H747" s="7" t="n"/>
      <c r="I747" s="7" t="inlineStr">
        <is>
          <t>30</t>
        </is>
      </c>
      <c r="J747" s="7" t="inlineStr">
        <is>
          <t>Furo piloto</t>
        </is>
      </c>
      <c r="K747" s="7" t="inlineStr">
        <is>
          <t>Planejamento</t>
        </is>
      </c>
      <c r="L747" s="16" t="inlineStr">
        <is>
          <t>PDS-Fevereiro(1).docx</t>
        </is>
      </c>
      <c r="M747">
        <f>IF($A747="","",TEXT($A747,"mmmm/yyyy"))</f>
        <v/>
      </c>
      <c r="P747">
        <f>IFERROR(_xludf.XLOOKUP($N747,Base_Enderecos!$A:$A,Base_Enderecos!$B:$B,""),"")</f>
        <v/>
      </c>
      <c r="Q747">
        <f>IFERROR(_xludf.XLOOKUP($N747,Base_Enderecos!$A:$A,Base_Enderecos!$C:$C,""),"")</f>
        <v/>
      </c>
      <c r="R747">
        <f>IF(OR(ISNUMBER(SEARCH("HDD",$F747)),ISNUMBER(SEARCH("MND",$F747)),ISNUMBER(SEARCH("PEAD",$F747)),ISNUMBER(SEARCH("Puxe",$J747)),ISNUMBER(SEARCH("Apoio HDD",$F747))),"MND",IF(OR(ISNUMBER(SEARCH("VCA",$F747)),ISNUMBER(SEARCH("PVC",$F747)),ISNUMBER(SEARCH("vca",$J747)),ISNUMBER(SEARCH("Transformação",$J747))),"VCA",IF(OR(ISNUMBER(SEARCH("crava",$F747)),ISNUMBER(SEARCH("tubo cravado",$F747)),ISNUMBER(SEARCH("shaft",$J747)),ISNUMBER(SEARCH("concreto",$F747))),"TUBO CRAVADO","")))</f>
        <v/>
      </c>
      <c r="T747">
        <f>IF($A747="","",TEXT($A747,"yyyymm")&amp;"|"&amp;$C747&amp;"|"&amp;$F747&amp;"|"&amp;$N747&amp;"|"&amp;$R747)</f>
        <v/>
      </c>
    </row>
    <row r="748" ht="11.55" customHeight="1">
      <c r="A748" s="10" t="n">
        <v>46062</v>
      </c>
      <c r="B748" s="7" t="inlineStr">
        <is>
          <t>Segunda</t>
        </is>
      </c>
      <c r="C748" s="7" t="inlineStr">
        <is>
          <t>CT MAR DE CORAL</t>
        </is>
      </c>
      <c r="D748" s="7" t="inlineStr">
        <is>
          <t>LEANDRO e SILVESTRE</t>
        </is>
      </c>
      <c r="E748" s="7" t="inlineStr">
        <is>
          <t>Medeiros</t>
        </is>
      </c>
      <c r="F748" s="13" t="inlineStr">
        <is>
          <t>Apoio HDD entre os PVs 30 ao PV 33</t>
        </is>
      </c>
      <c r="G748" s="7" t="inlineStr">
        <is>
          <t>30</t>
        </is>
      </c>
      <c r="H748" s="7" t="inlineStr">
        <is>
          <t>33</t>
        </is>
      </c>
      <c r="I748" s="7" t="inlineStr">
        <is>
          <t>30, 33</t>
        </is>
      </c>
      <c r="J748" s="7" t="inlineStr">
        <is>
          <t>Apoio HDD</t>
        </is>
      </c>
      <c r="K748" s="7" t="inlineStr">
        <is>
          <t>Planejamento</t>
        </is>
      </c>
      <c r="L748" s="16" t="inlineStr">
        <is>
          <t>PDS-Fevereiro(1).docx</t>
        </is>
      </c>
      <c r="M748">
        <f>IF($A748="","",TEXT($A748,"mmmm/yyyy"))</f>
        <v/>
      </c>
      <c r="P748">
        <f>IFERROR(_xludf.XLOOKUP($N748,Base_Enderecos!$A:$A,Base_Enderecos!$B:$B,""),"")</f>
        <v/>
      </c>
      <c r="Q748">
        <f>IFERROR(_xludf.XLOOKUP($N748,Base_Enderecos!$A:$A,Base_Enderecos!$C:$C,""),"")</f>
        <v/>
      </c>
      <c r="R748">
        <f>IF(OR(ISNUMBER(SEARCH("HDD",$F748)),ISNUMBER(SEARCH("MND",$F748)),ISNUMBER(SEARCH("PEAD",$F748)),ISNUMBER(SEARCH("Puxe",$J748)),ISNUMBER(SEARCH("Apoio HDD",$F748))),"MND",IF(OR(ISNUMBER(SEARCH("VCA",$F748)),ISNUMBER(SEARCH("PVC",$F748)),ISNUMBER(SEARCH("vca",$J748)),ISNUMBER(SEARCH("Transformação",$J748))),"VCA",IF(OR(ISNUMBER(SEARCH("crava",$F748)),ISNUMBER(SEARCH("tubo cravado",$F748)),ISNUMBER(SEARCH("shaft",$J748)),ISNUMBER(SEARCH("concreto",$F748))),"TUBO CRAVADO","")))</f>
        <v/>
      </c>
      <c r="T748">
        <f>IF($A748="","",TEXT($A748,"yyyymm")&amp;"|"&amp;$C748&amp;"|"&amp;$F748&amp;"|"&amp;$N748&amp;"|"&amp;$R748)</f>
        <v/>
      </c>
    </row>
    <row r="749" ht="11.55" customHeight="1">
      <c r="A749" s="10" t="n">
        <v>46062</v>
      </c>
      <c r="B749" s="7" t="inlineStr">
        <is>
          <t>Segunda</t>
        </is>
      </c>
      <c r="C749" s="7" t="inlineStr">
        <is>
          <t>CT MAR DE CORAL</t>
        </is>
      </c>
      <c r="D749" s="7" t="inlineStr">
        <is>
          <t>LEANDRO e SILVESTRE</t>
        </is>
      </c>
      <c r="E749" s="7" t="inlineStr">
        <is>
          <t>WJ 01</t>
        </is>
      </c>
      <c r="F749" s="13" t="inlineStr">
        <is>
          <t>Puxe entre PVs 10 ao 13</t>
        </is>
      </c>
      <c r="G749" s="7" t="inlineStr">
        <is>
          <t>10</t>
        </is>
      </c>
      <c r="H749" s="7" t="n"/>
      <c r="I749" s="7" t="inlineStr">
        <is>
          <t>10</t>
        </is>
      </c>
      <c r="J749" s="7" t="inlineStr">
        <is>
          <t>Puxe</t>
        </is>
      </c>
      <c r="K749" s="7" t="inlineStr">
        <is>
          <t>Planejamento</t>
        </is>
      </c>
      <c r="L749" s="16" t="inlineStr">
        <is>
          <t>PDS-Fevereiro(1).docx</t>
        </is>
      </c>
      <c r="M749">
        <f>IF($A749="","",TEXT($A749,"mmmm/yyyy"))</f>
        <v/>
      </c>
      <c r="P749">
        <f>IFERROR(_xludf.XLOOKUP($N749,Base_Enderecos!$A:$A,Base_Enderecos!$B:$B,""),"")</f>
        <v/>
      </c>
      <c r="Q749">
        <f>IFERROR(_xludf.XLOOKUP($N749,Base_Enderecos!$A:$A,Base_Enderecos!$C:$C,""),"")</f>
        <v/>
      </c>
      <c r="R749">
        <f>IF(OR(ISNUMBER(SEARCH("HDD",$F749)),ISNUMBER(SEARCH("MND",$F749)),ISNUMBER(SEARCH("PEAD",$F749)),ISNUMBER(SEARCH("Puxe",$J749)),ISNUMBER(SEARCH("Apoio HDD",$F749))),"MND",IF(OR(ISNUMBER(SEARCH("VCA",$F749)),ISNUMBER(SEARCH("PVC",$F749)),ISNUMBER(SEARCH("vca",$J749)),ISNUMBER(SEARCH("Transformação",$J749))),"VCA",IF(OR(ISNUMBER(SEARCH("crava",$F749)),ISNUMBER(SEARCH("tubo cravado",$F749)),ISNUMBER(SEARCH("shaft",$J749)),ISNUMBER(SEARCH("concreto",$F749))),"TUBO CRAVADO","")))</f>
        <v/>
      </c>
      <c r="T749">
        <f>IF($A749="","",TEXT($A749,"yyyymm")&amp;"|"&amp;$C749&amp;"|"&amp;$F749&amp;"|"&amp;$N749&amp;"|"&amp;$R749)</f>
        <v/>
      </c>
    </row>
    <row r="750" ht="11.55" customHeight="1">
      <c r="A750" s="10" t="n">
        <v>46062</v>
      </c>
      <c r="B750" s="7" t="inlineStr">
        <is>
          <t>Segunda</t>
        </is>
      </c>
      <c r="C750" s="7" t="inlineStr">
        <is>
          <t>CT MAR DE CORAL</t>
        </is>
      </c>
      <c r="D750" s="7" t="inlineStr">
        <is>
          <t>LEANDRO e SILVESTRE</t>
        </is>
      </c>
      <c r="E750" s="7" t="inlineStr">
        <is>
          <t>Marcio</t>
        </is>
      </c>
      <c r="F750" s="13" t="inlineStr">
        <is>
          <t>Puxe entre PVs 10 ao 13</t>
        </is>
      </c>
      <c r="G750" s="7" t="inlineStr">
        <is>
          <t>10</t>
        </is>
      </c>
      <c r="H750" s="7" t="n"/>
      <c r="I750" s="7" t="inlineStr">
        <is>
          <t>10</t>
        </is>
      </c>
      <c r="J750" s="7" t="inlineStr">
        <is>
          <t>Puxe</t>
        </is>
      </c>
      <c r="K750" s="7" t="inlineStr">
        <is>
          <t>Planejamento</t>
        </is>
      </c>
      <c r="L750" s="16" t="inlineStr">
        <is>
          <t>PDS-Fevereiro(1).docx</t>
        </is>
      </c>
      <c r="M750">
        <f>IF($A750="","",TEXT($A750,"mmmm/yyyy"))</f>
        <v/>
      </c>
      <c r="P750">
        <f>IFERROR(_xludf.XLOOKUP($N750,Base_Enderecos!$A:$A,Base_Enderecos!$B:$B,""),"")</f>
        <v/>
      </c>
      <c r="Q750">
        <f>IFERROR(_xludf.XLOOKUP($N750,Base_Enderecos!$A:$A,Base_Enderecos!$C:$C,""),"")</f>
        <v/>
      </c>
      <c r="R750">
        <f>IF(OR(ISNUMBER(SEARCH("HDD",$F750)),ISNUMBER(SEARCH("MND",$F750)),ISNUMBER(SEARCH("PEAD",$F750)),ISNUMBER(SEARCH("Puxe",$J750)),ISNUMBER(SEARCH("Apoio HDD",$F750))),"MND",IF(OR(ISNUMBER(SEARCH("VCA",$F750)),ISNUMBER(SEARCH("PVC",$F750)),ISNUMBER(SEARCH("vca",$J750)),ISNUMBER(SEARCH("Transformação",$J750))),"VCA",IF(OR(ISNUMBER(SEARCH("crava",$F750)),ISNUMBER(SEARCH("tubo cravado",$F750)),ISNUMBER(SEARCH("shaft",$J750)),ISNUMBER(SEARCH("concreto",$F750))),"TUBO CRAVADO","")))</f>
        <v/>
      </c>
      <c r="T750">
        <f>IF($A750="","",TEXT($A750,"yyyymm")&amp;"|"&amp;$C750&amp;"|"&amp;$F750&amp;"|"&amp;$N750&amp;"|"&amp;$R750)</f>
        <v/>
      </c>
    </row>
    <row r="751" ht="11.55" customHeight="1">
      <c r="A751" s="10" t="n">
        <v>46062</v>
      </c>
      <c r="B751" s="7" t="inlineStr">
        <is>
          <t>Segunda</t>
        </is>
      </c>
      <c r="C751" s="7" t="inlineStr">
        <is>
          <t>CT MAR DE CORAL</t>
        </is>
      </c>
      <c r="D751" s="7" t="inlineStr">
        <is>
          <t>LEANDRO e SILVESTRE</t>
        </is>
      </c>
      <c r="E751" s="7" t="inlineStr">
        <is>
          <t>Sergio</t>
        </is>
      </c>
      <c r="F751" s="13" t="inlineStr">
        <is>
          <t>Transformação PV 23</t>
        </is>
      </c>
      <c r="G751" s="7" t="inlineStr">
        <is>
          <t>23</t>
        </is>
      </c>
      <c r="H751" s="7" t="n"/>
      <c r="I751" s="7" t="inlineStr">
        <is>
          <t>23</t>
        </is>
      </c>
      <c r="J751" s="7" t="inlineStr">
        <is>
          <t>Transformação</t>
        </is>
      </c>
      <c r="K751" s="7" t="inlineStr">
        <is>
          <t>Planejamento</t>
        </is>
      </c>
      <c r="L751" s="16" t="inlineStr">
        <is>
          <t>PDS-Fevereiro(1).docx</t>
        </is>
      </c>
      <c r="M751">
        <f>IF($A751="","",TEXT($A751,"mmmm/yyyy"))</f>
        <v/>
      </c>
      <c r="P751">
        <f>IFERROR(_xludf.XLOOKUP($N751,Base_Enderecos!$A:$A,Base_Enderecos!$B:$B,""),"")</f>
        <v/>
      </c>
      <c r="Q751">
        <f>IFERROR(_xludf.XLOOKUP($N751,Base_Enderecos!$A:$A,Base_Enderecos!$C:$C,""),"")</f>
        <v/>
      </c>
      <c r="R751">
        <f>IF(OR(ISNUMBER(SEARCH("HDD",$F751)),ISNUMBER(SEARCH("MND",$F751)),ISNUMBER(SEARCH("PEAD",$F751)),ISNUMBER(SEARCH("Puxe",$J751)),ISNUMBER(SEARCH("Apoio HDD",$F751))),"MND",IF(OR(ISNUMBER(SEARCH("VCA",$F751)),ISNUMBER(SEARCH("PVC",$F751)),ISNUMBER(SEARCH("vca",$J751)),ISNUMBER(SEARCH("Transformação",$J751))),"VCA",IF(OR(ISNUMBER(SEARCH("crava",$F751)),ISNUMBER(SEARCH("tubo cravado",$F751)),ISNUMBER(SEARCH("shaft",$J751)),ISNUMBER(SEARCH("concreto",$F751))),"TUBO CRAVADO","")))</f>
        <v/>
      </c>
      <c r="T751">
        <f>IF($A751="","",TEXT($A751,"yyyymm")&amp;"|"&amp;$C751&amp;"|"&amp;$F751&amp;"|"&amp;$N751&amp;"|"&amp;$R751)</f>
        <v/>
      </c>
    </row>
    <row r="752" ht="11.55" customHeight="1">
      <c r="A752" s="10" t="n">
        <v>46062</v>
      </c>
      <c r="B752" s="7" t="inlineStr">
        <is>
          <t>Segunda</t>
        </is>
      </c>
      <c r="C752" s="7" t="inlineStr">
        <is>
          <t>CT MAR DE CORAL</t>
        </is>
      </c>
      <c r="D752" s="7" t="inlineStr">
        <is>
          <t>LEANDRO e SILVESTRE</t>
        </is>
      </c>
      <c r="E752" s="7" t="inlineStr">
        <is>
          <t>Carlos</t>
        </is>
      </c>
      <c r="F752" s="13" t="inlineStr">
        <is>
          <t>Transformação PV 22</t>
        </is>
      </c>
      <c r="G752" s="7" t="inlineStr">
        <is>
          <t>22</t>
        </is>
      </c>
      <c r="H752" s="7" t="n"/>
      <c r="I752" s="7" t="inlineStr">
        <is>
          <t>22</t>
        </is>
      </c>
      <c r="J752" s="7" t="inlineStr">
        <is>
          <t>Transformação</t>
        </is>
      </c>
      <c r="K752" s="7" t="inlineStr">
        <is>
          <t>Planejamento</t>
        </is>
      </c>
      <c r="L752" s="16" t="inlineStr">
        <is>
          <t>PDS-Fevereiro(1).docx</t>
        </is>
      </c>
      <c r="M752">
        <f>IF($A752="","",TEXT($A752,"mmmm/yyyy"))</f>
        <v/>
      </c>
      <c r="P752">
        <f>IFERROR(_xludf.XLOOKUP($N752,Base_Enderecos!$A:$A,Base_Enderecos!$B:$B,""),"")</f>
        <v/>
      </c>
      <c r="Q752">
        <f>IFERROR(_xludf.XLOOKUP($N752,Base_Enderecos!$A:$A,Base_Enderecos!$C:$C,""),"")</f>
        <v/>
      </c>
      <c r="R752">
        <f>IF(OR(ISNUMBER(SEARCH("HDD",$F752)),ISNUMBER(SEARCH("MND",$F752)),ISNUMBER(SEARCH("PEAD",$F752)),ISNUMBER(SEARCH("Puxe",$J752)),ISNUMBER(SEARCH("Apoio HDD",$F752))),"MND",IF(OR(ISNUMBER(SEARCH("VCA",$F752)),ISNUMBER(SEARCH("PVC",$F752)),ISNUMBER(SEARCH("vca",$J752)),ISNUMBER(SEARCH("Transformação",$J752))),"VCA",IF(OR(ISNUMBER(SEARCH("crava",$F752)),ISNUMBER(SEARCH("tubo cravado",$F752)),ISNUMBER(SEARCH("shaft",$J752)),ISNUMBER(SEARCH("concreto",$F752))),"TUBO CRAVADO","")))</f>
        <v/>
      </c>
      <c r="T752">
        <f>IF($A752="","",TEXT($A752,"yyyymm")&amp;"|"&amp;$C752&amp;"|"&amp;$F752&amp;"|"&amp;$N752&amp;"|"&amp;$R752)</f>
        <v/>
      </c>
    </row>
    <row r="753" ht="11.55" customHeight="1">
      <c r="A753" s="10" t="n">
        <v>46062</v>
      </c>
      <c r="B753" s="7" t="inlineStr">
        <is>
          <t>Segunda</t>
        </is>
      </c>
      <c r="C753" s="7" t="inlineStr">
        <is>
          <t>CT LOURDES</t>
        </is>
      </c>
      <c r="D753" s="7" t="inlineStr">
        <is>
          <t>ROBSON</t>
        </is>
      </c>
      <c r="E753" s="7" t="inlineStr">
        <is>
          <t>Edvando</t>
        </is>
      </c>
      <c r="F753" s="13" t="inlineStr">
        <is>
          <t>Transformação PV 18</t>
        </is>
      </c>
      <c r="G753" s="7" t="inlineStr">
        <is>
          <t>18</t>
        </is>
      </c>
      <c r="H753" s="7" t="n"/>
      <c r="I753" s="7" t="inlineStr">
        <is>
          <t>18</t>
        </is>
      </c>
      <c r="J753" s="7" t="inlineStr">
        <is>
          <t>Transformação</t>
        </is>
      </c>
      <c r="K753" s="7" t="inlineStr">
        <is>
          <t>Planejamento</t>
        </is>
      </c>
      <c r="L753" s="16" t="inlineStr">
        <is>
          <t>PDS-Fevereiro(1).docx</t>
        </is>
      </c>
      <c r="M753">
        <f>IF($A753="","",TEXT($A753,"mmmm/yyyy"))</f>
        <v/>
      </c>
      <c r="P753">
        <f>IFERROR(_xludf.XLOOKUP($N753,Base_Enderecos!$A:$A,Base_Enderecos!$B:$B,""),"")</f>
        <v/>
      </c>
      <c r="Q753">
        <f>IFERROR(_xludf.XLOOKUP($N753,Base_Enderecos!$A:$A,Base_Enderecos!$C:$C,""),"")</f>
        <v/>
      </c>
      <c r="R753">
        <f>IF(OR(ISNUMBER(SEARCH("HDD",$F753)),ISNUMBER(SEARCH("MND",$F753)),ISNUMBER(SEARCH("PEAD",$F753)),ISNUMBER(SEARCH("Puxe",$J753)),ISNUMBER(SEARCH("Apoio HDD",$F753))),"MND",IF(OR(ISNUMBER(SEARCH("VCA",$F753)),ISNUMBER(SEARCH("PVC",$F753)),ISNUMBER(SEARCH("vca",$J753)),ISNUMBER(SEARCH("Transformação",$J753))),"VCA",IF(OR(ISNUMBER(SEARCH("crava",$F753)),ISNUMBER(SEARCH("tubo cravado",$F753)),ISNUMBER(SEARCH("shaft",$J753)),ISNUMBER(SEARCH("concreto",$F753))),"TUBO CRAVADO","")))</f>
        <v/>
      </c>
      <c r="T753">
        <f>IF($A753="","",TEXT($A753,"yyyymm")&amp;"|"&amp;$C753&amp;"|"&amp;$F753&amp;"|"&amp;$N753&amp;"|"&amp;$R753)</f>
        <v/>
      </c>
    </row>
    <row r="754" ht="11.55" customHeight="1">
      <c r="A754" s="10" t="n">
        <v>46062</v>
      </c>
      <c r="B754" s="7" t="inlineStr">
        <is>
          <t>Segunda</t>
        </is>
      </c>
      <c r="C754" s="7" t="inlineStr">
        <is>
          <t>CT ÁGUA VERMELHA M.D</t>
        </is>
      </c>
      <c r="D754" s="7" t="inlineStr">
        <is>
          <t>CAROLINE e FÁBIO</t>
        </is>
      </c>
      <c r="E754" s="7" t="inlineStr">
        <is>
          <t>Marcelo</t>
        </is>
      </c>
      <c r="F754" s="13" t="inlineStr">
        <is>
          <t>Shaft PVD 06</t>
        </is>
      </c>
      <c r="G754" s="7" t="inlineStr">
        <is>
          <t>06</t>
        </is>
      </c>
      <c r="H754" s="7" t="n"/>
      <c r="I754" s="7" t="inlineStr">
        <is>
          <t>06</t>
        </is>
      </c>
      <c r="J754" s="7" t="inlineStr">
        <is>
          <t>Shaft</t>
        </is>
      </c>
      <c r="K754" s="7" t="inlineStr">
        <is>
          <t>Planejamento</t>
        </is>
      </c>
      <c r="L754" s="16" t="inlineStr">
        <is>
          <t>PDS-Fevereiro(1).docx</t>
        </is>
      </c>
      <c r="M754">
        <f>IF($A754="","",TEXT($A754,"mmmm/yyyy"))</f>
        <v/>
      </c>
      <c r="P754">
        <f>IFERROR(_xludf.XLOOKUP($N754,Base_Enderecos!$A:$A,Base_Enderecos!$B:$B,""),"")</f>
        <v/>
      </c>
      <c r="Q754">
        <f>IFERROR(_xludf.XLOOKUP($N754,Base_Enderecos!$A:$A,Base_Enderecos!$C:$C,""),"")</f>
        <v/>
      </c>
      <c r="R754">
        <f>IF(OR(ISNUMBER(SEARCH("HDD",$F754)),ISNUMBER(SEARCH("MND",$F754)),ISNUMBER(SEARCH("PEAD",$F754)),ISNUMBER(SEARCH("Puxe",$J754)),ISNUMBER(SEARCH("Apoio HDD",$F754))),"MND",IF(OR(ISNUMBER(SEARCH("VCA",$F754)),ISNUMBER(SEARCH("PVC",$F754)),ISNUMBER(SEARCH("vca",$J754)),ISNUMBER(SEARCH("Transformação",$J754))),"VCA",IF(OR(ISNUMBER(SEARCH("crava",$F754)),ISNUMBER(SEARCH("tubo cravado",$F754)),ISNUMBER(SEARCH("shaft",$J754)),ISNUMBER(SEARCH("concreto",$F754))),"TUBO CRAVADO","")))</f>
        <v/>
      </c>
      <c r="T754">
        <f>IF($A754="","",TEXT($A754,"yyyymm")&amp;"|"&amp;$C754&amp;"|"&amp;$F754&amp;"|"&amp;$N754&amp;"|"&amp;$R754)</f>
        <v/>
      </c>
    </row>
    <row r="755" ht="11.55" customHeight="1">
      <c r="A755" s="10" t="n">
        <v>46062</v>
      </c>
      <c r="B755" s="7" t="inlineStr">
        <is>
          <t>Segunda</t>
        </is>
      </c>
      <c r="C755" s="7" t="inlineStr">
        <is>
          <t>CT ÁGUA VERMELHA M.D</t>
        </is>
      </c>
      <c r="D755" s="7" t="inlineStr">
        <is>
          <t>CAROLINE e FÁBIO</t>
        </is>
      </c>
      <c r="E755" s="7" t="inlineStr">
        <is>
          <t>Cesar</t>
        </is>
      </c>
      <c r="F755" s="13" t="inlineStr">
        <is>
          <t>Shaft PVD 05</t>
        </is>
      </c>
      <c r="G755" s="7" t="inlineStr">
        <is>
          <t>05</t>
        </is>
      </c>
      <c r="H755" s="7" t="n"/>
      <c r="I755" s="7" t="inlineStr">
        <is>
          <t>05</t>
        </is>
      </c>
      <c r="J755" s="7" t="inlineStr">
        <is>
          <t>Shaft</t>
        </is>
      </c>
      <c r="K755" s="7" t="inlineStr">
        <is>
          <t>Planejamento</t>
        </is>
      </c>
      <c r="L755" s="16" t="inlineStr">
        <is>
          <t>PDS-Fevereiro(1).docx</t>
        </is>
      </c>
      <c r="M755">
        <f>IF($A755="","",TEXT($A755,"mmmm/yyyy"))</f>
        <v/>
      </c>
      <c r="P755">
        <f>IFERROR(_xludf.XLOOKUP($N755,Base_Enderecos!$A:$A,Base_Enderecos!$B:$B,""),"")</f>
        <v/>
      </c>
      <c r="Q755">
        <f>IFERROR(_xludf.XLOOKUP($N755,Base_Enderecos!$A:$A,Base_Enderecos!$C:$C,""),"")</f>
        <v/>
      </c>
      <c r="R755">
        <f>IF(OR(ISNUMBER(SEARCH("HDD",$F755)),ISNUMBER(SEARCH("MND",$F755)),ISNUMBER(SEARCH("PEAD",$F755)),ISNUMBER(SEARCH("Puxe",$J755)),ISNUMBER(SEARCH("Apoio HDD",$F755))),"MND",IF(OR(ISNUMBER(SEARCH("VCA",$F755)),ISNUMBER(SEARCH("PVC",$F755)),ISNUMBER(SEARCH("vca",$J755)),ISNUMBER(SEARCH("Transformação",$J755))),"VCA",IF(OR(ISNUMBER(SEARCH("crava",$F755)),ISNUMBER(SEARCH("tubo cravado",$F755)),ISNUMBER(SEARCH("shaft",$J755)),ISNUMBER(SEARCH("concreto",$F755))),"TUBO CRAVADO","")))</f>
        <v/>
      </c>
      <c r="T755">
        <f>IF($A755="","",TEXT($A755,"yyyymm")&amp;"|"&amp;$C755&amp;"|"&amp;$F755&amp;"|"&amp;$N755&amp;"|"&amp;$R755)</f>
        <v/>
      </c>
    </row>
    <row r="756" ht="11.55" customHeight="1">
      <c r="A756" s="10" t="n">
        <v>46062</v>
      </c>
      <c r="B756" s="7" t="inlineStr">
        <is>
          <t>Segunda</t>
        </is>
      </c>
      <c r="C756" s="7" t="inlineStr">
        <is>
          <t>CT ÁGUA VERMELHA M.D</t>
        </is>
      </c>
      <c r="D756" s="7" t="inlineStr">
        <is>
          <t>CAROLINE e FÁBIO</t>
        </is>
      </c>
      <c r="E756" s="7" t="inlineStr">
        <is>
          <t>Reinaldo</t>
        </is>
      </c>
      <c r="F756" s="13" t="inlineStr">
        <is>
          <t>Furo Piloto e Puxe PVD 2 e PVD 3</t>
        </is>
      </c>
      <c r="G756" s="7" t="inlineStr">
        <is>
          <t>2</t>
        </is>
      </c>
      <c r="H756" s="7" t="inlineStr">
        <is>
          <t>3</t>
        </is>
      </c>
      <c r="I756" s="7" t="inlineStr">
        <is>
          <t>2, 3</t>
        </is>
      </c>
      <c r="J756" s="7" t="inlineStr">
        <is>
          <t>Furo piloto</t>
        </is>
      </c>
      <c r="K756" s="7" t="inlineStr">
        <is>
          <t>Planejamento</t>
        </is>
      </c>
      <c r="L756" s="16" t="inlineStr">
        <is>
          <t>PDS-Fevereiro(1).docx</t>
        </is>
      </c>
      <c r="M756">
        <f>IF($A756="","",TEXT($A756,"mmmm/yyyy"))</f>
        <v/>
      </c>
      <c r="P756">
        <f>IFERROR(_xludf.XLOOKUP($N756,Base_Enderecos!$A:$A,Base_Enderecos!$B:$B,""),"")</f>
        <v/>
      </c>
      <c r="Q756">
        <f>IFERROR(_xludf.XLOOKUP($N756,Base_Enderecos!$A:$A,Base_Enderecos!$C:$C,""),"")</f>
        <v/>
      </c>
      <c r="R756">
        <f>IF(OR(ISNUMBER(SEARCH("HDD",$F756)),ISNUMBER(SEARCH("MND",$F756)),ISNUMBER(SEARCH("PEAD",$F756)),ISNUMBER(SEARCH("Puxe",$J756)),ISNUMBER(SEARCH("Apoio HDD",$F756))),"MND",IF(OR(ISNUMBER(SEARCH("VCA",$F756)),ISNUMBER(SEARCH("PVC",$F756)),ISNUMBER(SEARCH("vca",$J756)),ISNUMBER(SEARCH("Transformação",$J756))),"VCA",IF(OR(ISNUMBER(SEARCH("crava",$F756)),ISNUMBER(SEARCH("tubo cravado",$F756)),ISNUMBER(SEARCH("shaft",$J756)),ISNUMBER(SEARCH("concreto",$F756))),"TUBO CRAVADO","")))</f>
        <v/>
      </c>
      <c r="T756">
        <f>IF($A756="","",TEXT($A756,"yyyymm")&amp;"|"&amp;$C756&amp;"|"&amp;$F756&amp;"|"&amp;$N756&amp;"|"&amp;$R756)</f>
        <v/>
      </c>
    </row>
    <row r="757" ht="11.55" customHeight="1">
      <c r="A757" s="10" t="n">
        <v>46062</v>
      </c>
      <c r="B757" s="7" t="inlineStr">
        <is>
          <t>Segunda</t>
        </is>
      </c>
      <c r="C757" s="7" t="inlineStr">
        <is>
          <t>CT ÁGUA VERMELHA M.D</t>
        </is>
      </c>
      <c r="D757" s="7" t="inlineStr">
        <is>
          <t>CAROLINE e FÁBIO</t>
        </is>
      </c>
      <c r="E757" s="7" t="inlineStr">
        <is>
          <t>Jonathan</t>
        </is>
      </c>
      <c r="F757" s="13" t="inlineStr">
        <is>
          <t>Apoio HDD entre PVD 2 e PV03</t>
        </is>
      </c>
      <c r="G757" s="7" t="inlineStr">
        <is>
          <t>2</t>
        </is>
      </c>
      <c r="H757" s="7" t="inlineStr">
        <is>
          <t>03</t>
        </is>
      </c>
      <c r="I757" s="7" t="inlineStr">
        <is>
          <t>2, 03</t>
        </is>
      </c>
      <c r="J757" s="7" t="inlineStr">
        <is>
          <t>Apoio HDD</t>
        </is>
      </c>
      <c r="K757" s="7" t="inlineStr">
        <is>
          <t>Planejamento</t>
        </is>
      </c>
      <c r="L757" s="16" t="inlineStr">
        <is>
          <t>PDS-Fevereiro(1).docx</t>
        </is>
      </c>
      <c r="M757">
        <f>IF($A757="","",TEXT($A757,"mmmm/yyyy"))</f>
        <v/>
      </c>
      <c r="P757">
        <f>IFERROR(_xludf.XLOOKUP($N757,Base_Enderecos!$A:$A,Base_Enderecos!$B:$B,""),"")</f>
        <v/>
      </c>
      <c r="Q757">
        <f>IFERROR(_xludf.XLOOKUP($N757,Base_Enderecos!$A:$A,Base_Enderecos!$C:$C,""),"")</f>
        <v/>
      </c>
      <c r="R757">
        <f>IF(OR(ISNUMBER(SEARCH("HDD",$F757)),ISNUMBER(SEARCH("MND",$F757)),ISNUMBER(SEARCH("PEAD",$F757)),ISNUMBER(SEARCH("Puxe",$J757)),ISNUMBER(SEARCH("Apoio HDD",$F757))),"MND",IF(OR(ISNUMBER(SEARCH("VCA",$F757)),ISNUMBER(SEARCH("PVC",$F757)),ISNUMBER(SEARCH("vca",$J757)),ISNUMBER(SEARCH("Transformação",$J757))),"VCA",IF(OR(ISNUMBER(SEARCH("crava",$F757)),ISNUMBER(SEARCH("tubo cravado",$F757)),ISNUMBER(SEARCH("shaft",$J757)),ISNUMBER(SEARCH("concreto",$F757))),"TUBO CRAVADO","")))</f>
        <v/>
      </c>
      <c r="T757">
        <f>IF($A757="","",TEXT($A757,"yyyymm")&amp;"|"&amp;$C757&amp;"|"&amp;$F757&amp;"|"&amp;$N757&amp;"|"&amp;$R757)</f>
        <v/>
      </c>
    </row>
    <row r="758" ht="11.55" customHeight="1">
      <c r="A758" s="10" t="n">
        <v>46062</v>
      </c>
      <c r="B758" s="7" t="inlineStr">
        <is>
          <t>Segunda</t>
        </is>
      </c>
      <c r="C758" s="7" t="inlineStr">
        <is>
          <t>CT ÁGUA VERMELHA M.E– Valmir</t>
        </is>
      </c>
      <c r="D758" s="7" t="n"/>
      <c r="E758" s="7" t="inlineStr">
        <is>
          <t>Higor</t>
        </is>
      </c>
      <c r="F758" s="13" t="inlineStr">
        <is>
          <t>Shaft PVE 3</t>
        </is>
      </c>
      <c r="G758" s="7" t="inlineStr">
        <is>
          <t>3</t>
        </is>
      </c>
      <c r="H758" s="7" t="n"/>
      <c r="I758" s="7" t="inlineStr">
        <is>
          <t>3</t>
        </is>
      </c>
      <c r="J758" s="7" t="inlineStr">
        <is>
          <t>Shaft</t>
        </is>
      </c>
      <c r="K758" s="7" t="inlineStr">
        <is>
          <t>Planejamento</t>
        </is>
      </c>
      <c r="L758" s="16" t="inlineStr">
        <is>
          <t>PDS-Fevereiro(1).docx</t>
        </is>
      </c>
      <c r="M758">
        <f>IF($A758="","",TEXT($A758,"mmmm/yyyy"))</f>
        <v/>
      </c>
      <c r="P758">
        <f>IFERROR(_xludf.XLOOKUP($N758,Base_Enderecos!$A:$A,Base_Enderecos!$B:$B,""),"")</f>
        <v/>
      </c>
      <c r="Q758">
        <f>IFERROR(_xludf.XLOOKUP($N758,Base_Enderecos!$A:$A,Base_Enderecos!$C:$C,""),"")</f>
        <v/>
      </c>
      <c r="R758">
        <f>IF(OR(ISNUMBER(SEARCH("HDD",$F758)),ISNUMBER(SEARCH("MND",$F758)),ISNUMBER(SEARCH("PEAD",$F758)),ISNUMBER(SEARCH("Puxe",$J758)),ISNUMBER(SEARCH("Apoio HDD",$F758))),"MND",IF(OR(ISNUMBER(SEARCH("VCA",$F758)),ISNUMBER(SEARCH("PVC",$F758)),ISNUMBER(SEARCH("vca",$J758)),ISNUMBER(SEARCH("Transformação",$J758))),"VCA",IF(OR(ISNUMBER(SEARCH("crava",$F758)),ISNUMBER(SEARCH("tubo cravado",$F758)),ISNUMBER(SEARCH("shaft",$J758)),ISNUMBER(SEARCH("concreto",$F758))),"TUBO CRAVADO","")))</f>
        <v/>
      </c>
      <c r="T758">
        <f>IF($A758="","",TEXT($A758,"yyyymm")&amp;"|"&amp;$C758&amp;"|"&amp;$F758&amp;"|"&amp;$N758&amp;"|"&amp;$R758)</f>
        <v/>
      </c>
    </row>
    <row r="759" ht="11.55" customHeight="1">
      <c r="A759" s="10" t="n">
        <v>46062</v>
      </c>
      <c r="B759" s="7" t="inlineStr">
        <is>
          <t>Segunda</t>
        </is>
      </c>
      <c r="C759" s="7" t="inlineStr">
        <is>
          <t>CT ÁGUA VERMELHA M.E– Valmir</t>
        </is>
      </c>
      <c r="D759" s="7" t="n"/>
      <c r="E759" s="7" t="inlineStr">
        <is>
          <t>Cidão</t>
        </is>
      </c>
      <c r="F759" s="13" t="inlineStr">
        <is>
          <t>Shaft PVE 01</t>
        </is>
      </c>
      <c r="G759" s="7" t="inlineStr">
        <is>
          <t>01</t>
        </is>
      </c>
      <c r="H759" s="7" t="n"/>
      <c r="I759" s="7" t="inlineStr">
        <is>
          <t>01</t>
        </is>
      </c>
      <c r="J759" s="7" t="inlineStr">
        <is>
          <t>Shaft</t>
        </is>
      </c>
      <c r="K759" s="7" t="inlineStr">
        <is>
          <t>Planejamento</t>
        </is>
      </c>
      <c r="L759" s="16" t="inlineStr">
        <is>
          <t>PDS-Fevereiro(1).docx</t>
        </is>
      </c>
      <c r="M759">
        <f>IF($A759="","",TEXT($A759,"mmmm/yyyy"))</f>
        <v/>
      </c>
      <c r="P759">
        <f>IFERROR(_xludf.XLOOKUP($N759,Base_Enderecos!$A:$A,Base_Enderecos!$B:$B,""),"")</f>
        <v/>
      </c>
      <c r="Q759">
        <f>IFERROR(_xludf.XLOOKUP($N759,Base_Enderecos!$A:$A,Base_Enderecos!$C:$C,""),"")</f>
        <v/>
      </c>
      <c r="R759">
        <f>IF(OR(ISNUMBER(SEARCH("HDD",$F759)),ISNUMBER(SEARCH("MND",$F759)),ISNUMBER(SEARCH("PEAD",$F759)),ISNUMBER(SEARCH("Puxe",$J759)),ISNUMBER(SEARCH("Apoio HDD",$F759))),"MND",IF(OR(ISNUMBER(SEARCH("VCA",$F759)),ISNUMBER(SEARCH("PVC",$F759)),ISNUMBER(SEARCH("vca",$J759)),ISNUMBER(SEARCH("Transformação",$J759))),"VCA",IF(OR(ISNUMBER(SEARCH("crava",$F759)),ISNUMBER(SEARCH("tubo cravado",$F759)),ISNUMBER(SEARCH("shaft",$J759)),ISNUMBER(SEARCH("concreto",$F759))),"TUBO CRAVADO","")))</f>
        <v/>
      </c>
      <c r="T759">
        <f>IF($A759="","",TEXT($A759,"yyyymm")&amp;"|"&amp;$C759&amp;"|"&amp;$F759&amp;"|"&amp;$N759&amp;"|"&amp;$R759)</f>
        <v/>
      </c>
    </row>
    <row r="760" ht="11.55" customHeight="1">
      <c r="A760" s="10" t="n">
        <v>46062</v>
      </c>
      <c r="B760" s="7" t="inlineStr">
        <is>
          <t>Segunda</t>
        </is>
      </c>
      <c r="C760" s="7" t="inlineStr">
        <is>
          <t>RCE ARARIBA</t>
        </is>
      </c>
      <c r="D760" s="7" t="inlineStr">
        <is>
          <t>ELOÍZIO</t>
        </is>
      </c>
      <c r="E760" s="7" t="inlineStr">
        <is>
          <t>WJ - 02</t>
        </is>
      </c>
      <c r="F760" s="13" t="inlineStr">
        <is>
          <t>Puxe entre PVs 10 ao 13</t>
        </is>
      </c>
      <c r="G760" s="7" t="inlineStr">
        <is>
          <t>10</t>
        </is>
      </c>
      <c r="H760" s="7" t="n"/>
      <c r="I760" s="7" t="inlineStr">
        <is>
          <t>10</t>
        </is>
      </c>
      <c r="J760" s="7" t="inlineStr">
        <is>
          <t>Puxe</t>
        </is>
      </c>
      <c r="K760" s="7" t="inlineStr">
        <is>
          <t>Planejamento</t>
        </is>
      </c>
      <c r="L760" s="16" t="inlineStr">
        <is>
          <t>PDS-Fevereiro(1).docx</t>
        </is>
      </c>
      <c r="M760">
        <f>IF($A760="","",TEXT($A760,"mmmm/yyyy"))</f>
        <v/>
      </c>
      <c r="P760">
        <f>IFERROR(_xludf.XLOOKUP($N760,Base_Enderecos!$A:$A,Base_Enderecos!$B:$B,""),"")</f>
        <v/>
      </c>
      <c r="Q760">
        <f>IFERROR(_xludf.XLOOKUP($N760,Base_Enderecos!$A:$A,Base_Enderecos!$C:$C,""),"")</f>
        <v/>
      </c>
      <c r="R760">
        <f>IF(OR(ISNUMBER(SEARCH("HDD",$F760)),ISNUMBER(SEARCH("MND",$F760)),ISNUMBER(SEARCH("PEAD",$F760)),ISNUMBER(SEARCH("Puxe",$J760)),ISNUMBER(SEARCH("Apoio HDD",$F760))),"MND",IF(OR(ISNUMBER(SEARCH("VCA",$F760)),ISNUMBER(SEARCH("PVC",$F760)),ISNUMBER(SEARCH("vca",$J760)),ISNUMBER(SEARCH("Transformação",$J760))),"VCA",IF(OR(ISNUMBER(SEARCH("crava",$F760)),ISNUMBER(SEARCH("tubo cravado",$F760)),ISNUMBER(SEARCH("shaft",$J760)),ISNUMBER(SEARCH("concreto",$F760))),"TUBO CRAVADO","")))</f>
        <v/>
      </c>
      <c r="T760">
        <f>IF($A760="","",TEXT($A760,"yyyymm")&amp;"|"&amp;$C760&amp;"|"&amp;$F760&amp;"|"&amp;$N760&amp;"|"&amp;$R760)</f>
        <v/>
      </c>
    </row>
    <row r="761" ht="11.55" customHeight="1">
      <c r="A761" s="10" t="n">
        <v>46062</v>
      </c>
      <c r="B761" s="7" t="inlineStr">
        <is>
          <t>Segunda</t>
        </is>
      </c>
      <c r="C761" s="7" t="inlineStr">
        <is>
          <t>RCE ARARIBA</t>
        </is>
      </c>
      <c r="D761" s="7" t="inlineStr">
        <is>
          <t>ELOÍZIO</t>
        </is>
      </c>
      <c r="E761" s="7" t="inlineStr">
        <is>
          <t>Natalino</t>
        </is>
      </c>
      <c r="F761" s="13" t="inlineStr">
        <is>
          <t>Apoio HDD PV 10 ao 13</t>
        </is>
      </c>
      <c r="G761" s="7" t="inlineStr">
        <is>
          <t>10</t>
        </is>
      </c>
      <c r="H761" s="7" t="n"/>
      <c r="I761" s="7" t="inlineStr">
        <is>
          <t>10</t>
        </is>
      </c>
      <c r="J761" s="7" t="inlineStr">
        <is>
          <t>Apoio HDD</t>
        </is>
      </c>
      <c r="K761" s="7" t="inlineStr">
        <is>
          <t>Planejamento</t>
        </is>
      </c>
      <c r="L761" s="16" t="inlineStr">
        <is>
          <t>PDS-Fevereiro(1).docx</t>
        </is>
      </c>
      <c r="M761">
        <f>IF($A761="","",TEXT($A761,"mmmm/yyyy"))</f>
        <v/>
      </c>
      <c r="P761">
        <f>IFERROR(_xludf.XLOOKUP($N761,Base_Enderecos!$A:$A,Base_Enderecos!$B:$B,""),"")</f>
        <v/>
      </c>
      <c r="Q761">
        <f>IFERROR(_xludf.XLOOKUP($N761,Base_Enderecos!$A:$A,Base_Enderecos!$C:$C,""),"")</f>
        <v/>
      </c>
      <c r="R761">
        <f>IF(OR(ISNUMBER(SEARCH("HDD",$F761)),ISNUMBER(SEARCH("MND",$F761)),ISNUMBER(SEARCH("PEAD",$F761)),ISNUMBER(SEARCH("Puxe",$J761)),ISNUMBER(SEARCH("Apoio HDD",$F761))),"MND",IF(OR(ISNUMBER(SEARCH("VCA",$F761)),ISNUMBER(SEARCH("PVC",$F761)),ISNUMBER(SEARCH("vca",$J761)),ISNUMBER(SEARCH("Transformação",$J761))),"VCA",IF(OR(ISNUMBER(SEARCH("crava",$F761)),ISNUMBER(SEARCH("tubo cravado",$F761)),ISNUMBER(SEARCH("shaft",$J761)),ISNUMBER(SEARCH("concreto",$F761))),"TUBO CRAVADO","")))</f>
        <v/>
      </c>
      <c r="T761">
        <f>IF($A761="","",TEXT($A761,"yyyymm")&amp;"|"&amp;$C761&amp;"|"&amp;$F761&amp;"|"&amp;$N761&amp;"|"&amp;$R761)</f>
        <v/>
      </c>
    </row>
    <row r="762" ht="11.55" customHeight="1">
      <c r="A762" s="10" t="n">
        <v>46062</v>
      </c>
      <c r="B762" s="7" t="inlineStr">
        <is>
          <t>Segunda</t>
        </is>
      </c>
      <c r="C762" s="7" t="inlineStr">
        <is>
          <t>RCE ARARIBA</t>
        </is>
      </c>
      <c r="D762" s="7" t="inlineStr">
        <is>
          <t>ELOÍZIO</t>
        </is>
      </c>
      <c r="E762" s="7" t="inlineStr">
        <is>
          <t>Paulo</t>
        </is>
      </c>
      <c r="F762" s="13" t="inlineStr">
        <is>
          <t>Transformação PV 09</t>
        </is>
      </c>
      <c r="G762" s="7" t="inlineStr">
        <is>
          <t>09</t>
        </is>
      </c>
      <c r="H762" s="7" t="n"/>
      <c r="I762" s="7" t="inlineStr">
        <is>
          <t>09</t>
        </is>
      </c>
      <c r="J762" s="7" t="inlineStr">
        <is>
          <t>Transformação</t>
        </is>
      </c>
      <c r="K762" s="7" t="inlineStr">
        <is>
          <t>Planejamento</t>
        </is>
      </c>
      <c r="L762" s="16" t="inlineStr">
        <is>
          <t>PDS-Fevereiro(1).docx</t>
        </is>
      </c>
      <c r="M762">
        <f>IF($A762="","",TEXT($A762,"mmmm/yyyy"))</f>
        <v/>
      </c>
      <c r="P762">
        <f>IFERROR(_xludf.XLOOKUP($N762,Base_Enderecos!$A:$A,Base_Enderecos!$B:$B,""),"")</f>
        <v/>
      </c>
      <c r="Q762">
        <f>IFERROR(_xludf.XLOOKUP($N762,Base_Enderecos!$A:$A,Base_Enderecos!$C:$C,""),"")</f>
        <v/>
      </c>
      <c r="R762">
        <f>IF(OR(ISNUMBER(SEARCH("HDD",$F762)),ISNUMBER(SEARCH("MND",$F762)),ISNUMBER(SEARCH("PEAD",$F762)),ISNUMBER(SEARCH("Puxe",$J762)),ISNUMBER(SEARCH("Apoio HDD",$F762))),"MND",IF(OR(ISNUMBER(SEARCH("VCA",$F762)),ISNUMBER(SEARCH("PVC",$F762)),ISNUMBER(SEARCH("vca",$J762)),ISNUMBER(SEARCH("Transformação",$J762))),"VCA",IF(OR(ISNUMBER(SEARCH("crava",$F762)),ISNUMBER(SEARCH("tubo cravado",$F762)),ISNUMBER(SEARCH("shaft",$J762)),ISNUMBER(SEARCH("concreto",$F762))),"TUBO CRAVADO","")))</f>
        <v/>
      </c>
      <c r="T762">
        <f>IF($A762="","",TEXT($A762,"yyyymm")&amp;"|"&amp;$C762&amp;"|"&amp;$F762&amp;"|"&amp;$N762&amp;"|"&amp;$R762)</f>
        <v/>
      </c>
    </row>
    <row r="763" ht="11.55" customHeight="1">
      <c r="A763" s="10" t="n">
        <v>46062</v>
      </c>
      <c r="B763" s="7" t="inlineStr">
        <is>
          <t>Segunda</t>
        </is>
      </c>
      <c r="C763" s="7" t="inlineStr">
        <is>
          <t>Vacal</t>
        </is>
      </c>
      <c r="D763" s="7" t="n"/>
      <c r="E763" s="7" t="inlineStr">
        <is>
          <t>Arariba</t>
        </is>
      </c>
      <c r="F763" s="13" t="inlineStr">
        <is>
          <t>Apoio Vacal</t>
        </is>
      </c>
      <c r="G763" s="7" t="n"/>
      <c r="H763" s="7" t="n"/>
      <c r="I763" s="7" t="n"/>
      <c r="J763" s="7" t="inlineStr">
        <is>
          <t>Vacal</t>
        </is>
      </c>
      <c r="K763" s="7" t="inlineStr">
        <is>
          <t>Apoio</t>
        </is>
      </c>
      <c r="L763" s="16" t="inlineStr">
        <is>
          <t>PDS-Fevereiro(1).docx</t>
        </is>
      </c>
      <c r="M763">
        <f>IF($A763="","",TEXT($A763,"mmmm/yyyy"))</f>
        <v/>
      </c>
      <c r="P763">
        <f>IFERROR(_xludf.XLOOKUP($N763,Base_Enderecos!$A:$A,Base_Enderecos!$B:$B,""),"")</f>
        <v/>
      </c>
      <c r="Q763">
        <f>IFERROR(_xludf.XLOOKUP($N763,Base_Enderecos!$A:$A,Base_Enderecos!$C:$C,""),"")</f>
        <v/>
      </c>
      <c r="R763">
        <f>IF(OR(ISNUMBER(SEARCH("HDD",$F763)),ISNUMBER(SEARCH("MND",$F763)),ISNUMBER(SEARCH("PEAD",$F763)),ISNUMBER(SEARCH("Puxe",$J763)),ISNUMBER(SEARCH("Apoio HDD",$F763))),"MND",IF(OR(ISNUMBER(SEARCH("VCA",$F763)),ISNUMBER(SEARCH("PVC",$F763)),ISNUMBER(SEARCH("vca",$J763)),ISNUMBER(SEARCH("Transformação",$J763))),"VCA",IF(OR(ISNUMBER(SEARCH("crava",$F763)),ISNUMBER(SEARCH("tubo cravado",$F763)),ISNUMBER(SEARCH("shaft",$J763)),ISNUMBER(SEARCH("concreto",$F763))),"TUBO CRAVADO","")))</f>
        <v/>
      </c>
      <c r="T763">
        <f>IF($A763="","",TEXT($A763,"yyyymm")&amp;"|"&amp;$C763&amp;"|"&amp;$F763&amp;"|"&amp;$N763&amp;"|"&amp;$R763)</f>
        <v/>
      </c>
    </row>
    <row r="764" ht="11.55" customHeight="1">
      <c r="A764" s="10" t="n">
        <v>46062</v>
      </c>
      <c r="B764" s="7" t="inlineStr">
        <is>
          <t>Segunda</t>
        </is>
      </c>
      <c r="C764" s="7" t="inlineStr">
        <is>
          <t>Vacal</t>
        </is>
      </c>
      <c r="D764" s="7" t="n"/>
      <c r="E764" s="7" t="inlineStr">
        <is>
          <t>Água Vermelha</t>
        </is>
      </c>
      <c r="F764" s="13" t="inlineStr">
        <is>
          <t>Apoio Vacal</t>
        </is>
      </c>
      <c r="G764" s="7" t="n"/>
      <c r="H764" s="7" t="n"/>
      <c r="I764" s="7" t="n"/>
      <c r="J764" s="7" t="inlineStr">
        <is>
          <t>Vacal</t>
        </is>
      </c>
      <c r="K764" s="7" t="inlineStr">
        <is>
          <t>Apoio</t>
        </is>
      </c>
      <c r="L764" s="16" t="inlineStr">
        <is>
          <t>PDS-Fevereiro(1).docx</t>
        </is>
      </c>
      <c r="M764">
        <f>IF($A764="","",TEXT($A764,"mmmm/yyyy"))</f>
        <v/>
      </c>
      <c r="P764">
        <f>IFERROR(_xludf.XLOOKUP($N764,Base_Enderecos!$A:$A,Base_Enderecos!$B:$B,""),"")</f>
        <v/>
      </c>
      <c r="Q764">
        <f>IFERROR(_xludf.XLOOKUP($N764,Base_Enderecos!$A:$A,Base_Enderecos!$C:$C,""),"")</f>
        <v/>
      </c>
      <c r="R764">
        <f>IF(OR(ISNUMBER(SEARCH("HDD",$F764)),ISNUMBER(SEARCH("MND",$F764)),ISNUMBER(SEARCH("PEAD",$F764)),ISNUMBER(SEARCH("Puxe",$J764)),ISNUMBER(SEARCH("Apoio HDD",$F764))),"MND",IF(OR(ISNUMBER(SEARCH("VCA",$F764)),ISNUMBER(SEARCH("PVC",$F764)),ISNUMBER(SEARCH("vca",$J764)),ISNUMBER(SEARCH("Transformação",$J764))),"VCA",IF(OR(ISNUMBER(SEARCH("crava",$F764)),ISNUMBER(SEARCH("tubo cravado",$F764)),ISNUMBER(SEARCH("shaft",$J764)),ISNUMBER(SEARCH("concreto",$F764))),"TUBO CRAVADO","")))</f>
        <v/>
      </c>
      <c r="T764">
        <f>IF($A764="","",TEXT($A764,"yyyymm")&amp;"|"&amp;$C764&amp;"|"&amp;$F764&amp;"|"&amp;$N764&amp;"|"&amp;$R764)</f>
        <v/>
      </c>
    </row>
    <row r="765" ht="11.55" customHeight="1">
      <c r="A765" s="10" t="n">
        <v>46062</v>
      </c>
      <c r="B765" s="7" t="inlineStr">
        <is>
          <t>Segunda</t>
        </is>
      </c>
      <c r="C765" s="7" t="inlineStr">
        <is>
          <t>Vacal</t>
        </is>
      </c>
      <c r="D765" s="7" t="n"/>
      <c r="E765" s="7" t="inlineStr">
        <is>
          <t>Mar de Coral</t>
        </is>
      </c>
      <c r="F765" s="13" t="inlineStr">
        <is>
          <t>Apoio Vacal</t>
        </is>
      </c>
      <c r="G765" s="7" t="n"/>
      <c r="H765" s="7" t="n"/>
      <c r="I765" s="7" t="n"/>
      <c r="J765" s="7" t="inlineStr">
        <is>
          <t>Vacal</t>
        </is>
      </c>
      <c r="K765" s="7" t="inlineStr">
        <is>
          <t>Apoio</t>
        </is>
      </c>
      <c r="L765" s="16" t="inlineStr">
        <is>
          <t>PDS-Fevereiro(1).docx</t>
        </is>
      </c>
      <c r="M765">
        <f>IF($A765="","",TEXT($A765,"mmmm/yyyy"))</f>
        <v/>
      </c>
      <c r="P765">
        <f>IFERROR(_xludf.XLOOKUP($N765,Base_Enderecos!$A:$A,Base_Enderecos!$B:$B,""),"")</f>
        <v/>
      </c>
      <c r="Q765">
        <f>IFERROR(_xludf.XLOOKUP($N765,Base_Enderecos!$A:$A,Base_Enderecos!$C:$C,""),"")</f>
        <v/>
      </c>
      <c r="R765">
        <f>IF(OR(ISNUMBER(SEARCH("HDD",$F765)),ISNUMBER(SEARCH("MND",$F765)),ISNUMBER(SEARCH("PEAD",$F765)),ISNUMBER(SEARCH("Puxe",$J765)),ISNUMBER(SEARCH("Apoio HDD",$F765))),"MND",IF(OR(ISNUMBER(SEARCH("VCA",$F765)),ISNUMBER(SEARCH("PVC",$F765)),ISNUMBER(SEARCH("vca",$J765)),ISNUMBER(SEARCH("Transformação",$J765))),"VCA",IF(OR(ISNUMBER(SEARCH("crava",$F765)),ISNUMBER(SEARCH("tubo cravado",$F765)),ISNUMBER(SEARCH("shaft",$J765)),ISNUMBER(SEARCH("concreto",$F765))),"TUBO CRAVADO","")))</f>
        <v/>
      </c>
      <c r="T765">
        <f>IF($A765="","",TEXT($A765,"yyyymm")&amp;"|"&amp;$C765&amp;"|"&amp;$F765&amp;"|"&amp;$N765&amp;"|"&amp;$R765)</f>
        <v/>
      </c>
    </row>
    <row r="766" ht="11.55" customHeight="1">
      <c r="A766" s="10" t="n">
        <v>46062</v>
      </c>
      <c r="B766" s="7" t="inlineStr">
        <is>
          <t>Segunda</t>
        </is>
      </c>
      <c r="C766" s="7" t="inlineStr">
        <is>
          <t>Vacal</t>
        </is>
      </c>
      <c r="D766" s="7" t="n"/>
      <c r="E766" s="7" t="inlineStr">
        <is>
          <t>Mar de Coral</t>
        </is>
      </c>
      <c r="F766" s="13" t="inlineStr">
        <is>
          <t>Apoio Vacal</t>
        </is>
      </c>
      <c r="G766" s="7" t="n"/>
      <c r="H766" s="7" t="n"/>
      <c r="I766" s="7" t="n"/>
      <c r="J766" s="7" t="inlineStr">
        <is>
          <t>Vacal</t>
        </is>
      </c>
      <c r="K766" s="7" t="inlineStr">
        <is>
          <t>Apoio</t>
        </is>
      </c>
      <c r="L766" s="16" t="inlineStr">
        <is>
          <t>PDS-Fevereiro(1).docx</t>
        </is>
      </c>
      <c r="M766">
        <f>IF($A766="","",TEXT($A766,"mmmm/yyyy"))</f>
        <v/>
      </c>
      <c r="P766">
        <f>IFERROR(_xludf.XLOOKUP($N766,Base_Enderecos!$A:$A,Base_Enderecos!$B:$B,""),"")</f>
        <v/>
      </c>
      <c r="Q766">
        <f>IFERROR(_xludf.XLOOKUP($N766,Base_Enderecos!$A:$A,Base_Enderecos!$C:$C,""),"")</f>
        <v/>
      </c>
      <c r="R766">
        <f>IF(OR(ISNUMBER(SEARCH("HDD",$F766)),ISNUMBER(SEARCH("MND",$F766)),ISNUMBER(SEARCH("PEAD",$F766)),ISNUMBER(SEARCH("Puxe",$J766)),ISNUMBER(SEARCH("Apoio HDD",$F766))),"MND",IF(OR(ISNUMBER(SEARCH("VCA",$F766)),ISNUMBER(SEARCH("PVC",$F766)),ISNUMBER(SEARCH("vca",$J766)),ISNUMBER(SEARCH("Transformação",$J766))),"VCA",IF(OR(ISNUMBER(SEARCH("crava",$F766)),ISNUMBER(SEARCH("tubo cravado",$F766)),ISNUMBER(SEARCH("shaft",$J766)),ISNUMBER(SEARCH("concreto",$F766))),"TUBO CRAVADO","")))</f>
        <v/>
      </c>
      <c r="T766">
        <f>IF($A766="","",TEXT($A766,"yyyymm")&amp;"|"&amp;$C766&amp;"|"&amp;$F766&amp;"|"&amp;$N766&amp;"|"&amp;$R766)</f>
        <v/>
      </c>
    </row>
    <row r="767" ht="11.55" customHeight="1">
      <c r="A767" s="10" t="n">
        <v>46062</v>
      </c>
      <c r="B767" s="7" t="inlineStr">
        <is>
          <t>Segunda</t>
        </is>
      </c>
      <c r="C767" s="7" t="inlineStr">
        <is>
          <t>Guindauto</t>
        </is>
      </c>
      <c r="D767" s="7" t="n"/>
      <c r="E767" s="7" t="inlineStr">
        <is>
          <t>Rodrigo</t>
        </is>
      </c>
      <c r="F767" s="13" t="inlineStr">
        <is>
          <t>Rodrigo - Apoio as equipes</t>
        </is>
      </c>
      <c r="G767" s="7" t="n"/>
      <c r="H767" s="7" t="n"/>
      <c r="I767" s="7" t="n"/>
      <c r="J767" s="7" t="inlineStr">
        <is>
          <t>Guindauto</t>
        </is>
      </c>
      <c r="K767" s="7" t="inlineStr">
        <is>
          <t>Apoio</t>
        </is>
      </c>
      <c r="L767" s="16" t="inlineStr">
        <is>
          <t>PDS-Fevereiro(1).docx</t>
        </is>
      </c>
      <c r="M767">
        <f>IF($A767="","",TEXT($A767,"mmmm/yyyy"))</f>
        <v/>
      </c>
      <c r="P767">
        <f>IFERROR(_xludf.XLOOKUP($N767,Base_Enderecos!$A:$A,Base_Enderecos!$B:$B,""),"")</f>
        <v/>
      </c>
      <c r="Q767">
        <f>IFERROR(_xludf.XLOOKUP($N767,Base_Enderecos!$A:$A,Base_Enderecos!$C:$C,""),"")</f>
        <v/>
      </c>
      <c r="R767">
        <f>IF(OR(ISNUMBER(SEARCH("HDD",$F767)),ISNUMBER(SEARCH("MND",$F767)),ISNUMBER(SEARCH("PEAD",$F767)),ISNUMBER(SEARCH("Puxe",$J767)),ISNUMBER(SEARCH("Apoio HDD",$F767))),"MND",IF(OR(ISNUMBER(SEARCH("VCA",$F767)),ISNUMBER(SEARCH("PVC",$F767)),ISNUMBER(SEARCH("vca",$J767)),ISNUMBER(SEARCH("Transformação",$J767))),"VCA",IF(OR(ISNUMBER(SEARCH("crava",$F767)),ISNUMBER(SEARCH("tubo cravado",$F767)),ISNUMBER(SEARCH("shaft",$J767)),ISNUMBER(SEARCH("concreto",$F767))),"TUBO CRAVADO","")))</f>
        <v/>
      </c>
      <c r="T767">
        <f>IF($A767="","",TEXT($A767,"yyyymm")&amp;"|"&amp;$C767&amp;"|"&amp;$F767&amp;"|"&amp;$N767&amp;"|"&amp;$R767)</f>
        <v/>
      </c>
    </row>
    <row r="768" ht="11.55" customHeight="1">
      <c r="A768" s="10" t="n">
        <v>46062</v>
      </c>
      <c r="B768" s="7" t="inlineStr">
        <is>
          <t>Segunda</t>
        </is>
      </c>
      <c r="C768" s="7" t="inlineStr">
        <is>
          <t>Guindauto</t>
        </is>
      </c>
      <c r="D768" s="7" t="n"/>
      <c r="E768" s="7" t="inlineStr">
        <is>
          <t>Marcio</t>
        </is>
      </c>
      <c r="F768" s="13" t="inlineStr">
        <is>
          <t>Marcio - Apoio as equipes</t>
        </is>
      </c>
      <c r="G768" s="7" t="n"/>
      <c r="H768" s="7" t="n"/>
      <c r="I768" s="7" t="n"/>
      <c r="J768" s="7" t="inlineStr">
        <is>
          <t>Guindauto</t>
        </is>
      </c>
      <c r="K768" s="7" t="inlineStr">
        <is>
          <t>Apoio</t>
        </is>
      </c>
      <c r="L768" s="16" t="inlineStr">
        <is>
          <t>PDS-Fevereiro(1).docx</t>
        </is>
      </c>
      <c r="M768">
        <f>IF($A768="","",TEXT($A768,"mmmm/yyyy"))</f>
        <v/>
      </c>
      <c r="P768">
        <f>IFERROR(_xludf.XLOOKUP($N768,Base_Enderecos!$A:$A,Base_Enderecos!$B:$B,""),"")</f>
        <v/>
      </c>
      <c r="Q768">
        <f>IFERROR(_xludf.XLOOKUP($N768,Base_Enderecos!$A:$A,Base_Enderecos!$C:$C,""),"")</f>
        <v/>
      </c>
      <c r="R768">
        <f>IF(OR(ISNUMBER(SEARCH("HDD",$F768)),ISNUMBER(SEARCH("MND",$F768)),ISNUMBER(SEARCH("PEAD",$F768)),ISNUMBER(SEARCH("Puxe",$J768)),ISNUMBER(SEARCH("Apoio HDD",$F768))),"MND",IF(OR(ISNUMBER(SEARCH("VCA",$F768)),ISNUMBER(SEARCH("PVC",$F768)),ISNUMBER(SEARCH("vca",$J768)),ISNUMBER(SEARCH("Transformação",$J768))),"VCA",IF(OR(ISNUMBER(SEARCH("crava",$F768)),ISNUMBER(SEARCH("tubo cravado",$F768)),ISNUMBER(SEARCH("shaft",$J768)),ISNUMBER(SEARCH("concreto",$F768))),"TUBO CRAVADO","")))</f>
        <v/>
      </c>
      <c r="T768">
        <f>IF($A768="","",TEXT($A768,"yyyymm")&amp;"|"&amp;$C768&amp;"|"&amp;$F768&amp;"|"&amp;$N768&amp;"|"&amp;$R768)</f>
        <v/>
      </c>
    </row>
    <row r="769" ht="11.55" customHeight="1">
      <c r="A769" s="10" t="n">
        <v>46063</v>
      </c>
      <c r="B769" s="7" t="inlineStr">
        <is>
          <t>Terça</t>
        </is>
      </c>
      <c r="C769" s="7" t="inlineStr">
        <is>
          <t>CT MAR DE CORAL</t>
        </is>
      </c>
      <c r="D769" s="7" t="inlineStr">
        <is>
          <t>LEANDRO e SILVESTRE</t>
        </is>
      </c>
      <c r="E769" s="7" t="inlineStr">
        <is>
          <t>Valter</t>
        </is>
      </c>
      <c r="F769" s="13" t="inlineStr">
        <is>
          <t>Transformação PV 10</t>
        </is>
      </c>
      <c r="G769" s="7" t="inlineStr">
        <is>
          <t>10</t>
        </is>
      </c>
      <c r="H769" s="7" t="n"/>
      <c r="I769" s="7" t="inlineStr">
        <is>
          <t>10</t>
        </is>
      </c>
      <c r="J769" s="7" t="inlineStr">
        <is>
          <t>Transformação</t>
        </is>
      </c>
      <c r="K769" s="7" t="inlineStr">
        <is>
          <t>Planejamento</t>
        </is>
      </c>
      <c r="L769" s="16" t="inlineStr">
        <is>
          <t>PDS-Fevereiro(1).docx</t>
        </is>
      </c>
      <c r="M769">
        <f>IF($A769="","",TEXT($A769,"mmmm/yyyy"))</f>
        <v/>
      </c>
      <c r="P769">
        <f>IFERROR(_xludf.XLOOKUP($N769,Base_Enderecos!$A:$A,Base_Enderecos!$B:$B,""),"")</f>
        <v/>
      </c>
      <c r="Q769">
        <f>IFERROR(_xludf.XLOOKUP($N769,Base_Enderecos!$A:$A,Base_Enderecos!$C:$C,""),"")</f>
        <v/>
      </c>
      <c r="R769">
        <f>IF(OR(ISNUMBER(SEARCH("HDD",$F769)),ISNUMBER(SEARCH("MND",$F769)),ISNUMBER(SEARCH("PEAD",$F769)),ISNUMBER(SEARCH("Puxe",$J769)),ISNUMBER(SEARCH("Apoio HDD",$F769))),"MND",IF(OR(ISNUMBER(SEARCH("VCA",$F769)),ISNUMBER(SEARCH("PVC",$F769)),ISNUMBER(SEARCH("vca",$J769)),ISNUMBER(SEARCH("Transformação",$J769))),"VCA",IF(OR(ISNUMBER(SEARCH("crava",$F769)),ISNUMBER(SEARCH("tubo cravado",$F769)),ISNUMBER(SEARCH("shaft",$J769)),ISNUMBER(SEARCH("concreto",$F769))),"TUBO CRAVADO","")))</f>
        <v/>
      </c>
      <c r="T769">
        <f>IF($A769="","",TEXT($A769,"yyyymm")&amp;"|"&amp;$C769&amp;"|"&amp;$F769&amp;"|"&amp;$N769&amp;"|"&amp;$R769)</f>
        <v/>
      </c>
    </row>
    <row r="770" ht="11.55" customHeight="1">
      <c r="A770" s="10" t="n">
        <v>46063</v>
      </c>
      <c r="B770" s="7" t="inlineStr">
        <is>
          <t>Terça</t>
        </is>
      </c>
      <c r="C770" s="7" t="inlineStr">
        <is>
          <t>CT MAR DE CORAL</t>
        </is>
      </c>
      <c r="D770" s="7" t="inlineStr">
        <is>
          <t>LEANDRO e SILVESTRE</t>
        </is>
      </c>
      <c r="E770" s="7" t="inlineStr">
        <is>
          <t>Work Drill</t>
        </is>
      </c>
      <c r="F770" s="13" t="inlineStr">
        <is>
          <t>Furo Piloto e Puxe entre PVs 30 ao 33</t>
        </is>
      </c>
      <c r="G770" s="7" t="inlineStr">
        <is>
          <t>30</t>
        </is>
      </c>
      <c r="H770" s="7" t="n"/>
      <c r="I770" s="7" t="inlineStr">
        <is>
          <t>30</t>
        </is>
      </c>
      <c r="J770" s="7" t="inlineStr">
        <is>
          <t>Furo piloto</t>
        </is>
      </c>
      <c r="K770" s="7" t="inlineStr">
        <is>
          <t>Planejamento</t>
        </is>
      </c>
      <c r="L770" s="16" t="inlineStr">
        <is>
          <t>PDS-Fevereiro(1).docx</t>
        </is>
      </c>
      <c r="M770">
        <f>IF($A770="","",TEXT($A770,"mmmm/yyyy"))</f>
        <v/>
      </c>
      <c r="P770">
        <f>IFERROR(_xludf.XLOOKUP($N770,Base_Enderecos!$A:$A,Base_Enderecos!$B:$B,""),"")</f>
        <v/>
      </c>
      <c r="Q770">
        <f>IFERROR(_xludf.XLOOKUP($N770,Base_Enderecos!$A:$A,Base_Enderecos!$C:$C,""),"")</f>
        <v/>
      </c>
      <c r="R770">
        <f>IF(OR(ISNUMBER(SEARCH("HDD",$F770)),ISNUMBER(SEARCH("MND",$F770)),ISNUMBER(SEARCH("PEAD",$F770)),ISNUMBER(SEARCH("Puxe",$J770)),ISNUMBER(SEARCH("Apoio HDD",$F770))),"MND",IF(OR(ISNUMBER(SEARCH("VCA",$F770)),ISNUMBER(SEARCH("PVC",$F770)),ISNUMBER(SEARCH("vca",$J770)),ISNUMBER(SEARCH("Transformação",$J770))),"VCA",IF(OR(ISNUMBER(SEARCH("crava",$F770)),ISNUMBER(SEARCH("tubo cravado",$F770)),ISNUMBER(SEARCH("shaft",$J770)),ISNUMBER(SEARCH("concreto",$F770))),"TUBO CRAVADO","")))</f>
        <v/>
      </c>
      <c r="T770">
        <f>IF($A770="","",TEXT($A770,"yyyymm")&amp;"|"&amp;$C770&amp;"|"&amp;$F770&amp;"|"&amp;$N770&amp;"|"&amp;$R770)</f>
        <v/>
      </c>
    </row>
    <row r="771" ht="11.55" customHeight="1">
      <c r="A771" s="10" t="n">
        <v>46063</v>
      </c>
      <c r="B771" s="7" t="inlineStr">
        <is>
          <t>Terça</t>
        </is>
      </c>
      <c r="C771" s="7" t="inlineStr">
        <is>
          <t>CT MAR DE CORAL</t>
        </is>
      </c>
      <c r="D771" s="7" t="inlineStr">
        <is>
          <t>LEANDRO e SILVESTRE</t>
        </is>
      </c>
      <c r="E771" s="7" t="inlineStr">
        <is>
          <t>Medeiros</t>
        </is>
      </c>
      <c r="F771" s="13" t="inlineStr">
        <is>
          <t>Apoio HDD entre os PVs 30 ao PV 33</t>
        </is>
      </c>
      <c r="G771" s="7" t="inlineStr">
        <is>
          <t>30</t>
        </is>
      </c>
      <c r="H771" s="7" t="inlineStr">
        <is>
          <t>33</t>
        </is>
      </c>
      <c r="I771" s="7" t="inlineStr">
        <is>
          <t>30, 33</t>
        </is>
      </c>
      <c r="J771" s="7" t="inlineStr">
        <is>
          <t>Apoio HDD</t>
        </is>
      </c>
      <c r="K771" s="7" t="inlineStr">
        <is>
          <t>Planejamento</t>
        </is>
      </c>
      <c r="L771" s="16" t="inlineStr">
        <is>
          <t>PDS-Fevereiro(1).docx</t>
        </is>
      </c>
      <c r="M771">
        <f>IF($A771="","",TEXT($A771,"mmmm/yyyy"))</f>
        <v/>
      </c>
      <c r="P771">
        <f>IFERROR(_xludf.XLOOKUP($N771,Base_Enderecos!$A:$A,Base_Enderecos!$B:$B,""),"")</f>
        <v/>
      </c>
      <c r="Q771">
        <f>IFERROR(_xludf.XLOOKUP($N771,Base_Enderecos!$A:$A,Base_Enderecos!$C:$C,""),"")</f>
        <v/>
      </c>
      <c r="R771">
        <f>IF(OR(ISNUMBER(SEARCH("HDD",$F771)),ISNUMBER(SEARCH("MND",$F771)),ISNUMBER(SEARCH("PEAD",$F771)),ISNUMBER(SEARCH("Puxe",$J771)),ISNUMBER(SEARCH("Apoio HDD",$F771))),"MND",IF(OR(ISNUMBER(SEARCH("VCA",$F771)),ISNUMBER(SEARCH("PVC",$F771)),ISNUMBER(SEARCH("vca",$J771)),ISNUMBER(SEARCH("Transformação",$J771))),"VCA",IF(OR(ISNUMBER(SEARCH("crava",$F771)),ISNUMBER(SEARCH("tubo cravado",$F771)),ISNUMBER(SEARCH("shaft",$J771)),ISNUMBER(SEARCH("concreto",$F771))),"TUBO CRAVADO","")))</f>
        <v/>
      </c>
      <c r="T771">
        <f>IF($A771="","",TEXT($A771,"yyyymm")&amp;"|"&amp;$C771&amp;"|"&amp;$F771&amp;"|"&amp;$N771&amp;"|"&amp;$R771)</f>
        <v/>
      </c>
    </row>
    <row r="772" ht="11.55" customHeight="1">
      <c r="A772" s="10" t="n">
        <v>46063</v>
      </c>
      <c r="B772" s="7" t="inlineStr">
        <is>
          <t>Terça</t>
        </is>
      </c>
      <c r="C772" s="7" t="inlineStr">
        <is>
          <t>CT MAR DE CORAL</t>
        </is>
      </c>
      <c r="D772" s="7" t="inlineStr">
        <is>
          <t>LEANDRO e SILVESTRE</t>
        </is>
      </c>
      <c r="E772" s="7" t="inlineStr">
        <is>
          <t>Marcio</t>
        </is>
      </c>
      <c r="F772" s="13" t="inlineStr">
        <is>
          <t>VCA PV 12 ao 13</t>
        </is>
      </c>
      <c r="G772" s="7" t="inlineStr">
        <is>
          <t>12</t>
        </is>
      </c>
      <c r="H772" s="7" t="n"/>
      <c r="I772" s="7" t="inlineStr">
        <is>
          <t>12</t>
        </is>
      </c>
      <c r="J772" s="7" t="inlineStr">
        <is>
          <t>VCA</t>
        </is>
      </c>
      <c r="K772" s="7" t="inlineStr">
        <is>
          <t>Planejamento</t>
        </is>
      </c>
      <c r="L772" s="16" t="inlineStr">
        <is>
          <t>PDS-Fevereiro(1).docx</t>
        </is>
      </c>
      <c r="M772">
        <f>IF($A772="","",TEXT($A772,"mmmm/yyyy"))</f>
        <v/>
      </c>
      <c r="P772">
        <f>IFERROR(_xludf.XLOOKUP($N772,Base_Enderecos!$A:$A,Base_Enderecos!$B:$B,""),"")</f>
        <v/>
      </c>
      <c r="Q772">
        <f>IFERROR(_xludf.XLOOKUP($N772,Base_Enderecos!$A:$A,Base_Enderecos!$C:$C,""),"")</f>
        <v/>
      </c>
      <c r="R772">
        <f>IF(OR(ISNUMBER(SEARCH("HDD",$F772)),ISNUMBER(SEARCH("MND",$F772)),ISNUMBER(SEARCH("PEAD",$F772)),ISNUMBER(SEARCH("Puxe",$J772)),ISNUMBER(SEARCH("Apoio HDD",$F772))),"MND",IF(OR(ISNUMBER(SEARCH("VCA",$F772)),ISNUMBER(SEARCH("PVC",$F772)),ISNUMBER(SEARCH("vca",$J772)),ISNUMBER(SEARCH("Transformação",$J772))),"VCA",IF(OR(ISNUMBER(SEARCH("crava",$F772)),ISNUMBER(SEARCH("tubo cravado",$F772)),ISNUMBER(SEARCH("shaft",$J772)),ISNUMBER(SEARCH("concreto",$F772))),"TUBO CRAVADO","")))</f>
        <v/>
      </c>
      <c r="T772">
        <f>IF($A772="","",TEXT($A772,"yyyymm")&amp;"|"&amp;$C772&amp;"|"&amp;$F772&amp;"|"&amp;$N772&amp;"|"&amp;$R772)</f>
        <v/>
      </c>
    </row>
    <row r="773" ht="11.55" customHeight="1">
      <c r="A773" s="10" t="n">
        <v>46063</v>
      </c>
      <c r="B773" s="7" t="inlineStr">
        <is>
          <t>Terça</t>
        </is>
      </c>
      <c r="C773" s="7" t="inlineStr">
        <is>
          <t>CT MAR DE CORAL</t>
        </is>
      </c>
      <c r="D773" s="7" t="inlineStr">
        <is>
          <t>LEANDRO e SILVESTRE</t>
        </is>
      </c>
      <c r="E773" s="7" t="inlineStr">
        <is>
          <t>Sergio</t>
        </is>
      </c>
      <c r="F773" s="13" t="inlineStr">
        <is>
          <t>Transformação PV 23</t>
        </is>
      </c>
      <c r="G773" s="7" t="inlineStr">
        <is>
          <t>23</t>
        </is>
      </c>
      <c r="H773" s="7" t="n"/>
      <c r="I773" s="7" t="inlineStr">
        <is>
          <t>23</t>
        </is>
      </c>
      <c r="J773" s="7" t="inlineStr">
        <is>
          <t>Transformação</t>
        </is>
      </c>
      <c r="K773" s="7" t="inlineStr">
        <is>
          <t>Planejamento</t>
        </is>
      </c>
      <c r="L773" s="16" t="inlineStr">
        <is>
          <t>PDS-Fevereiro(1).docx</t>
        </is>
      </c>
      <c r="M773">
        <f>IF($A773="","",TEXT($A773,"mmmm/yyyy"))</f>
        <v/>
      </c>
      <c r="P773">
        <f>IFERROR(_xludf.XLOOKUP($N773,Base_Enderecos!$A:$A,Base_Enderecos!$B:$B,""),"")</f>
        <v/>
      </c>
      <c r="Q773">
        <f>IFERROR(_xludf.XLOOKUP($N773,Base_Enderecos!$A:$A,Base_Enderecos!$C:$C,""),"")</f>
        <v/>
      </c>
      <c r="R773">
        <f>IF(OR(ISNUMBER(SEARCH("HDD",$F773)),ISNUMBER(SEARCH("MND",$F773)),ISNUMBER(SEARCH("PEAD",$F773)),ISNUMBER(SEARCH("Puxe",$J773)),ISNUMBER(SEARCH("Apoio HDD",$F773))),"MND",IF(OR(ISNUMBER(SEARCH("VCA",$F773)),ISNUMBER(SEARCH("PVC",$F773)),ISNUMBER(SEARCH("vca",$J773)),ISNUMBER(SEARCH("Transformação",$J773))),"VCA",IF(OR(ISNUMBER(SEARCH("crava",$F773)),ISNUMBER(SEARCH("tubo cravado",$F773)),ISNUMBER(SEARCH("shaft",$J773)),ISNUMBER(SEARCH("concreto",$F773))),"TUBO CRAVADO","")))</f>
        <v/>
      </c>
      <c r="T773">
        <f>IF($A773="","",TEXT($A773,"yyyymm")&amp;"|"&amp;$C773&amp;"|"&amp;$F773&amp;"|"&amp;$N773&amp;"|"&amp;$R773)</f>
        <v/>
      </c>
    </row>
    <row r="774" ht="11.55" customHeight="1">
      <c r="A774" s="10" t="n">
        <v>46063</v>
      </c>
      <c r="B774" s="7" t="inlineStr">
        <is>
          <t>Terça</t>
        </is>
      </c>
      <c r="C774" s="7" t="inlineStr">
        <is>
          <t>CT MAR DE CORAL</t>
        </is>
      </c>
      <c r="D774" s="7" t="inlineStr">
        <is>
          <t>LEANDRO e SILVESTRE</t>
        </is>
      </c>
      <c r="E774" s="7" t="inlineStr">
        <is>
          <t>Carlos</t>
        </is>
      </c>
      <c r="F774" s="13" t="inlineStr">
        <is>
          <t>Transformação PV 5.10</t>
        </is>
      </c>
      <c r="G774" s="7" t="inlineStr">
        <is>
          <t>5.10</t>
        </is>
      </c>
      <c r="H774" s="7" t="n"/>
      <c r="I774" s="7" t="inlineStr">
        <is>
          <t>5.10</t>
        </is>
      </c>
      <c r="J774" s="7" t="inlineStr">
        <is>
          <t>Transformação</t>
        </is>
      </c>
      <c r="K774" s="7" t="inlineStr">
        <is>
          <t>Planejamento</t>
        </is>
      </c>
      <c r="L774" s="16" t="inlineStr">
        <is>
          <t>PDS-Fevereiro(1).docx</t>
        </is>
      </c>
      <c r="M774">
        <f>IF($A774="","",TEXT($A774,"mmmm/yyyy"))</f>
        <v/>
      </c>
      <c r="P774">
        <f>IFERROR(_xludf.XLOOKUP($N774,Base_Enderecos!$A:$A,Base_Enderecos!$B:$B,""),"")</f>
        <v/>
      </c>
      <c r="Q774">
        <f>IFERROR(_xludf.XLOOKUP($N774,Base_Enderecos!$A:$A,Base_Enderecos!$C:$C,""),"")</f>
        <v/>
      </c>
      <c r="R774">
        <f>IF(OR(ISNUMBER(SEARCH("HDD",$F774)),ISNUMBER(SEARCH("MND",$F774)),ISNUMBER(SEARCH("PEAD",$F774)),ISNUMBER(SEARCH("Puxe",$J774)),ISNUMBER(SEARCH("Apoio HDD",$F774))),"MND",IF(OR(ISNUMBER(SEARCH("VCA",$F774)),ISNUMBER(SEARCH("PVC",$F774)),ISNUMBER(SEARCH("vca",$J774)),ISNUMBER(SEARCH("Transformação",$J774))),"VCA",IF(OR(ISNUMBER(SEARCH("crava",$F774)),ISNUMBER(SEARCH("tubo cravado",$F774)),ISNUMBER(SEARCH("shaft",$J774)),ISNUMBER(SEARCH("concreto",$F774))),"TUBO CRAVADO","")))</f>
        <v/>
      </c>
      <c r="T774">
        <f>IF($A774="","",TEXT($A774,"yyyymm")&amp;"|"&amp;$C774&amp;"|"&amp;$F774&amp;"|"&amp;$N774&amp;"|"&amp;$R774)</f>
        <v/>
      </c>
    </row>
    <row r="775" ht="11.55" customHeight="1">
      <c r="A775" s="10" t="n">
        <v>46063</v>
      </c>
      <c r="B775" s="7" t="inlineStr">
        <is>
          <t>Terça</t>
        </is>
      </c>
      <c r="C775" s="7" t="inlineStr">
        <is>
          <t>CT LOURDES</t>
        </is>
      </c>
      <c r="D775" s="7" t="inlineStr">
        <is>
          <t>ROBSON</t>
        </is>
      </c>
      <c r="E775" s="7" t="inlineStr">
        <is>
          <t>Edvando</t>
        </is>
      </c>
      <c r="F775" s="13" t="inlineStr">
        <is>
          <t>Transformação PV 18</t>
        </is>
      </c>
      <c r="G775" s="7" t="inlineStr">
        <is>
          <t>18</t>
        </is>
      </c>
      <c r="H775" s="7" t="n"/>
      <c r="I775" s="7" t="inlineStr">
        <is>
          <t>18</t>
        </is>
      </c>
      <c r="J775" s="7" t="inlineStr">
        <is>
          <t>Transformação</t>
        </is>
      </c>
      <c r="K775" s="7" t="inlineStr">
        <is>
          <t>Planejamento</t>
        </is>
      </c>
      <c r="L775" s="16" t="inlineStr">
        <is>
          <t>PDS-Fevereiro(1).docx</t>
        </is>
      </c>
      <c r="M775">
        <f>IF($A775="","",TEXT($A775,"mmmm/yyyy"))</f>
        <v/>
      </c>
      <c r="P775">
        <f>IFERROR(_xludf.XLOOKUP($N775,Base_Enderecos!$A:$A,Base_Enderecos!$B:$B,""),"")</f>
        <v/>
      </c>
      <c r="Q775">
        <f>IFERROR(_xludf.XLOOKUP($N775,Base_Enderecos!$A:$A,Base_Enderecos!$C:$C,""),"")</f>
        <v/>
      </c>
      <c r="R775">
        <f>IF(OR(ISNUMBER(SEARCH("HDD",$F775)),ISNUMBER(SEARCH("MND",$F775)),ISNUMBER(SEARCH("PEAD",$F775)),ISNUMBER(SEARCH("Puxe",$J775)),ISNUMBER(SEARCH("Apoio HDD",$F775))),"MND",IF(OR(ISNUMBER(SEARCH("VCA",$F775)),ISNUMBER(SEARCH("PVC",$F775)),ISNUMBER(SEARCH("vca",$J775)),ISNUMBER(SEARCH("Transformação",$J775))),"VCA",IF(OR(ISNUMBER(SEARCH("crava",$F775)),ISNUMBER(SEARCH("tubo cravado",$F775)),ISNUMBER(SEARCH("shaft",$J775)),ISNUMBER(SEARCH("concreto",$F775))),"TUBO CRAVADO","")))</f>
        <v/>
      </c>
      <c r="T775">
        <f>IF($A775="","",TEXT($A775,"yyyymm")&amp;"|"&amp;$C775&amp;"|"&amp;$F775&amp;"|"&amp;$N775&amp;"|"&amp;$R775)</f>
        <v/>
      </c>
    </row>
    <row r="776" ht="11.55" customHeight="1">
      <c r="A776" s="10" t="n">
        <v>46063</v>
      </c>
      <c r="B776" s="7" t="inlineStr">
        <is>
          <t>Terça</t>
        </is>
      </c>
      <c r="C776" s="7" t="inlineStr">
        <is>
          <t>CT ÁGUA VERMELHA M.D</t>
        </is>
      </c>
      <c r="D776" s="7" t="inlineStr">
        <is>
          <t>CAROLINE e FÁBIO</t>
        </is>
      </c>
      <c r="E776" s="7" t="inlineStr">
        <is>
          <t>Marcelo</t>
        </is>
      </c>
      <c r="F776" s="13" t="inlineStr">
        <is>
          <t>Shaft PVD 06</t>
        </is>
      </c>
      <c r="G776" s="7" t="inlineStr">
        <is>
          <t>06</t>
        </is>
      </c>
      <c r="H776" s="7" t="n"/>
      <c r="I776" s="7" t="inlineStr">
        <is>
          <t>06</t>
        </is>
      </c>
      <c r="J776" s="7" t="inlineStr">
        <is>
          <t>Shaft</t>
        </is>
      </c>
      <c r="K776" s="7" t="inlineStr">
        <is>
          <t>Planejamento</t>
        </is>
      </c>
      <c r="L776" s="16" t="inlineStr">
        <is>
          <t>PDS-Fevereiro(1).docx</t>
        </is>
      </c>
      <c r="M776">
        <f>IF($A776="","",TEXT($A776,"mmmm/yyyy"))</f>
        <v/>
      </c>
      <c r="P776">
        <f>IFERROR(_xludf.XLOOKUP($N776,Base_Enderecos!$A:$A,Base_Enderecos!$B:$B,""),"")</f>
        <v/>
      </c>
      <c r="Q776">
        <f>IFERROR(_xludf.XLOOKUP($N776,Base_Enderecos!$A:$A,Base_Enderecos!$C:$C,""),"")</f>
        <v/>
      </c>
      <c r="R776">
        <f>IF(OR(ISNUMBER(SEARCH("HDD",$F776)),ISNUMBER(SEARCH("MND",$F776)),ISNUMBER(SEARCH("PEAD",$F776)),ISNUMBER(SEARCH("Puxe",$J776)),ISNUMBER(SEARCH("Apoio HDD",$F776))),"MND",IF(OR(ISNUMBER(SEARCH("VCA",$F776)),ISNUMBER(SEARCH("PVC",$F776)),ISNUMBER(SEARCH("vca",$J776)),ISNUMBER(SEARCH("Transformação",$J776))),"VCA",IF(OR(ISNUMBER(SEARCH("crava",$F776)),ISNUMBER(SEARCH("tubo cravado",$F776)),ISNUMBER(SEARCH("shaft",$J776)),ISNUMBER(SEARCH("concreto",$F776))),"TUBO CRAVADO","")))</f>
        <v/>
      </c>
      <c r="T776">
        <f>IF($A776="","",TEXT($A776,"yyyymm")&amp;"|"&amp;$C776&amp;"|"&amp;$F776&amp;"|"&amp;$N776&amp;"|"&amp;$R776)</f>
        <v/>
      </c>
    </row>
    <row r="777" ht="11.55" customHeight="1">
      <c r="A777" s="10" t="n">
        <v>46063</v>
      </c>
      <c r="B777" s="7" t="inlineStr">
        <is>
          <t>Terça</t>
        </is>
      </c>
      <c r="C777" s="7" t="inlineStr">
        <is>
          <t>CT ÁGUA VERMELHA M.D</t>
        </is>
      </c>
      <c r="D777" s="7" t="inlineStr">
        <is>
          <t>CAROLINE e FÁBIO</t>
        </is>
      </c>
      <c r="E777" s="7" t="inlineStr">
        <is>
          <t>Reinaldo</t>
        </is>
      </c>
      <c r="F777" s="13" t="inlineStr">
        <is>
          <t>Furo Piloto e Puxe PVD 2 e PVD 3</t>
        </is>
      </c>
      <c r="G777" s="7" t="inlineStr">
        <is>
          <t>2</t>
        </is>
      </c>
      <c r="H777" s="7" t="inlineStr">
        <is>
          <t>3</t>
        </is>
      </c>
      <c r="I777" s="7" t="inlineStr">
        <is>
          <t>2, 3</t>
        </is>
      </c>
      <c r="J777" s="7" t="inlineStr">
        <is>
          <t>Furo piloto</t>
        </is>
      </c>
      <c r="K777" s="7" t="inlineStr">
        <is>
          <t>Planejamento</t>
        </is>
      </c>
      <c r="L777" s="16" t="inlineStr">
        <is>
          <t>PDS-Fevereiro(1).docx</t>
        </is>
      </c>
      <c r="M777">
        <f>IF($A777="","",TEXT($A777,"mmmm/yyyy"))</f>
        <v/>
      </c>
      <c r="P777">
        <f>IFERROR(_xludf.XLOOKUP($N777,Base_Enderecos!$A:$A,Base_Enderecos!$B:$B,""),"")</f>
        <v/>
      </c>
      <c r="Q777">
        <f>IFERROR(_xludf.XLOOKUP($N777,Base_Enderecos!$A:$A,Base_Enderecos!$C:$C,""),"")</f>
        <v/>
      </c>
      <c r="R777">
        <f>IF(OR(ISNUMBER(SEARCH("HDD",$F777)),ISNUMBER(SEARCH("MND",$F777)),ISNUMBER(SEARCH("PEAD",$F777)),ISNUMBER(SEARCH("Puxe",$J777)),ISNUMBER(SEARCH("Apoio HDD",$F777))),"MND",IF(OR(ISNUMBER(SEARCH("VCA",$F777)),ISNUMBER(SEARCH("PVC",$F777)),ISNUMBER(SEARCH("vca",$J777)),ISNUMBER(SEARCH("Transformação",$J777))),"VCA",IF(OR(ISNUMBER(SEARCH("crava",$F777)),ISNUMBER(SEARCH("tubo cravado",$F777)),ISNUMBER(SEARCH("shaft",$J777)),ISNUMBER(SEARCH("concreto",$F777))),"TUBO CRAVADO","")))</f>
        <v/>
      </c>
      <c r="T777">
        <f>IF($A777="","",TEXT($A777,"yyyymm")&amp;"|"&amp;$C777&amp;"|"&amp;$F777&amp;"|"&amp;$N777&amp;"|"&amp;$R777)</f>
        <v/>
      </c>
    </row>
    <row r="778" ht="11.55" customHeight="1">
      <c r="A778" s="10" t="n">
        <v>46063</v>
      </c>
      <c r="B778" s="7" t="inlineStr">
        <is>
          <t>Terça</t>
        </is>
      </c>
      <c r="C778" s="7" t="inlineStr">
        <is>
          <t>CT ÁGUA VERMELHA M.D</t>
        </is>
      </c>
      <c r="D778" s="7" t="inlineStr">
        <is>
          <t>CAROLINE e FÁBIO</t>
        </is>
      </c>
      <c r="E778" s="7" t="inlineStr">
        <is>
          <t>Jonathan</t>
        </is>
      </c>
      <c r="F778" s="13" t="inlineStr">
        <is>
          <t>Apoio HDD entre PVD 2 e PV03</t>
        </is>
      </c>
      <c r="G778" s="7" t="inlineStr">
        <is>
          <t>2</t>
        </is>
      </c>
      <c r="H778" s="7" t="inlineStr">
        <is>
          <t>03</t>
        </is>
      </c>
      <c r="I778" s="7" t="inlineStr">
        <is>
          <t>2, 03</t>
        </is>
      </c>
      <c r="J778" s="7" t="inlineStr">
        <is>
          <t>Apoio HDD</t>
        </is>
      </c>
      <c r="K778" s="7" t="inlineStr">
        <is>
          <t>Planejamento</t>
        </is>
      </c>
      <c r="L778" s="16" t="inlineStr">
        <is>
          <t>PDS-Fevereiro(1).docx</t>
        </is>
      </c>
      <c r="M778">
        <f>IF($A778="","",TEXT($A778,"mmmm/yyyy"))</f>
        <v/>
      </c>
      <c r="P778">
        <f>IFERROR(_xludf.XLOOKUP($N778,Base_Enderecos!$A:$A,Base_Enderecos!$B:$B,""),"")</f>
        <v/>
      </c>
      <c r="Q778">
        <f>IFERROR(_xludf.XLOOKUP($N778,Base_Enderecos!$A:$A,Base_Enderecos!$C:$C,""),"")</f>
        <v/>
      </c>
      <c r="R778">
        <f>IF(OR(ISNUMBER(SEARCH("HDD",$F778)),ISNUMBER(SEARCH("MND",$F778)),ISNUMBER(SEARCH("PEAD",$F778)),ISNUMBER(SEARCH("Puxe",$J778)),ISNUMBER(SEARCH("Apoio HDD",$F778))),"MND",IF(OR(ISNUMBER(SEARCH("VCA",$F778)),ISNUMBER(SEARCH("PVC",$F778)),ISNUMBER(SEARCH("vca",$J778)),ISNUMBER(SEARCH("Transformação",$J778))),"VCA",IF(OR(ISNUMBER(SEARCH("crava",$F778)),ISNUMBER(SEARCH("tubo cravado",$F778)),ISNUMBER(SEARCH("shaft",$J778)),ISNUMBER(SEARCH("concreto",$F778))),"TUBO CRAVADO","")))</f>
        <v/>
      </c>
      <c r="T778">
        <f>IF($A778="","",TEXT($A778,"yyyymm")&amp;"|"&amp;$C778&amp;"|"&amp;$F778&amp;"|"&amp;$N778&amp;"|"&amp;$R778)</f>
        <v/>
      </c>
    </row>
    <row r="779" ht="11.55" customHeight="1">
      <c r="A779" s="10" t="n">
        <v>46063</v>
      </c>
      <c r="B779" s="7" t="inlineStr">
        <is>
          <t>Terça</t>
        </is>
      </c>
      <c r="C779" s="7" t="inlineStr">
        <is>
          <t>CT ÁGUA VERMELHA M.E– Valmir</t>
        </is>
      </c>
      <c r="D779" s="7" t="n"/>
      <c r="E779" s="7" t="inlineStr">
        <is>
          <t>WJ 01</t>
        </is>
      </c>
      <c r="F779" s="13" t="inlineStr">
        <is>
          <t>Piloto 01 ao 03</t>
        </is>
      </c>
      <c r="G779" s="7" t="n"/>
      <c r="H779" s="7" t="n"/>
      <c r="I779" s="7" t="n"/>
      <c r="J779" s="7" t="n"/>
      <c r="K779" s="7" t="inlineStr">
        <is>
          <t>Planejamento</t>
        </is>
      </c>
      <c r="L779" s="16" t="inlineStr">
        <is>
          <t>PDS-Fevereiro(1).docx</t>
        </is>
      </c>
      <c r="M779">
        <f>IF($A779="","",TEXT($A779,"mmmm/yyyy"))</f>
        <v/>
      </c>
      <c r="P779">
        <f>IFERROR(_xludf.XLOOKUP($N779,Base_Enderecos!$A:$A,Base_Enderecos!$B:$B,""),"")</f>
        <v/>
      </c>
      <c r="Q779">
        <f>IFERROR(_xludf.XLOOKUP($N779,Base_Enderecos!$A:$A,Base_Enderecos!$C:$C,""),"")</f>
        <v/>
      </c>
      <c r="R779">
        <f>IF(OR(ISNUMBER(SEARCH("HDD",$F779)),ISNUMBER(SEARCH("MND",$F779)),ISNUMBER(SEARCH("PEAD",$F779)),ISNUMBER(SEARCH("Puxe",$J779)),ISNUMBER(SEARCH("Apoio HDD",$F779))),"MND",IF(OR(ISNUMBER(SEARCH("VCA",$F779)),ISNUMBER(SEARCH("PVC",$F779)),ISNUMBER(SEARCH("vca",$J779)),ISNUMBER(SEARCH("Transformação",$J779))),"VCA",IF(OR(ISNUMBER(SEARCH("crava",$F779)),ISNUMBER(SEARCH("tubo cravado",$F779)),ISNUMBER(SEARCH("shaft",$J779)),ISNUMBER(SEARCH("concreto",$F779))),"TUBO CRAVADO","")))</f>
        <v/>
      </c>
      <c r="T779">
        <f>IF($A779="","",TEXT($A779,"yyyymm")&amp;"|"&amp;$C779&amp;"|"&amp;$F779&amp;"|"&amp;$N779&amp;"|"&amp;$R779)</f>
        <v/>
      </c>
    </row>
    <row r="780" ht="11.55" customHeight="1">
      <c r="A780" s="10" t="n">
        <v>46063</v>
      </c>
      <c r="B780" s="7" t="inlineStr">
        <is>
          <t>Terça</t>
        </is>
      </c>
      <c r="C780" s="7" t="inlineStr">
        <is>
          <t>CT ÁGUA VERMELHA M.E– Valmir</t>
        </is>
      </c>
      <c r="D780" s="7" t="n"/>
      <c r="E780" s="7" t="inlineStr">
        <is>
          <t>Higor</t>
        </is>
      </c>
      <c r="F780" s="13" t="inlineStr">
        <is>
          <t>Shaft PVE 3</t>
        </is>
      </c>
      <c r="G780" s="7" t="inlineStr">
        <is>
          <t>3</t>
        </is>
      </c>
      <c r="H780" s="7" t="n"/>
      <c r="I780" s="7" t="inlineStr">
        <is>
          <t>3</t>
        </is>
      </c>
      <c r="J780" s="7" t="inlineStr">
        <is>
          <t>Shaft</t>
        </is>
      </c>
      <c r="K780" s="7" t="inlineStr">
        <is>
          <t>Planejamento</t>
        </is>
      </c>
      <c r="L780" s="16" t="inlineStr">
        <is>
          <t>PDS-Fevereiro(1).docx</t>
        </is>
      </c>
      <c r="M780">
        <f>IF($A780="","",TEXT($A780,"mmmm/yyyy"))</f>
        <v/>
      </c>
      <c r="P780">
        <f>IFERROR(_xludf.XLOOKUP($N780,Base_Enderecos!$A:$A,Base_Enderecos!$B:$B,""),"")</f>
        <v/>
      </c>
      <c r="Q780">
        <f>IFERROR(_xludf.XLOOKUP($N780,Base_Enderecos!$A:$A,Base_Enderecos!$C:$C,""),"")</f>
        <v/>
      </c>
      <c r="R780">
        <f>IF(OR(ISNUMBER(SEARCH("HDD",$F780)),ISNUMBER(SEARCH("MND",$F780)),ISNUMBER(SEARCH("PEAD",$F780)),ISNUMBER(SEARCH("Puxe",$J780)),ISNUMBER(SEARCH("Apoio HDD",$F780))),"MND",IF(OR(ISNUMBER(SEARCH("VCA",$F780)),ISNUMBER(SEARCH("PVC",$F780)),ISNUMBER(SEARCH("vca",$J780)),ISNUMBER(SEARCH("Transformação",$J780))),"VCA",IF(OR(ISNUMBER(SEARCH("crava",$F780)),ISNUMBER(SEARCH("tubo cravado",$F780)),ISNUMBER(SEARCH("shaft",$J780)),ISNUMBER(SEARCH("concreto",$F780))),"TUBO CRAVADO","")))</f>
        <v/>
      </c>
      <c r="T780">
        <f>IF($A780="","",TEXT($A780,"yyyymm")&amp;"|"&amp;$C780&amp;"|"&amp;$F780&amp;"|"&amp;$N780&amp;"|"&amp;$R780)</f>
        <v/>
      </c>
    </row>
    <row r="781" ht="11.55" customHeight="1">
      <c r="A781" s="10" t="n">
        <v>46063</v>
      </c>
      <c r="B781" s="7" t="inlineStr">
        <is>
          <t>Terça</t>
        </is>
      </c>
      <c r="C781" s="7" t="inlineStr">
        <is>
          <t>CT ÁGUA VERMELHA M.E– Valmir</t>
        </is>
      </c>
      <c r="D781" s="7" t="n"/>
      <c r="E781" s="7" t="inlineStr">
        <is>
          <t>Cidão</t>
        </is>
      </c>
      <c r="F781" s="13" t="inlineStr">
        <is>
          <t>Shaft PVE 01</t>
        </is>
      </c>
      <c r="G781" s="7" t="inlineStr">
        <is>
          <t>01</t>
        </is>
      </c>
      <c r="H781" s="7" t="n"/>
      <c r="I781" s="7" t="inlineStr">
        <is>
          <t>01</t>
        </is>
      </c>
      <c r="J781" s="7" t="inlineStr">
        <is>
          <t>Shaft</t>
        </is>
      </c>
      <c r="K781" s="7" t="inlineStr">
        <is>
          <t>Planejamento</t>
        </is>
      </c>
      <c r="L781" s="16" t="inlineStr">
        <is>
          <t>PDS-Fevereiro(1).docx</t>
        </is>
      </c>
      <c r="M781">
        <f>IF($A781="","",TEXT($A781,"mmmm/yyyy"))</f>
        <v/>
      </c>
      <c r="P781">
        <f>IFERROR(_xludf.XLOOKUP($N781,Base_Enderecos!$A:$A,Base_Enderecos!$B:$B,""),"")</f>
        <v/>
      </c>
      <c r="Q781">
        <f>IFERROR(_xludf.XLOOKUP($N781,Base_Enderecos!$A:$A,Base_Enderecos!$C:$C,""),"")</f>
        <v/>
      </c>
      <c r="R781">
        <f>IF(OR(ISNUMBER(SEARCH("HDD",$F781)),ISNUMBER(SEARCH("MND",$F781)),ISNUMBER(SEARCH("PEAD",$F781)),ISNUMBER(SEARCH("Puxe",$J781)),ISNUMBER(SEARCH("Apoio HDD",$F781))),"MND",IF(OR(ISNUMBER(SEARCH("VCA",$F781)),ISNUMBER(SEARCH("PVC",$F781)),ISNUMBER(SEARCH("vca",$J781)),ISNUMBER(SEARCH("Transformação",$J781))),"VCA",IF(OR(ISNUMBER(SEARCH("crava",$F781)),ISNUMBER(SEARCH("tubo cravado",$F781)),ISNUMBER(SEARCH("shaft",$J781)),ISNUMBER(SEARCH("concreto",$F781))),"TUBO CRAVADO","")))</f>
        <v/>
      </c>
      <c r="T781">
        <f>IF($A781="","",TEXT($A781,"yyyymm")&amp;"|"&amp;$C781&amp;"|"&amp;$F781&amp;"|"&amp;$N781&amp;"|"&amp;$R781)</f>
        <v/>
      </c>
    </row>
    <row r="782" ht="11.55" customHeight="1">
      <c r="A782" s="10" t="n">
        <v>46063</v>
      </c>
      <c r="B782" s="7" t="inlineStr">
        <is>
          <t>Terça</t>
        </is>
      </c>
      <c r="C782" s="7" t="inlineStr">
        <is>
          <t>CT ÁGUA VERMELHA M.E– Valmir</t>
        </is>
      </c>
      <c r="D782" s="7" t="n"/>
      <c r="E782" s="7" t="inlineStr">
        <is>
          <t>Cesar</t>
        </is>
      </c>
      <c r="F782" s="13" t="inlineStr">
        <is>
          <t>Shaft PVE 05</t>
        </is>
      </c>
      <c r="G782" s="7" t="inlineStr">
        <is>
          <t>05</t>
        </is>
      </c>
      <c r="H782" s="7" t="n"/>
      <c r="I782" s="7" t="inlineStr">
        <is>
          <t>05</t>
        </is>
      </c>
      <c r="J782" s="7" t="inlineStr">
        <is>
          <t>Shaft</t>
        </is>
      </c>
      <c r="K782" s="7" t="inlineStr">
        <is>
          <t>Planejamento</t>
        </is>
      </c>
      <c r="L782" s="16" t="inlineStr">
        <is>
          <t>PDS-Fevereiro(1).docx</t>
        </is>
      </c>
      <c r="M782">
        <f>IF($A782="","",TEXT($A782,"mmmm/yyyy"))</f>
        <v/>
      </c>
      <c r="P782">
        <f>IFERROR(_xludf.XLOOKUP($N782,Base_Enderecos!$A:$A,Base_Enderecos!$B:$B,""),"")</f>
        <v/>
      </c>
      <c r="Q782">
        <f>IFERROR(_xludf.XLOOKUP($N782,Base_Enderecos!$A:$A,Base_Enderecos!$C:$C,""),"")</f>
        <v/>
      </c>
      <c r="R782">
        <f>IF(OR(ISNUMBER(SEARCH("HDD",$F782)),ISNUMBER(SEARCH("MND",$F782)),ISNUMBER(SEARCH("PEAD",$F782)),ISNUMBER(SEARCH("Puxe",$J782)),ISNUMBER(SEARCH("Apoio HDD",$F782))),"MND",IF(OR(ISNUMBER(SEARCH("VCA",$F782)),ISNUMBER(SEARCH("PVC",$F782)),ISNUMBER(SEARCH("vca",$J782)),ISNUMBER(SEARCH("Transformação",$J782))),"VCA",IF(OR(ISNUMBER(SEARCH("crava",$F782)),ISNUMBER(SEARCH("tubo cravado",$F782)),ISNUMBER(SEARCH("shaft",$J782)),ISNUMBER(SEARCH("concreto",$F782))),"TUBO CRAVADO","")))</f>
        <v/>
      </c>
      <c r="T782">
        <f>IF($A782="","",TEXT($A782,"yyyymm")&amp;"|"&amp;$C782&amp;"|"&amp;$F782&amp;"|"&amp;$N782&amp;"|"&amp;$R782)</f>
        <v/>
      </c>
    </row>
    <row r="783" ht="11.55" customHeight="1">
      <c r="A783" s="10" t="n">
        <v>46063</v>
      </c>
      <c r="B783" s="7" t="inlineStr">
        <is>
          <t>Terça</t>
        </is>
      </c>
      <c r="C783" s="7" t="inlineStr">
        <is>
          <t>RCE ARARIBA</t>
        </is>
      </c>
      <c r="D783" s="7" t="inlineStr">
        <is>
          <t>ELOÍZIO</t>
        </is>
      </c>
      <c r="E783" s="7" t="inlineStr">
        <is>
          <t>WJ - 02</t>
        </is>
      </c>
      <c r="F783" s="13" t="inlineStr">
        <is>
          <t>Puxe entre PVs 10 ao 11</t>
        </is>
      </c>
      <c r="G783" s="7" t="inlineStr">
        <is>
          <t>10</t>
        </is>
      </c>
      <c r="H783" s="7" t="n"/>
      <c r="I783" s="7" t="inlineStr">
        <is>
          <t>10</t>
        </is>
      </c>
      <c r="J783" s="7" t="inlineStr">
        <is>
          <t>Puxe</t>
        </is>
      </c>
      <c r="K783" s="7" t="inlineStr">
        <is>
          <t>Planejamento</t>
        </is>
      </c>
      <c r="L783" s="16" t="inlineStr">
        <is>
          <t>PDS-Fevereiro(1).docx</t>
        </is>
      </c>
      <c r="M783">
        <f>IF($A783="","",TEXT($A783,"mmmm/yyyy"))</f>
        <v/>
      </c>
      <c r="P783">
        <f>IFERROR(_xludf.XLOOKUP($N783,Base_Enderecos!$A:$A,Base_Enderecos!$B:$B,""),"")</f>
        <v/>
      </c>
      <c r="Q783">
        <f>IFERROR(_xludf.XLOOKUP($N783,Base_Enderecos!$A:$A,Base_Enderecos!$C:$C,""),"")</f>
        <v/>
      </c>
      <c r="R783">
        <f>IF(OR(ISNUMBER(SEARCH("HDD",$F783)),ISNUMBER(SEARCH("MND",$F783)),ISNUMBER(SEARCH("PEAD",$F783)),ISNUMBER(SEARCH("Puxe",$J783)),ISNUMBER(SEARCH("Apoio HDD",$F783))),"MND",IF(OR(ISNUMBER(SEARCH("VCA",$F783)),ISNUMBER(SEARCH("PVC",$F783)),ISNUMBER(SEARCH("vca",$J783)),ISNUMBER(SEARCH("Transformação",$J783))),"VCA",IF(OR(ISNUMBER(SEARCH("crava",$F783)),ISNUMBER(SEARCH("tubo cravado",$F783)),ISNUMBER(SEARCH("shaft",$J783)),ISNUMBER(SEARCH("concreto",$F783))),"TUBO CRAVADO","")))</f>
        <v/>
      </c>
      <c r="T783">
        <f>IF($A783="","",TEXT($A783,"yyyymm")&amp;"|"&amp;$C783&amp;"|"&amp;$F783&amp;"|"&amp;$N783&amp;"|"&amp;$R783)</f>
        <v/>
      </c>
    </row>
    <row r="784" ht="11.55" customHeight="1">
      <c r="A784" s="10" t="n">
        <v>46063</v>
      </c>
      <c r="B784" s="7" t="inlineStr">
        <is>
          <t>Terça</t>
        </is>
      </c>
      <c r="C784" s="7" t="inlineStr">
        <is>
          <t>RCE ARARIBA</t>
        </is>
      </c>
      <c r="D784" s="7" t="inlineStr">
        <is>
          <t>ELOÍZIO</t>
        </is>
      </c>
      <c r="E784" s="7" t="inlineStr">
        <is>
          <t>Natalino</t>
        </is>
      </c>
      <c r="F784" s="13" t="inlineStr">
        <is>
          <t>Apoio HDD PV 10 ao 11</t>
        </is>
      </c>
      <c r="G784" s="7" t="inlineStr">
        <is>
          <t>10</t>
        </is>
      </c>
      <c r="H784" s="7" t="n"/>
      <c r="I784" s="7" t="inlineStr">
        <is>
          <t>10</t>
        </is>
      </c>
      <c r="J784" s="7" t="inlineStr">
        <is>
          <t>Apoio HDD</t>
        </is>
      </c>
      <c r="K784" s="7" t="inlineStr">
        <is>
          <t>Planejamento</t>
        </is>
      </c>
      <c r="L784" s="16" t="inlineStr">
        <is>
          <t>PDS-Fevereiro(1).docx</t>
        </is>
      </c>
      <c r="M784">
        <f>IF($A784="","",TEXT($A784,"mmmm/yyyy"))</f>
        <v/>
      </c>
      <c r="P784">
        <f>IFERROR(_xludf.XLOOKUP($N784,Base_Enderecos!$A:$A,Base_Enderecos!$B:$B,""),"")</f>
        <v/>
      </c>
      <c r="Q784">
        <f>IFERROR(_xludf.XLOOKUP($N784,Base_Enderecos!$A:$A,Base_Enderecos!$C:$C,""),"")</f>
        <v/>
      </c>
      <c r="R784">
        <f>IF(OR(ISNUMBER(SEARCH("HDD",$F784)),ISNUMBER(SEARCH("MND",$F784)),ISNUMBER(SEARCH("PEAD",$F784)),ISNUMBER(SEARCH("Puxe",$J784)),ISNUMBER(SEARCH("Apoio HDD",$F784))),"MND",IF(OR(ISNUMBER(SEARCH("VCA",$F784)),ISNUMBER(SEARCH("PVC",$F784)),ISNUMBER(SEARCH("vca",$J784)),ISNUMBER(SEARCH("Transformação",$J784))),"VCA",IF(OR(ISNUMBER(SEARCH("crava",$F784)),ISNUMBER(SEARCH("tubo cravado",$F784)),ISNUMBER(SEARCH("shaft",$J784)),ISNUMBER(SEARCH("concreto",$F784))),"TUBO CRAVADO","")))</f>
        <v/>
      </c>
      <c r="T784">
        <f>IF($A784="","",TEXT($A784,"yyyymm")&amp;"|"&amp;$C784&amp;"|"&amp;$F784&amp;"|"&amp;$N784&amp;"|"&amp;$R784)</f>
        <v/>
      </c>
    </row>
    <row r="785" ht="11.55" customHeight="1">
      <c r="A785" s="10" t="n">
        <v>46063</v>
      </c>
      <c r="B785" s="7" t="inlineStr">
        <is>
          <t>Terça</t>
        </is>
      </c>
      <c r="C785" s="7" t="inlineStr">
        <is>
          <t>RCE ARARIBA</t>
        </is>
      </c>
      <c r="D785" s="7" t="inlineStr">
        <is>
          <t>ELOÍZIO</t>
        </is>
      </c>
      <c r="E785" s="7" t="inlineStr">
        <is>
          <t>Paulo</t>
        </is>
      </c>
      <c r="F785" s="13" t="inlineStr">
        <is>
          <t>Transformação PV 09</t>
        </is>
      </c>
      <c r="G785" s="7" t="inlineStr">
        <is>
          <t>09</t>
        </is>
      </c>
      <c r="H785" s="7" t="n"/>
      <c r="I785" s="7" t="inlineStr">
        <is>
          <t>09</t>
        </is>
      </c>
      <c r="J785" s="7" t="inlineStr">
        <is>
          <t>Transformação</t>
        </is>
      </c>
      <c r="K785" s="7" t="inlineStr">
        <is>
          <t>Planejamento</t>
        </is>
      </c>
      <c r="L785" s="16" t="inlineStr">
        <is>
          <t>PDS-Fevereiro(1).docx</t>
        </is>
      </c>
      <c r="M785">
        <f>IF($A785="","",TEXT($A785,"mmmm/yyyy"))</f>
        <v/>
      </c>
      <c r="P785">
        <f>IFERROR(_xludf.XLOOKUP($N785,Base_Enderecos!$A:$A,Base_Enderecos!$B:$B,""),"")</f>
        <v/>
      </c>
      <c r="Q785">
        <f>IFERROR(_xludf.XLOOKUP($N785,Base_Enderecos!$A:$A,Base_Enderecos!$C:$C,""),"")</f>
        <v/>
      </c>
      <c r="R785">
        <f>IF(OR(ISNUMBER(SEARCH("HDD",$F785)),ISNUMBER(SEARCH("MND",$F785)),ISNUMBER(SEARCH("PEAD",$F785)),ISNUMBER(SEARCH("Puxe",$J785)),ISNUMBER(SEARCH("Apoio HDD",$F785))),"MND",IF(OR(ISNUMBER(SEARCH("VCA",$F785)),ISNUMBER(SEARCH("PVC",$F785)),ISNUMBER(SEARCH("vca",$J785)),ISNUMBER(SEARCH("Transformação",$J785))),"VCA",IF(OR(ISNUMBER(SEARCH("crava",$F785)),ISNUMBER(SEARCH("tubo cravado",$F785)),ISNUMBER(SEARCH("shaft",$J785)),ISNUMBER(SEARCH("concreto",$F785))),"TUBO CRAVADO","")))</f>
        <v/>
      </c>
      <c r="T785">
        <f>IF($A785="","",TEXT($A785,"yyyymm")&amp;"|"&amp;$C785&amp;"|"&amp;$F785&amp;"|"&amp;$N785&amp;"|"&amp;$R785)</f>
        <v/>
      </c>
    </row>
    <row r="786" ht="11.55" customHeight="1">
      <c r="A786" s="10" t="n">
        <v>46063</v>
      </c>
      <c r="B786" s="7" t="inlineStr">
        <is>
          <t>Terça</t>
        </is>
      </c>
      <c r="C786" s="7" t="inlineStr">
        <is>
          <t>Vacal</t>
        </is>
      </c>
      <c r="D786" s="7" t="n"/>
      <c r="E786" s="7" t="inlineStr">
        <is>
          <t>Arariba</t>
        </is>
      </c>
      <c r="F786" s="13" t="inlineStr">
        <is>
          <t>Apoio Vacal</t>
        </is>
      </c>
      <c r="G786" s="7" t="n"/>
      <c r="H786" s="7" t="n"/>
      <c r="I786" s="7" t="n"/>
      <c r="J786" s="7" t="inlineStr">
        <is>
          <t>Vacal</t>
        </is>
      </c>
      <c r="K786" s="7" t="inlineStr">
        <is>
          <t>Apoio</t>
        </is>
      </c>
      <c r="L786" s="16" t="inlineStr">
        <is>
          <t>PDS-Fevereiro(1).docx</t>
        </is>
      </c>
      <c r="M786">
        <f>IF($A786="","",TEXT($A786,"mmmm/yyyy"))</f>
        <v/>
      </c>
      <c r="P786">
        <f>IFERROR(_xludf.XLOOKUP($N786,Base_Enderecos!$A:$A,Base_Enderecos!$B:$B,""),"")</f>
        <v/>
      </c>
      <c r="Q786">
        <f>IFERROR(_xludf.XLOOKUP($N786,Base_Enderecos!$A:$A,Base_Enderecos!$C:$C,""),"")</f>
        <v/>
      </c>
      <c r="R786">
        <f>IF(OR(ISNUMBER(SEARCH("HDD",$F786)),ISNUMBER(SEARCH("MND",$F786)),ISNUMBER(SEARCH("PEAD",$F786)),ISNUMBER(SEARCH("Puxe",$J786)),ISNUMBER(SEARCH("Apoio HDD",$F786))),"MND",IF(OR(ISNUMBER(SEARCH("VCA",$F786)),ISNUMBER(SEARCH("PVC",$F786)),ISNUMBER(SEARCH("vca",$J786)),ISNUMBER(SEARCH("Transformação",$J786))),"VCA",IF(OR(ISNUMBER(SEARCH("crava",$F786)),ISNUMBER(SEARCH("tubo cravado",$F786)),ISNUMBER(SEARCH("shaft",$J786)),ISNUMBER(SEARCH("concreto",$F786))),"TUBO CRAVADO","")))</f>
        <v/>
      </c>
      <c r="T786">
        <f>IF($A786="","",TEXT($A786,"yyyymm")&amp;"|"&amp;$C786&amp;"|"&amp;$F786&amp;"|"&amp;$N786&amp;"|"&amp;$R786)</f>
        <v/>
      </c>
    </row>
    <row r="787" ht="11.55" customHeight="1">
      <c r="A787" s="10" t="n">
        <v>46063</v>
      </c>
      <c r="B787" s="7" t="inlineStr">
        <is>
          <t>Terça</t>
        </is>
      </c>
      <c r="C787" s="7" t="inlineStr">
        <is>
          <t>Vacal</t>
        </is>
      </c>
      <c r="D787" s="7" t="n"/>
      <c r="E787" s="7" t="inlineStr">
        <is>
          <t>Água Vermelha</t>
        </is>
      </c>
      <c r="F787" s="13" t="inlineStr">
        <is>
          <t>Apoio Vacal</t>
        </is>
      </c>
      <c r="G787" s="7" t="n"/>
      <c r="H787" s="7" t="n"/>
      <c r="I787" s="7" t="n"/>
      <c r="J787" s="7" t="inlineStr">
        <is>
          <t>Vacal</t>
        </is>
      </c>
      <c r="K787" s="7" t="inlineStr">
        <is>
          <t>Apoio</t>
        </is>
      </c>
      <c r="L787" s="16" t="inlineStr">
        <is>
          <t>PDS-Fevereiro(1).docx</t>
        </is>
      </c>
      <c r="M787">
        <f>IF($A787="","",TEXT($A787,"mmmm/yyyy"))</f>
        <v/>
      </c>
      <c r="P787">
        <f>IFERROR(_xludf.XLOOKUP($N787,Base_Enderecos!$A:$A,Base_Enderecos!$B:$B,""),"")</f>
        <v/>
      </c>
      <c r="Q787">
        <f>IFERROR(_xludf.XLOOKUP($N787,Base_Enderecos!$A:$A,Base_Enderecos!$C:$C,""),"")</f>
        <v/>
      </c>
      <c r="R787">
        <f>IF(OR(ISNUMBER(SEARCH("HDD",$F787)),ISNUMBER(SEARCH("MND",$F787)),ISNUMBER(SEARCH("PEAD",$F787)),ISNUMBER(SEARCH("Puxe",$J787)),ISNUMBER(SEARCH("Apoio HDD",$F787))),"MND",IF(OR(ISNUMBER(SEARCH("VCA",$F787)),ISNUMBER(SEARCH("PVC",$F787)),ISNUMBER(SEARCH("vca",$J787)),ISNUMBER(SEARCH("Transformação",$J787))),"VCA",IF(OR(ISNUMBER(SEARCH("crava",$F787)),ISNUMBER(SEARCH("tubo cravado",$F787)),ISNUMBER(SEARCH("shaft",$J787)),ISNUMBER(SEARCH("concreto",$F787))),"TUBO CRAVADO","")))</f>
        <v/>
      </c>
      <c r="T787">
        <f>IF($A787="","",TEXT($A787,"yyyymm")&amp;"|"&amp;$C787&amp;"|"&amp;$F787&amp;"|"&amp;$N787&amp;"|"&amp;$R787)</f>
        <v/>
      </c>
    </row>
    <row r="788" ht="11.55" customHeight="1">
      <c r="A788" s="10" t="n">
        <v>46063</v>
      </c>
      <c r="B788" s="7" t="inlineStr">
        <is>
          <t>Terça</t>
        </is>
      </c>
      <c r="C788" s="7" t="inlineStr">
        <is>
          <t>Vacal</t>
        </is>
      </c>
      <c r="D788" s="7" t="n"/>
      <c r="E788" s="7" t="inlineStr">
        <is>
          <t>Mar de Coral</t>
        </is>
      </c>
      <c r="F788" s="13" t="inlineStr">
        <is>
          <t>Apoio Vacal</t>
        </is>
      </c>
      <c r="G788" s="7" t="n"/>
      <c r="H788" s="7" t="n"/>
      <c r="I788" s="7" t="n"/>
      <c r="J788" s="7" t="inlineStr">
        <is>
          <t>Vacal</t>
        </is>
      </c>
      <c r="K788" s="7" t="inlineStr">
        <is>
          <t>Apoio</t>
        </is>
      </c>
      <c r="L788" s="16" t="inlineStr">
        <is>
          <t>PDS-Fevereiro(1).docx</t>
        </is>
      </c>
      <c r="M788">
        <f>IF($A788="","",TEXT($A788,"mmmm/yyyy"))</f>
        <v/>
      </c>
      <c r="P788">
        <f>IFERROR(_xludf.XLOOKUP($N788,Base_Enderecos!$A:$A,Base_Enderecos!$B:$B,""),"")</f>
        <v/>
      </c>
      <c r="Q788">
        <f>IFERROR(_xludf.XLOOKUP($N788,Base_Enderecos!$A:$A,Base_Enderecos!$C:$C,""),"")</f>
        <v/>
      </c>
      <c r="R788">
        <f>IF(OR(ISNUMBER(SEARCH("HDD",$F788)),ISNUMBER(SEARCH("MND",$F788)),ISNUMBER(SEARCH("PEAD",$F788)),ISNUMBER(SEARCH("Puxe",$J788)),ISNUMBER(SEARCH("Apoio HDD",$F788))),"MND",IF(OR(ISNUMBER(SEARCH("VCA",$F788)),ISNUMBER(SEARCH("PVC",$F788)),ISNUMBER(SEARCH("vca",$J788)),ISNUMBER(SEARCH("Transformação",$J788))),"VCA",IF(OR(ISNUMBER(SEARCH("crava",$F788)),ISNUMBER(SEARCH("tubo cravado",$F788)),ISNUMBER(SEARCH("shaft",$J788)),ISNUMBER(SEARCH("concreto",$F788))),"TUBO CRAVADO","")))</f>
        <v/>
      </c>
      <c r="T788">
        <f>IF($A788="","",TEXT($A788,"yyyymm")&amp;"|"&amp;$C788&amp;"|"&amp;$F788&amp;"|"&amp;$N788&amp;"|"&amp;$R788)</f>
        <v/>
      </c>
    </row>
    <row r="789" ht="11.55" customHeight="1">
      <c r="A789" s="10" t="n">
        <v>46063</v>
      </c>
      <c r="B789" s="7" t="inlineStr">
        <is>
          <t>Terça</t>
        </is>
      </c>
      <c r="C789" s="7" t="inlineStr">
        <is>
          <t>Vacal</t>
        </is>
      </c>
      <c r="D789" s="7" t="n"/>
      <c r="E789" s="7" t="inlineStr">
        <is>
          <t>Mar de Coral</t>
        </is>
      </c>
      <c r="F789" s="13" t="inlineStr">
        <is>
          <t>Apoio Vacal</t>
        </is>
      </c>
      <c r="G789" s="7" t="n"/>
      <c r="H789" s="7" t="n"/>
      <c r="I789" s="7" t="n"/>
      <c r="J789" s="7" t="inlineStr">
        <is>
          <t>Vacal</t>
        </is>
      </c>
      <c r="K789" s="7" t="inlineStr">
        <is>
          <t>Apoio</t>
        </is>
      </c>
      <c r="L789" s="16" t="inlineStr">
        <is>
          <t>PDS-Fevereiro(1).docx</t>
        </is>
      </c>
      <c r="M789">
        <f>IF($A789="","",TEXT($A789,"mmmm/yyyy"))</f>
        <v/>
      </c>
      <c r="P789">
        <f>IFERROR(_xludf.XLOOKUP($N789,Base_Enderecos!$A:$A,Base_Enderecos!$B:$B,""),"")</f>
        <v/>
      </c>
      <c r="Q789">
        <f>IFERROR(_xludf.XLOOKUP($N789,Base_Enderecos!$A:$A,Base_Enderecos!$C:$C,""),"")</f>
        <v/>
      </c>
      <c r="R789">
        <f>IF(OR(ISNUMBER(SEARCH("HDD",$F789)),ISNUMBER(SEARCH("MND",$F789)),ISNUMBER(SEARCH("PEAD",$F789)),ISNUMBER(SEARCH("Puxe",$J789)),ISNUMBER(SEARCH("Apoio HDD",$F789))),"MND",IF(OR(ISNUMBER(SEARCH("VCA",$F789)),ISNUMBER(SEARCH("PVC",$F789)),ISNUMBER(SEARCH("vca",$J789)),ISNUMBER(SEARCH("Transformação",$J789))),"VCA",IF(OR(ISNUMBER(SEARCH("crava",$F789)),ISNUMBER(SEARCH("tubo cravado",$F789)),ISNUMBER(SEARCH("shaft",$J789)),ISNUMBER(SEARCH("concreto",$F789))),"TUBO CRAVADO","")))</f>
        <v/>
      </c>
      <c r="T789">
        <f>IF($A789="","",TEXT($A789,"yyyymm")&amp;"|"&amp;$C789&amp;"|"&amp;$F789&amp;"|"&amp;$N789&amp;"|"&amp;$R789)</f>
        <v/>
      </c>
    </row>
    <row r="790" ht="11.55" customHeight="1">
      <c r="A790" s="10" t="n">
        <v>46063</v>
      </c>
      <c r="B790" s="7" t="inlineStr">
        <is>
          <t>Terça</t>
        </is>
      </c>
      <c r="C790" s="7" t="inlineStr">
        <is>
          <t>Guindauto</t>
        </is>
      </c>
      <c r="D790" s="7" t="n"/>
      <c r="E790" s="7" t="inlineStr">
        <is>
          <t>Rodrigo</t>
        </is>
      </c>
      <c r="F790" s="13" t="inlineStr">
        <is>
          <t>Rodrigo - Apoio as equipes</t>
        </is>
      </c>
      <c r="G790" s="7" t="n"/>
      <c r="H790" s="7" t="n"/>
      <c r="I790" s="7" t="n"/>
      <c r="J790" s="7" t="inlineStr">
        <is>
          <t>Guindauto</t>
        </is>
      </c>
      <c r="K790" s="7" t="inlineStr">
        <is>
          <t>Apoio</t>
        </is>
      </c>
      <c r="L790" s="16" t="inlineStr">
        <is>
          <t>PDS-Fevereiro(1).docx</t>
        </is>
      </c>
      <c r="M790">
        <f>IF($A790="","",TEXT($A790,"mmmm/yyyy"))</f>
        <v/>
      </c>
      <c r="P790">
        <f>IFERROR(_xludf.XLOOKUP($N790,Base_Enderecos!$A:$A,Base_Enderecos!$B:$B,""),"")</f>
        <v/>
      </c>
      <c r="Q790">
        <f>IFERROR(_xludf.XLOOKUP($N790,Base_Enderecos!$A:$A,Base_Enderecos!$C:$C,""),"")</f>
        <v/>
      </c>
      <c r="R790">
        <f>IF(OR(ISNUMBER(SEARCH("HDD",$F790)),ISNUMBER(SEARCH("MND",$F790)),ISNUMBER(SEARCH("PEAD",$F790)),ISNUMBER(SEARCH("Puxe",$J790)),ISNUMBER(SEARCH("Apoio HDD",$F790))),"MND",IF(OR(ISNUMBER(SEARCH("VCA",$F790)),ISNUMBER(SEARCH("PVC",$F790)),ISNUMBER(SEARCH("vca",$J790)),ISNUMBER(SEARCH("Transformação",$J790))),"VCA",IF(OR(ISNUMBER(SEARCH("crava",$F790)),ISNUMBER(SEARCH("tubo cravado",$F790)),ISNUMBER(SEARCH("shaft",$J790)),ISNUMBER(SEARCH("concreto",$F790))),"TUBO CRAVADO","")))</f>
        <v/>
      </c>
      <c r="T790">
        <f>IF($A790="","",TEXT($A790,"yyyymm")&amp;"|"&amp;$C790&amp;"|"&amp;$F790&amp;"|"&amp;$N790&amp;"|"&amp;$R790)</f>
        <v/>
      </c>
    </row>
    <row r="791" ht="11.55" customHeight="1">
      <c r="A791" s="10" t="n">
        <v>46063</v>
      </c>
      <c r="B791" s="7" t="inlineStr">
        <is>
          <t>Terça</t>
        </is>
      </c>
      <c r="C791" s="7" t="inlineStr">
        <is>
          <t>Guindauto</t>
        </is>
      </c>
      <c r="D791" s="7" t="n"/>
      <c r="E791" s="7" t="inlineStr">
        <is>
          <t>Marcio</t>
        </is>
      </c>
      <c r="F791" s="13" t="inlineStr">
        <is>
          <t>Marcio - Apoio as equipes</t>
        </is>
      </c>
      <c r="G791" s="7" t="n"/>
      <c r="H791" s="7" t="n"/>
      <c r="I791" s="7" t="n"/>
      <c r="J791" s="7" t="inlineStr">
        <is>
          <t>Guindauto</t>
        </is>
      </c>
      <c r="K791" s="7" t="inlineStr">
        <is>
          <t>Apoio</t>
        </is>
      </c>
      <c r="L791" s="16" t="inlineStr">
        <is>
          <t>PDS-Fevereiro(1).docx</t>
        </is>
      </c>
      <c r="M791">
        <f>IF($A791="","",TEXT($A791,"mmmm/yyyy"))</f>
        <v/>
      </c>
      <c r="P791">
        <f>IFERROR(_xludf.XLOOKUP($N791,Base_Enderecos!$A:$A,Base_Enderecos!$B:$B,""),"")</f>
        <v/>
      </c>
      <c r="Q791">
        <f>IFERROR(_xludf.XLOOKUP($N791,Base_Enderecos!$A:$A,Base_Enderecos!$C:$C,""),"")</f>
        <v/>
      </c>
      <c r="R791">
        <f>IF(OR(ISNUMBER(SEARCH("HDD",$F791)),ISNUMBER(SEARCH("MND",$F791)),ISNUMBER(SEARCH("PEAD",$F791)),ISNUMBER(SEARCH("Puxe",$J791)),ISNUMBER(SEARCH("Apoio HDD",$F791))),"MND",IF(OR(ISNUMBER(SEARCH("VCA",$F791)),ISNUMBER(SEARCH("PVC",$F791)),ISNUMBER(SEARCH("vca",$J791)),ISNUMBER(SEARCH("Transformação",$J791))),"VCA",IF(OR(ISNUMBER(SEARCH("crava",$F791)),ISNUMBER(SEARCH("tubo cravado",$F791)),ISNUMBER(SEARCH("shaft",$J791)),ISNUMBER(SEARCH("concreto",$F791))),"TUBO CRAVADO","")))</f>
        <v/>
      </c>
      <c r="T791">
        <f>IF($A791="","",TEXT($A791,"yyyymm")&amp;"|"&amp;$C791&amp;"|"&amp;$F791&amp;"|"&amp;$N791&amp;"|"&amp;$R791)</f>
        <v/>
      </c>
    </row>
    <row r="792" ht="11.55" customHeight="1">
      <c r="A792" s="10" t="n">
        <v>46064</v>
      </c>
      <c r="B792" s="7" t="inlineStr">
        <is>
          <t>Quarta</t>
        </is>
      </c>
      <c r="C792" s="7" t="inlineStr">
        <is>
          <t>CT MAR DE CORAL</t>
        </is>
      </c>
      <c r="D792" s="7" t="inlineStr">
        <is>
          <t>LEANDRO e SILVESTRE</t>
        </is>
      </c>
      <c r="E792" s="7" t="inlineStr">
        <is>
          <t>Carlos</t>
        </is>
      </c>
      <c r="F792" s="13" t="inlineStr">
        <is>
          <t>Transformação PV 5.10</t>
        </is>
      </c>
      <c r="G792" s="7" t="inlineStr">
        <is>
          <t>5.10</t>
        </is>
      </c>
      <c r="H792" s="7" t="n"/>
      <c r="I792" s="7" t="inlineStr">
        <is>
          <t>5.10</t>
        </is>
      </c>
      <c r="J792" s="7" t="inlineStr">
        <is>
          <t>Transformação</t>
        </is>
      </c>
      <c r="K792" s="7" t="inlineStr">
        <is>
          <t>Planejamento</t>
        </is>
      </c>
      <c r="L792" s="16" t="inlineStr">
        <is>
          <t>PDS-Fevereiro(1).docx</t>
        </is>
      </c>
      <c r="M792">
        <f>IF($A792="","",TEXT($A792,"mmmm/yyyy"))</f>
        <v/>
      </c>
      <c r="P792">
        <f>IFERROR(_xludf.XLOOKUP($N792,Base_Enderecos!$A:$A,Base_Enderecos!$B:$B,""),"")</f>
        <v/>
      </c>
      <c r="Q792">
        <f>IFERROR(_xludf.XLOOKUP($N792,Base_Enderecos!$A:$A,Base_Enderecos!$C:$C,""),"")</f>
        <v/>
      </c>
      <c r="R792">
        <f>IF(OR(ISNUMBER(SEARCH("HDD",$F792)),ISNUMBER(SEARCH("MND",$F792)),ISNUMBER(SEARCH("PEAD",$F792)),ISNUMBER(SEARCH("Puxe",$J792)),ISNUMBER(SEARCH("Apoio HDD",$F792))),"MND",IF(OR(ISNUMBER(SEARCH("VCA",$F792)),ISNUMBER(SEARCH("PVC",$F792)),ISNUMBER(SEARCH("vca",$J792)),ISNUMBER(SEARCH("Transformação",$J792))),"VCA",IF(OR(ISNUMBER(SEARCH("crava",$F792)),ISNUMBER(SEARCH("tubo cravado",$F792)),ISNUMBER(SEARCH("shaft",$J792)),ISNUMBER(SEARCH("concreto",$F792))),"TUBO CRAVADO","")))</f>
        <v/>
      </c>
      <c r="T792">
        <f>IF($A792="","",TEXT($A792,"yyyymm")&amp;"|"&amp;$C792&amp;"|"&amp;$F792&amp;"|"&amp;$N792&amp;"|"&amp;$R792)</f>
        <v/>
      </c>
    </row>
    <row r="793" ht="11.55" customHeight="1">
      <c r="A793" s="10" t="n">
        <v>46064</v>
      </c>
      <c r="B793" s="7" t="inlineStr">
        <is>
          <t>Quarta</t>
        </is>
      </c>
      <c r="C793" s="7" t="inlineStr">
        <is>
          <t>CT MAR DE CORAL</t>
        </is>
      </c>
      <c r="D793" s="7" t="inlineStr">
        <is>
          <t>LEANDRO e SILVESTRE</t>
        </is>
      </c>
      <c r="E793" s="7" t="inlineStr">
        <is>
          <t>Medeiros</t>
        </is>
      </c>
      <c r="F793" s="13" t="inlineStr">
        <is>
          <t>Resgate cabeça puxe PV 33</t>
        </is>
      </c>
      <c r="G793" s="7" t="inlineStr">
        <is>
          <t>33</t>
        </is>
      </c>
      <c r="H793" s="7" t="n"/>
      <c r="I793" s="7" t="inlineStr">
        <is>
          <t>33</t>
        </is>
      </c>
      <c r="J793" s="7" t="inlineStr">
        <is>
          <t>Puxe</t>
        </is>
      </c>
      <c r="K793" s="7" t="inlineStr">
        <is>
          <t>Planejamento</t>
        </is>
      </c>
      <c r="L793" s="16" t="inlineStr">
        <is>
          <t>PDS-Fevereiro(1).docx</t>
        </is>
      </c>
      <c r="M793">
        <f>IF($A793="","",TEXT($A793,"mmmm/yyyy"))</f>
        <v/>
      </c>
      <c r="P793">
        <f>IFERROR(_xludf.XLOOKUP($N793,Base_Enderecos!$A:$A,Base_Enderecos!$B:$B,""),"")</f>
        <v/>
      </c>
      <c r="Q793">
        <f>IFERROR(_xludf.XLOOKUP($N793,Base_Enderecos!$A:$A,Base_Enderecos!$C:$C,""),"")</f>
        <v/>
      </c>
      <c r="R793">
        <f>IF(OR(ISNUMBER(SEARCH("HDD",$F793)),ISNUMBER(SEARCH("MND",$F793)),ISNUMBER(SEARCH("PEAD",$F793)),ISNUMBER(SEARCH("Puxe",$J793)),ISNUMBER(SEARCH("Apoio HDD",$F793))),"MND",IF(OR(ISNUMBER(SEARCH("VCA",$F793)),ISNUMBER(SEARCH("PVC",$F793)),ISNUMBER(SEARCH("vca",$J793)),ISNUMBER(SEARCH("Transformação",$J793))),"VCA",IF(OR(ISNUMBER(SEARCH("crava",$F793)),ISNUMBER(SEARCH("tubo cravado",$F793)),ISNUMBER(SEARCH("shaft",$J793)),ISNUMBER(SEARCH("concreto",$F793))),"TUBO CRAVADO","")))</f>
        <v/>
      </c>
      <c r="T793">
        <f>IF($A793="","",TEXT($A793,"yyyymm")&amp;"|"&amp;$C793&amp;"|"&amp;$F793&amp;"|"&amp;$N793&amp;"|"&amp;$R793)</f>
        <v/>
      </c>
    </row>
    <row r="794" ht="11.55" customHeight="1">
      <c r="A794" s="10" t="n">
        <v>46064</v>
      </c>
      <c r="B794" s="7" t="inlineStr">
        <is>
          <t>Quarta</t>
        </is>
      </c>
      <c r="C794" s="7" t="inlineStr">
        <is>
          <t>CT LOURDES</t>
        </is>
      </c>
      <c r="D794" s="7" t="inlineStr">
        <is>
          <t>ROBSON</t>
        </is>
      </c>
      <c r="E794" s="7" t="inlineStr">
        <is>
          <t>Edvando</t>
        </is>
      </c>
      <c r="F794" s="13" t="inlineStr">
        <is>
          <t>Transformação PV 18</t>
        </is>
      </c>
      <c r="G794" s="7" t="inlineStr">
        <is>
          <t>18</t>
        </is>
      </c>
      <c r="H794" s="7" t="n"/>
      <c r="I794" s="7" t="inlineStr">
        <is>
          <t>18</t>
        </is>
      </c>
      <c r="J794" s="7" t="inlineStr">
        <is>
          <t>Transformação</t>
        </is>
      </c>
      <c r="K794" s="7" t="inlineStr">
        <is>
          <t>Planejamento</t>
        </is>
      </c>
      <c r="L794" s="16" t="inlineStr">
        <is>
          <t>PDS-Fevereiro(1).docx</t>
        </is>
      </c>
      <c r="M794">
        <f>IF($A794="","",TEXT($A794,"mmmm/yyyy"))</f>
        <v/>
      </c>
      <c r="P794">
        <f>IFERROR(_xludf.XLOOKUP($N794,Base_Enderecos!$A:$A,Base_Enderecos!$B:$B,""),"")</f>
        <v/>
      </c>
      <c r="Q794">
        <f>IFERROR(_xludf.XLOOKUP($N794,Base_Enderecos!$A:$A,Base_Enderecos!$C:$C,""),"")</f>
        <v/>
      </c>
      <c r="R794">
        <f>IF(OR(ISNUMBER(SEARCH("HDD",$F794)),ISNUMBER(SEARCH("MND",$F794)),ISNUMBER(SEARCH("PEAD",$F794)),ISNUMBER(SEARCH("Puxe",$J794)),ISNUMBER(SEARCH("Apoio HDD",$F794))),"MND",IF(OR(ISNUMBER(SEARCH("VCA",$F794)),ISNUMBER(SEARCH("PVC",$F794)),ISNUMBER(SEARCH("vca",$J794)),ISNUMBER(SEARCH("Transformação",$J794))),"VCA",IF(OR(ISNUMBER(SEARCH("crava",$F794)),ISNUMBER(SEARCH("tubo cravado",$F794)),ISNUMBER(SEARCH("shaft",$J794)),ISNUMBER(SEARCH("concreto",$F794))),"TUBO CRAVADO","")))</f>
        <v/>
      </c>
      <c r="T794">
        <f>IF($A794="","",TEXT($A794,"yyyymm")&amp;"|"&amp;$C794&amp;"|"&amp;$F794&amp;"|"&amp;$N794&amp;"|"&amp;$R794)</f>
        <v/>
      </c>
    </row>
    <row r="795" ht="11.55" customHeight="1">
      <c r="A795" s="10" t="n">
        <v>46064</v>
      </c>
      <c r="B795" s="7" t="inlineStr">
        <is>
          <t>Quarta</t>
        </is>
      </c>
      <c r="C795" s="7" t="inlineStr">
        <is>
          <t>CT ÁGUA VERMELHA M.D</t>
        </is>
      </c>
      <c r="D795" s="7" t="inlineStr">
        <is>
          <t>CAROLINE e FÁBIO</t>
        </is>
      </c>
      <c r="E795" s="7" t="inlineStr">
        <is>
          <t>Marcelo</t>
        </is>
      </c>
      <c r="F795" s="13" t="inlineStr">
        <is>
          <t>Shaft PVD 06</t>
        </is>
      </c>
      <c r="G795" s="7" t="inlineStr">
        <is>
          <t>06</t>
        </is>
      </c>
      <c r="H795" s="7" t="n"/>
      <c r="I795" s="7" t="inlineStr">
        <is>
          <t>06</t>
        </is>
      </c>
      <c r="J795" s="7" t="inlineStr">
        <is>
          <t>Shaft</t>
        </is>
      </c>
      <c r="K795" s="7" t="inlineStr">
        <is>
          <t>Planejamento</t>
        </is>
      </c>
      <c r="L795" s="16" t="inlineStr">
        <is>
          <t>PDS-Fevereiro(1).docx</t>
        </is>
      </c>
      <c r="M795">
        <f>IF($A795="","",TEXT($A795,"mmmm/yyyy"))</f>
        <v/>
      </c>
      <c r="P795">
        <f>IFERROR(_xludf.XLOOKUP($N795,Base_Enderecos!$A:$A,Base_Enderecos!$B:$B,""),"")</f>
        <v/>
      </c>
      <c r="Q795">
        <f>IFERROR(_xludf.XLOOKUP($N795,Base_Enderecos!$A:$A,Base_Enderecos!$C:$C,""),"")</f>
        <v/>
      </c>
      <c r="R795">
        <f>IF(OR(ISNUMBER(SEARCH("HDD",$F795)),ISNUMBER(SEARCH("MND",$F795)),ISNUMBER(SEARCH("PEAD",$F795)),ISNUMBER(SEARCH("Puxe",$J795)),ISNUMBER(SEARCH("Apoio HDD",$F795))),"MND",IF(OR(ISNUMBER(SEARCH("VCA",$F795)),ISNUMBER(SEARCH("PVC",$F795)),ISNUMBER(SEARCH("vca",$J795)),ISNUMBER(SEARCH("Transformação",$J795))),"VCA",IF(OR(ISNUMBER(SEARCH("crava",$F795)),ISNUMBER(SEARCH("tubo cravado",$F795)),ISNUMBER(SEARCH("shaft",$J795)),ISNUMBER(SEARCH("concreto",$F795))),"TUBO CRAVADO","")))</f>
        <v/>
      </c>
      <c r="T795">
        <f>IF($A795="","",TEXT($A795,"yyyymm")&amp;"|"&amp;$C795&amp;"|"&amp;$F795&amp;"|"&amp;$N795&amp;"|"&amp;$R795)</f>
        <v/>
      </c>
    </row>
    <row r="796" ht="11.55" customHeight="1">
      <c r="A796" s="10" t="n">
        <v>46064</v>
      </c>
      <c r="B796" s="7" t="inlineStr">
        <is>
          <t>Quarta</t>
        </is>
      </c>
      <c r="C796" s="7" t="inlineStr">
        <is>
          <t>CT ÁGUA VERMELHA M.D</t>
        </is>
      </c>
      <c r="D796" s="7" t="inlineStr">
        <is>
          <t>CAROLINE e FÁBIO</t>
        </is>
      </c>
      <c r="E796" s="7" t="inlineStr">
        <is>
          <t>Reinaldo</t>
        </is>
      </c>
      <c r="F796" s="13" t="inlineStr">
        <is>
          <t>Puxe PVD 2 e PVD 3</t>
        </is>
      </c>
      <c r="G796" s="7" t="inlineStr">
        <is>
          <t>2</t>
        </is>
      </c>
      <c r="H796" s="7" t="inlineStr">
        <is>
          <t>3</t>
        </is>
      </c>
      <c r="I796" s="7" t="inlineStr">
        <is>
          <t>2, 3</t>
        </is>
      </c>
      <c r="J796" s="7" t="inlineStr">
        <is>
          <t>Puxe</t>
        </is>
      </c>
      <c r="K796" s="7" t="inlineStr">
        <is>
          <t>Planejamento</t>
        </is>
      </c>
      <c r="L796" s="16" t="inlineStr">
        <is>
          <t>PDS-Fevereiro(1).docx</t>
        </is>
      </c>
      <c r="M796">
        <f>IF($A796="","",TEXT($A796,"mmmm/yyyy"))</f>
        <v/>
      </c>
      <c r="P796">
        <f>IFERROR(_xludf.XLOOKUP($N796,Base_Enderecos!$A:$A,Base_Enderecos!$B:$B,""),"")</f>
        <v/>
      </c>
      <c r="Q796">
        <f>IFERROR(_xludf.XLOOKUP($N796,Base_Enderecos!$A:$A,Base_Enderecos!$C:$C,""),"")</f>
        <v/>
      </c>
      <c r="R796">
        <f>IF(OR(ISNUMBER(SEARCH("HDD",$F796)),ISNUMBER(SEARCH("MND",$F796)),ISNUMBER(SEARCH("PEAD",$F796)),ISNUMBER(SEARCH("Puxe",$J796)),ISNUMBER(SEARCH("Apoio HDD",$F796))),"MND",IF(OR(ISNUMBER(SEARCH("VCA",$F796)),ISNUMBER(SEARCH("PVC",$F796)),ISNUMBER(SEARCH("vca",$J796)),ISNUMBER(SEARCH("Transformação",$J796))),"VCA",IF(OR(ISNUMBER(SEARCH("crava",$F796)),ISNUMBER(SEARCH("tubo cravado",$F796)),ISNUMBER(SEARCH("shaft",$J796)),ISNUMBER(SEARCH("concreto",$F796))),"TUBO CRAVADO","")))</f>
        <v/>
      </c>
      <c r="T796">
        <f>IF($A796="","",TEXT($A796,"yyyymm")&amp;"|"&amp;$C796&amp;"|"&amp;$F796&amp;"|"&amp;$N796&amp;"|"&amp;$R796)</f>
        <v/>
      </c>
    </row>
    <row r="797" ht="11.55" customHeight="1">
      <c r="A797" s="10" t="n">
        <v>46064</v>
      </c>
      <c r="B797" s="7" t="inlineStr">
        <is>
          <t>Quarta</t>
        </is>
      </c>
      <c r="C797" s="7" t="inlineStr">
        <is>
          <t>CT ÁGUA VERMELHA M.D</t>
        </is>
      </c>
      <c r="D797" s="7" t="inlineStr">
        <is>
          <t>CAROLINE e FÁBIO</t>
        </is>
      </c>
      <c r="E797" s="7" t="inlineStr">
        <is>
          <t>Jonathan</t>
        </is>
      </c>
      <c r="F797" s="13" t="inlineStr">
        <is>
          <t>Apoio HDD entre PVD 2 e PV03</t>
        </is>
      </c>
      <c r="G797" s="7" t="inlineStr">
        <is>
          <t>2</t>
        </is>
      </c>
      <c r="H797" s="7" t="inlineStr">
        <is>
          <t>03</t>
        </is>
      </c>
      <c r="I797" s="7" t="inlineStr">
        <is>
          <t>2, 03</t>
        </is>
      </c>
      <c r="J797" s="7" t="inlineStr">
        <is>
          <t>Apoio HDD</t>
        </is>
      </c>
      <c r="K797" s="7" t="inlineStr">
        <is>
          <t>Planejamento</t>
        </is>
      </c>
      <c r="L797" s="16" t="inlineStr">
        <is>
          <t>PDS-Fevereiro(1).docx</t>
        </is>
      </c>
      <c r="M797">
        <f>IF($A797="","",TEXT($A797,"mmmm/yyyy"))</f>
        <v/>
      </c>
      <c r="P797">
        <f>IFERROR(_xludf.XLOOKUP($N797,Base_Enderecos!$A:$A,Base_Enderecos!$B:$B,""),"")</f>
        <v/>
      </c>
      <c r="Q797">
        <f>IFERROR(_xludf.XLOOKUP($N797,Base_Enderecos!$A:$A,Base_Enderecos!$C:$C,""),"")</f>
        <v/>
      </c>
      <c r="R797">
        <f>IF(OR(ISNUMBER(SEARCH("HDD",$F797)),ISNUMBER(SEARCH("MND",$F797)),ISNUMBER(SEARCH("PEAD",$F797)),ISNUMBER(SEARCH("Puxe",$J797)),ISNUMBER(SEARCH("Apoio HDD",$F797))),"MND",IF(OR(ISNUMBER(SEARCH("VCA",$F797)),ISNUMBER(SEARCH("PVC",$F797)),ISNUMBER(SEARCH("vca",$J797)),ISNUMBER(SEARCH("Transformação",$J797))),"VCA",IF(OR(ISNUMBER(SEARCH("crava",$F797)),ISNUMBER(SEARCH("tubo cravado",$F797)),ISNUMBER(SEARCH("shaft",$J797)),ISNUMBER(SEARCH("concreto",$F797))),"TUBO CRAVADO","")))</f>
        <v/>
      </c>
      <c r="T797">
        <f>IF($A797="","",TEXT($A797,"yyyymm")&amp;"|"&amp;$C797&amp;"|"&amp;$F797&amp;"|"&amp;$N797&amp;"|"&amp;$R797)</f>
        <v/>
      </c>
    </row>
    <row r="798" ht="11.55" customHeight="1">
      <c r="A798" s="10" t="n">
        <v>46064</v>
      </c>
      <c r="B798" s="7" t="inlineStr">
        <is>
          <t>Quarta</t>
        </is>
      </c>
      <c r="C798" s="7" t="inlineStr">
        <is>
          <t>CT ÁGUA VERMELHA M.D</t>
        </is>
      </c>
      <c r="D798" s="7" t="inlineStr">
        <is>
          <t>CAROLINE e FÁBIO</t>
        </is>
      </c>
      <c r="E798" s="7" t="inlineStr">
        <is>
          <t>WJ 02</t>
        </is>
      </c>
      <c r="F798" s="13" t="inlineStr">
        <is>
          <t>Piloto e Puxe PVD 3 e PVD 5</t>
        </is>
      </c>
      <c r="G798" s="7" t="inlineStr">
        <is>
          <t>3</t>
        </is>
      </c>
      <c r="H798" s="7" t="inlineStr">
        <is>
          <t>5</t>
        </is>
      </c>
      <c r="I798" s="7" t="inlineStr">
        <is>
          <t>3, 5</t>
        </is>
      </c>
      <c r="J798" s="7" t="inlineStr">
        <is>
          <t>Piloto e puxe</t>
        </is>
      </c>
      <c r="K798" s="7" t="inlineStr">
        <is>
          <t>Planejamento</t>
        </is>
      </c>
      <c r="L798" s="16" t="inlineStr">
        <is>
          <t>PDS-Fevereiro(1).docx</t>
        </is>
      </c>
      <c r="M798">
        <f>IF($A798="","",TEXT($A798,"mmmm/yyyy"))</f>
        <v/>
      </c>
      <c r="P798">
        <f>IFERROR(_xludf.XLOOKUP($N798,Base_Enderecos!$A:$A,Base_Enderecos!$B:$B,""),"")</f>
        <v/>
      </c>
      <c r="Q798">
        <f>IFERROR(_xludf.XLOOKUP($N798,Base_Enderecos!$A:$A,Base_Enderecos!$C:$C,""),"")</f>
        <v/>
      </c>
      <c r="R798">
        <f>IF(OR(ISNUMBER(SEARCH("HDD",$F798)),ISNUMBER(SEARCH("MND",$F798)),ISNUMBER(SEARCH("PEAD",$F798)),ISNUMBER(SEARCH("Puxe",$J798)),ISNUMBER(SEARCH("Apoio HDD",$F798))),"MND",IF(OR(ISNUMBER(SEARCH("VCA",$F798)),ISNUMBER(SEARCH("PVC",$F798)),ISNUMBER(SEARCH("vca",$J798)),ISNUMBER(SEARCH("Transformação",$J798))),"VCA",IF(OR(ISNUMBER(SEARCH("crava",$F798)),ISNUMBER(SEARCH("tubo cravado",$F798)),ISNUMBER(SEARCH("shaft",$J798)),ISNUMBER(SEARCH("concreto",$F798))),"TUBO CRAVADO","")))</f>
        <v/>
      </c>
      <c r="T798">
        <f>IF($A798="","",TEXT($A798,"yyyymm")&amp;"|"&amp;$C798&amp;"|"&amp;$F798&amp;"|"&amp;$N798&amp;"|"&amp;$R798)</f>
        <v/>
      </c>
    </row>
    <row r="799" ht="11.55" customHeight="1">
      <c r="A799" s="10" t="n">
        <v>46064</v>
      </c>
      <c r="B799" s="7" t="inlineStr">
        <is>
          <t>Quarta</t>
        </is>
      </c>
      <c r="C799" s="7" t="inlineStr">
        <is>
          <t>CT ÁGUA VERMELHA M.E– Valmir</t>
        </is>
      </c>
      <c r="D799" s="7" t="n"/>
      <c r="E799" s="7" t="inlineStr">
        <is>
          <t>WJ 01</t>
        </is>
      </c>
      <c r="F799" s="13" t="inlineStr">
        <is>
          <t>Piloto 01 ao 05</t>
        </is>
      </c>
      <c r="G799" s="7" t="n"/>
      <c r="H799" s="7" t="n"/>
      <c r="I799" s="7" t="n"/>
      <c r="J799" s="7" t="n"/>
      <c r="K799" s="7" t="inlineStr">
        <is>
          <t>Planejamento</t>
        </is>
      </c>
      <c r="L799" s="16" t="inlineStr">
        <is>
          <t>PDS-Fevereiro(1).docx</t>
        </is>
      </c>
      <c r="M799">
        <f>IF($A799="","",TEXT($A799,"mmmm/yyyy"))</f>
        <v/>
      </c>
      <c r="P799">
        <f>IFERROR(_xludf.XLOOKUP($N799,Base_Enderecos!$A:$A,Base_Enderecos!$B:$B,""),"")</f>
        <v/>
      </c>
      <c r="Q799">
        <f>IFERROR(_xludf.XLOOKUP($N799,Base_Enderecos!$A:$A,Base_Enderecos!$C:$C,""),"")</f>
        <v/>
      </c>
      <c r="R799">
        <f>IF(OR(ISNUMBER(SEARCH("HDD",$F799)),ISNUMBER(SEARCH("MND",$F799)),ISNUMBER(SEARCH("PEAD",$F799)),ISNUMBER(SEARCH("Puxe",$J799)),ISNUMBER(SEARCH("Apoio HDD",$F799))),"MND",IF(OR(ISNUMBER(SEARCH("VCA",$F799)),ISNUMBER(SEARCH("PVC",$F799)),ISNUMBER(SEARCH("vca",$J799)),ISNUMBER(SEARCH("Transformação",$J799))),"VCA",IF(OR(ISNUMBER(SEARCH("crava",$F799)),ISNUMBER(SEARCH("tubo cravado",$F799)),ISNUMBER(SEARCH("shaft",$J799)),ISNUMBER(SEARCH("concreto",$F799))),"TUBO CRAVADO","")))</f>
        <v/>
      </c>
      <c r="T799">
        <f>IF($A799="","",TEXT($A799,"yyyymm")&amp;"|"&amp;$C799&amp;"|"&amp;$F799&amp;"|"&amp;$N799&amp;"|"&amp;$R799)</f>
        <v/>
      </c>
    </row>
    <row r="800" ht="11.55" customHeight="1">
      <c r="A800" s="10" t="n">
        <v>46064</v>
      </c>
      <c r="B800" s="7" t="inlineStr">
        <is>
          <t>Quarta</t>
        </is>
      </c>
      <c r="C800" s="7" t="inlineStr">
        <is>
          <t>CT ÁGUA VERMELHA M.E– Valmir</t>
        </is>
      </c>
      <c r="D800" s="7" t="n"/>
      <c r="E800" s="7" t="inlineStr">
        <is>
          <t>Natalino</t>
        </is>
      </c>
      <c r="F800" s="13" t="inlineStr">
        <is>
          <t>Apoio HDD 01 ao 05</t>
        </is>
      </c>
      <c r="G800" s="7" t="n"/>
      <c r="H800" s="7" t="n"/>
      <c r="I800" s="7" t="n"/>
      <c r="J800" s="7" t="inlineStr">
        <is>
          <t>Apoio HDD</t>
        </is>
      </c>
      <c r="K800" s="7" t="inlineStr">
        <is>
          <t>Planejamento</t>
        </is>
      </c>
      <c r="L800" s="16" t="inlineStr">
        <is>
          <t>PDS-Fevereiro(1).docx</t>
        </is>
      </c>
      <c r="M800">
        <f>IF($A800="","",TEXT($A800,"mmmm/yyyy"))</f>
        <v/>
      </c>
      <c r="P800">
        <f>IFERROR(_xludf.XLOOKUP($N800,Base_Enderecos!$A:$A,Base_Enderecos!$B:$B,""),"")</f>
        <v/>
      </c>
      <c r="Q800">
        <f>IFERROR(_xludf.XLOOKUP($N800,Base_Enderecos!$A:$A,Base_Enderecos!$C:$C,""),"")</f>
        <v/>
      </c>
      <c r="R800">
        <f>IF(OR(ISNUMBER(SEARCH("HDD",$F800)),ISNUMBER(SEARCH("MND",$F800)),ISNUMBER(SEARCH("PEAD",$F800)),ISNUMBER(SEARCH("Puxe",$J800)),ISNUMBER(SEARCH("Apoio HDD",$F800))),"MND",IF(OR(ISNUMBER(SEARCH("VCA",$F800)),ISNUMBER(SEARCH("PVC",$F800)),ISNUMBER(SEARCH("vca",$J800)),ISNUMBER(SEARCH("Transformação",$J800))),"VCA",IF(OR(ISNUMBER(SEARCH("crava",$F800)),ISNUMBER(SEARCH("tubo cravado",$F800)),ISNUMBER(SEARCH("shaft",$J800)),ISNUMBER(SEARCH("concreto",$F800))),"TUBO CRAVADO","")))</f>
        <v/>
      </c>
      <c r="T800">
        <f>IF($A800="","",TEXT($A800,"yyyymm")&amp;"|"&amp;$C800&amp;"|"&amp;$F800&amp;"|"&amp;$N800&amp;"|"&amp;$R800)</f>
        <v/>
      </c>
    </row>
    <row r="801" ht="11.55" customHeight="1">
      <c r="A801" s="10" t="n">
        <v>46064</v>
      </c>
      <c r="B801" s="7" t="inlineStr">
        <is>
          <t>Quarta</t>
        </is>
      </c>
      <c r="C801" s="7" t="inlineStr">
        <is>
          <t>CT ÁGUA VERMELHA M.E– Valmir</t>
        </is>
      </c>
      <c r="D801" s="7" t="n"/>
      <c r="E801" s="7" t="inlineStr">
        <is>
          <t>Higor</t>
        </is>
      </c>
      <c r="F801" s="13" t="inlineStr">
        <is>
          <t>Shaft PVE 11</t>
        </is>
      </c>
      <c r="G801" s="7" t="inlineStr">
        <is>
          <t>11</t>
        </is>
      </c>
      <c r="H801" s="7" t="n"/>
      <c r="I801" s="7" t="inlineStr">
        <is>
          <t>11</t>
        </is>
      </c>
      <c r="J801" s="7" t="inlineStr">
        <is>
          <t>Shaft</t>
        </is>
      </c>
      <c r="K801" s="7" t="inlineStr">
        <is>
          <t>Planejamento</t>
        </is>
      </c>
      <c r="L801" s="16" t="inlineStr">
        <is>
          <t>PDS-Fevereiro(1).docx</t>
        </is>
      </c>
      <c r="M801">
        <f>IF($A801="","",TEXT($A801,"mmmm/yyyy"))</f>
        <v/>
      </c>
      <c r="P801">
        <f>IFERROR(_xludf.XLOOKUP($N801,Base_Enderecos!$A:$A,Base_Enderecos!$B:$B,""),"")</f>
        <v/>
      </c>
      <c r="Q801">
        <f>IFERROR(_xludf.XLOOKUP($N801,Base_Enderecos!$A:$A,Base_Enderecos!$C:$C,""),"")</f>
        <v/>
      </c>
      <c r="R801">
        <f>IF(OR(ISNUMBER(SEARCH("HDD",$F801)),ISNUMBER(SEARCH("MND",$F801)),ISNUMBER(SEARCH("PEAD",$F801)),ISNUMBER(SEARCH("Puxe",$J801)),ISNUMBER(SEARCH("Apoio HDD",$F801))),"MND",IF(OR(ISNUMBER(SEARCH("VCA",$F801)),ISNUMBER(SEARCH("PVC",$F801)),ISNUMBER(SEARCH("vca",$J801)),ISNUMBER(SEARCH("Transformação",$J801))),"VCA",IF(OR(ISNUMBER(SEARCH("crava",$F801)),ISNUMBER(SEARCH("tubo cravado",$F801)),ISNUMBER(SEARCH("shaft",$J801)),ISNUMBER(SEARCH("concreto",$F801))),"TUBO CRAVADO","")))</f>
        <v/>
      </c>
      <c r="T801">
        <f>IF($A801="","",TEXT($A801,"yyyymm")&amp;"|"&amp;$C801&amp;"|"&amp;$F801&amp;"|"&amp;$N801&amp;"|"&amp;$R801)</f>
        <v/>
      </c>
    </row>
    <row r="802" ht="11.55" customHeight="1">
      <c r="A802" s="10" t="n">
        <v>46064</v>
      </c>
      <c r="B802" s="7" t="inlineStr">
        <is>
          <t>Quarta</t>
        </is>
      </c>
      <c r="C802" s="7" t="inlineStr">
        <is>
          <t>CT ÁGUA VERMELHA M.E– Valmir</t>
        </is>
      </c>
      <c r="D802" s="7" t="n"/>
      <c r="E802" s="7" t="inlineStr">
        <is>
          <t>Cidão</t>
        </is>
      </c>
      <c r="F802" s="13" t="inlineStr">
        <is>
          <t>Shaft PVE 21</t>
        </is>
      </c>
      <c r="G802" s="7" t="inlineStr">
        <is>
          <t>21</t>
        </is>
      </c>
      <c r="H802" s="7" t="n"/>
      <c r="I802" s="7" t="inlineStr">
        <is>
          <t>21</t>
        </is>
      </c>
      <c r="J802" s="7" t="inlineStr">
        <is>
          <t>Shaft</t>
        </is>
      </c>
      <c r="K802" s="7" t="inlineStr">
        <is>
          <t>Planejamento</t>
        </is>
      </c>
      <c r="L802" s="16" t="inlineStr">
        <is>
          <t>PDS-Fevereiro(1).docx</t>
        </is>
      </c>
      <c r="M802">
        <f>IF($A802="","",TEXT($A802,"mmmm/yyyy"))</f>
        <v/>
      </c>
      <c r="P802">
        <f>IFERROR(_xludf.XLOOKUP($N802,Base_Enderecos!$A:$A,Base_Enderecos!$B:$B,""),"")</f>
        <v/>
      </c>
      <c r="Q802">
        <f>IFERROR(_xludf.XLOOKUP($N802,Base_Enderecos!$A:$A,Base_Enderecos!$C:$C,""),"")</f>
        <v/>
      </c>
      <c r="R802">
        <f>IF(OR(ISNUMBER(SEARCH("HDD",$F802)),ISNUMBER(SEARCH("MND",$F802)),ISNUMBER(SEARCH("PEAD",$F802)),ISNUMBER(SEARCH("Puxe",$J802)),ISNUMBER(SEARCH("Apoio HDD",$F802))),"MND",IF(OR(ISNUMBER(SEARCH("VCA",$F802)),ISNUMBER(SEARCH("PVC",$F802)),ISNUMBER(SEARCH("vca",$J802)),ISNUMBER(SEARCH("Transformação",$J802))),"VCA",IF(OR(ISNUMBER(SEARCH("crava",$F802)),ISNUMBER(SEARCH("tubo cravado",$F802)),ISNUMBER(SEARCH("shaft",$J802)),ISNUMBER(SEARCH("concreto",$F802))),"TUBO CRAVADO","")))</f>
        <v/>
      </c>
      <c r="T802">
        <f>IF($A802="","",TEXT($A802,"yyyymm")&amp;"|"&amp;$C802&amp;"|"&amp;$F802&amp;"|"&amp;$N802&amp;"|"&amp;$R802)</f>
        <v/>
      </c>
    </row>
    <row r="803" ht="11.55" customHeight="1">
      <c r="A803" s="10" t="n">
        <v>46064</v>
      </c>
      <c r="B803" s="7" t="inlineStr">
        <is>
          <t>Quarta</t>
        </is>
      </c>
      <c r="C803" s="7" t="inlineStr">
        <is>
          <t>CT ÁGUA VERMELHA M.E– Valmir</t>
        </is>
      </c>
      <c r="D803" s="7" t="n"/>
      <c r="E803" s="7" t="inlineStr">
        <is>
          <t>Cesar</t>
        </is>
      </c>
      <c r="F803" s="13" t="inlineStr">
        <is>
          <t>Shaft PVE 17</t>
        </is>
      </c>
      <c r="G803" s="7" t="inlineStr">
        <is>
          <t>17</t>
        </is>
      </c>
      <c r="H803" s="7" t="n"/>
      <c r="I803" s="7" t="inlineStr">
        <is>
          <t>17</t>
        </is>
      </c>
      <c r="J803" s="7" t="inlineStr">
        <is>
          <t>Shaft</t>
        </is>
      </c>
      <c r="K803" s="7" t="inlineStr">
        <is>
          <t>Planejamento</t>
        </is>
      </c>
      <c r="L803" s="16" t="inlineStr">
        <is>
          <t>PDS-Fevereiro(1).docx</t>
        </is>
      </c>
      <c r="M803">
        <f>IF($A803="","",TEXT($A803,"mmmm/yyyy"))</f>
        <v/>
      </c>
      <c r="P803">
        <f>IFERROR(_xludf.XLOOKUP($N803,Base_Enderecos!$A:$A,Base_Enderecos!$B:$B,""),"")</f>
        <v/>
      </c>
      <c r="Q803">
        <f>IFERROR(_xludf.XLOOKUP($N803,Base_Enderecos!$A:$A,Base_Enderecos!$C:$C,""),"")</f>
        <v/>
      </c>
      <c r="R803">
        <f>IF(OR(ISNUMBER(SEARCH("HDD",$F803)),ISNUMBER(SEARCH("MND",$F803)),ISNUMBER(SEARCH("PEAD",$F803)),ISNUMBER(SEARCH("Puxe",$J803)),ISNUMBER(SEARCH("Apoio HDD",$F803))),"MND",IF(OR(ISNUMBER(SEARCH("VCA",$F803)),ISNUMBER(SEARCH("PVC",$F803)),ISNUMBER(SEARCH("vca",$J803)),ISNUMBER(SEARCH("Transformação",$J803))),"VCA",IF(OR(ISNUMBER(SEARCH("crava",$F803)),ISNUMBER(SEARCH("tubo cravado",$F803)),ISNUMBER(SEARCH("shaft",$J803)),ISNUMBER(SEARCH("concreto",$F803))),"TUBO CRAVADO","")))</f>
        <v/>
      </c>
      <c r="T803">
        <f>IF($A803="","",TEXT($A803,"yyyymm")&amp;"|"&amp;$C803&amp;"|"&amp;$F803&amp;"|"&amp;$N803&amp;"|"&amp;$R803)</f>
        <v/>
      </c>
    </row>
    <row r="804" ht="11.55" customHeight="1">
      <c r="A804" s="10" t="n">
        <v>46064</v>
      </c>
      <c r="B804" s="7" t="inlineStr">
        <is>
          <t>Quarta</t>
        </is>
      </c>
      <c r="C804" s="7" t="inlineStr">
        <is>
          <t>RCE ARARIBA</t>
        </is>
      </c>
      <c r="D804" s="7" t="inlineStr">
        <is>
          <t>ELOÍZIO</t>
        </is>
      </c>
      <c r="E804" s="7" t="inlineStr">
        <is>
          <t>Sergio</t>
        </is>
      </c>
      <c r="F804" s="13" t="inlineStr">
        <is>
          <t>Transformação PV 10</t>
        </is>
      </c>
      <c r="G804" s="7" t="inlineStr">
        <is>
          <t>10</t>
        </is>
      </c>
      <c r="H804" s="7" t="n"/>
      <c r="I804" s="7" t="inlineStr">
        <is>
          <t>10</t>
        </is>
      </c>
      <c r="J804" s="7" t="inlineStr">
        <is>
          <t>Transformação</t>
        </is>
      </c>
      <c r="K804" s="7" t="inlineStr">
        <is>
          <t>Planejamento</t>
        </is>
      </c>
      <c r="L804" s="16" t="inlineStr">
        <is>
          <t>PDS-Fevereiro(1).docx</t>
        </is>
      </c>
      <c r="M804">
        <f>IF($A804="","",TEXT($A804,"mmmm/yyyy"))</f>
        <v/>
      </c>
      <c r="P804">
        <f>IFERROR(_xludf.XLOOKUP($N804,Base_Enderecos!$A:$A,Base_Enderecos!$B:$B,""),"")</f>
        <v/>
      </c>
      <c r="Q804">
        <f>IFERROR(_xludf.XLOOKUP($N804,Base_Enderecos!$A:$A,Base_Enderecos!$C:$C,""),"")</f>
        <v/>
      </c>
      <c r="R804">
        <f>IF(OR(ISNUMBER(SEARCH("HDD",$F804)),ISNUMBER(SEARCH("MND",$F804)),ISNUMBER(SEARCH("PEAD",$F804)),ISNUMBER(SEARCH("Puxe",$J804)),ISNUMBER(SEARCH("Apoio HDD",$F804))),"MND",IF(OR(ISNUMBER(SEARCH("VCA",$F804)),ISNUMBER(SEARCH("PVC",$F804)),ISNUMBER(SEARCH("vca",$J804)),ISNUMBER(SEARCH("Transformação",$J804))),"VCA",IF(OR(ISNUMBER(SEARCH("crava",$F804)),ISNUMBER(SEARCH("tubo cravado",$F804)),ISNUMBER(SEARCH("shaft",$J804)),ISNUMBER(SEARCH("concreto",$F804))),"TUBO CRAVADO","")))</f>
        <v/>
      </c>
      <c r="T804">
        <f>IF($A804="","",TEXT($A804,"yyyymm")&amp;"|"&amp;$C804&amp;"|"&amp;$F804&amp;"|"&amp;$N804&amp;"|"&amp;$R804)</f>
        <v/>
      </c>
    </row>
    <row r="805" ht="11.55" customHeight="1">
      <c r="A805" s="10" t="n">
        <v>46064</v>
      </c>
      <c r="B805" s="7" t="inlineStr">
        <is>
          <t>Quarta</t>
        </is>
      </c>
      <c r="C805" s="7" t="inlineStr">
        <is>
          <t>RCE ARARIBA</t>
        </is>
      </c>
      <c r="D805" s="7" t="inlineStr">
        <is>
          <t>ELOÍZIO</t>
        </is>
      </c>
      <c r="E805" s="7" t="inlineStr">
        <is>
          <t>Paulo</t>
        </is>
      </c>
      <c r="F805" s="13" t="inlineStr">
        <is>
          <t>Transformação PV 09</t>
        </is>
      </c>
      <c r="G805" s="7" t="inlineStr">
        <is>
          <t>09</t>
        </is>
      </c>
      <c r="H805" s="7" t="n"/>
      <c r="I805" s="7" t="inlineStr">
        <is>
          <t>09</t>
        </is>
      </c>
      <c r="J805" s="7" t="inlineStr">
        <is>
          <t>Transformação</t>
        </is>
      </c>
      <c r="K805" s="7" t="inlineStr">
        <is>
          <t>Planejamento</t>
        </is>
      </c>
      <c r="L805" s="16" t="inlineStr">
        <is>
          <t>PDS-Fevereiro(1).docx</t>
        </is>
      </c>
      <c r="M805">
        <f>IF($A805="","",TEXT($A805,"mmmm/yyyy"))</f>
        <v/>
      </c>
      <c r="P805">
        <f>IFERROR(_xludf.XLOOKUP($N805,Base_Enderecos!$A:$A,Base_Enderecos!$B:$B,""),"")</f>
        <v/>
      </c>
      <c r="Q805">
        <f>IFERROR(_xludf.XLOOKUP($N805,Base_Enderecos!$A:$A,Base_Enderecos!$C:$C,""),"")</f>
        <v/>
      </c>
      <c r="R805">
        <f>IF(OR(ISNUMBER(SEARCH("HDD",$F805)),ISNUMBER(SEARCH("MND",$F805)),ISNUMBER(SEARCH("PEAD",$F805)),ISNUMBER(SEARCH("Puxe",$J805)),ISNUMBER(SEARCH("Apoio HDD",$F805))),"MND",IF(OR(ISNUMBER(SEARCH("VCA",$F805)),ISNUMBER(SEARCH("PVC",$F805)),ISNUMBER(SEARCH("vca",$J805)),ISNUMBER(SEARCH("Transformação",$J805))),"VCA",IF(OR(ISNUMBER(SEARCH("crava",$F805)),ISNUMBER(SEARCH("tubo cravado",$F805)),ISNUMBER(SEARCH("shaft",$J805)),ISNUMBER(SEARCH("concreto",$F805))),"TUBO CRAVADO","")))</f>
        <v/>
      </c>
      <c r="T805">
        <f>IF($A805="","",TEXT($A805,"yyyymm")&amp;"|"&amp;$C805&amp;"|"&amp;$F805&amp;"|"&amp;$N805&amp;"|"&amp;$R805)</f>
        <v/>
      </c>
    </row>
    <row r="806" ht="11.55" customHeight="1">
      <c r="A806" s="10" t="n">
        <v>46064</v>
      </c>
      <c r="B806" s="7" t="inlineStr">
        <is>
          <t>Quarta</t>
        </is>
      </c>
      <c r="C806" s="7" t="inlineStr">
        <is>
          <t>Vacal</t>
        </is>
      </c>
      <c r="D806" s="7" t="n"/>
      <c r="E806" s="7" t="inlineStr">
        <is>
          <t>Arariba</t>
        </is>
      </c>
      <c r="F806" s="13" t="inlineStr">
        <is>
          <t>Apoio Vacal</t>
        </is>
      </c>
      <c r="G806" s="7" t="n"/>
      <c r="H806" s="7" t="n"/>
      <c r="I806" s="7" t="n"/>
      <c r="J806" s="7" t="inlineStr">
        <is>
          <t>Vacal</t>
        </is>
      </c>
      <c r="K806" s="7" t="inlineStr">
        <is>
          <t>Apoio</t>
        </is>
      </c>
      <c r="L806" s="16" t="inlineStr">
        <is>
          <t>PDS-Fevereiro(1).docx</t>
        </is>
      </c>
      <c r="M806">
        <f>IF($A806="","",TEXT($A806,"mmmm/yyyy"))</f>
        <v/>
      </c>
      <c r="P806">
        <f>IFERROR(_xludf.XLOOKUP($N806,Base_Enderecos!$A:$A,Base_Enderecos!$B:$B,""),"")</f>
        <v/>
      </c>
      <c r="Q806">
        <f>IFERROR(_xludf.XLOOKUP($N806,Base_Enderecos!$A:$A,Base_Enderecos!$C:$C,""),"")</f>
        <v/>
      </c>
      <c r="R806">
        <f>IF(OR(ISNUMBER(SEARCH("HDD",$F806)),ISNUMBER(SEARCH("MND",$F806)),ISNUMBER(SEARCH("PEAD",$F806)),ISNUMBER(SEARCH("Puxe",$J806)),ISNUMBER(SEARCH("Apoio HDD",$F806))),"MND",IF(OR(ISNUMBER(SEARCH("VCA",$F806)),ISNUMBER(SEARCH("PVC",$F806)),ISNUMBER(SEARCH("vca",$J806)),ISNUMBER(SEARCH("Transformação",$J806))),"VCA",IF(OR(ISNUMBER(SEARCH("crava",$F806)),ISNUMBER(SEARCH("tubo cravado",$F806)),ISNUMBER(SEARCH("shaft",$J806)),ISNUMBER(SEARCH("concreto",$F806))),"TUBO CRAVADO","")))</f>
        <v/>
      </c>
      <c r="T806">
        <f>IF($A806="","",TEXT($A806,"yyyymm")&amp;"|"&amp;$C806&amp;"|"&amp;$F806&amp;"|"&amp;$N806&amp;"|"&amp;$R806)</f>
        <v/>
      </c>
    </row>
    <row r="807" ht="11.55" customHeight="1">
      <c r="A807" s="10" t="n">
        <v>46064</v>
      </c>
      <c r="B807" s="7" t="inlineStr">
        <is>
          <t>Quarta</t>
        </is>
      </c>
      <c r="C807" s="7" t="inlineStr">
        <is>
          <t>Vacal</t>
        </is>
      </c>
      <c r="D807" s="7" t="n"/>
      <c r="E807" s="7" t="inlineStr">
        <is>
          <t>Água Vermelha</t>
        </is>
      </c>
      <c r="F807" s="13" t="inlineStr">
        <is>
          <t>Apoio Vacal</t>
        </is>
      </c>
      <c r="G807" s="7" t="n"/>
      <c r="H807" s="7" t="n"/>
      <c r="I807" s="7" t="n"/>
      <c r="J807" s="7" t="inlineStr">
        <is>
          <t>Vacal</t>
        </is>
      </c>
      <c r="K807" s="7" t="inlineStr">
        <is>
          <t>Apoio</t>
        </is>
      </c>
      <c r="L807" s="16" t="inlineStr">
        <is>
          <t>PDS-Fevereiro(1).docx</t>
        </is>
      </c>
      <c r="M807">
        <f>IF($A807="","",TEXT($A807,"mmmm/yyyy"))</f>
        <v/>
      </c>
      <c r="P807">
        <f>IFERROR(_xludf.XLOOKUP($N807,Base_Enderecos!$A:$A,Base_Enderecos!$B:$B,""),"")</f>
        <v/>
      </c>
      <c r="Q807">
        <f>IFERROR(_xludf.XLOOKUP($N807,Base_Enderecos!$A:$A,Base_Enderecos!$C:$C,""),"")</f>
        <v/>
      </c>
      <c r="R807">
        <f>IF(OR(ISNUMBER(SEARCH("HDD",$F807)),ISNUMBER(SEARCH("MND",$F807)),ISNUMBER(SEARCH("PEAD",$F807)),ISNUMBER(SEARCH("Puxe",$J807)),ISNUMBER(SEARCH("Apoio HDD",$F807))),"MND",IF(OR(ISNUMBER(SEARCH("VCA",$F807)),ISNUMBER(SEARCH("PVC",$F807)),ISNUMBER(SEARCH("vca",$J807)),ISNUMBER(SEARCH("Transformação",$J807))),"VCA",IF(OR(ISNUMBER(SEARCH("crava",$F807)),ISNUMBER(SEARCH("tubo cravado",$F807)),ISNUMBER(SEARCH("shaft",$J807)),ISNUMBER(SEARCH("concreto",$F807))),"TUBO CRAVADO","")))</f>
        <v/>
      </c>
      <c r="T807">
        <f>IF($A807="","",TEXT($A807,"yyyymm")&amp;"|"&amp;$C807&amp;"|"&amp;$F807&amp;"|"&amp;$N807&amp;"|"&amp;$R807)</f>
        <v/>
      </c>
    </row>
    <row r="808" ht="11.55" customHeight="1">
      <c r="A808" s="10" t="n">
        <v>46064</v>
      </c>
      <c r="B808" s="7" t="inlineStr">
        <is>
          <t>Quarta</t>
        </is>
      </c>
      <c r="C808" s="7" t="inlineStr">
        <is>
          <t>Vacal</t>
        </is>
      </c>
      <c r="D808" s="7" t="n"/>
      <c r="E808" s="7" t="inlineStr">
        <is>
          <t>Mar de Coral</t>
        </is>
      </c>
      <c r="F808" s="13" t="inlineStr">
        <is>
          <t>Apoio Vacal</t>
        </is>
      </c>
      <c r="G808" s="7" t="n"/>
      <c r="H808" s="7" t="n"/>
      <c r="I808" s="7" t="n"/>
      <c r="J808" s="7" t="inlineStr">
        <is>
          <t>Vacal</t>
        </is>
      </c>
      <c r="K808" s="7" t="inlineStr">
        <is>
          <t>Apoio</t>
        </is>
      </c>
      <c r="L808" s="16" t="inlineStr">
        <is>
          <t>PDS-Fevereiro(1).docx</t>
        </is>
      </c>
      <c r="M808">
        <f>IF($A808="","",TEXT($A808,"mmmm/yyyy"))</f>
        <v/>
      </c>
      <c r="P808">
        <f>IFERROR(_xludf.XLOOKUP($N808,Base_Enderecos!$A:$A,Base_Enderecos!$B:$B,""),"")</f>
        <v/>
      </c>
      <c r="Q808">
        <f>IFERROR(_xludf.XLOOKUP($N808,Base_Enderecos!$A:$A,Base_Enderecos!$C:$C,""),"")</f>
        <v/>
      </c>
      <c r="R808">
        <f>IF(OR(ISNUMBER(SEARCH("HDD",$F808)),ISNUMBER(SEARCH("MND",$F808)),ISNUMBER(SEARCH("PEAD",$F808)),ISNUMBER(SEARCH("Puxe",$J808)),ISNUMBER(SEARCH("Apoio HDD",$F808))),"MND",IF(OR(ISNUMBER(SEARCH("VCA",$F808)),ISNUMBER(SEARCH("PVC",$F808)),ISNUMBER(SEARCH("vca",$J808)),ISNUMBER(SEARCH("Transformação",$J808))),"VCA",IF(OR(ISNUMBER(SEARCH("crava",$F808)),ISNUMBER(SEARCH("tubo cravado",$F808)),ISNUMBER(SEARCH("shaft",$J808)),ISNUMBER(SEARCH("concreto",$F808))),"TUBO CRAVADO","")))</f>
        <v/>
      </c>
      <c r="T808">
        <f>IF($A808="","",TEXT($A808,"yyyymm")&amp;"|"&amp;$C808&amp;"|"&amp;$F808&amp;"|"&amp;$N808&amp;"|"&amp;$R808)</f>
        <v/>
      </c>
    </row>
    <row r="809" ht="11.55" customHeight="1">
      <c r="A809" s="10" t="n">
        <v>46064</v>
      </c>
      <c r="B809" s="7" t="inlineStr">
        <is>
          <t>Quarta</t>
        </is>
      </c>
      <c r="C809" s="7" t="inlineStr">
        <is>
          <t>Guindauto</t>
        </is>
      </c>
      <c r="D809" s="7" t="n"/>
      <c r="E809" s="7" t="inlineStr">
        <is>
          <t>Rodrigo</t>
        </is>
      </c>
      <c r="F809" s="13" t="inlineStr">
        <is>
          <t>Rodrigo - Apoio as equipes</t>
        </is>
      </c>
      <c r="G809" s="7" t="n"/>
      <c r="H809" s="7" t="n"/>
      <c r="I809" s="7" t="n"/>
      <c r="J809" s="7" t="inlineStr">
        <is>
          <t>Guindauto</t>
        </is>
      </c>
      <c r="K809" s="7" t="inlineStr">
        <is>
          <t>Apoio</t>
        </is>
      </c>
      <c r="L809" s="16" t="inlineStr">
        <is>
          <t>PDS-Fevereiro(1).docx</t>
        </is>
      </c>
      <c r="M809">
        <f>IF($A809="","",TEXT($A809,"mmmm/yyyy"))</f>
        <v/>
      </c>
      <c r="P809">
        <f>IFERROR(_xludf.XLOOKUP($N809,Base_Enderecos!$A:$A,Base_Enderecos!$B:$B,""),"")</f>
        <v/>
      </c>
      <c r="Q809">
        <f>IFERROR(_xludf.XLOOKUP($N809,Base_Enderecos!$A:$A,Base_Enderecos!$C:$C,""),"")</f>
        <v/>
      </c>
      <c r="R809">
        <f>IF(OR(ISNUMBER(SEARCH("HDD",$F809)),ISNUMBER(SEARCH("MND",$F809)),ISNUMBER(SEARCH("PEAD",$F809)),ISNUMBER(SEARCH("Puxe",$J809)),ISNUMBER(SEARCH("Apoio HDD",$F809))),"MND",IF(OR(ISNUMBER(SEARCH("VCA",$F809)),ISNUMBER(SEARCH("PVC",$F809)),ISNUMBER(SEARCH("vca",$J809)),ISNUMBER(SEARCH("Transformação",$J809))),"VCA",IF(OR(ISNUMBER(SEARCH("crava",$F809)),ISNUMBER(SEARCH("tubo cravado",$F809)),ISNUMBER(SEARCH("shaft",$J809)),ISNUMBER(SEARCH("concreto",$F809))),"TUBO CRAVADO","")))</f>
        <v/>
      </c>
      <c r="T809">
        <f>IF($A809="","",TEXT($A809,"yyyymm")&amp;"|"&amp;$C809&amp;"|"&amp;$F809&amp;"|"&amp;$N809&amp;"|"&amp;$R809)</f>
        <v/>
      </c>
    </row>
    <row r="810" ht="11.55" customHeight="1">
      <c r="A810" s="10" t="n">
        <v>46064</v>
      </c>
      <c r="B810" s="7" t="inlineStr">
        <is>
          <t>Quarta</t>
        </is>
      </c>
      <c r="C810" s="7" t="inlineStr">
        <is>
          <t>Guindauto</t>
        </is>
      </c>
      <c r="D810" s="7" t="n"/>
      <c r="E810" s="7" t="inlineStr">
        <is>
          <t>Marcio</t>
        </is>
      </c>
      <c r="F810" s="13" t="inlineStr">
        <is>
          <t>Marcio - Apoio as equipes</t>
        </is>
      </c>
      <c r="G810" s="7" t="n"/>
      <c r="H810" s="7" t="n"/>
      <c r="I810" s="7" t="n"/>
      <c r="J810" s="7" t="inlineStr">
        <is>
          <t>Guindauto</t>
        </is>
      </c>
      <c r="K810" s="7" t="inlineStr">
        <is>
          <t>Apoio</t>
        </is>
      </c>
      <c r="L810" s="16" t="inlineStr">
        <is>
          <t>PDS-Fevereiro(1).docx</t>
        </is>
      </c>
      <c r="M810">
        <f>IF($A810="","",TEXT($A810,"mmmm/yyyy"))</f>
        <v/>
      </c>
      <c r="P810">
        <f>IFERROR(_xludf.XLOOKUP($N810,Base_Enderecos!$A:$A,Base_Enderecos!$B:$B,""),"")</f>
        <v/>
      </c>
      <c r="Q810">
        <f>IFERROR(_xludf.XLOOKUP($N810,Base_Enderecos!$A:$A,Base_Enderecos!$C:$C,""),"")</f>
        <v/>
      </c>
      <c r="R810">
        <f>IF(OR(ISNUMBER(SEARCH("HDD",$F810)),ISNUMBER(SEARCH("MND",$F810)),ISNUMBER(SEARCH("PEAD",$F810)),ISNUMBER(SEARCH("Puxe",$J810)),ISNUMBER(SEARCH("Apoio HDD",$F810))),"MND",IF(OR(ISNUMBER(SEARCH("VCA",$F810)),ISNUMBER(SEARCH("PVC",$F810)),ISNUMBER(SEARCH("vca",$J810)),ISNUMBER(SEARCH("Transformação",$J810))),"VCA",IF(OR(ISNUMBER(SEARCH("crava",$F810)),ISNUMBER(SEARCH("tubo cravado",$F810)),ISNUMBER(SEARCH("shaft",$J810)),ISNUMBER(SEARCH("concreto",$F810))),"TUBO CRAVADO","")))</f>
        <v/>
      </c>
      <c r="T810">
        <f>IF($A810="","",TEXT($A810,"yyyymm")&amp;"|"&amp;$C810&amp;"|"&amp;$F810&amp;"|"&amp;$N810&amp;"|"&amp;$R810)</f>
        <v/>
      </c>
    </row>
    <row r="811" ht="11.55" customHeight="1">
      <c r="A811" s="10" t="n">
        <v>46065</v>
      </c>
      <c r="B811" s="7" t="inlineStr">
        <is>
          <t>Quinta</t>
        </is>
      </c>
      <c r="C811" s="7" t="inlineStr">
        <is>
          <t>CT MAR DE CORAL</t>
        </is>
      </c>
      <c r="D811" s="7" t="inlineStr">
        <is>
          <t>LEANDRO e SILVESTRE</t>
        </is>
      </c>
      <c r="E811" s="7" t="inlineStr">
        <is>
          <t>Carlos</t>
        </is>
      </c>
      <c r="F811" s="13" t="inlineStr">
        <is>
          <t>Aterro PV 5.11</t>
        </is>
      </c>
      <c r="G811" s="7" t="inlineStr">
        <is>
          <t>5.11</t>
        </is>
      </c>
      <c r="H811" s="7" t="n"/>
      <c r="I811" s="7" t="inlineStr">
        <is>
          <t>5.11</t>
        </is>
      </c>
      <c r="J811" s="7" t="inlineStr">
        <is>
          <t>Aterro</t>
        </is>
      </c>
      <c r="K811" s="7" t="inlineStr">
        <is>
          <t>Planejamento</t>
        </is>
      </c>
      <c r="L811" s="16" t="inlineStr">
        <is>
          <t>PDS-Fevereiro(1).docx</t>
        </is>
      </c>
      <c r="M811">
        <f>IF($A811="","",TEXT($A811,"mmmm/yyyy"))</f>
        <v/>
      </c>
      <c r="P811">
        <f>IFERROR(_xludf.XLOOKUP($N811,Base_Enderecos!$A:$A,Base_Enderecos!$B:$B,""),"")</f>
        <v/>
      </c>
      <c r="Q811">
        <f>IFERROR(_xludf.XLOOKUP($N811,Base_Enderecos!$A:$A,Base_Enderecos!$C:$C,""),"")</f>
        <v/>
      </c>
      <c r="R811">
        <f>IF(OR(ISNUMBER(SEARCH("HDD",$F811)),ISNUMBER(SEARCH("MND",$F811)),ISNUMBER(SEARCH("PEAD",$F811)),ISNUMBER(SEARCH("Puxe",$J811)),ISNUMBER(SEARCH("Apoio HDD",$F811))),"MND",IF(OR(ISNUMBER(SEARCH("VCA",$F811)),ISNUMBER(SEARCH("PVC",$F811)),ISNUMBER(SEARCH("vca",$J811)),ISNUMBER(SEARCH("Transformação",$J811))),"VCA",IF(OR(ISNUMBER(SEARCH("crava",$F811)),ISNUMBER(SEARCH("tubo cravado",$F811)),ISNUMBER(SEARCH("shaft",$J811)),ISNUMBER(SEARCH("concreto",$F811))),"TUBO CRAVADO","")))</f>
        <v/>
      </c>
      <c r="T811">
        <f>IF($A811="","",TEXT($A811,"yyyymm")&amp;"|"&amp;$C811&amp;"|"&amp;$F811&amp;"|"&amp;$N811&amp;"|"&amp;$R811)</f>
        <v/>
      </c>
    </row>
    <row r="812" ht="11.55" customHeight="1">
      <c r="A812" s="10" t="n">
        <v>46065</v>
      </c>
      <c r="B812" s="7" t="inlineStr">
        <is>
          <t>Quinta</t>
        </is>
      </c>
      <c r="C812" s="7" t="inlineStr">
        <is>
          <t>CT MAR DE CORAL</t>
        </is>
      </c>
      <c r="D812" s="7" t="inlineStr">
        <is>
          <t>LEANDRO e SILVESTRE</t>
        </is>
      </c>
      <c r="E812" s="7" t="inlineStr">
        <is>
          <t>Medeiros</t>
        </is>
      </c>
      <c r="F812" s="13" t="inlineStr">
        <is>
          <t>Resgate cabeça puxe PV 33</t>
        </is>
      </c>
      <c r="G812" s="7" t="inlineStr">
        <is>
          <t>33</t>
        </is>
      </c>
      <c r="H812" s="7" t="n"/>
      <c r="I812" s="7" t="inlineStr">
        <is>
          <t>33</t>
        </is>
      </c>
      <c r="J812" s="7" t="inlineStr">
        <is>
          <t>Puxe</t>
        </is>
      </c>
      <c r="K812" s="7" t="inlineStr">
        <is>
          <t>Planejamento</t>
        </is>
      </c>
      <c r="L812" s="16" t="inlineStr">
        <is>
          <t>PDS-Fevereiro(1).docx</t>
        </is>
      </c>
      <c r="M812">
        <f>IF($A812="","",TEXT($A812,"mmmm/yyyy"))</f>
        <v/>
      </c>
      <c r="P812">
        <f>IFERROR(_xludf.XLOOKUP($N812,Base_Enderecos!$A:$A,Base_Enderecos!$B:$B,""),"")</f>
        <v/>
      </c>
      <c r="Q812">
        <f>IFERROR(_xludf.XLOOKUP($N812,Base_Enderecos!$A:$A,Base_Enderecos!$C:$C,""),"")</f>
        <v/>
      </c>
      <c r="R812">
        <f>IF(OR(ISNUMBER(SEARCH("HDD",$F812)),ISNUMBER(SEARCH("MND",$F812)),ISNUMBER(SEARCH("PEAD",$F812)),ISNUMBER(SEARCH("Puxe",$J812)),ISNUMBER(SEARCH("Apoio HDD",$F812))),"MND",IF(OR(ISNUMBER(SEARCH("VCA",$F812)),ISNUMBER(SEARCH("PVC",$F812)),ISNUMBER(SEARCH("vca",$J812)),ISNUMBER(SEARCH("Transformação",$J812))),"VCA",IF(OR(ISNUMBER(SEARCH("crava",$F812)),ISNUMBER(SEARCH("tubo cravado",$F812)),ISNUMBER(SEARCH("shaft",$J812)),ISNUMBER(SEARCH("concreto",$F812))),"TUBO CRAVADO","")))</f>
        <v/>
      </c>
      <c r="T812">
        <f>IF($A812="","",TEXT($A812,"yyyymm")&amp;"|"&amp;$C812&amp;"|"&amp;$F812&amp;"|"&amp;$N812&amp;"|"&amp;$R812)</f>
        <v/>
      </c>
    </row>
    <row r="813" ht="11.55" customHeight="1">
      <c r="A813" s="10" t="n">
        <v>46065</v>
      </c>
      <c r="B813" s="7" t="inlineStr">
        <is>
          <t>Quinta</t>
        </is>
      </c>
      <c r="C813" s="7" t="inlineStr">
        <is>
          <t>CT MAR DE CORAL</t>
        </is>
      </c>
      <c r="D813" s="7" t="inlineStr">
        <is>
          <t>LEANDRO e SILVESTRE</t>
        </is>
      </c>
      <c r="E813" s="7" t="inlineStr">
        <is>
          <t>Marcio</t>
        </is>
      </c>
      <c r="F813" s="13" t="inlineStr">
        <is>
          <t>Resgate cabeça puxe PV 13</t>
        </is>
      </c>
      <c r="G813" s="7" t="inlineStr">
        <is>
          <t>13</t>
        </is>
      </c>
      <c r="H813" s="7" t="n"/>
      <c r="I813" s="7" t="inlineStr">
        <is>
          <t>13</t>
        </is>
      </c>
      <c r="J813" s="7" t="inlineStr">
        <is>
          <t>Puxe</t>
        </is>
      </c>
      <c r="K813" s="7" t="inlineStr">
        <is>
          <t>Planejamento</t>
        </is>
      </c>
      <c r="L813" s="16" t="inlineStr">
        <is>
          <t>PDS-Fevereiro(1).docx</t>
        </is>
      </c>
      <c r="M813">
        <f>IF($A813="","",TEXT($A813,"mmmm/yyyy"))</f>
        <v/>
      </c>
      <c r="P813">
        <f>IFERROR(_xludf.XLOOKUP($N813,Base_Enderecos!$A:$A,Base_Enderecos!$B:$B,""),"")</f>
        <v/>
      </c>
      <c r="Q813">
        <f>IFERROR(_xludf.XLOOKUP($N813,Base_Enderecos!$A:$A,Base_Enderecos!$C:$C,""),"")</f>
        <v/>
      </c>
      <c r="R813">
        <f>IF(OR(ISNUMBER(SEARCH("HDD",$F813)),ISNUMBER(SEARCH("MND",$F813)),ISNUMBER(SEARCH("PEAD",$F813)),ISNUMBER(SEARCH("Puxe",$J813)),ISNUMBER(SEARCH("Apoio HDD",$F813))),"MND",IF(OR(ISNUMBER(SEARCH("VCA",$F813)),ISNUMBER(SEARCH("PVC",$F813)),ISNUMBER(SEARCH("vca",$J813)),ISNUMBER(SEARCH("Transformação",$J813))),"VCA",IF(OR(ISNUMBER(SEARCH("crava",$F813)),ISNUMBER(SEARCH("tubo cravado",$F813)),ISNUMBER(SEARCH("shaft",$J813)),ISNUMBER(SEARCH("concreto",$F813))),"TUBO CRAVADO","")))</f>
        <v/>
      </c>
      <c r="T813">
        <f>IF($A813="","",TEXT($A813,"yyyymm")&amp;"|"&amp;$C813&amp;"|"&amp;$F813&amp;"|"&amp;$N813&amp;"|"&amp;$R813)</f>
        <v/>
      </c>
    </row>
    <row r="814" ht="11.55" customHeight="1">
      <c r="A814" s="10" t="n">
        <v>46065</v>
      </c>
      <c r="B814" s="7" t="inlineStr">
        <is>
          <t>Quinta</t>
        </is>
      </c>
      <c r="C814" s="7" t="inlineStr">
        <is>
          <t>CT LOURDES</t>
        </is>
      </c>
      <c r="D814" s="7" t="inlineStr">
        <is>
          <t>ROBSON</t>
        </is>
      </c>
      <c r="E814" s="7" t="inlineStr">
        <is>
          <t>Edvando</t>
        </is>
      </c>
      <c r="F814" s="13" t="inlineStr">
        <is>
          <t>Interligação PV 22</t>
        </is>
      </c>
      <c r="G814" s="7" t="inlineStr">
        <is>
          <t>22</t>
        </is>
      </c>
      <c r="H814" s="7" t="n"/>
      <c r="I814" s="7" t="inlineStr">
        <is>
          <t>22</t>
        </is>
      </c>
      <c r="J814" s="7" t="inlineStr">
        <is>
          <t>Interligação</t>
        </is>
      </c>
      <c r="K814" s="7" t="inlineStr">
        <is>
          <t>Planejamento</t>
        </is>
      </c>
      <c r="L814" s="16" t="inlineStr">
        <is>
          <t>PDS-Fevereiro(1).docx</t>
        </is>
      </c>
      <c r="M814">
        <f>IF($A814="","",TEXT($A814,"mmmm/yyyy"))</f>
        <v/>
      </c>
      <c r="P814">
        <f>IFERROR(_xludf.XLOOKUP($N814,Base_Enderecos!$A:$A,Base_Enderecos!$B:$B,""),"")</f>
        <v/>
      </c>
      <c r="Q814">
        <f>IFERROR(_xludf.XLOOKUP($N814,Base_Enderecos!$A:$A,Base_Enderecos!$C:$C,""),"")</f>
        <v/>
      </c>
      <c r="R814">
        <f>IF(OR(ISNUMBER(SEARCH("HDD",$F814)),ISNUMBER(SEARCH("MND",$F814)),ISNUMBER(SEARCH("PEAD",$F814)),ISNUMBER(SEARCH("Puxe",$J814)),ISNUMBER(SEARCH("Apoio HDD",$F814))),"MND",IF(OR(ISNUMBER(SEARCH("VCA",$F814)),ISNUMBER(SEARCH("PVC",$F814)),ISNUMBER(SEARCH("vca",$J814)),ISNUMBER(SEARCH("Transformação",$J814))),"VCA",IF(OR(ISNUMBER(SEARCH("crava",$F814)),ISNUMBER(SEARCH("tubo cravado",$F814)),ISNUMBER(SEARCH("shaft",$J814)),ISNUMBER(SEARCH("concreto",$F814))),"TUBO CRAVADO","")))</f>
        <v/>
      </c>
      <c r="T814">
        <f>IF($A814="","",TEXT($A814,"yyyymm")&amp;"|"&amp;$C814&amp;"|"&amp;$F814&amp;"|"&amp;$N814&amp;"|"&amp;$R814)</f>
        <v/>
      </c>
    </row>
    <row r="815" ht="11.55" customHeight="1">
      <c r="A815" s="10" t="n">
        <v>46065</v>
      </c>
      <c r="B815" s="7" t="inlineStr">
        <is>
          <t>Quinta</t>
        </is>
      </c>
      <c r="C815" s="7" t="inlineStr">
        <is>
          <t>CT ÁGUA VERMELHA M.D</t>
        </is>
      </c>
      <c r="D815" s="7" t="inlineStr">
        <is>
          <t>CAROLINE e FÁBIO</t>
        </is>
      </c>
      <c r="E815" s="7" t="inlineStr">
        <is>
          <t>Marcelo</t>
        </is>
      </c>
      <c r="F815" s="13" t="inlineStr">
        <is>
          <t>Transformação PVD 2</t>
        </is>
      </c>
      <c r="G815" s="7" t="inlineStr">
        <is>
          <t>2</t>
        </is>
      </c>
      <c r="H815" s="7" t="n"/>
      <c r="I815" s="7" t="inlineStr">
        <is>
          <t>2</t>
        </is>
      </c>
      <c r="J815" s="7" t="inlineStr">
        <is>
          <t>Transformação</t>
        </is>
      </c>
      <c r="K815" s="7" t="inlineStr">
        <is>
          <t>Planejamento</t>
        </is>
      </c>
      <c r="L815" s="16" t="inlineStr">
        <is>
          <t>PDS-Fevereiro(1).docx</t>
        </is>
      </c>
      <c r="M815">
        <f>IF($A815="","",TEXT($A815,"mmmm/yyyy"))</f>
        <v/>
      </c>
      <c r="P815">
        <f>IFERROR(_xludf.XLOOKUP($N815,Base_Enderecos!$A:$A,Base_Enderecos!$B:$B,""),"")</f>
        <v/>
      </c>
      <c r="Q815">
        <f>IFERROR(_xludf.XLOOKUP($N815,Base_Enderecos!$A:$A,Base_Enderecos!$C:$C,""),"")</f>
        <v/>
      </c>
      <c r="R815">
        <f>IF(OR(ISNUMBER(SEARCH("HDD",$F815)),ISNUMBER(SEARCH("MND",$F815)),ISNUMBER(SEARCH("PEAD",$F815)),ISNUMBER(SEARCH("Puxe",$J815)),ISNUMBER(SEARCH("Apoio HDD",$F815))),"MND",IF(OR(ISNUMBER(SEARCH("VCA",$F815)),ISNUMBER(SEARCH("PVC",$F815)),ISNUMBER(SEARCH("vca",$J815)),ISNUMBER(SEARCH("Transformação",$J815))),"VCA",IF(OR(ISNUMBER(SEARCH("crava",$F815)),ISNUMBER(SEARCH("tubo cravado",$F815)),ISNUMBER(SEARCH("shaft",$J815)),ISNUMBER(SEARCH("concreto",$F815))),"TUBO CRAVADO","")))</f>
        <v/>
      </c>
      <c r="T815">
        <f>IF($A815="","",TEXT($A815,"yyyymm")&amp;"|"&amp;$C815&amp;"|"&amp;$F815&amp;"|"&amp;$N815&amp;"|"&amp;$R815)</f>
        <v/>
      </c>
    </row>
    <row r="816" ht="11.55" customHeight="1">
      <c r="A816" s="10" t="n">
        <v>46065</v>
      </c>
      <c r="B816" s="7" t="inlineStr">
        <is>
          <t>Quinta</t>
        </is>
      </c>
      <c r="C816" s="7" t="inlineStr">
        <is>
          <t>CT ÁGUA VERMELHA M.D</t>
        </is>
      </c>
      <c r="D816" s="7" t="inlineStr">
        <is>
          <t>CAROLINE e FÁBIO</t>
        </is>
      </c>
      <c r="E816" s="7" t="inlineStr">
        <is>
          <t>Jonathan</t>
        </is>
      </c>
      <c r="F816" s="13" t="inlineStr">
        <is>
          <t>Apoio HDD entre PVD 3 e PV05</t>
        </is>
      </c>
      <c r="G816" s="7" t="inlineStr">
        <is>
          <t>3</t>
        </is>
      </c>
      <c r="H816" s="7" t="inlineStr">
        <is>
          <t>05</t>
        </is>
      </c>
      <c r="I816" s="7" t="inlineStr">
        <is>
          <t>3, 05</t>
        </is>
      </c>
      <c r="J816" s="7" t="inlineStr">
        <is>
          <t>Apoio HDD</t>
        </is>
      </c>
      <c r="K816" s="7" t="inlineStr">
        <is>
          <t>Planejamento</t>
        </is>
      </c>
      <c r="L816" s="16" t="inlineStr">
        <is>
          <t>PDS-Fevereiro(1).docx</t>
        </is>
      </c>
      <c r="M816">
        <f>IF($A816="","",TEXT($A816,"mmmm/yyyy"))</f>
        <v/>
      </c>
      <c r="P816">
        <f>IFERROR(_xludf.XLOOKUP($N816,Base_Enderecos!$A:$A,Base_Enderecos!$B:$B,""),"")</f>
        <v/>
      </c>
      <c r="Q816">
        <f>IFERROR(_xludf.XLOOKUP($N816,Base_Enderecos!$A:$A,Base_Enderecos!$C:$C,""),"")</f>
        <v/>
      </c>
      <c r="R816">
        <f>IF(OR(ISNUMBER(SEARCH("HDD",$F816)),ISNUMBER(SEARCH("MND",$F816)),ISNUMBER(SEARCH("PEAD",$F816)),ISNUMBER(SEARCH("Puxe",$J816)),ISNUMBER(SEARCH("Apoio HDD",$F816))),"MND",IF(OR(ISNUMBER(SEARCH("VCA",$F816)),ISNUMBER(SEARCH("PVC",$F816)),ISNUMBER(SEARCH("vca",$J816)),ISNUMBER(SEARCH("Transformação",$J816))),"VCA",IF(OR(ISNUMBER(SEARCH("crava",$F816)),ISNUMBER(SEARCH("tubo cravado",$F816)),ISNUMBER(SEARCH("shaft",$J816)),ISNUMBER(SEARCH("concreto",$F816))),"TUBO CRAVADO","")))</f>
        <v/>
      </c>
      <c r="T816">
        <f>IF($A816="","",TEXT($A816,"yyyymm")&amp;"|"&amp;$C816&amp;"|"&amp;$F816&amp;"|"&amp;$N816&amp;"|"&amp;$R816)</f>
        <v/>
      </c>
    </row>
    <row r="817" ht="11.55" customHeight="1">
      <c r="A817" s="10" t="n">
        <v>46065</v>
      </c>
      <c r="B817" s="7" t="inlineStr">
        <is>
          <t>Quinta</t>
        </is>
      </c>
      <c r="C817" s="7" t="inlineStr">
        <is>
          <t>CT ÁGUA VERMELHA M.D</t>
        </is>
      </c>
      <c r="D817" s="7" t="inlineStr">
        <is>
          <t>CAROLINE e FÁBIO</t>
        </is>
      </c>
      <c r="E817" s="7" t="inlineStr">
        <is>
          <t>WJ 02</t>
        </is>
      </c>
      <c r="F817" s="13" t="inlineStr">
        <is>
          <t>Piloto e Puxe PVD 3 e PVD 5</t>
        </is>
      </c>
      <c r="G817" s="7" t="inlineStr">
        <is>
          <t>3</t>
        </is>
      </c>
      <c r="H817" s="7" t="inlineStr">
        <is>
          <t>5</t>
        </is>
      </c>
      <c r="I817" s="7" t="inlineStr">
        <is>
          <t>3, 5</t>
        </is>
      </c>
      <c r="J817" s="7" t="inlineStr">
        <is>
          <t>Piloto e puxe</t>
        </is>
      </c>
      <c r="K817" s="7" t="inlineStr">
        <is>
          <t>Planejamento</t>
        </is>
      </c>
      <c r="L817" s="16" t="inlineStr">
        <is>
          <t>PDS-Fevereiro(1).docx</t>
        </is>
      </c>
      <c r="M817">
        <f>IF($A817="","",TEXT($A817,"mmmm/yyyy"))</f>
        <v/>
      </c>
      <c r="P817">
        <f>IFERROR(_xludf.XLOOKUP($N817,Base_Enderecos!$A:$A,Base_Enderecos!$B:$B,""),"")</f>
        <v/>
      </c>
      <c r="Q817">
        <f>IFERROR(_xludf.XLOOKUP($N817,Base_Enderecos!$A:$A,Base_Enderecos!$C:$C,""),"")</f>
        <v/>
      </c>
      <c r="R817">
        <f>IF(OR(ISNUMBER(SEARCH("HDD",$F817)),ISNUMBER(SEARCH("MND",$F817)),ISNUMBER(SEARCH("PEAD",$F817)),ISNUMBER(SEARCH("Puxe",$J817)),ISNUMBER(SEARCH("Apoio HDD",$F817))),"MND",IF(OR(ISNUMBER(SEARCH("VCA",$F817)),ISNUMBER(SEARCH("PVC",$F817)),ISNUMBER(SEARCH("vca",$J817)),ISNUMBER(SEARCH("Transformação",$J817))),"VCA",IF(OR(ISNUMBER(SEARCH("crava",$F817)),ISNUMBER(SEARCH("tubo cravado",$F817)),ISNUMBER(SEARCH("shaft",$J817)),ISNUMBER(SEARCH("concreto",$F817))),"TUBO CRAVADO","")))</f>
        <v/>
      </c>
      <c r="T817">
        <f>IF($A817="","",TEXT($A817,"yyyymm")&amp;"|"&amp;$C817&amp;"|"&amp;$F817&amp;"|"&amp;$N817&amp;"|"&amp;$R817)</f>
        <v/>
      </c>
    </row>
    <row r="818" ht="11.55" customHeight="1">
      <c r="A818" s="10" t="n">
        <v>46065</v>
      </c>
      <c r="B818" s="7" t="inlineStr">
        <is>
          <t>Quinta</t>
        </is>
      </c>
      <c r="C818" s="7" t="inlineStr">
        <is>
          <t>CT ÁGUA VERMELHA M.E– Valmir</t>
        </is>
      </c>
      <c r="D818" s="7" t="n"/>
      <c r="E818" s="7" t="inlineStr">
        <is>
          <t>WJ 01</t>
        </is>
      </c>
      <c r="F818" s="13" t="inlineStr">
        <is>
          <t>Piloto 01 ao 05</t>
        </is>
      </c>
      <c r="G818" s="7" t="n"/>
      <c r="H818" s="7" t="n"/>
      <c r="I818" s="7" t="n"/>
      <c r="J818" s="7" t="n"/>
      <c r="K818" s="7" t="inlineStr">
        <is>
          <t>Planejamento</t>
        </is>
      </c>
      <c r="L818" s="16" t="inlineStr">
        <is>
          <t>PDS-Fevereiro(1).docx</t>
        </is>
      </c>
      <c r="M818">
        <f>IF($A818="","",TEXT($A818,"mmmm/yyyy"))</f>
        <v/>
      </c>
      <c r="P818">
        <f>IFERROR(_xludf.XLOOKUP($N818,Base_Enderecos!$A:$A,Base_Enderecos!$B:$B,""),"")</f>
        <v/>
      </c>
      <c r="Q818">
        <f>IFERROR(_xludf.XLOOKUP($N818,Base_Enderecos!$A:$A,Base_Enderecos!$C:$C,""),"")</f>
        <v/>
      </c>
      <c r="R818">
        <f>IF(OR(ISNUMBER(SEARCH("HDD",$F818)),ISNUMBER(SEARCH("MND",$F818)),ISNUMBER(SEARCH("PEAD",$F818)),ISNUMBER(SEARCH("Puxe",$J818)),ISNUMBER(SEARCH("Apoio HDD",$F818))),"MND",IF(OR(ISNUMBER(SEARCH("VCA",$F818)),ISNUMBER(SEARCH("PVC",$F818)),ISNUMBER(SEARCH("vca",$J818)),ISNUMBER(SEARCH("Transformação",$J818))),"VCA",IF(OR(ISNUMBER(SEARCH("crava",$F818)),ISNUMBER(SEARCH("tubo cravado",$F818)),ISNUMBER(SEARCH("shaft",$J818)),ISNUMBER(SEARCH("concreto",$F818))),"TUBO CRAVADO","")))</f>
        <v/>
      </c>
      <c r="T818">
        <f>IF($A818="","",TEXT($A818,"yyyymm")&amp;"|"&amp;$C818&amp;"|"&amp;$F818&amp;"|"&amp;$N818&amp;"|"&amp;$R818)</f>
        <v/>
      </c>
    </row>
    <row r="819" ht="11.55" customHeight="1">
      <c r="A819" s="10" t="n">
        <v>46065</v>
      </c>
      <c r="B819" s="7" t="inlineStr">
        <is>
          <t>Quinta</t>
        </is>
      </c>
      <c r="C819" s="7" t="inlineStr">
        <is>
          <t>CT ÁGUA VERMELHA M.E– Valmir</t>
        </is>
      </c>
      <c r="D819" s="7" t="n"/>
      <c r="E819" s="7" t="inlineStr">
        <is>
          <t>Natalino</t>
        </is>
      </c>
      <c r="F819" s="13" t="inlineStr">
        <is>
          <t>Apoio HDD 01 ao 05</t>
        </is>
      </c>
      <c r="G819" s="7" t="n"/>
      <c r="H819" s="7" t="n"/>
      <c r="I819" s="7" t="n"/>
      <c r="J819" s="7" t="inlineStr">
        <is>
          <t>Apoio HDD</t>
        </is>
      </c>
      <c r="K819" s="7" t="inlineStr">
        <is>
          <t>Planejamento</t>
        </is>
      </c>
      <c r="L819" s="16" t="inlineStr">
        <is>
          <t>PDS-Fevereiro(1).docx</t>
        </is>
      </c>
      <c r="M819">
        <f>IF($A819="","",TEXT($A819,"mmmm/yyyy"))</f>
        <v/>
      </c>
      <c r="P819">
        <f>IFERROR(_xludf.XLOOKUP($N819,Base_Enderecos!$A:$A,Base_Enderecos!$B:$B,""),"")</f>
        <v/>
      </c>
      <c r="Q819">
        <f>IFERROR(_xludf.XLOOKUP($N819,Base_Enderecos!$A:$A,Base_Enderecos!$C:$C,""),"")</f>
        <v/>
      </c>
      <c r="R819">
        <f>IF(OR(ISNUMBER(SEARCH("HDD",$F819)),ISNUMBER(SEARCH("MND",$F819)),ISNUMBER(SEARCH("PEAD",$F819)),ISNUMBER(SEARCH("Puxe",$J819)),ISNUMBER(SEARCH("Apoio HDD",$F819))),"MND",IF(OR(ISNUMBER(SEARCH("VCA",$F819)),ISNUMBER(SEARCH("PVC",$F819)),ISNUMBER(SEARCH("vca",$J819)),ISNUMBER(SEARCH("Transformação",$J819))),"VCA",IF(OR(ISNUMBER(SEARCH("crava",$F819)),ISNUMBER(SEARCH("tubo cravado",$F819)),ISNUMBER(SEARCH("shaft",$J819)),ISNUMBER(SEARCH("concreto",$F819))),"TUBO CRAVADO","")))</f>
        <v/>
      </c>
      <c r="T819">
        <f>IF($A819="","",TEXT($A819,"yyyymm")&amp;"|"&amp;$C819&amp;"|"&amp;$F819&amp;"|"&amp;$N819&amp;"|"&amp;$R819)</f>
        <v/>
      </c>
    </row>
    <row r="820" ht="11.55" customHeight="1">
      <c r="A820" s="10" t="n">
        <v>46065</v>
      </c>
      <c r="B820" s="7" t="inlineStr">
        <is>
          <t>Quinta</t>
        </is>
      </c>
      <c r="C820" s="7" t="inlineStr">
        <is>
          <t>CT ÁGUA VERMELHA M.E– Valmir</t>
        </is>
      </c>
      <c r="D820" s="7" t="n"/>
      <c r="E820" s="7" t="inlineStr">
        <is>
          <t>Higor</t>
        </is>
      </c>
      <c r="F820" s="13" t="inlineStr">
        <is>
          <t>Shaft PVE 11</t>
        </is>
      </c>
      <c r="G820" s="7" t="inlineStr">
        <is>
          <t>11</t>
        </is>
      </c>
      <c r="H820" s="7" t="n"/>
      <c r="I820" s="7" t="inlineStr">
        <is>
          <t>11</t>
        </is>
      </c>
      <c r="J820" s="7" t="inlineStr">
        <is>
          <t>Shaft</t>
        </is>
      </c>
      <c r="K820" s="7" t="inlineStr">
        <is>
          <t>Planejamento</t>
        </is>
      </c>
      <c r="L820" s="16" t="inlineStr">
        <is>
          <t>PDS-Fevereiro(1).docx</t>
        </is>
      </c>
      <c r="M820">
        <f>IF($A820="","",TEXT($A820,"mmmm/yyyy"))</f>
        <v/>
      </c>
      <c r="P820">
        <f>IFERROR(_xludf.XLOOKUP($N820,Base_Enderecos!$A:$A,Base_Enderecos!$B:$B,""),"")</f>
        <v/>
      </c>
      <c r="Q820">
        <f>IFERROR(_xludf.XLOOKUP($N820,Base_Enderecos!$A:$A,Base_Enderecos!$C:$C,""),"")</f>
        <v/>
      </c>
      <c r="R820">
        <f>IF(OR(ISNUMBER(SEARCH("HDD",$F820)),ISNUMBER(SEARCH("MND",$F820)),ISNUMBER(SEARCH("PEAD",$F820)),ISNUMBER(SEARCH("Puxe",$J820)),ISNUMBER(SEARCH("Apoio HDD",$F820))),"MND",IF(OR(ISNUMBER(SEARCH("VCA",$F820)),ISNUMBER(SEARCH("PVC",$F820)),ISNUMBER(SEARCH("vca",$J820)),ISNUMBER(SEARCH("Transformação",$J820))),"VCA",IF(OR(ISNUMBER(SEARCH("crava",$F820)),ISNUMBER(SEARCH("tubo cravado",$F820)),ISNUMBER(SEARCH("shaft",$J820)),ISNUMBER(SEARCH("concreto",$F820))),"TUBO CRAVADO","")))</f>
        <v/>
      </c>
      <c r="T820">
        <f>IF($A820="","",TEXT($A820,"yyyymm")&amp;"|"&amp;$C820&amp;"|"&amp;$F820&amp;"|"&amp;$N820&amp;"|"&amp;$R820)</f>
        <v/>
      </c>
    </row>
    <row r="821" ht="11.55" customHeight="1">
      <c r="A821" s="10" t="n">
        <v>46065</v>
      </c>
      <c r="B821" s="7" t="inlineStr">
        <is>
          <t>Quinta</t>
        </is>
      </c>
      <c r="C821" s="7" t="inlineStr">
        <is>
          <t>CT ÁGUA VERMELHA M.E– Valmir</t>
        </is>
      </c>
      <c r="D821" s="7" t="n"/>
      <c r="E821" s="7" t="inlineStr">
        <is>
          <t>Cidão</t>
        </is>
      </c>
      <c r="F821" s="13" t="inlineStr">
        <is>
          <t>Shaft PVE 21</t>
        </is>
      </c>
      <c r="G821" s="7" t="inlineStr">
        <is>
          <t>21</t>
        </is>
      </c>
      <c r="H821" s="7" t="n"/>
      <c r="I821" s="7" t="inlineStr">
        <is>
          <t>21</t>
        </is>
      </c>
      <c r="J821" s="7" t="inlineStr">
        <is>
          <t>Shaft</t>
        </is>
      </c>
      <c r="K821" s="7" t="inlineStr">
        <is>
          <t>Planejamento</t>
        </is>
      </c>
      <c r="L821" s="16" t="inlineStr">
        <is>
          <t>PDS-Fevereiro(1).docx</t>
        </is>
      </c>
      <c r="M821">
        <f>IF($A821="","",TEXT($A821,"mmmm/yyyy"))</f>
        <v/>
      </c>
      <c r="P821">
        <f>IFERROR(_xludf.XLOOKUP($N821,Base_Enderecos!$A:$A,Base_Enderecos!$B:$B,""),"")</f>
        <v/>
      </c>
      <c r="Q821">
        <f>IFERROR(_xludf.XLOOKUP($N821,Base_Enderecos!$A:$A,Base_Enderecos!$C:$C,""),"")</f>
        <v/>
      </c>
      <c r="R821">
        <f>IF(OR(ISNUMBER(SEARCH("HDD",$F821)),ISNUMBER(SEARCH("MND",$F821)),ISNUMBER(SEARCH("PEAD",$F821)),ISNUMBER(SEARCH("Puxe",$J821)),ISNUMBER(SEARCH("Apoio HDD",$F821))),"MND",IF(OR(ISNUMBER(SEARCH("VCA",$F821)),ISNUMBER(SEARCH("PVC",$F821)),ISNUMBER(SEARCH("vca",$J821)),ISNUMBER(SEARCH("Transformação",$J821))),"VCA",IF(OR(ISNUMBER(SEARCH("crava",$F821)),ISNUMBER(SEARCH("tubo cravado",$F821)),ISNUMBER(SEARCH("shaft",$J821)),ISNUMBER(SEARCH("concreto",$F821))),"TUBO CRAVADO","")))</f>
        <v/>
      </c>
      <c r="T821">
        <f>IF($A821="","",TEXT($A821,"yyyymm")&amp;"|"&amp;$C821&amp;"|"&amp;$F821&amp;"|"&amp;$N821&amp;"|"&amp;$R821)</f>
        <v/>
      </c>
    </row>
    <row r="822" ht="11.55" customHeight="1">
      <c r="A822" s="10" t="n">
        <v>46065</v>
      </c>
      <c r="B822" s="7" t="inlineStr">
        <is>
          <t>Quinta</t>
        </is>
      </c>
      <c r="C822" s="7" t="inlineStr">
        <is>
          <t>CT ÁGUA VERMELHA M.E– Valmir</t>
        </is>
      </c>
      <c r="D822" s="7" t="n"/>
      <c r="E822" s="7" t="inlineStr">
        <is>
          <t>Cesar</t>
        </is>
      </c>
      <c r="F822" s="13" t="inlineStr">
        <is>
          <t>Shaft PVE 07</t>
        </is>
      </c>
      <c r="G822" s="7" t="inlineStr">
        <is>
          <t>07</t>
        </is>
      </c>
      <c r="H822" s="7" t="n"/>
      <c r="I822" s="7" t="inlineStr">
        <is>
          <t>07</t>
        </is>
      </c>
      <c r="J822" s="7" t="inlineStr">
        <is>
          <t>Shaft</t>
        </is>
      </c>
      <c r="K822" s="7" t="inlineStr">
        <is>
          <t>Planejamento</t>
        </is>
      </c>
      <c r="L822" s="16" t="inlineStr">
        <is>
          <t>PDS-Fevereiro(1).docx</t>
        </is>
      </c>
      <c r="M822">
        <f>IF($A822="","",TEXT($A822,"mmmm/yyyy"))</f>
        <v/>
      </c>
      <c r="P822">
        <f>IFERROR(_xludf.XLOOKUP($N822,Base_Enderecos!$A:$A,Base_Enderecos!$B:$B,""),"")</f>
        <v/>
      </c>
      <c r="Q822">
        <f>IFERROR(_xludf.XLOOKUP($N822,Base_Enderecos!$A:$A,Base_Enderecos!$C:$C,""),"")</f>
        <v/>
      </c>
      <c r="R822">
        <f>IF(OR(ISNUMBER(SEARCH("HDD",$F822)),ISNUMBER(SEARCH("MND",$F822)),ISNUMBER(SEARCH("PEAD",$F822)),ISNUMBER(SEARCH("Puxe",$J822)),ISNUMBER(SEARCH("Apoio HDD",$F822))),"MND",IF(OR(ISNUMBER(SEARCH("VCA",$F822)),ISNUMBER(SEARCH("PVC",$F822)),ISNUMBER(SEARCH("vca",$J822)),ISNUMBER(SEARCH("Transformação",$J822))),"VCA",IF(OR(ISNUMBER(SEARCH("crava",$F822)),ISNUMBER(SEARCH("tubo cravado",$F822)),ISNUMBER(SEARCH("shaft",$J822)),ISNUMBER(SEARCH("concreto",$F822))),"TUBO CRAVADO","")))</f>
        <v/>
      </c>
      <c r="T822">
        <f>IF($A822="","",TEXT($A822,"yyyymm")&amp;"|"&amp;$C822&amp;"|"&amp;$F822&amp;"|"&amp;$N822&amp;"|"&amp;$R822)</f>
        <v/>
      </c>
    </row>
    <row r="823" ht="11.55" customHeight="1">
      <c r="A823" s="10" t="n">
        <v>46065</v>
      </c>
      <c r="B823" s="7" t="inlineStr">
        <is>
          <t>Quinta</t>
        </is>
      </c>
      <c r="C823" s="7" t="inlineStr">
        <is>
          <t>RCE ARARIBA</t>
        </is>
      </c>
      <c r="D823" s="7" t="inlineStr">
        <is>
          <t>ELOÍZIO</t>
        </is>
      </c>
      <c r="E823" s="7" t="inlineStr">
        <is>
          <t>Sergio</t>
        </is>
      </c>
      <c r="F823" s="13" t="inlineStr">
        <is>
          <t>Transformação PV 10</t>
        </is>
      </c>
      <c r="G823" s="7" t="inlineStr">
        <is>
          <t>10</t>
        </is>
      </c>
      <c r="H823" s="7" t="n"/>
      <c r="I823" s="7" t="inlineStr">
        <is>
          <t>10</t>
        </is>
      </c>
      <c r="J823" s="7" t="inlineStr">
        <is>
          <t>Transformação</t>
        </is>
      </c>
      <c r="K823" s="7" t="inlineStr">
        <is>
          <t>Planejamento</t>
        </is>
      </c>
      <c r="L823" s="16" t="inlineStr">
        <is>
          <t>PDS-Fevereiro(1).docx</t>
        </is>
      </c>
      <c r="M823">
        <f>IF($A823="","",TEXT($A823,"mmmm/yyyy"))</f>
        <v/>
      </c>
      <c r="P823">
        <f>IFERROR(_xludf.XLOOKUP($N823,Base_Enderecos!$A:$A,Base_Enderecos!$B:$B,""),"")</f>
        <v/>
      </c>
      <c r="Q823">
        <f>IFERROR(_xludf.XLOOKUP($N823,Base_Enderecos!$A:$A,Base_Enderecos!$C:$C,""),"")</f>
        <v/>
      </c>
      <c r="R823">
        <f>IF(OR(ISNUMBER(SEARCH("HDD",$F823)),ISNUMBER(SEARCH("MND",$F823)),ISNUMBER(SEARCH("PEAD",$F823)),ISNUMBER(SEARCH("Puxe",$J823)),ISNUMBER(SEARCH("Apoio HDD",$F823))),"MND",IF(OR(ISNUMBER(SEARCH("VCA",$F823)),ISNUMBER(SEARCH("PVC",$F823)),ISNUMBER(SEARCH("vca",$J823)),ISNUMBER(SEARCH("Transformação",$J823))),"VCA",IF(OR(ISNUMBER(SEARCH("crava",$F823)),ISNUMBER(SEARCH("tubo cravado",$F823)),ISNUMBER(SEARCH("shaft",$J823)),ISNUMBER(SEARCH("concreto",$F823))),"TUBO CRAVADO","")))</f>
        <v/>
      </c>
      <c r="T823">
        <f>IF($A823="","",TEXT($A823,"yyyymm")&amp;"|"&amp;$C823&amp;"|"&amp;$F823&amp;"|"&amp;$N823&amp;"|"&amp;$R823)</f>
        <v/>
      </c>
    </row>
    <row r="824" ht="11.55" customHeight="1">
      <c r="A824" s="10" t="n">
        <v>46065</v>
      </c>
      <c r="B824" s="7" t="inlineStr">
        <is>
          <t>Quinta</t>
        </is>
      </c>
      <c r="C824" s="7" t="inlineStr">
        <is>
          <t>RCE ARARIBA</t>
        </is>
      </c>
      <c r="D824" s="7" t="inlineStr">
        <is>
          <t>ELOÍZIO</t>
        </is>
      </c>
      <c r="E824" s="7" t="inlineStr">
        <is>
          <t>Paulo</t>
        </is>
      </c>
      <c r="F824" s="13" t="inlineStr">
        <is>
          <t>Transformação PV 09</t>
        </is>
      </c>
      <c r="G824" s="7" t="inlineStr">
        <is>
          <t>09</t>
        </is>
      </c>
      <c r="H824" s="7" t="n"/>
      <c r="I824" s="7" t="inlineStr">
        <is>
          <t>09</t>
        </is>
      </c>
      <c r="J824" s="7" t="inlineStr">
        <is>
          <t>Transformação</t>
        </is>
      </c>
      <c r="K824" s="7" t="inlineStr">
        <is>
          <t>Planejamento</t>
        </is>
      </c>
      <c r="L824" s="16" t="inlineStr">
        <is>
          <t>PDS-Fevereiro(1).docx</t>
        </is>
      </c>
      <c r="M824">
        <f>IF($A824="","",TEXT($A824,"mmmm/yyyy"))</f>
        <v/>
      </c>
      <c r="P824">
        <f>IFERROR(_xludf.XLOOKUP($N824,Base_Enderecos!$A:$A,Base_Enderecos!$B:$B,""),"")</f>
        <v/>
      </c>
      <c r="Q824">
        <f>IFERROR(_xludf.XLOOKUP($N824,Base_Enderecos!$A:$A,Base_Enderecos!$C:$C,""),"")</f>
        <v/>
      </c>
      <c r="R824">
        <f>IF(OR(ISNUMBER(SEARCH("HDD",$F824)),ISNUMBER(SEARCH("MND",$F824)),ISNUMBER(SEARCH("PEAD",$F824)),ISNUMBER(SEARCH("Puxe",$J824)),ISNUMBER(SEARCH("Apoio HDD",$F824))),"MND",IF(OR(ISNUMBER(SEARCH("VCA",$F824)),ISNUMBER(SEARCH("PVC",$F824)),ISNUMBER(SEARCH("vca",$J824)),ISNUMBER(SEARCH("Transformação",$J824))),"VCA",IF(OR(ISNUMBER(SEARCH("crava",$F824)),ISNUMBER(SEARCH("tubo cravado",$F824)),ISNUMBER(SEARCH("shaft",$J824)),ISNUMBER(SEARCH("concreto",$F824))),"TUBO CRAVADO","")))</f>
        <v/>
      </c>
      <c r="T824">
        <f>IF($A824="","",TEXT($A824,"yyyymm")&amp;"|"&amp;$C824&amp;"|"&amp;$F824&amp;"|"&amp;$N824&amp;"|"&amp;$R824)</f>
        <v/>
      </c>
    </row>
    <row r="825" ht="11.55" customHeight="1">
      <c r="A825" s="10" t="n">
        <v>46065</v>
      </c>
      <c r="B825" s="7" t="inlineStr">
        <is>
          <t>Quinta</t>
        </is>
      </c>
      <c r="C825" s="7" t="inlineStr">
        <is>
          <t>RCE ARARIBA</t>
        </is>
      </c>
      <c r="D825" s="7" t="inlineStr">
        <is>
          <t>ELOÍZIO</t>
        </is>
      </c>
      <c r="E825" s="7" t="inlineStr">
        <is>
          <t>Valter</t>
        </is>
      </c>
      <c r="F825" s="13" t="inlineStr">
        <is>
          <t>VCA PV 10 ao 13</t>
        </is>
      </c>
      <c r="G825" s="7" t="inlineStr">
        <is>
          <t>10</t>
        </is>
      </c>
      <c r="H825" s="7" t="n"/>
      <c r="I825" s="7" t="inlineStr">
        <is>
          <t>10</t>
        </is>
      </c>
      <c r="J825" s="7" t="inlineStr">
        <is>
          <t>VCA</t>
        </is>
      </c>
      <c r="K825" s="7" t="inlineStr">
        <is>
          <t>Planejamento</t>
        </is>
      </c>
      <c r="L825" s="16" t="inlineStr">
        <is>
          <t>PDS-Fevereiro(1).docx</t>
        </is>
      </c>
      <c r="M825">
        <f>IF($A825="","",TEXT($A825,"mmmm/yyyy"))</f>
        <v/>
      </c>
      <c r="P825">
        <f>IFERROR(_xludf.XLOOKUP($N825,Base_Enderecos!$A:$A,Base_Enderecos!$B:$B,""),"")</f>
        <v/>
      </c>
      <c r="Q825">
        <f>IFERROR(_xludf.XLOOKUP($N825,Base_Enderecos!$A:$A,Base_Enderecos!$C:$C,""),"")</f>
        <v/>
      </c>
      <c r="R825">
        <f>IF(OR(ISNUMBER(SEARCH("HDD",$F825)),ISNUMBER(SEARCH("MND",$F825)),ISNUMBER(SEARCH("PEAD",$F825)),ISNUMBER(SEARCH("Puxe",$J825)),ISNUMBER(SEARCH("Apoio HDD",$F825))),"MND",IF(OR(ISNUMBER(SEARCH("VCA",$F825)),ISNUMBER(SEARCH("PVC",$F825)),ISNUMBER(SEARCH("vca",$J825)),ISNUMBER(SEARCH("Transformação",$J825))),"VCA",IF(OR(ISNUMBER(SEARCH("crava",$F825)),ISNUMBER(SEARCH("tubo cravado",$F825)),ISNUMBER(SEARCH("shaft",$J825)),ISNUMBER(SEARCH("concreto",$F825))),"TUBO CRAVADO","")))</f>
        <v/>
      </c>
      <c r="T825">
        <f>IF($A825="","",TEXT($A825,"yyyymm")&amp;"|"&amp;$C825&amp;"|"&amp;$F825&amp;"|"&amp;$N825&amp;"|"&amp;$R825)</f>
        <v/>
      </c>
    </row>
    <row r="826" ht="11.55" customHeight="1">
      <c r="A826" s="10" t="n">
        <v>46065</v>
      </c>
      <c r="B826" s="7" t="inlineStr">
        <is>
          <t>Quinta</t>
        </is>
      </c>
      <c r="C826" s="7" t="inlineStr">
        <is>
          <t>Vacal</t>
        </is>
      </c>
      <c r="D826" s="7" t="n"/>
      <c r="E826" s="7" t="inlineStr">
        <is>
          <t>Arariba</t>
        </is>
      </c>
      <c r="F826" s="13" t="inlineStr">
        <is>
          <t>Apoio Vacal</t>
        </is>
      </c>
      <c r="G826" s="7" t="n"/>
      <c r="H826" s="7" t="n"/>
      <c r="I826" s="7" t="n"/>
      <c r="J826" s="7" t="inlineStr">
        <is>
          <t>Vacal</t>
        </is>
      </c>
      <c r="K826" s="7" t="inlineStr">
        <is>
          <t>Apoio</t>
        </is>
      </c>
      <c r="L826" s="16" t="inlineStr">
        <is>
          <t>PDS-Fevereiro(1).docx</t>
        </is>
      </c>
      <c r="M826">
        <f>IF($A826="","",TEXT($A826,"mmmm/yyyy"))</f>
        <v/>
      </c>
      <c r="P826">
        <f>IFERROR(_xludf.XLOOKUP($N826,Base_Enderecos!$A:$A,Base_Enderecos!$B:$B,""),"")</f>
        <v/>
      </c>
      <c r="Q826">
        <f>IFERROR(_xludf.XLOOKUP($N826,Base_Enderecos!$A:$A,Base_Enderecos!$C:$C,""),"")</f>
        <v/>
      </c>
      <c r="R826">
        <f>IF(OR(ISNUMBER(SEARCH("HDD",$F826)),ISNUMBER(SEARCH("MND",$F826)),ISNUMBER(SEARCH("PEAD",$F826)),ISNUMBER(SEARCH("Puxe",$J826)),ISNUMBER(SEARCH("Apoio HDD",$F826))),"MND",IF(OR(ISNUMBER(SEARCH("VCA",$F826)),ISNUMBER(SEARCH("PVC",$F826)),ISNUMBER(SEARCH("vca",$J826)),ISNUMBER(SEARCH("Transformação",$J826))),"VCA",IF(OR(ISNUMBER(SEARCH("crava",$F826)),ISNUMBER(SEARCH("tubo cravado",$F826)),ISNUMBER(SEARCH("shaft",$J826)),ISNUMBER(SEARCH("concreto",$F826))),"TUBO CRAVADO","")))</f>
        <v/>
      </c>
      <c r="T826">
        <f>IF($A826="","",TEXT($A826,"yyyymm")&amp;"|"&amp;$C826&amp;"|"&amp;$F826&amp;"|"&amp;$N826&amp;"|"&amp;$R826)</f>
        <v/>
      </c>
    </row>
    <row r="827" ht="11.55" customHeight="1">
      <c r="A827" s="10" t="n">
        <v>46065</v>
      </c>
      <c r="B827" s="7" t="inlineStr">
        <is>
          <t>Quinta</t>
        </is>
      </c>
      <c r="C827" s="7" t="inlineStr">
        <is>
          <t>Vacal</t>
        </is>
      </c>
      <c r="D827" s="7" t="n"/>
      <c r="E827" s="7" t="inlineStr">
        <is>
          <t>Água Vermelha</t>
        </is>
      </c>
      <c r="F827" s="13" t="inlineStr">
        <is>
          <t>Apoio Vacal</t>
        </is>
      </c>
      <c r="G827" s="7" t="n"/>
      <c r="H827" s="7" t="n"/>
      <c r="I827" s="7" t="n"/>
      <c r="J827" s="7" t="inlineStr">
        <is>
          <t>Vacal</t>
        </is>
      </c>
      <c r="K827" s="7" t="inlineStr">
        <is>
          <t>Apoio</t>
        </is>
      </c>
      <c r="L827" s="16" t="inlineStr">
        <is>
          <t>PDS-Fevereiro(1).docx</t>
        </is>
      </c>
      <c r="M827">
        <f>IF($A827="","",TEXT($A827,"mmmm/yyyy"))</f>
        <v/>
      </c>
      <c r="P827">
        <f>IFERROR(_xludf.XLOOKUP($N827,Base_Enderecos!$A:$A,Base_Enderecos!$B:$B,""),"")</f>
        <v/>
      </c>
      <c r="Q827">
        <f>IFERROR(_xludf.XLOOKUP($N827,Base_Enderecos!$A:$A,Base_Enderecos!$C:$C,""),"")</f>
        <v/>
      </c>
      <c r="R827">
        <f>IF(OR(ISNUMBER(SEARCH("HDD",$F827)),ISNUMBER(SEARCH("MND",$F827)),ISNUMBER(SEARCH("PEAD",$F827)),ISNUMBER(SEARCH("Puxe",$J827)),ISNUMBER(SEARCH("Apoio HDD",$F827))),"MND",IF(OR(ISNUMBER(SEARCH("VCA",$F827)),ISNUMBER(SEARCH("PVC",$F827)),ISNUMBER(SEARCH("vca",$J827)),ISNUMBER(SEARCH("Transformação",$J827))),"VCA",IF(OR(ISNUMBER(SEARCH("crava",$F827)),ISNUMBER(SEARCH("tubo cravado",$F827)),ISNUMBER(SEARCH("shaft",$J827)),ISNUMBER(SEARCH("concreto",$F827))),"TUBO CRAVADO","")))</f>
        <v/>
      </c>
      <c r="T827">
        <f>IF($A827="","",TEXT($A827,"yyyymm")&amp;"|"&amp;$C827&amp;"|"&amp;$F827&amp;"|"&amp;$N827&amp;"|"&amp;$R827)</f>
        <v/>
      </c>
    </row>
    <row r="828" ht="11.55" customHeight="1">
      <c r="A828" s="10" t="n">
        <v>46065</v>
      </c>
      <c r="B828" s="7" t="inlineStr">
        <is>
          <t>Quinta</t>
        </is>
      </c>
      <c r="C828" s="7" t="inlineStr">
        <is>
          <t>Vacal</t>
        </is>
      </c>
      <c r="D828" s="7" t="n"/>
      <c r="E828" s="7" t="inlineStr">
        <is>
          <t>Mar de Coral</t>
        </is>
      </c>
      <c r="F828" s="13" t="inlineStr">
        <is>
          <t>Apoio Vacal</t>
        </is>
      </c>
      <c r="G828" s="7" t="n"/>
      <c r="H828" s="7" t="n"/>
      <c r="I828" s="7" t="n"/>
      <c r="J828" s="7" t="inlineStr">
        <is>
          <t>Vacal</t>
        </is>
      </c>
      <c r="K828" s="7" t="inlineStr">
        <is>
          <t>Apoio</t>
        </is>
      </c>
      <c r="L828" s="16" t="inlineStr">
        <is>
          <t>PDS-Fevereiro(1).docx</t>
        </is>
      </c>
      <c r="M828">
        <f>IF($A828="","",TEXT($A828,"mmmm/yyyy"))</f>
        <v/>
      </c>
      <c r="P828">
        <f>IFERROR(_xludf.XLOOKUP($N828,Base_Enderecos!$A:$A,Base_Enderecos!$B:$B,""),"")</f>
        <v/>
      </c>
      <c r="Q828">
        <f>IFERROR(_xludf.XLOOKUP($N828,Base_Enderecos!$A:$A,Base_Enderecos!$C:$C,""),"")</f>
        <v/>
      </c>
      <c r="R828">
        <f>IF(OR(ISNUMBER(SEARCH("HDD",$F828)),ISNUMBER(SEARCH("MND",$F828)),ISNUMBER(SEARCH("PEAD",$F828)),ISNUMBER(SEARCH("Puxe",$J828)),ISNUMBER(SEARCH("Apoio HDD",$F828))),"MND",IF(OR(ISNUMBER(SEARCH("VCA",$F828)),ISNUMBER(SEARCH("PVC",$F828)),ISNUMBER(SEARCH("vca",$J828)),ISNUMBER(SEARCH("Transformação",$J828))),"VCA",IF(OR(ISNUMBER(SEARCH("crava",$F828)),ISNUMBER(SEARCH("tubo cravado",$F828)),ISNUMBER(SEARCH("shaft",$J828)),ISNUMBER(SEARCH("concreto",$F828))),"TUBO CRAVADO","")))</f>
        <v/>
      </c>
      <c r="T828">
        <f>IF($A828="","",TEXT($A828,"yyyymm")&amp;"|"&amp;$C828&amp;"|"&amp;$F828&amp;"|"&amp;$N828&amp;"|"&amp;$R828)</f>
        <v/>
      </c>
    </row>
    <row r="829" ht="11.55" customHeight="1">
      <c r="A829" s="10" t="n">
        <v>46065</v>
      </c>
      <c r="B829" s="7" t="inlineStr">
        <is>
          <t>Quinta</t>
        </is>
      </c>
      <c r="C829" s="7" t="inlineStr">
        <is>
          <t>Guindauto</t>
        </is>
      </c>
      <c r="D829" s="7" t="n"/>
      <c r="E829" s="7" t="inlineStr">
        <is>
          <t>Rodrigo</t>
        </is>
      </c>
      <c r="F829" s="13" t="inlineStr">
        <is>
          <t>Rodrigo - Apoio as equipes</t>
        </is>
      </c>
      <c r="G829" s="7" t="n"/>
      <c r="H829" s="7" t="n"/>
      <c r="I829" s="7" t="n"/>
      <c r="J829" s="7" t="inlineStr">
        <is>
          <t>Guindauto</t>
        </is>
      </c>
      <c r="K829" s="7" t="inlineStr">
        <is>
          <t>Apoio</t>
        </is>
      </c>
      <c r="L829" s="16" t="inlineStr">
        <is>
          <t>PDS-Fevereiro(1).docx</t>
        </is>
      </c>
      <c r="M829">
        <f>IF($A829="","",TEXT($A829,"mmmm/yyyy"))</f>
        <v/>
      </c>
      <c r="P829">
        <f>IFERROR(_xludf.XLOOKUP($N829,Base_Enderecos!$A:$A,Base_Enderecos!$B:$B,""),"")</f>
        <v/>
      </c>
      <c r="Q829">
        <f>IFERROR(_xludf.XLOOKUP($N829,Base_Enderecos!$A:$A,Base_Enderecos!$C:$C,""),"")</f>
        <v/>
      </c>
      <c r="R829">
        <f>IF(OR(ISNUMBER(SEARCH("HDD",$F829)),ISNUMBER(SEARCH("MND",$F829)),ISNUMBER(SEARCH("PEAD",$F829)),ISNUMBER(SEARCH("Puxe",$J829)),ISNUMBER(SEARCH("Apoio HDD",$F829))),"MND",IF(OR(ISNUMBER(SEARCH("VCA",$F829)),ISNUMBER(SEARCH("PVC",$F829)),ISNUMBER(SEARCH("vca",$J829)),ISNUMBER(SEARCH("Transformação",$J829))),"VCA",IF(OR(ISNUMBER(SEARCH("crava",$F829)),ISNUMBER(SEARCH("tubo cravado",$F829)),ISNUMBER(SEARCH("shaft",$J829)),ISNUMBER(SEARCH("concreto",$F829))),"TUBO CRAVADO","")))</f>
        <v/>
      </c>
      <c r="T829">
        <f>IF($A829="","",TEXT($A829,"yyyymm")&amp;"|"&amp;$C829&amp;"|"&amp;$F829&amp;"|"&amp;$N829&amp;"|"&amp;$R829)</f>
        <v/>
      </c>
    </row>
    <row r="830" ht="11.55" customHeight="1">
      <c r="A830" s="10" t="n">
        <v>46065</v>
      </c>
      <c r="B830" s="7" t="inlineStr">
        <is>
          <t>Quinta</t>
        </is>
      </c>
      <c r="C830" s="7" t="inlineStr">
        <is>
          <t>Guindauto</t>
        </is>
      </c>
      <c r="D830" s="7" t="n"/>
      <c r="E830" s="7" t="inlineStr">
        <is>
          <t>Marcio</t>
        </is>
      </c>
      <c r="F830" s="13" t="inlineStr">
        <is>
          <t>Marcio - Apoio as equipes</t>
        </is>
      </c>
      <c r="G830" s="7" t="n"/>
      <c r="H830" s="7" t="n"/>
      <c r="I830" s="7" t="n"/>
      <c r="J830" s="7" t="inlineStr">
        <is>
          <t>Guindauto</t>
        </is>
      </c>
      <c r="K830" s="7" t="inlineStr">
        <is>
          <t>Apoio</t>
        </is>
      </c>
      <c r="L830" s="16" t="inlineStr">
        <is>
          <t>PDS-Fevereiro(1).docx</t>
        </is>
      </c>
      <c r="M830">
        <f>IF($A830="","",TEXT($A830,"mmmm/yyyy"))</f>
        <v/>
      </c>
      <c r="P830">
        <f>IFERROR(_xludf.XLOOKUP($N830,Base_Enderecos!$A:$A,Base_Enderecos!$B:$B,""),"")</f>
        <v/>
      </c>
      <c r="Q830">
        <f>IFERROR(_xludf.XLOOKUP($N830,Base_Enderecos!$A:$A,Base_Enderecos!$C:$C,""),"")</f>
        <v/>
      </c>
      <c r="R830">
        <f>IF(OR(ISNUMBER(SEARCH("HDD",$F830)),ISNUMBER(SEARCH("MND",$F830)),ISNUMBER(SEARCH("PEAD",$F830)),ISNUMBER(SEARCH("Puxe",$J830)),ISNUMBER(SEARCH("Apoio HDD",$F830))),"MND",IF(OR(ISNUMBER(SEARCH("VCA",$F830)),ISNUMBER(SEARCH("PVC",$F830)),ISNUMBER(SEARCH("vca",$J830)),ISNUMBER(SEARCH("Transformação",$J830))),"VCA",IF(OR(ISNUMBER(SEARCH("crava",$F830)),ISNUMBER(SEARCH("tubo cravado",$F830)),ISNUMBER(SEARCH("shaft",$J830)),ISNUMBER(SEARCH("concreto",$F830))),"TUBO CRAVADO","")))</f>
        <v/>
      </c>
      <c r="T830">
        <f>IF($A830="","",TEXT($A830,"yyyymm")&amp;"|"&amp;$C830&amp;"|"&amp;$F830&amp;"|"&amp;$N830&amp;"|"&amp;$R830)</f>
        <v/>
      </c>
    </row>
    <row r="831" ht="11.55" customHeight="1">
      <c r="A831" s="10" t="n">
        <v>46066</v>
      </c>
      <c r="B831" s="7" t="inlineStr">
        <is>
          <t>Sexta</t>
        </is>
      </c>
      <c r="C831" s="7" t="inlineStr">
        <is>
          <t>CT MAR DE CORAL</t>
        </is>
      </c>
      <c r="D831" s="7" t="inlineStr">
        <is>
          <t>LEANDRO e SILVESTRE</t>
        </is>
      </c>
      <c r="E831" s="7" t="inlineStr">
        <is>
          <t>Carlos</t>
        </is>
      </c>
      <c r="F831" s="13" t="inlineStr">
        <is>
          <t>Aterro PV 5.11</t>
        </is>
      </c>
      <c r="G831" s="7" t="inlineStr">
        <is>
          <t>5.11</t>
        </is>
      </c>
      <c r="H831" s="7" t="n"/>
      <c r="I831" s="7" t="inlineStr">
        <is>
          <t>5.11</t>
        </is>
      </c>
      <c r="J831" s="7" t="inlineStr">
        <is>
          <t>Aterro</t>
        </is>
      </c>
      <c r="K831" s="7" t="inlineStr">
        <is>
          <t>Planejamento</t>
        </is>
      </c>
      <c r="L831" s="16" t="inlineStr">
        <is>
          <t>PDS-Fevereiro(1).docx</t>
        </is>
      </c>
      <c r="M831">
        <f>IF($A831="","",TEXT($A831,"mmmm/yyyy"))</f>
        <v/>
      </c>
      <c r="P831">
        <f>IFERROR(_xludf.XLOOKUP($N831,Base_Enderecos!$A:$A,Base_Enderecos!$B:$B,""),"")</f>
        <v/>
      </c>
      <c r="Q831">
        <f>IFERROR(_xludf.XLOOKUP($N831,Base_Enderecos!$A:$A,Base_Enderecos!$C:$C,""),"")</f>
        <v/>
      </c>
      <c r="R831">
        <f>IF(OR(ISNUMBER(SEARCH("HDD",$F831)),ISNUMBER(SEARCH("MND",$F831)),ISNUMBER(SEARCH("PEAD",$F831)),ISNUMBER(SEARCH("Puxe",$J831)),ISNUMBER(SEARCH("Apoio HDD",$F831))),"MND",IF(OR(ISNUMBER(SEARCH("VCA",$F831)),ISNUMBER(SEARCH("PVC",$F831)),ISNUMBER(SEARCH("vca",$J831)),ISNUMBER(SEARCH("Transformação",$J831))),"VCA",IF(OR(ISNUMBER(SEARCH("crava",$F831)),ISNUMBER(SEARCH("tubo cravado",$F831)),ISNUMBER(SEARCH("shaft",$J831)),ISNUMBER(SEARCH("concreto",$F831))),"TUBO CRAVADO","")))</f>
        <v/>
      </c>
      <c r="T831">
        <f>IF($A831="","",TEXT($A831,"yyyymm")&amp;"|"&amp;$C831&amp;"|"&amp;$F831&amp;"|"&amp;$N831&amp;"|"&amp;$R831)</f>
        <v/>
      </c>
    </row>
    <row r="832" ht="11.55" customHeight="1">
      <c r="A832" s="10" t="n">
        <v>46066</v>
      </c>
      <c r="B832" s="7" t="inlineStr">
        <is>
          <t>Sexta</t>
        </is>
      </c>
      <c r="C832" s="7" t="inlineStr">
        <is>
          <t>CT MAR DE CORAL</t>
        </is>
      </c>
      <c r="D832" s="7" t="inlineStr">
        <is>
          <t>LEANDRO e SILVESTRE</t>
        </is>
      </c>
      <c r="E832" s="7" t="inlineStr">
        <is>
          <t>Medeiros</t>
        </is>
      </c>
      <c r="F832" s="13" t="inlineStr">
        <is>
          <t>Resgate cabeça puxe PV 33</t>
        </is>
      </c>
      <c r="G832" s="7" t="inlineStr">
        <is>
          <t>33</t>
        </is>
      </c>
      <c r="H832" s="7" t="n"/>
      <c r="I832" s="7" t="inlineStr">
        <is>
          <t>33</t>
        </is>
      </c>
      <c r="J832" s="7" t="inlineStr">
        <is>
          <t>Puxe</t>
        </is>
      </c>
      <c r="K832" s="7" t="inlineStr">
        <is>
          <t>Planejamento</t>
        </is>
      </c>
      <c r="L832" s="16" t="inlineStr">
        <is>
          <t>PDS-Fevereiro(1).docx</t>
        </is>
      </c>
      <c r="M832">
        <f>IF($A832="","",TEXT($A832,"mmmm/yyyy"))</f>
        <v/>
      </c>
      <c r="P832">
        <f>IFERROR(_xludf.XLOOKUP($N832,Base_Enderecos!$A:$A,Base_Enderecos!$B:$B,""),"")</f>
        <v/>
      </c>
      <c r="Q832">
        <f>IFERROR(_xludf.XLOOKUP($N832,Base_Enderecos!$A:$A,Base_Enderecos!$C:$C,""),"")</f>
        <v/>
      </c>
      <c r="R832">
        <f>IF(OR(ISNUMBER(SEARCH("HDD",$F832)),ISNUMBER(SEARCH("MND",$F832)),ISNUMBER(SEARCH("PEAD",$F832)),ISNUMBER(SEARCH("Puxe",$J832)),ISNUMBER(SEARCH("Apoio HDD",$F832))),"MND",IF(OR(ISNUMBER(SEARCH("VCA",$F832)),ISNUMBER(SEARCH("PVC",$F832)),ISNUMBER(SEARCH("vca",$J832)),ISNUMBER(SEARCH("Transformação",$J832))),"VCA",IF(OR(ISNUMBER(SEARCH("crava",$F832)),ISNUMBER(SEARCH("tubo cravado",$F832)),ISNUMBER(SEARCH("shaft",$J832)),ISNUMBER(SEARCH("concreto",$F832))),"TUBO CRAVADO","")))</f>
        <v/>
      </c>
      <c r="T832">
        <f>IF($A832="","",TEXT($A832,"yyyymm")&amp;"|"&amp;$C832&amp;"|"&amp;$F832&amp;"|"&amp;$N832&amp;"|"&amp;$R832)</f>
        <v/>
      </c>
    </row>
    <row r="833" ht="11.55" customHeight="1">
      <c r="A833" s="10" t="n">
        <v>46066</v>
      </c>
      <c r="B833" s="7" t="inlineStr">
        <is>
          <t>Sexta</t>
        </is>
      </c>
      <c r="C833" s="7" t="inlineStr">
        <is>
          <t>CT MAR DE CORAL</t>
        </is>
      </c>
      <c r="D833" s="7" t="inlineStr">
        <is>
          <t>LEANDRO e SILVESTRE</t>
        </is>
      </c>
      <c r="E833" s="7" t="inlineStr">
        <is>
          <t>Marcio</t>
        </is>
      </c>
      <c r="F833" s="13" t="inlineStr">
        <is>
          <t>Transformação PV 13</t>
        </is>
      </c>
      <c r="G833" s="7" t="inlineStr">
        <is>
          <t>13</t>
        </is>
      </c>
      <c r="H833" s="7" t="n"/>
      <c r="I833" s="7" t="inlineStr">
        <is>
          <t>13</t>
        </is>
      </c>
      <c r="J833" s="7" t="inlineStr">
        <is>
          <t>Transformação</t>
        </is>
      </c>
      <c r="K833" s="7" t="inlineStr">
        <is>
          <t>Planejamento</t>
        </is>
      </c>
      <c r="L833" s="16" t="inlineStr">
        <is>
          <t>PDS-Fevereiro(1).docx</t>
        </is>
      </c>
      <c r="M833">
        <f>IF($A833="","",TEXT($A833,"mmmm/yyyy"))</f>
        <v/>
      </c>
      <c r="P833">
        <f>IFERROR(_xludf.XLOOKUP($N833,Base_Enderecos!$A:$A,Base_Enderecos!$B:$B,""),"")</f>
        <v/>
      </c>
      <c r="Q833">
        <f>IFERROR(_xludf.XLOOKUP($N833,Base_Enderecos!$A:$A,Base_Enderecos!$C:$C,""),"")</f>
        <v/>
      </c>
      <c r="R833">
        <f>IF(OR(ISNUMBER(SEARCH("HDD",$F833)),ISNUMBER(SEARCH("MND",$F833)),ISNUMBER(SEARCH("PEAD",$F833)),ISNUMBER(SEARCH("Puxe",$J833)),ISNUMBER(SEARCH("Apoio HDD",$F833))),"MND",IF(OR(ISNUMBER(SEARCH("VCA",$F833)),ISNUMBER(SEARCH("PVC",$F833)),ISNUMBER(SEARCH("vca",$J833)),ISNUMBER(SEARCH("Transformação",$J833))),"VCA",IF(OR(ISNUMBER(SEARCH("crava",$F833)),ISNUMBER(SEARCH("tubo cravado",$F833)),ISNUMBER(SEARCH("shaft",$J833)),ISNUMBER(SEARCH("concreto",$F833))),"TUBO CRAVADO","")))</f>
        <v/>
      </c>
      <c r="T833">
        <f>IF($A833="","",TEXT($A833,"yyyymm")&amp;"|"&amp;$C833&amp;"|"&amp;$F833&amp;"|"&amp;$N833&amp;"|"&amp;$R833)</f>
        <v/>
      </c>
    </row>
    <row r="834" ht="11.55" customHeight="1">
      <c r="A834" s="10" t="n">
        <v>46066</v>
      </c>
      <c r="B834" s="7" t="inlineStr">
        <is>
          <t>Sexta</t>
        </is>
      </c>
      <c r="C834" s="7" t="inlineStr">
        <is>
          <t>CT MAR DE CORAL</t>
        </is>
      </c>
      <c r="D834" s="7" t="inlineStr">
        <is>
          <t>LEANDRO e SILVESTRE</t>
        </is>
      </c>
      <c r="E834" s="7" t="inlineStr">
        <is>
          <t>Sergio</t>
        </is>
      </c>
      <c r="F834" s="13" t="inlineStr">
        <is>
          <t>Transformação PV 12</t>
        </is>
      </c>
      <c r="G834" s="7" t="inlineStr">
        <is>
          <t>12</t>
        </is>
      </c>
      <c r="H834" s="7" t="n"/>
      <c r="I834" s="7" t="inlineStr">
        <is>
          <t>12</t>
        </is>
      </c>
      <c r="J834" s="7" t="inlineStr">
        <is>
          <t>Transformação</t>
        </is>
      </c>
      <c r="K834" s="7" t="inlineStr">
        <is>
          <t>Planejamento</t>
        </is>
      </c>
      <c r="L834" s="16" t="inlineStr">
        <is>
          <t>PDS-Fevereiro(1).docx</t>
        </is>
      </c>
      <c r="M834">
        <f>IF($A834="","",TEXT($A834,"mmmm/yyyy"))</f>
        <v/>
      </c>
      <c r="P834">
        <f>IFERROR(_xludf.XLOOKUP($N834,Base_Enderecos!$A:$A,Base_Enderecos!$B:$B,""),"")</f>
        <v/>
      </c>
      <c r="Q834">
        <f>IFERROR(_xludf.XLOOKUP($N834,Base_Enderecos!$A:$A,Base_Enderecos!$C:$C,""),"")</f>
        <v/>
      </c>
      <c r="R834">
        <f>IF(OR(ISNUMBER(SEARCH("HDD",$F834)),ISNUMBER(SEARCH("MND",$F834)),ISNUMBER(SEARCH("PEAD",$F834)),ISNUMBER(SEARCH("Puxe",$J834)),ISNUMBER(SEARCH("Apoio HDD",$F834))),"MND",IF(OR(ISNUMBER(SEARCH("VCA",$F834)),ISNUMBER(SEARCH("PVC",$F834)),ISNUMBER(SEARCH("vca",$J834)),ISNUMBER(SEARCH("Transformação",$J834))),"VCA",IF(OR(ISNUMBER(SEARCH("crava",$F834)),ISNUMBER(SEARCH("tubo cravado",$F834)),ISNUMBER(SEARCH("shaft",$J834)),ISNUMBER(SEARCH("concreto",$F834))),"TUBO CRAVADO","")))</f>
        <v/>
      </c>
      <c r="T834">
        <f>IF($A834="","",TEXT($A834,"yyyymm")&amp;"|"&amp;$C834&amp;"|"&amp;$F834&amp;"|"&amp;$N834&amp;"|"&amp;$R834)</f>
        <v/>
      </c>
    </row>
    <row r="835" ht="11.55" customHeight="1">
      <c r="A835" s="10" t="n">
        <v>46066</v>
      </c>
      <c r="B835" s="7" t="inlineStr">
        <is>
          <t>Sexta</t>
        </is>
      </c>
      <c r="C835" s="7" t="inlineStr">
        <is>
          <t>CT MAR DE CORAL</t>
        </is>
      </c>
      <c r="D835" s="7" t="inlineStr">
        <is>
          <t>LEANDRO e SILVESTRE</t>
        </is>
      </c>
      <c r="E835" s="7" t="inlineStr">
        <is>
          <t>Paulo</t>
        </is>
      </c>
      <c r="F835" s="13" t="inlineStr">
        <is>
          <t>Transformação PV 10</t>
        </is>
      </c>
      <c r="G835" s="7" t="inlineStr">
        <is>
          <t>10</t>
        </is>
      </c>
      <c r="H835" s="7" t="n"/>
      <c r="I835" s="7" t="inlineStr">
        <is>
          <t>10</t>
        </is>
      </c>
      <c r="J835" s="7" t="inlineStr">
        <is>
          <t>Transformação</t>
        </is>
      </c>
      <c r="K835" s="7" t="inlineStr">
        <is>
          <t>Planejamento</t>
        </is>
      </c>
      <c r="L835" s="16" t="inlineStr">
        <is>
          <t>PDS-Fevereiro(1).docx</t>
        </is>
      </c>
      <c r="M835">
        <f>IF($A835="","",TEXT($A835,"mmmm/yyyy"))</f>
        <v/>
      </c>
      <c r="P835">
        <f>IFERROR(_xludf.XLOOKUP($N835,Base_Enderecos!$A:$A,Base_Enderecos!$B:$B,""),"")</f>
        <v/>
      </c>
      <c r="Q835">
        <f>IFERROR(_xludf.XLOOKUP($N835,Base_Enderecos!$A:$A,Base_Enderecos!$C:$C,""),"")</f>
        <v/>
      </c>
      <c r="R835">
        <f>IF(OR(ISNUMBER(SEARCH("HDD",$F835)),ISNUMBER(SEARCH("MND",$F835)),ISNUMBER(SEARCH("PEAD",$F835)),ISNUMBER(SEARCH("Puxe",$J835)),ISNUMBER(SEARCH("Apoio HDD",$F835))),"MND",IF(OR(ISNUMBER(SEARCH("VCA",$F835)),ISNUMBER(SEARCH("PVC",$F835)),ISNUMBER(SEARCH("vca",$J835)),ISNUMBER(SEARCH("Transformação",$J835))),"VCA",IF(OR(ISNUMBER(SEARCH("crava",$F835)),ISNUMBER(SEARCH("tubo cravado",$F835)),ISNUMBER(SEARCH("shaft",$J835)),ISNUMBER(SEARCH("concreto",$F835))),"TUBO CRAVADO","")))</f>
        <v/>
      </c>
      <c r="T835">
        <f>IF($A835="","",TEXT($A835,"yyyymm")&amp;"|"&amp;$C835&amp;"|"&amp;$F835&amp;"|"&amp;$N835&amp;"|"&amp;$R835)</f>
        <v/>
      </c>
    </row>
    <row r="836" ht="11.55" customHeight="1">
      <c r="A836" s="10" t="n">
        <v>46066</v>
      </c>
      <c r="B836" s="7" t="inlineStr">
        <is>
          <t>Sexta</t>
        </is>
      </c>
      <c r="C836" s="7" t="inlineStr">
        <is>
          <t>CT LOURDES</t>
        </is>
      </c>
      <c r="D836" s="7" t="inlineStr">
        <is>
          <t>ROBSON</t>
        </is>
      </c>
      <c r="E836" s="7" t="inlineStr">
        <is>
          <t>Edvando</t>
        </is>
      </c>
      <c r="F836" s="13" t="inlineStr">
        <is>
          <t>Interligação PV 22</t>
        </is>
      </c>
      <c r="G836" s="7" t="inlineStr">
        <is>
          <t>22</t>
        </is>
      </c>
      <c r="H836" s="7" t="n"/>
      <c r="I836" s="7" t="inlineStr">
        <is>
          <t>22</t>
        </is>
      </c>
      <c r="J836" s="7" t="inlineStr">
        <is>
          <t>Interligação</t>
        </is>
      </c>
      <c r="K836" s="7" t="inlineStr">
        <is>
          <t>Planejamento</t>
        </is>
      </c>
      <c r="L836" s="16" t="inlineStr">
        <is>
          <t>PDS-Fevereiro(1).docx</t>
        </is>
      </c>
      <c r="M836">
        <f>IF($A836="","",TEXT($A836,"mmmm/yyyy"))</f>
        <v/>
      </c>
      <c r="P836">
        <f>IFERROR(_xludf.XLOOKUP($N836,Base_Enderecos!$A:$A,Base_Enderecos!$B:$B,""),"")</f>
        <v/>
      </c>
      <c r="Q836">
        <f>IFERROR(_xludf.XLOOKUP($N836,Base_Enderecos!$A:$A,Base_Enderecos!$C:$C,""),"")</f>
        <v/>
      </c>
      <c r="R836">
        <f>IF(OR(ISNUMBER(SEARCH("HDD",$F836)),ISNUMBER(SEARCH("MND",$F836)),ISNUMBER(SEARCH("PEAD",$F836)),ISNUMBER(SEARCH("Puxe",$J836)),ISNUMBER(SEARCH("Apoio HDD",$F836))),"MND",IF(OR(ISNUMBER(SEARCH("VCA",$F836)),ISNUMBER(SEARCH("PVC",$F836)),ISNUMBER(SEARCH("vca",$J836)),ISNUMBER(SEARCH("Transformação",$J836))),"VCA",IF(OR(ISNUMBER(SEARCH("crava",$F836)),ISNUMBER(SEARCH("tubo cravado",$F836)),ISNUMBER(SEARCH("shaft",$J836)),ISNUMBER(SEARCH("concreto",$F836))),"TUBO CRAVADO","")))</f>
        <v/>
      </c>
      <c r="T836">
        <f>IF($A836="","",TEXT($A836,"yyyymm")&amp;"|"&amp;$C836&amp;"|"&amp;$F836&amp;"|"&amp;$N836&amp;"|"&amp;$R836)</f>
        <v/>
      </c>
    </row>
    <row r="837" ht="11.55" customHeight="1">
      <c r="A837" s="10" t="n">
        <v>46066</v>
      </c>
      <c r="B837" s="7" t="inlineStr">
        <is>
          <t>Sexta</t>
        </is>
      </c>
      <c r="C837" s="7" t="inlineStr">
        <is>
          <t>CT ÁGUA VERMELHA M.D</t>
        </is>
      </c>
      <c r="D837" s="7" t="inlineStr">
        <is>
          <t>CAROLINE e FÁBIO</t>
        </is>
      </c>
      <c r="E837" s="7" t="inlineStr">
        <is>
          <t>Marcelo</t>
        </is>
      </c>
      <c r="F837" s="13" t="inlineStr">
        <is>
          <t>Transformação PVD 2</t>
        </is>
      </c>
      <c r="G837" s="7" t="inlineStr">
        <is>
          <t>2</t>
        </is>
      </c>
      <c r="H837" s="7" t="n"/>
      <c r="I837" s="7" t="inlineStr">
        <is>
          <t>2</t>
        </is>
      </c>
      <c r="J837" s="7" t="inlineStr">
        <is>
          <t>Transformação</t>
        </is>
      </c>
      <c r="K837" s="7" t="inlineStr">
        <is>
          <t>Planejamento</t>
        </is>
      </c>
      <c r="L837" s="16" t="inlineStr">
        <is>
          <t>PDS-Fevereiro(1).docx</t>
        </is>
      </c>
      <c r="M837">
        <f>IF($A837="","",TEXT($A837,"mmmm/yyyy"))</f>
        <v/>
      </c>
      <c r="P837">
        <f>IFERROR(_xludf.XLOOKUP($N837,Base_Enderecos!$A:$A,Base_Enderecos!$B:$B,""),"")</f>
        <v/>
      </c>
      <c r="Q837">
        <f>IFERROR(_xludf.XLOOKUP($N837,Base_Enderecos!$A:$A,Base_Enderecos!$C:$C,""),"")</f>
        <v/>
      </c>
      <c r="R837">
        <f>IF(OR(ISNUMBER(SEARCH("HDD",$F837)),ISNUMBER(SEARCH("MND",$F837)),ISNUMBER(SEARCH("PEAD",$F837)),ISNUMBER(SEARCH("Puxe",$J837)),ISNUMBER(SEARCH("Apoio HDD",$F837))),"MND",IF(OR(ISNUMBER(SEARCH("VCA",$F837)),ISNUMBER(SEARCH("PVC",$F837)),ISNUMBER(SEARCH("vca",$J837)),ISNUMBER(SEARCH("Transformação",$J837))),"VCA",IF(OR(ISNUMBER(SEARCH("crava",$F837)),ISNUMBER(SEARCH("tubo cravado",$F837)),ISNUMBER(SEARCH("shaft",$J837)),ISNUMBER(SEARCH("concreto",$F837))),"TUBO CRAVADO","")))</f>
        <v/>
      </c>
      <c r="T837">
        <f>IF($A837="","",TEXT($A837,"yyyymm")&amp;"|"&amp;$C837&amp;"|"&amp;$F837&amp;"|"&amp;$N837&amp;"|"&amp;$R837)</f>
        <v/>
      </c>
    </row>
    <row r="838" ht="11.55" customHeight="1">
      <c r="A838" s="10" t="n">
        <v>46066</v>
      </c>
      <c r="B838" s="7" t="inlineStr">
        <is>
          <t>Sexta</t>
        </is>
      </c>
      <c r="C838" s="7" t="inlineStr">
        <is>
          <t>CT ÁGUA VERMELHA M.D</t>
        </is>
      </c>
      <c r="D838" s="7" t="inlineStr">
        <is>
          <t>CAROLINE e FÁBIO</t>
        </is>
      </c>
      <c r="E838" s="7" t="inlineStr">
        <is>
          <t>Jonathan</t>
        </is>
      </c>
      <c r="F838" s="13" t="inlineStr">
        <is>
          <t>Apoio HDD entre PVD 3 e PV05</t>
        </is>
      </c>
      <c r="G838" s="7" t="inlineStr">
        <is>
          <t>3</t>
        </is>
      </c>
      <c r="H838" s="7" t="inlineStr">
        <is>
          <t>05</t>
        </is>
      </c>
      <c r="I838" s="7" t="inlineStr">
        <is>
          <t>3, 05</t>
        </is>
      </c>
      <c r="J838" s="7" t="inlineStr">
        <is>
          <t>Apoio HDD</t>
        </is>
      </c>
      <c r="K838" s="7" t="inlineStr">
        <is>
          <t>Planejamento</t>
        </is>
      </c>
      <c r="L838" s="16" t="inlineStr">
        <is>
          <t>PDS-Fevereiro(1).docx</t>
        </is>
      </c>
      <c r="M838">
        <f>IF($A838="","",TEXT($A838,"mmmm/yyyy"))</f>
        <v/>
      </c>
      <c r="P838">
        <f>IFERROR(_xludf.XLOOKUP($N838,Base_Enderecos!$A:$A,Base_Enderecos!$B:$B,""),"")</f>
        <v/>
      </c>
      <c r="Q838">
        <f>IFERROR(_xludf.XLOOKUP($N838,Base_Enderecos!$A:$A,Base_Enderecos!$C:$C,""),"")</f>
        <v/>
      </c>
      <c r="R838">
        <f>IF(OR(ISNUMBER(SEARCH("HDD",$F838)),ISNUMBER(SEARCH("MND",$F838)),ISNUMBER(SEARCH("PEAD",$F838)),ISNUMBER(SEARCH("Puxe",$J838)),ISNUMBER(SEARCH("Apoio HDD",$F838))),"MND",IF(OR(ISNUMBER(SEARCH("VCA",$F838)),ISNUMBER(SEARCH("PVC",$F838)),ISNUMBER(SEARCH("vca",$J838)),ISNUMBER(SEARCH("Transformação",$J838))),"VCA",IF(OR(ISNUMBER(SEARCH("crava",$F838)),ISNUMBER(SEARCH("tubo cravado",$F838)),ISNUMBER(SEARCH("shaft",$J838)),ISNUMBER(SEARCH("concreto",$F838))),"TUBO CRAVADO","")))</f>
        <v/>
      </c>
      <c r="T838">
        <f>IF($A838="","",TEXT($A838,"yyyymm")&amp;"|"&amp;$C838&amp;"|"&amp;$F838&amp;"|"&amp;$N838&amp;"|"&amp;$R838)</f>
        <v/>
      </c>
    </row>
    <row r="839" ht="11.55" customHeight="1">
      <c r="A839" s="10" t="n">
        <v>46066</v>
      </c>
      <c r="B839" s="7" t="inlineStr">
        <is>
          <t>Sexta</t>
        </is>
      </c>
      <c r="C839" s="7" t="inlineStr">
        <is>
          <t>CT ÁGUA VERMELHA M.D</t>
        </is>
      </c>
      <c r="D839" s="7" t="inlineStr">
        <is>
          <t>CAROLINE e FÁBIO</t>
        </is>
      </c>
      <c r="E839" s="7" t="inlineStr">
        <is>
          <t>WJ 02</t>
        </is>
      </c>
      <c r="F839" s="13" t="inlineStr">
        <is>
          <t>Piloto e Puxe PVD 3 e PVD 5</t>
        </is>
      </c>
      <c r="G839" s="7" t="inlineStr">
        <is>
          <t>3</t>
        </is>
      </c>
      <c r="H839" s="7" t="inlineStr">
        <is>
          <t>5</t>
        </is>
      </c>
      <c r="I839" s="7" t="inlineStr">
        <is>
          <t>3, 5</t>
        </is>
      </c>
      <c r="J839" s="7" t="inlineStr">
        <is>
          <t>Piloto e puxe</t>
        </is>
      </c>
      <c r="K839" s="7" t="inlineStr">
        <is>
          <t>Planejamento</t>
        </is>
      </c>
      <c r="L839" s="16" t="inlineStr">
        <is>
          <t>PDS-Fevereiro(1).docx</t>
        </is>
      </c>
      <c r="M839">
        <f>IF($A839="","",TEXT($A839,"mmmm/yyyy"))</f>
        <v/>
      </c>
      <c r="P839">
        <f>IFERROR(_xludf.XLOOKUP($N839,Base_Enderecos!$A:$A,Base_Enderecos!$B:$B,""),"")</f>
        <v/>
      </c>
      <c r="Q839">
        <f>IFERROR(_xludf.XLOOKUP($N839,Base_Enderecos!$A:$A,Base_Enderecos!$C:$C,""),"")</f>
        <v/>
      </c>
      <c r="R839">
        <f>IF(OR(ISNUMBER(SEARCH("HDD",$F839)),ISNUMBER(SEARCH("MND",$F839)),ISNUMBER(SEARCH("PEAD",$F839)),ISNUMBER(SEARCH("Puxe",$J839)),ISNUMBER(SEARCH("Apoio HDD",$F839))),"MND",IF(OR(ISNUMBER(SEARCH("VCA",$F839)),ISNUMBER(SEARCH("PVC",$F839)),ISNUMBER(SEARCH("vca",$J839)),ISNUMBER(SEARCH("Transformação",$J839))),"VCA",IF(OR(ISNUMBER(SEARCH("crava",$F839)),ISNUMBER(SEARCH("tubo cravado",$F839)),ISNUMBER(SEARCH("shaft",$J839)),ISNUMBER(SEARCH("concreto",$F839))),"TUBO CRAVADO","")))</f>
        <v/>
      </c>
      <c r="T839">
        <f>IF($A839="","",TEXT($A839,"yyyymm")&amp;"|"&amp;$C839&amp;"|"&amp;$F839&amp;"|"&amp;$N839&amp;"|"&amp;$R839)</f>
        <v/>
      </c>
    </row>
    <row r="840" ht="11.55" customHeight="1">
      <c r="A840" s="10" t="n">
        <v>46066</v>
      </c>
      <c r="B840" s="7" t="inlineStr">
        <is>
          <t>Sexta</t>
        </is>
      </c>
      <c r="C840" s="7" t="inlineStr">
        <is>
          <t>CT ÁGUA VERMELHA M.D</t>
        </is>
      </c>
      <c r="D840" s="7" t="inlineStr">
        <is>
          <t>CAROLINE e FÁBIO</t>
        </is>
      </c>
      <c r="E840" s="7" t="inlineStr">
        <is>
          <t>Cidão</t>
        </is>
      </c>
      <c r="F840" s="13" t="inlineStr">
        <is>
          <t>Shaft PVD 10</t>
        </is>
      </c>
      <c r="G840" s="7" t="inlineStr">
        <is>
          <t>10</t>
        </is>
      </c>
      <c r="H840" s="7" t="n"/>
      <c r="I840" s="7" t="inlineStr">
        <is>
          <t>10</t>
        </is>
      </c>
      <c r="J840" s="7" t="inlineStr">
        <is>
          <t>Shaft</t>
        </is>
      </c>
      <c r="K840" s="7" t="inlineStr">
        <is>
          <t>Planejamento</t>
        </is>
      </c>
      <c r="L840" s="16" t="inlineStr">
        <is>
          <t>PDS-Fevereiro(1).docx</t>
        </is>
      </c>
      <c r="M840">
        <f>IF($A840="","",TEXT($A840,"mmmm/yyyy"))</f>
        <v/>
      </c>
      <c r="P840">
        <f>IFERROR(_xludf.XLOOKUP($N840,Base_Enderecos!$A:$A,Base_Enderecos!$B:$B,""),"")</f>
        <v/>
      </c>
      <c r="Q840">
        <f>IFERROR(_xludf.XLOOKUP($N840,Base_Enderecos!$A:$A,Base_Enderecos!$C:$C,""),"")</f>
        <v/>
      </c>
      <c r="R840">
        <f>IF(OR(ISNUMBER(SEARCH("HDD",$F840)),ISNUMBER(SEARCH("MND",$F840)),ISNUMBER(SEARCH("PEAD",$F840)),ISNUMBER(SEARCH("Puxe",$J840)),ISNUMBER(SEARCH("Apoio HDD",$F840))),"MND",IF(OR(ISNUMBER(SEARCH("VCA",$F840)),ISNUMBER(SEARCH("PVC",$F840)),ISNUMBER(SEARCH("vca",$J840)),ISNUMBER(SEARCH("Transformação",$J840))),"VCA",IF(OR(ISNUMBER(SEARCH("crava",$F840)),ISNUMBER(SEARCH("tubo cravado",$F840)),ISNUMBER(SEARCH("shaft",$J840)),ISNUMBER(SEARCH("concreto",$F840))),"TUBO CRAVADO","")))</f>
        <v/>
      </c>
      <c r="T840">
        <f>IF($A840="","",TEXT($A840,"yyyymm")&amp;"|"&amp;$C840&amp;"|"&amp;$F840&amp;"|"&amp;$N840&amp;"|"&amp;$R840)</f>
        <v/>
      </c>
    </row>
    <row r="841" ht="11.55" customHeight="1">
      <c r="A841" s="10" t="n">
        <v>46066</v>
      </c>
      <c r="B841" s="7" t="inlineStr">
        <is>
          <t>Sexta</t>
        </is>
      </c>
      <c r="C841" s="7" t="inlineStr">
        <is>
          <t>CT ÁGUA VERMELHA M.D</t>
        </is>
      </c>
      <c r="D841" s="7" t="inlineStr">
        <is>
          <t>CAROLINE e FÁBIO</t>
        </is>
      </c>
      <c r="E841" s="7" t="inlineStr">
        <is>
          <t>Cesar</t>
        </is>
      </c>
      <c r="F841" s="13" t="inlineStr">
        <is>
          <t>Shaft PVD 07</t>
        </is>
      </c>
      <c r="G841" s="7" t="inlineStr">
        <is>
          <t>07</t>
        </is>
      </c>
      <c r="H841" s="7" t="n"/>
      <c r="I841" s="7" t="inlineStr">
        <is>
          <t>07</t>
        </is>
      </c>
      <c r="J841" s="7" t="inlineStr">
        <is>
          <t>Shaft</t>
        </is>
      </c>
      <c r="K841" s="7" t="inlineStr">
        <is>
          <t>Planejamento</t>
        </is>
      </c>
      <c r="L841" s="16" t="inlineStr">
        <is>
          <t>PDS-Fevereiro(1).docx</t>
        </is>
      </c>
      <c r="M841">
        <f>IF($A841="","",TEXT($A841,"mmmm/yyyy"))</f>
        <v/>
      </c>
      <c r="P841">
        <f>IFERROR(_xludf.XLOOKUP($N841,Base_Enderecos!$A:$A,Base_Enderecos!$B:$B,""),"")</f>
        <v/>
      </c>
      <c r="Q841">
        <f>IFERROR(_xludf.XLOOKUP($N841,Base_Enderecos!$A:$A,Base_Enderecos!$C:$C,""),"")</f>
        <v/>
      </c>
      <c r="R841">
        <f>IF(OR(ISNUMBER(SEARCH("HDD",$F841)),ISNUMBER(SEARCH("MND",$F841)),ISNUMBER(SEARCH("PEAD",$F841)),ISNUMBER(SEARCH("Puxe",$J841)),ISNUMBER(SEARCH("Apoio HDD",$F841))),"MND",IF(OR(ISNUMBER(SEARCH("VCA",$F841)),ISNUMBER(SEARCH("PVC",$F841)),ISNUMBER(SEARCH("vca",$J841)),ISNUMBER(SEARCH("Transformação",$J841))),"VCA",IF(OR(ISNUMBER(SEARCH("crava",$F841)),ISNUMBER(SEARCH("tubo cravado",$F841)),ISNUMBER(SEARCH("shaft",$J841)),ISNUMBER(SEARCH("concreto",$F841))),"TUBO CRAVADO","")))</f>
        <v/>
      </c>
      <c r="T841">
        <f>IF($A841="","",TEXT($A841,"yyyymm")&amp;"|"&amp;$C841&amp;"|"&amp;$F841&amp;"|"&amp;$N841&amp;"|"&amp;$R841)</f>
        <v/>
      </c>
    </row>
    <row r="842" ht="11.55" customHeight="1">
      <c r="A842" s="10" t="n">
        <v>46066</v>
      </c>
      <c r="B842" s="7" t="inlineStr">
        <is>
          <t>Sexta</t>
        </is>
      </c>
      <c r="C842" s="7" t="inlineStr">
        <is>
          <t>CT ÁGUA VERMELHA M.E– Valmir</t>
        </is>
      </c>
      <c r="D842" s="7" t="n"/>
      <c r="E842" s="7" t="inlineStr">
        <is>
          <t>Higor</t>
        </is>
      </c>
      <c r="F842" s="13" t="inlineStr">
        <is>
          <t>Shaft PVE 18</t>
        </is>
      </c>
      <c r="G842" s="7" t="inlineStr">
        <is>
          <t>18</t>
        </is>
      </c>
      <c r="H842" s="7" t="n"/>
      <c r="I842" s="7" t="inlineStr">
        <is>
          <t>18</t>
        </is>
      </c>
      <c r="J842" s="7" t="inlineStr">
        <is>
          <t>Shaft</t>
        </is>
      </c>
      <c r="K842" s="7" t="inlineStr">
        <is>
          <t>Planejamento</t>
        </is>
      </c>
      <c r="L842" s="16" t="inlineStr">
        <is>
          <t>PDS-Fevereiro(1).docx</t>
        </is>
      </c>
      <c r="M842">
        <f>IF($A842="","",TEXT($A842,"mmmm/yyyy"))</f>
        <v/>
      </c>
      <c r="P842">
        <f>IFERROR(_xludf.XLOOKUP($N842,Base_Enderecos!$A:$A,Base_Enderecos!$B:$B,""),"")</f>
        <v/>
      </c>
      <c r="Q842">
        <f>IFERROR(_xludf.XLOOKUP($N842,Base_Enderecos!$A:$A,Base_Enderecos!$C:$C,""),"")</f>
        <v/>
      </c>
      <c r="R842">
        <f>IF(OR(ISNUMBER(SEARCH("HDD",$F842)),ISNUMBER(SEARCH("MND",$F842)),ISNUMBER(SEARCH("PEAD",$F842)),ISNUMBER(SEARCH("Puxe",$J842)),ISNUMBER(SEARCH("Apoio HDD",$F842))),"MND",IF(OR(ISNUMBER(SEARCH("VCA",$F842)),ISNUMBER(SEARCH("PVC",$F842)),ISNUMBER(SEARCH("vca",$J842)),ISNUMBER(SEARCH("Transformação",$J842))),"VCA",IF(OR(ISNUMBER(SEARCH("crava",$F842)),ISNUMBER(SEARCH("tubo cravado",$F842)),ISNUMBER(SEARCH("shaft",$J842)),ISNUMBER(SEARCH("concreto",$F842))),"TUBO CRAVADO","")))</f>
        <v/>
      </c>
      <c r="T842">
        <f>IF($A842="","",TEXT($A842,"yyyymm")&amp;"|"&amp;$C842&amp;"|"&amp;$F842&amp;"|"&amp;$N842&amp;"|"&amp;$R842)</f>
        <v/>
      </c>
    </row>
    <row r="843" ht="11.55" customHeight="1">
      <c r="A843" s="10" t="n">
        <v>46066</v>
      </c>
      <c r="B843" s="7" t="inlineStr">
        <is>
          <t>Sexta</t>
        </is>
      </c>
      <c r="C843" s="7" t="inlineStr">
        <is>
          <t>RCE ARARIBA</t>
        </is>
      </c>
      <c r="D843" s="7" t="inlineStr">
        <is>
          <t>ELOÍZIO</t>
        </is>
      </c>
      <c r="E843" s="7" t="inlineStr">
        <is>
          <t>Valter</t>
        </is>
      </c>
      <c r="F843" s="13" t="inlineStr">
        <is>
          <t>VCA PV 11 ao 13</t>
        </is>
      </c>
      <c r="G843" s="7" t="inlineStr">
        <is>
          <t>11</t>
        </is>
      </c>
      <c r="H843" s="7" t="n"/>
      <c r="I843" s="7" t="inlineStr">
        <is>
          <t>11</t>
        </is>
      </c>
      <c r="J843" s="7" t="inlineStr">
        <is>
          <t>VCA</t>
        </is>
      </c>
      <c r="K843" s="7" t="inlineStr">
        <is>
          <t>Planejamento</t>
        </is>
      </c>
      <c r="L843" s="16" t="inlineStr">
        <is>
          <t>PDS-Fevereiro(1).docx</t>
        </is>
      </c>
      <c r="M843">
        <f>IF($A843="","",TEXT($A843,"mmmm/yyyy"))</f>
        <v/>
      </c>
      <c r="P843">
        <f>IFERROR(_xludf.XLOOKUP($N843,Base_Enderecos!$A:$A,Base_Enderecos!$B:$B,""),"")</f>
        <v/>
      </c>
      <c r="Q843">
        <f>IFERROR(_xludf.XLOOKUP($N843,Base_Enderecos!$A:$A,Base_Enderecos!$C:$C,""),"")</f>
        <v/>
      </c>
      <c r="R843">
        <f>IF(OR(ISNUMBER(SEARCH("HDD",$F843)),ISNUMBER(SEARCH("MND",$F843)),ISNUMBER(SEARCH("PEAD",$F843)),ISNUMBER(SEARCH("Puxe",$J843)),ISNUMBER(SEARCH("Apoio HDD",$F843))),"MND",IF(OR(ISNUMBER(SEARCH("VCA",$F843)),ISNUMBER(SEARCH("PVC",$F843)),ISNUMBER(SEARCH("vca",$J843)),ISNUMBER(SEARCH("Transformação",$J843))),"VCA",IF(OR(ISNUMBER(SEARCH("crava",$F843)),ISNUMBER(SEARCH("tubo cravado",$F843)),ISNUMBER(SEARCH("shaft",$J843)),ISNUMBER(SEARCH("concreto",$F843))),"TUBO CRAVADO","")))</f>
        <v/>
      </c>
      <c r="T843">
        <f>IF($A843="","",TEXT($A843,"yyyymm")&amp;"|"&amp;$C843&amp;"|"&amp;$F843&amp;"|"&amp;$N843&amp;"|"&amp;$R843)</f>
        <v/>
      </c>
    </row>
    <row r="844" ht="11.55" customHeight="1">
      <c r="A844" s="10" t="n">
        <v>46066</v>
      </c>
      <c r="B844" s="7" t="inlineStr">
        <is>
          <t>Sexta</t>
        </is>
      </c>
      <c r="C844" s="7" t="inlineStr">
        <is>
          <t>Vacal</t>
        </is>
      </c>
      <c r="D844" s="7" t="n"/>
      <c r="E844" s="7" t="inlineStr">
        <is>
          <t>Água Vermelha</t>
        </is>
      </c>
      <c r="F844" s="13" t="inlineStr">
        <is>
          <t>Apoio Vacal</t>
        </is>
      </c>
      <c r="G844" s="7" t="n"/>
      <c r="H844" s="7" t="n"/>
      <c r="I844" s="7" t="n"/>
      <c r="J844" s="7" t="inlineStr">
        <is>
          <t>Vacal</t>
        </is>
      </c>
      <c r="K844" s="7" t="inlineStr">
        <is>
          <t>Apoio</t>
        </is>
      </c>
      <c r="L844" s="16" t="inlineStr">
        <is>
          <t>PDS-Fevereiro(1).docx</t>
        </is>
      </c>
      <c r="M844">
        <f>IF($A844="","",TEXT($A844,"mmmm/yyyy"))</f>
        <v/>
      </c>
      <c r="P844">
        <f>IFERROR(_xludf.XLOOKUP($N844,Base_Enderecos!$A:$A,Base_Enderecos!$B:$B,""),"")</f>
        <v/>
      </c>
      <c r="Q844">
        <f>IFERROR(_xludf.XLOOKUP($N844,Base_Enderecos!$A:$A,Base_Enderecos!$C:$C,""),"")</f>
        <v/>
      </c>
      <c r="R844">
        <f>IF(OR(ISNUMBER(SEARCH("HDD",$F844)),ISNUMBER(SEARCH("MND",$F844)),ISNUMBER(SEARCH("PEAD",$F844)),ISNUMBER(SEARCH("Puxe",$J844)),ISNUMBER(SEARCH("Apoio HDD",$F844))),"MND",IF(OR(ISNUMBER(SEARCH("VCA",$F844)),ISNUMBER(SEARCH("PVC",$F844)),ISNUMBER(SEARCH("vca",$J844)),ISNUMBER(SEARCH("Transformação",$J844))),"VCA",IF(OR(ISNUMBER(SEARCH("crava",$F844)),ISNUMBER(SEARCH("tubo cravado",$F844)),ISNUMBER(SEARCH("shaft",$J844)),ISNUMBER(SEARCH("concreto",$F844))),"TUBO CRAVADO","")))</f>
        <v/>
      </c>
      <c r="T844">
        <f>IF($A844="","",TEXT($A844,"yyyymm")&amp;"|"&amp;$C844&amp;"|"&amp;$F844&amp;"|"&amp;$N844&amp;"|"&amp;$R844)</f>
        <v/>
      </c>
    </row>
    <row r="845" ht="11.55" customHeight="1">
      <c r="A845" s="10" t="n">
        <v>46066</v>
      </c>
      <c r="B845" s="7" t="inlineStr">
        <is>
          <t>Sexta</t>
        </is>
      </c>
      <c r="C845" s="7" t="inlineStr">
        <is>
          <t>Vacal</t>
        </is>
      </c>
      <c r="D845" s="7" t="n"/>
      <c r="E845" s="7" t="inlineStr">
        <is>
          <t>Mar de Coral</t>
        </is>
      </c>
      <c r="F845" s="13" t="inlineStr">
        <is>
          <t>Apoio Vacal</t>
        </is>
      </c>
      <c r="G845" s="7" t="n"/>
      <c r="H845" s="7" t="n"/>
      <c r="I845" s="7" t="n"/>
      <c r="J845" s="7" t="inlineStr">
        <is>
          <t>Vacal</t>
        </is>
      </c>
      <c r="K845" s="7" t="inlineStr">
        <is>
          <t>Apoio</t>
        </is>
      </c>
      <c r="L845" s="16" t="inlineStr">
        <is>
          <t>PDS-Fevereiro(1).docx</t>
        </is>
      </c>
      <c r="M845">
        <f>IF($A845="","",TEXT($A845,"mmmm/yyyy"))</f>
        <v/>
      </c>
      <c r="P845">
        <f>IFERROR(_xludf.XLOOKUP($N845,Base_Enderecos!$A:$A,Base_Enderecos!$B:$B,""),"")</f>
        <v/>
      </c>
      <c r="Q845">
        <f>IFERROR(_xludf.XLOOKUP($N845,Base_Enderecos!$A:$A,Base_Enderecos!$C:$C,""),"")</f>
        <v/>
      </c>
      <c r="R845">
        <f>IF(OR(ISNUMBER(SEARCH("HDD",$F845)),ISNUMBER(SEARCH("MND",$F845)),ISNUMBER(SEARCH("PEAD",$F845)),ISNUMBER(SEARCH("Puxe",$J845)),ISNUMBER(SEARCH("Apoio HDD",$F845))),"MND",IF(OR(ISNUMBER(SEARCH("VCA",$F845)),ISNUMBER(SEARCH("PVC",$F845)),ISNUMBER(SEARCH("vca",$J845)),ISNUMBER(SEARCH("Transformação",$J845))),"VCA",IF(OR(ISNUMBER(SEARCH("crava",$F845)),ISNUMBER(SEARCH("tubo cravado",$F845)),ISNUMBER(SEARCH("shaft",$J845)),ISNUMBER(SEARCH("concreto",$F845))),"TUBO CRAVADO","")))</f>
        <v/>
      </c>
      <c r="T845">
        <f>IF($A845="","",TEXT($A845,"yyyymm")&amp;"|"&amp;$C845&amp;"|"&amp;$F845&amp;"|"&amp;$N845&amp;"|"&amp;$R845)</f>
        <v/>
      </c>
    </row>
    <row r="846" ht="11.55" customHeight="1">
      <c r="A846" s="10" t="n">
        <v>46066</v>
      </c>
      <c r="B846" s="7" t="inlineStr">
        <is>
          <t>Sexta</t>
        </is>
      </c>
      <c r="C846" s="7" t="inlineStr">
        <is>
          <t>Vacal</t>
        </is>
      </c>
      <c r="D846" s="7" t="n"/>
      <c r="E846" s="7" t="inlineStr">
        <is>
          <t>Mar de Coral</t>
        </is>
      </c>
      <c r="F846" s="13" t="inlineStr">
        <is>
          <t>Apoio Vacal</t>
        </is>
      </c>
      <c r="G846" s="7" t="n"/>
      <c r="H846" s="7" t="n"/>
      <c r="I846" s="7" t="n"/>
      <c r="J846" s="7" t="inlineStr">
        <is>
          <t>Vacal</t>
        </is>
      </c>
      <c r="K846" s="7" t="inlineStr">
        <is>
          <t>Apoio</t>
        </is>
      </c>
      <c r="L846" s="16" t="inlineStr">
        <is>
          <t>PDS-Fevereiro(1).docx</t>
        </is>
      </c>
      <c r="M846">
        <f>IF($A846="","",TEXT($A846,"mmmm/yyyy"))</f>
        <v/>
      </c>
      <c r="P846">
        <f>IFERROR(_xludf.XLOOKUP($N846,Base_Enderecos!$A:$A,Base_Enderecos!$B:$B,""),"")</f>
        <v/>
      </c>
      <c r="Q846">
        <f>IFERROR(_xludf.XLOOKUP($N846,Base_Enderecos!$A:$A,Base_Enderecos!$C:$C,""),"")</f>
        <v/>
      </c>
      <c r="R846">
        <f>IF(OR(ISNUMBER(SEARCH("HDD",$F846)),ISNUMBER(SEARCH("MND",$F846)),ISNUMBER(SEARCH("PEAD",$F846)),ISNUMBER(SEARCH("Puxe",$J846)),ISNUMBER(SEARCH("Apoio HDD",$F846))),"MND",IF(OR(ISNUMBER(SEARCH("VCA",$F846)),ISNUMBER(SEARCH("PVC",$F846)),ISNUMBER(SEARCH("vca",$J846)),ISNUMBER(SEARCH("Transformação",$J846))),"VCA",IF(OR(ISNUMBER(SEARCH("crava",$F846)),ISNUMBER(SEARCH("tubo cravado",$F846)),ISNUMBER(SEARCH("shaft",$J846)),ISNUMBER(SEARCH("concreto",$F846))),"TUBO CRAVADO","")))</f>
        <v/>
      </c>
      <c r="T846">
        <f>IF($A846="","",TEXT($A846,"yyyymm")&amp;"|"&amp;$C846&amp;"|"&amp;$F846&amp;"|"&amp;$N846&amp;"|"&amp;$R846)</f>
        <v/>
      </c>
    </row>
    <row r="847" ht="11.55" customHeight="1">
      <c r="A847" s="10" t="n">
        <v>46066</v>
      </c>
      <c r="B847" s="7" t="inlineStr">
        <is>
          <t>Sexta</t>
        </is>
      </c>
      <c r="C847" s="7" t="inlineStr">
        <is>
          <t>Guindauto</t>
        </is>
      </c>
      <c r="D847" s="7" t="n"/>
      <c r="E847" s="7" t="inlineStr">
        <is>
          <t>Rodrigo</t>
        </is>
      </c>
      <c r="F847" s="13" t="inlineStr">
        <is>
          <t>Rodrigo - Apoio as equipes</t>
        </is>
      </c>
      <c r="G847" s="7" t="n"/>
      <c r="H847" s="7" t="n"/>
      <c r="I847" s="7" t="n"/>
      <c r="J847" s="7" t="inlineStr">
        <is>
          <t>Guindauto</t>
        </is>
      </c>
      <c r="K847" s="7" t="inlineStr">
        <is>
          <t>Apoio</t>
        </is>
      </c>
      <c r="L847" s="16" t="inlineStr">
        <is>
          <t>PDS-Fevereiro(1).docx</t>
        </is>
      </c>
      <c r="M847">
        <f>IF($A847="","",TEXT($A847,"mmmm/yyyy"))</f>
        <v/>
      </c>
      <c r="P847">
        <f>IFERROR(_xludf.XLOOKUP($N847,Base_Enderecos!$A:$A,Base_Enderecos!$B:$B,""),"")</f>
        <v/>
      </c>
      <c r="Q847">
        <f>IFERROR(_xludf.XLOOKUP($N847,Base_Enderecos!$A:$A,Base_Enderecos!$C:$C,""),"")</f>
        <v/>
      </c>
      <c r="R847">
        <f>IF(OR(ISNUMBER(SEARCH("HDD",$F847)),ISNUMBER(SEARCH("MND",$F847)),ISNUMBER(SEARCH("PEAD",$F847)),ISNUMBER(SEARCH("Puxe",$J847)),ISNUMBER(SEARCH("Apoio HDD",$F847))),"MND",IF(OR(ISNUMBER(SEARCH("VCA",$F847)),ISNUMBER(SEARCH("PVC",$F847)),ISNUMBER(SEARCH("vca",$J847)),ISNUMBER(SEARCH("Transformação",$J847))),"VCA",IF(OR(ISNUMBER(SEARCH("crava",$F847)),ISNUMBER(SEARCH("tubo cravado",$F847)),ISNUMBER(SEARCH("shaft",$J847)),ISNUMBER(SEARCH("concreto",$F847))),"TUBO CRAVADO","")))</f>
        <v/>
      </c>
      <c r="T847">
        <f>IF($A847="","",TEXT($A847,"yyyymm")&amp;"|"&amp;$C847&amp;"|"&amp;$F847&amp;"|"&amp;$N847&amp;"|"&amp;$R847)</f>
        <v/>
      </c>
    </row>
    <row r="848" ht="11.55" customHeight="1">
      <c r="A848" s="10" t="n">
        <v>46066</v>
      </c>
      <c r="B848" s="7" t="inlineStr">
        <is>
          <t>Sexta</t>
        </is>
      </c>
      <c r="C848" s="7" t="inlineStr">
        <is>
          <t>Guindauto</t>
        </is>
      </c>
      <c r="D848" s="7" t="n"/>
      <c r="E848" s="7" t="inlineStr">
        <is>
          <t>Marcio</t>
        </is>
      </c>
      <c r="F848" s="13" t="inlineStr">
        <is>
          <t>Marcio - Apoio as equipes</t>
        </is>
      </c>
      <c r="G848" s="7" t="n"/>
      <c r="H848" s="7" t="n"/>
      <c r="I848" s="7" t="n"/>
      <c r="J848" s="7" t="inlineStr">
        <is>
          <t>Guindauto</t>
        </is>
      </c>
      <c r="K848" s="7" t="inlineStr">
        <is>
          <t>Apoio</t>
        </is>
      </c>
      <c r="L848" s="16" t="inlineStr">
        <is>
          <t>PDS-Fevereiro(1).docx</t>
        </is>
      </c>
      <c r="M848">
        <f>IF($A848="","",TEXT($A848,"mmmm/yyyy"))</f>
        <v/>
      </c>
      <c r="P848">
        <f>IFERROR(_xludf.XLOOKUP($N848,Base_Enderecos!$A:$A,Base_Enderecos!$B:$B,""),"")</f>
        <v/>
      </c>
      <c r="Q848">
        <f>IFERROR(_xludf.XLOOKUP($N848,Base_Enderecos!$A:$A,Base_Enderecos!$C:$C,""),"")</f>
        <v/>
      </c>
      <c r="R848">
        <f>IF(OR(ISNUMBER(SEARCH("HDD",$F848)),ISNUMBER(SEARCH("MND",$F848)),ISNUMBER(SEARCH("PEAD",$F848)),ISNUMBER(SEARCH("Puxe",$J848)),ISNUMBER(SEARCH("Apoio HDD",$F848))),"MND",IF(OR(ISNUMBER(SEARCH("VCA",$F848)),ISNUMBER(SEARCH("PVC",$F848)),ISNUMBER(SEARCH("vca",$J848)),ISNUMBER(SEARCH("Transformação",$J848))),"VCA",IF(OR(ISNUMBER(SEARCH("crava",$F848)),ISNUMBER(SEARCH("tubo cravado",$F848)),ISNUMBER(SEARCH("shaft",$J848)),ISNUMBER(SEARCH("concreto",$F848))),"TUBO CRAVADO","")))</f>
        <v/>
      </c>
      <c r="T848">
        <f>IF($A848="","",TEXT($A848,"yyyymm")&amp;"|"&amp;$C848&amp;"|"&amp;$F848&amp;"|"&amp;$N848&amp;"|"&amp;$R848)</f>
        <v/>
      </c>
    </row>
    <row r="849" ht="11.55" customHeight="1">
      <c r="A849" s="10" t="n">
        <v>46067</v>
      </c>
      <c r="B849" s="7" t="n"/>
      <c r="C849" s="7" t="inlineStr">
        <is>
          <t>CT MAR DE CORAL</t>
        </is>
      </c>
      <c r="D849" s="7" t="inlineStr">
        <is>
          <t>LEANDRO e SILVESTRE</t>
        </is>
      </c>
      <c r="E849" s="7" t="inlineStr">
        <is>
          <t>Carlos</t>
        </is>
      </c>
      <c r="F849" s="13" t="inlineStr">
        <is>
          <t>Aterro PV 5.11</t>
        </is>
      </c>
      <c r="G849" s="7" t="inlineStr">
        <is>
          <t>5.11</t>
        </is>
      </c>
      <c r="H849" s="7" t="n"/>
      <c r="I849" s="7" t="inlineStr">
        <is>
          <t>5.11</t>
        </is>
      </c>
      <c r="J849" s="7" t="inlineStr">
        <is>
          <t>Aterro</t>
        </is>
      </c>
      <c r="K849" s="7" t="inlineStr">
        <is>
          <t>Planejamento</t>
        </is>
      </c>
      <c r="L849" s="16" t="inlineStr">
        <is>
          <t>PDS-Fevereiro(1).docx</t>
        </is>
      </c>
      <c r="M849">
        <f>IF($A849="","",TEXT($A849,"mmmm/yyyy"))</f>
        <v/>
      </c>
      <c r="P849">
        <f>IFERROR(_xludf.XLOOKUP($N849,Base_Enderecos!$A:$A,Base_Enderecos!$B:$B,""),"")</f>
        <v/>
      </c>
      <c r="Q849">
        <f>IFERROR(_xludf.XLOOKUP($N849,Base_Enderecos!$A:$A,Base_Enderecos!$C:$C,""),"")</f>
        <v/>
      </c>
      <c r="R849">
        <f>IF(OR(ISNUMBER(SEARCH("HDD",$F849)),ISNUMBER(SEARCH("MND",$F849)),ISNUMBER(SEARCH("PEAD",$F849)),ISNUMBER(SEARCH("Puxe",$J849)),ISNUMBER(SEARCH("Apoio HDD",$F849))),"MND",IF(OR(ISNUMBER(SEARCH("VCA",$F849)),ISNUMBER(SEARCH("PVC",$F849)),ISNUMBER(SEARCH("vca",$J849)),ISNUMBER(SEARCH("Transformação",$J849))),"VCA",IF(OR(ISNUMBER(SEARCH("crava",$F849)),ISNUMBER(SEARCH("tubo cravado",$F849)),ISNUMBER(SEARCH("shaft",$J849)),ISNUMBER(SEARCH("concreto",$F849))),"TUBO CRAVADO","")))</f>
        <v/>
      </c>
      <c r="T849">
        <f>IF($A849="","",TEXT($A849,"yyyymm")&amp;"|"&amp;$C849&amp;"|"&amp;$F849&amp;"|"&amp;$N849&amp;"|"&amp;$R849)</f>
        <v/>
      </c>
    </row>
    <row r="850" ht="11.55" customHeight="1">
      <c r="A850" s="10" t="n">
        <v>46067</v>
      </c>
      <c r="B850" s="7" t="n"/>
      <c r="C850" s="7" t="inlineStr">
        <is>
          <t>CT MAR DE CORAL</t>
        </is>
      </c>
      <c r="D850" s="7" t="inlineStr">
        <is>
          <t>LEANDRO e SILVESTRE</t>
        </is>
      </c>
      <c r="E850" s="7" t="inlineStr">
        <is>
          <t>Medeiros</t>
        </is>
      </c>
      <c r="F850" s="13" t="inlineStr">
        <is>
          <t>Shaft PV 40</t>
        </is>
      </c>
      <c r="G850" s="7" t="inlineStr">
        <is>
          <t>40</t>
        </is>
      </c>
      <c r="H850" s="7" t="n"/>
      <c r="I850" s="7" t="inlineStr">
        <is>
          <t>40</t>
        </is>
      </c>
      <c r="J850" s="7" t="inlineStr">
        <is>
          <t>Shaft</t>
        </is>
      </c>
      <c r="K850" s="7" t="inlineStr">
        <is>
          <t>Planejamento</t>
        </is>
      </c>
      <c r="L850" s="16" t="inlineStr">
        <is>
          <t>PDS-Fevereiro(1).docx</t>
        </is>
      </c>
      <c r="M850">
        <f>IF($A850="","",TEXT($A850,"mmmm/yyyy"))</f>
        <v/>
      </c>
      <c r="P850">
        <f>IFERROR(_xludf.XLOOKUP($N850,Base_Enderecos!$A:$A,Base_Enderecos!$B:$B,""),"")</f>
        <v/>
      </c>
      <c r="Q850">
        <f>IFERROR(_xludf.XLOOKUP($N850,Base_Enderecos!$A:$A,Base_Enderecos!$C:$C,""),"")</f>
        <v/>
      </c>
      <c r="R850">
        <f>IF(OR(ISNUMBER(SEARCH("HDD",$F850)),ISNUMBER(SEARCH("MND",$F850)),ISNUMBER(SEARCH("PEAD",$F850)),ISNUMBER(SEARCH("Puxe",$J850)),ISNUMBER(SEARCH("Apoio HDD",$F850))),"MND",IF(OR(ISNUMBER(SEARCH("VCA",$F850)),ISNUMBER(SEARCH("PVC",$F850)),ISNUMBER(SEARCH("vca",$J850)),ISNUMBER(SEARCH("Transformação",$J850))),"VCA",IF(OR(ISNUMBER(SEARCH("crava",$F850)),ISNUMBER(SEARCH("tubo cravado",$F850)),ISNUMBER(SEARCH("shaft",$J850)),ISNUMBER(SEARCH("concreto",$F850))),"TUBO CRAVADO","")))</f>
        <v/>
      </c>
      <c r="T850">
        <f>IF($A850="","",TEXT($A850,"yyyymm")&amp;"|"&amp;$C850&amp;"|"&amp;$F850&amp;"|"&amp;$N850&amp;"|"&amp;$R850)</f>
        <v/>
      </c>
    </row>
    <row r="851" ht="11.55" customHeight="1">
      <c r="A851" s="10" t="n">
        <v>46067</v>
      </c>
      <c r="B851" s="7" t="n"/>
      <c r="C851" s="7" t="inlineStr">
        <is>
          <t>CT MAR DE CORAL</t>
        </is>
      </c>
      <c r="D851" s="7" t="inlineStr">
        <is>
          <t>LEANDRO e SILVESTRE</t>
        </is>
      </c>
      <c r="E851" s="7" t="inlineStr">
        <is>
          <t>Marcio</t>
        </is>
      </c>
      <c r="F851" s="13" t="inlineStr">
        <is>
          <t>Transformação PV 13</t>
        </is>
      </c>
      <c r="G851" s="7" t="inlineStr">
        <is>
          <t>13</t>
        </is>
      </c>
      <c r="H851" s="7" t="n"/>
      <c r="I851" s="7" t="inlineStr">
        <is>
          <t>13</t>
        </is>
      </c>
      <c r="J851" s="7" t="inlineStr">
        <is>
          <t>Transformação</t>
        </is>
      </c>
      <c r="K851" s="7" t="inlineStr">
        <is>
          <t>Planejamento</t>
        </is>
      </c>
      <c r="L851" s="16" t="inlineStr">
        <is>
          <t>PDS-Fevereiro(1).docx</t>
        </is>
      </c>
      <c r="M851">
        <f>IF($A851="","",TEXT($A851,"mmmm/yyyy"))</f>
        <v/>
      </c>
      <c r="P851">
        <f>IFERROR(_xludf.XLOOKUP($N851,Base_Enderecos!$A:$A,Base_Enderecos!$B:$B,""),"")</f>
        <v/>
      </c>
      <c r="Q851">
        <f>IFERROR(_xludf.XLOOKUP($N851,Base_Enderecos!$A:$A,Base_Enderecos!$C:$C,""),"")</f>
        <v/>
      </c>
      <c r="R851">
        <f>IF(OR(ISNUMBER(SEARCH("HDD",$F851)),ISNUMBER(SEARCH("MND",$F851)),ISNUMBER(SEARCH("PEAD",$F851)),ISNUMBER(SEARCH("Puxe",$J851)),ISNUMBER(SEARCH("Apoio HDD",$F851))),"MND",IF(OR(ISNUMBER(SEARCH("VCA",$F851)),ISNUMBER(SEARCH("PVC",$F851)),ISNUMBER(SEARCH("vca",$J851)),ISNUMBER(SEARCH("Transformação",$J851))),"VCA",IF(OR(ISNUMBER(SEARCH("crava",$F851)),ISNUMBER(SEARCH("tubo cravado",$F851)),ISNUMBER(SEARCH("shaft",$J851)),ISNUMBER(SEARCH("concreto",$F851))),"TUBO CRAVADO","")))</f>
        <v/>
      </c>
      <c r="T851">
        <f>IF($A851="","",TEXT($A851,"yyyymm")&amp;"|"&amp;$C851&amp;"|"&amp;$F851&amp;"|"&amp;$N851&amp;"|"&amp;$R851)</f>
        <v/>
      </c>
    </row>
    <row r="852" ht="11.55" customHeight="1">
      <c r="A852" s="10" t="n">
        <v>46067</v>
      </c>
      <c r="B852" s="7" t="n"/>
      <c r="C852" s="7" t="inlineStr">
        <is>
          <t>CT MAR DE CORAL</t>
        </is>
      </c>
      <c r="D852" s="7" t="inlineStr">
        <is>
          <t>LEANDRO e SILVESTRE</t>
        </is>
      </c>
      <c r="E852" s="7" t="inlineStr">
        <is>
          <t>Sergio</t>
        </is>
      </c>
      <c r="F852" s="13" t="inlineStr">
        <is>
          <t>Transformação PV 12</t>
        </is>
      </c>
      <c r="G852" s="7" t="inlineStr">
        <is>
          <t>12</t>
        </is>
      </c>
      <c r="H852" s="7" t="n"/>
      <c r="I852" s="7" t="inlineStr">
        <is>
          <t>12</t>
        </is>
      </c>
      <c r="J852" s="7" t="inlineStr">
        <is>
          <t>Transformação</t>
        </is>
      </c>
      <c r="K852" s="7" t="inlineStr">
        <is>
          <t>Planejamento</t>
        </is>
      </c>
      <c r="L852" s="16" t="inlineStr">
        <is>
          <t>PDS-Fevereiro(1).docx</t>
        </is>
      </c>
      <c r="M852">
        <f>IF($A852="","",TEXT($A852,"mmmm/yyyy"))</f>
        <v/>
      </c>
      <c r="P852">
        <f>IFERROR(_xludf.XLOOKUP($N852,Base_Enderecos!$A:$A,Base_Enderecos!$B:$B,""),"")</f>
        <v/>
      </c>
      <c r="Q852">
        <f>IFERROR(_xludf.XLOOKUP($N852,Base_Enderecos!$A:$A,Base_Enderecos!$C:$C,""),"")</f>
        <v/>
      </c>
      <c r="R852">
        <f>IF(OR(ISNUMBER(SEARCH("HDD",$F852)),ISNUMBER(SEARCH("MND",$F852)),ISNUMBER(SEARCH("PEAD",$F852)),ISNUMBER(SEARCH("Puxe",$J852)),ISNUMBER(SEARCH("Apoio HDD",$F852))),"MND",IF(OR(ISNUMBER(SEARCH("VCA",$F852)),ISNUMBER(SEARCH("PVC",$F852)),ISNUMBER(SEARCH("vca",$J852)),ISNUMBER(SEARCH("Transformação",$J852))),"VCA",IF(OR(ISNUMBER(SEARCH("crava",$F852)),ISNUMBER(SEARCH("tubo cravado",$F852)),ISNUMBER(SEARCH("shaft",$J852)),ISNUMBER(SEARCH("concreto",$F852))),"TUBO CRAVADO","")))</f>
        <v/>
      </c>
      <c r="T852">
        <f>IF($A852="","",TEXT($A852,"yyyymm")&amp;"|"&amp;$C852&amp;"|"&amp;$F852&amp;"|"&amp;$N852&amp;"|"&amp;$R852)</f>
        <v/>
      </c>
    </row>
    <row r="853" ht="11.55" customHeight="1">
      <c r="A853" s="10" t="n">
        <v>46067</v>
      </c>
      <c r="B853" s="7" t="n"/>
      <c r="C853" s="7" t="inlineStr">
        <is>
          <t>CT MAR DE CORAL</t>
        </is>
      </c>
      <c r="D853" s="7" t="inlineStr">
        <is>
          <t>LEANDRO e SILVESTRE</t>
        </is>
      </c>
      <c r="E853" s="7" t="inlineStr">
        <is>
          <t>Paulo</t>
        </is>
      </c>
      <c r="F853" s="13" t="inlineStr">
        <is>
          <t>Transformação PV 10</t>
        </is>
      </c>
      <c r="G853" s="7" t="inlineStr">
        <is>
          <t>10</t>
        </is>
      </c>
      <c r="H853" s="7" t="n"/>
      <c r="I853" s="7" t="inlineStr">
        <is>
          <t>10</t>
        </is>
      </c>
      <c r="J853" s="7" t="inlineStr">
        <is>
          <t>Transformação</t>
        </is>
      </c>
      <c r="K853" s="7" t="inlineStr">
        <is>
          <t>Planejamento</t>
        </is>
      </c>
      <c r="L853" s="16" t="inlineStr">
        <is>
          <t>PDS-Fevereiro(1).docx</t>
        </is>
      </c>
      <c r="M853">
        <f>IF($A853="","",TEXT($A853,"mmmm/yyyy"))</f>
        <v/>
      </c>
      <c r="P853">
        <f>IFERROR(_xludf.XLOOKUP($N853,Base_Enderecos!$A:$A,Base_Enderecos!$B:$B,""),"")</f>
        <v/>
      </c>
      <c r="Q853">
        <f>IFERROR(_xludf.XLOOKUP($N853,Base_Enderecos!$A:$A,Base_Enderecos!$C:$C,""),"")</f>
        <v/>
      </c>
      <c r="R853">
        <f>IF(OR(ISNUMBER(SEARCH("HDD",$F853)),ISNUMBER(SEARCH("MND",$F853)),ISNUMBER(SEARCH("PEAD",$F853)),ISNUMBER(SEARCH("Puxe",$J853)),ISNUMBER(SEARCH("Apoio HDD",$F853))),"MND",IF(OR(ISNUMBER(SEARCH("VCA",$F853)),ISNUMBER(SEARCH("PVC",$F853)),ISNUMBER(SEARCH("vca",$J853)),ISNUMBER(SEARCH("Transformação",$J853))),"VCA",IF(OR(ISNUMBER(SEARCH("crava",$F853)),ISNUMBER(SEARCH("tubo cravado",$F853)),ISNUMBER(SEARCH("shaft",$J853)),ISNUMBER(SEARCH("concreto",$F853))),"TUBO CRAVADO","")))</f>
        <v/>
      </c>
      <c r="T853">
        <f>IF($A853="","",TEXT($A853,"yyyymm")&amp;"|"&amp;$C853&amp;"|"&amp;$F853&amp;"|"&amp;$N853&amp;"|"&amp;$R853)</f>
        <v/>
      </c>
    </row>
    <row r="854" ht="11.55" customHeight="1">
      <c r="A854" s="10" t="n">
        <v>46067</v>
      </c>
      <c r="B854" s="7" t="n"/>
      <c r="C854" s="7" t="inlineStr">
        <is>
          <t>CT LOURDES</t>
        </is>
      </c>
      <c r="D854" s="7" t="inlineStr">
        <is>
          <t>ROBSON</t>
        </is>
      </c>
      <c r="E854" s="7" t="inlineStr">
        <is>
          <t>Edvando</t>
        </is>
      </c>
      <c r="F854" s="13" t="inlineStr">
        <is>
          <t>Interligação PV 22</t>
        </is>
      </c>
      <c r="G854" s="7" t="inlineStr">
        <is>
          <t>22</t>
        </is>
      </c>
      <c r="H854" s="7" t="n"/>
      <c r="I854" s="7" t="inlineStr">
        <is>
          <t>22</t>
        </is>
      </c>
      <c r="J854" s="7" t="inlineStr">
        <is>
          <t>Interligação</t>
        </is>
      </c>
      <c r="K854" s="7" t="inlineStr">
        <is>
          <t>Planejamento</t>
        </is>
      </c>
      <c r="L854" s="16" t="inlineStr">
        <is>
          <t>PDS-Fevereiro(1).docx</t>
        </is>
      </c>
      <c r="M854">
        <f>IF($A854="","",TEXT($A854,"mmmm/yyyy"))</f>
        <v/>
      </c>
      <c r="P854">
        <f>IFERROR(_xludf.XLOOKUP($N854,Base_Enderecos!$A:$A,Base_Enderecos!$B:$B,""),"")</f>
        <v/>
      </c>
      <c r="Q854">
        <f>IFERROR(_xludf.XLOOKUP($N854,Base_Enderecos!$A:$A,Base_Enderecos!$C:$C,""),"")</f>
        <v/>
      </c>
      <c r="R854">
        <f>IF(OR(ISNUMBER(SEARCH("HDD",$F854)),ISNUMBER(SEARCH("MND",$F854)),ISNUMBER(SEARCH("PEAD",$F854)),ISNUMBER(SEARCH("Puxe",$J854)),ISNUMBER(SEARCH("Apoio HDD",$F854))),"MND",IF(OR(ISNUMBER(SEARCH("VCA",$F854)),ISNUMBER(SEARCH("PVC",$F854)),ISNUMBER(SEARCH("vca",$J854)),ISNUMBER(SEARCH("Transformação",$J854))),"VCA",IF(OR(ISNUMBER(SEARCH("crava",$F854)),ISNUMBER(SEARCH("tubo cravado",$F854)),ISNUMBER(SEARCH("shaft",$J854)),ISNUMBER(SEARCH("concreto",$F854))),"TUBO CRAVADO","")))</f>
        <v/>
      </c>
      <c r="T854">
        <f>IF($A854="","",TEXT($A854,"yyyymm")&amp;"|"&amp;$C854&amp;"|"&amp;$F854&amp;"|"&amp;$N854&amp;"|"&amp;$R854)</f>
        <v/>
      </c>
    </row>
    <row r="855" ht="11.55" customHeight="1">
      <c r="A855" s="10" t="n">
        <v>46067</v>
      </c>
      <c r="B855" s="7" t="n"/>
      <c r="C855" s="7" t="inlineStr">
        <is>
          <t>CT ÁGUA VERMELHA M.D</t>
        </is>
      </c>
      <c r="D855" s="7" t="inlineStr">
        <is>
          <t>CAROLINE e FÁBIO</t>
        </is>
      </c>
      <c r="E855" s="7" t="inlineStr">
        <is>
          <t>Marcelo</t>
        </is>
      </c>
      <c r="F855" s="13" t="inlineStr">
        <is>
          <t>Curso/Transformação PVD 2</t>
        </is>
      </c>
      <c r="G855" s="7" t="inlineStr">
        <is>
          <t>2</t>
        </is>
      </c>
      <c r="H855" s="7" t="n"/>
      <c r="I855" s="7" t="inlineStr">
        <is>
          <t>2</t>
        </is>
      </c>
      <c r="J855" s="7" t="inlineStr">
        <is>
          <t>Transformação</t>
        </is>
      </c>
      <c r="K855" s="7" t="inlineStr">
        <is>
          <t>Planejamento</t>
        </is>
      </c>
      <c r="L855" s="16" t="inlineStr">
        <is>
          <t>PDS-Fevereiro(1).docx</t>
        </is>
      </c>
      <c r="M855">
        <f>IF($A855="","",TEXT($A855,"mmmm/yyyy"))</f>
        <v/>
      </c>
      <c r="P855">
        <f>IFERROR(_xludf.XLOOKUP($N855,Base_Enderecos!$A:$A,Base_Enderecos!$B:$B,""),"")</f>
        <v/>
      </c>
      <c r="Q855">
        <f>IFERROR(_xludf.XLOOKUP($N855,Base_Enderecos!$A:$A,Base_Enderecos!$C:$C,""),"")</f>
        <v/>
      </c>
      <c r="R855">
        <f>IF(OR(ISNUMBER(SEARCH("HDD",$F855)),ISNUMBER(SEARCH("MND",$F855)),ISNUMBER(SEARCH("PEAD",$F855)),ISNUMBER(SEARCH("Puxe",$J855)),ISNUMBER(SEARCH("Apoio HDD",$F855))),"MND",IF(OR(ISNUMBER(SEARCH("VCA",$F855)),ISNUMBER(SEARCH("PVC",$F855)),ISNUMBER(SEARCH("vca",$J855)),ISNUMBER(SEARCH("Transformação",$J855))),"VCA",IF(OR(ISNUMBER(SEARCH("crava",$F855)),ISNUMBER(SEARCH("tubo cravado",$F855)),ISNUMBER(SEARCH("shaft",$J855)),ISNUMBER(SEARCH("concreto",$F855))),"TUBO CRAVADO","")))</f>
        <v/>
      </c>
      <c r="T855">
        <f>IF($A855="","",TEXT($A855,"yyyymm")&amp;"|"&amp;$C855&amp;"|"&amp;$F855&amp;"|"&amp;$N855&amp;"|"&amp;$R855)</f>
        <v/>
      </c>
    </row>
    <row r="856" ht="11.55" customHeight="1">
      <c r="A856" s="10" t="n">
        <v>46067</v>
      </c>
      <c r="B856" s="7" t="n"/>
      <c r="C856" s="7" t="inlineStr">
        <is>
          <t>CT ÁGUA VERMELHA M.D</t>
        </is>
      </c>
      <c r="D856" s="7" t="inlineStr">
        <is>
          <t>CAROLINE e FÁBIO</t>
        </is>
      </c>
      <c r="E856" s="7" t="inlineStr">
        <is>
          <t>Cidão</t>
        </is>
      </c>
      <c r="F856" s="13" t="inlineStr">
        <is>
          <t>Shaft PVD 10</t>
        </is>
      </c>
      <c r="G856" s="7" t="inlineStr">
        <is>
          <t>10</t>
        </is>
      </c>
      <c r="H856" s="7" t="n"/>
      <c r="I856" s="7" t="inlineStr">
        <is>
          <t>10</t>
        </is>
      </c>
      <c r="J856" s="7" t="inlineStr">
        <is>
          <t>Shaft</t>
        </is>
      </c>
      <c r="K856" s="7" t="inlineStr">
        <is>
          <t>Planejamento</t>
        </is>
      </c>
      <c r="L856" s="16" t="inlineStr">
        <is>
          <t>PDS-Fevereiro(1).docx</t>
        </is>
      </c>
      <c r="M856">
        <f>IF($A856="","",TEXT($A856,"mmmm/yyyy"))</f>
        <v/>
      </c>
      <c r="P856">
        <f>IFERROR(_xludf.XLOOKUP($N856,Base_Enderecos!$A:$A,Base_Enderecos!$B:$B,""),"")</f>
        <v/>
      </c>
      <c r="Q856">
        <f>IFERROR(_xludf.XLOOKUP($N856,Base_Enderecos!$A:$A,Base_Enderecos!$C:$C,""),"")</f>
        <v/>
      </c>
      <c r="R856">
        <f>IF(OR(ISNUMBER(SEARCH("HDD",$F856)),ISNUMBER(SEARCH("MND",$F856)),ISNUMBER(SEARCH("PEAD",$F856)),ISNUMBER(SEARCH("Puxe",$J856)),ISNUMBER(SEARCH("Apoio HDD",$F856))),"MND",IF(OR(ISNUMBER(SEARCH("VCA",$F856)),ISNUMBER(SEARCH("PVC",$F856)),ISNUMBER(SEARCH("vca",$J856)),ISNUMBER(SEARCH("Transformação",$J856))),"VCA",IF(OR(ISNUMBER(SEARCH("crava",$F856)),ISNUMBER(SEARCH("tubo cravado",$F856)),ISNUMBER(SEARCH("shaft",$J856)),ISNUMBER(SEARCH("concreto",$F856))),"TUBO CRAVADO","")))</f>
        <v/>
      </c>
      <c r="T856">
        <f>IF($A856="","",TEXT($A856,"yyyymm")&amp;"|"&amp;$C856&amp;"|"&amp;$F856&amp;"|"&amp;$N856&amp;"|"&amp;$R856)</f>
        <v/>
      </c>
    </row>
    <row r="857" ht="11.55" customHeight="1">
      <c r="A857" s="10" t="n">
        <v>46067</v>
      </c>
      <c r="B857" s="7" t="n"/>
      <c r="C857" s="7" t="inlineStr">
        <is>
          <t>CT ÁGUA VERMELHA M.D</t>
        </is>
      </c>
      <c r="D857" s="7" t="inlineStr">
        <is>
          <t>CAROLINE e FÁBIO</t>
        </is>
      </c>
      <c r="E857" s="7" t="inlineStr">
        <is>
          <t>Cesar</t>
        </is>
      </c>
      <c r="F857" s="13" t="inlineStr">
        <is>
          <t>Shaft PVD 07</t>
        </is>
      </c>
      <c r="G857" s="7" t="inlineStr">
        <is>
          <t>07</t>
        </is>
      </c>
      <c r="H857" s="7" t="n"/>
      <c r="I857" s="7" t="inlineStr">
        <is>
          <t>07</t>
        </is>
      </c>
      <c r="J857" s="7" t="inlineStr">
        <is>
          <t>Shaft</t>
        </is>
      </c>
      <c r="K857" s="7" t="inlineStr">
        <is>
          <t>Planejamento</t>
        </is>
      </c>
      <c r="L857" s="16" t="inlineStr">
        <is>
          <t>PDS-Fevereiro(1).docx</t>
        </is>
      </c>
      <c r="M857">
        <f>IF($A857="","",TEXT($A857,"mmmm/yyyy"))</f>
        <v/>
      </c>
      <c r="P857">
        <f>IFERROR(_xludf.XLOOKUP($N857,Base_Enderecos!$A:$A,Base_Enderecos!$B:$B,""),"")</f>
        <v/>
      </c>
      <c r="Q857">
        <f>IFERROR(_xludf.XLOOKUP($N857,Base_Enderecos!$A:$A,Base_Enderecos!$C:$C,""),"")</f>
        <v/>
      </c>
      <c r="R857">
        <f>IF(OR(ISNUMBER(SEARCH("HDD",$F857)),ISNUMBER(SEARCH("MND",$F857)),ISNUMBER(SEARCH("PEAD",$F857)),ISNUMBER(SEARCH("Puxe",$J857)),ISNUMBER(SEARCH("Apoio HDD",$F857))),"MND",IF(OR(ISNUMBER(SEARCH("VCA",$F857)),ISNUMBER(SEARCH("PVC",$F857)),ISNUMBER(SEARCH("vca",$J857)),ISNUMBER(SEARCH("Transformação",$J857))),"VCA",IF(OR(ISNUMBER(SEARCH("crava",$F857)),ISNUMBER(SEARCH("tubo cravado",$F857)),ISNUMBER(SEARCH("shaft",$J857)),ISNUMBER(SEARCH("concreto",$F857))),"TUBO CRAVADO","")))</f>
        <v/>
      </c>
      <c r="T857">
        <f>IF($A857="","",TEXT($A857,"yyyymm")&amp;"|"&amp;$C857&amp;"|"&amp;$F857&amp;"|"&amp;$N857&amp;"|"&amp;$R857)</f>
        <v/>
      </c>
    </row>
    <row r="858" ht="11.55" customHeight="1">
      <c r="A858" s="10" t="n">
        <v>46067</v>
      </c>
      <c r="B858" s="7" t="n"/>
      <c r="C858" s="7" t="inlineStr">
        <is>
          <t>CT ÁGUA VERMELHA M.E– Valmir</t>
        </is>
      </c>
      <c r="D858" s="7" t="n"/>
      <c r="E858" s="7" t="inlineStr">
        <is>
          <t>Higor</t>
        </is>
      </c>
      <c r="F858" s="13" t="inlineStr">
        <is>
          <t>Shaft PVE 18</t>
        </is>
      </c>
      <c r="G858" s="7" t="inlineStr">
        <is>
          <t>18</t>
        </is>
      </c>
      <c r="H858" s="7" t="n"/>
      <c r="I858" s="7" t="inlineStr">
        <is>
          <t>18</t>
        </is>
      </c>
      <c r="J858" s="7" t="inlineStr">
        <is>
          <t>Shaft</t>
        </is>
      </c>
      <c r="K858" s="7" t="inlineStr">
        <is>
          <t>Planejamento</t>
        </is>
      </c>
      <c r="L858" s="16" t="inlineStr">
        <is>
          <t>PDS-Fevereiro(1).docx</t>
        </is>
      </c>
      <c r="M858">
        <f>IF($A858="","",TEXT($A858,"mmmm/yyyy"))</f>
        <v/>
      </c>
      <c r="P858">
        <f>IFERROR(_xludf.XLOOKUP($N858,Base_Enderecos!$A:$A,Base_Enderecos!$B:$B,""),"")</f>
        <v/>
      </c>
      <c r="Q858">
        <f>IFERROR(_xludf.XLOOKUP($N858,Base_Enderecos!$A:$A,Base_Enderecos!$C:$C,""),"")</f>
        <v/>
      </c>
      <c r="R858">
        <f>IF(OR(ISNUMBER(SEARCH("HDD",$F858)),ISNUMBER(SEARCH("MND",$F858)),ISNUMBER(SEARCH("PEAD",$F858)),ISNUMBER(SEARCH("Puxe",$J858)),ISNUMBER(SEARCH("Apoio HDD",$F858))),"MND",IF(OR(ISNUMBER(SEARCH("VCA",$F858)),ISNUMBER(SEARCH("PVC",$F858)),ISNUMBER(SEARCH("vca",$J858)),ISNUMBER(SEARCH("Transformação",$J858))),"VCA",IF(OR(ISNUMBER(SEARCH("crava",$F858)),ISNUMBER(SEARCH("tubo cravado",$F858)),ISNUMBER(SEARCH("shaft",$J858)),ISNUMBER(SEARCH("concreto",$F858))),"TUBO CRAVADO","")))</f>
        <v/>
      </c>
      <c r="T858">
        <f>IF($A858="","",TEXT($A858,"yyyymm")&amp;"|"&amp;$C858&amp;"|"&amp;$F858&amp;"|"&amp;$N858&amp;"|"&amp;$R858)</f>
        <v/>
      </c>
    </row>
    <row r="859" ht="11.55" customHeight="1">
      <c r="A859" s="10" t="n">
        <v>46067</v>
      </c>
      <c r="B859" s="7" t="n"/>
      <c r="C859" s="7" t="inlineStr">
        <is>
          <t>CT ÁGUA VERMELHA M.E– Valmir</t>
        </is>
      </c>
      <c r="D859" s="7" t="n"/>
      <c r="E859" s="7" t="inlineStr">
        <is>
          <t>Natalino</t>
        </is>
      </c>
      <c r="F859" s="13" t="inlineStr">
        <is>
          <t>Apoio Solda Coluna</t>
        </is>
      </c>
      <c r="G859" s="7" t="n"/>
      <c r="H859" s="7" t="n"/>
      <c r="I859" s="7" t="n"/>
      <c r="J859" s="7" t="n"/>
      <c r="K859" s="7" t="inlineStr">
        <is>
          <t>Planejamento</t>
        </is>
      </c>
      <c r="L859" s="16" t="inlineStr">
        <is>
          <t>PDS-Fevereiro(1).docx</t>
        </is>
      </c>
      <c r="M859">
        <f>IF($A859="","",TEXT($A859,"mmmm/yyyy"))</f>
        <v/>
      </c>
      <c r="P859">
        <f>IFERROR(_xludf.XLOOKUP($N859,Base_Enderecos!$A:$A,Base_Enderecos!$B:$B,""),"")</f>
        <v/>
      </c>
      <c r="Q859">
        <f>IFERROR(_xludf.XLOOKUP($N859,Base_Enderecos!$A:$A,Base_Enderecos!$C:$C,""),"")</f>
        <v/>
      </c>
      <c r="R859">
        <f>IF(OR(ISNUMBER(SEARCH("HDD",$F859)),ISNUMBER(SEARCH("MND",$F859)),ISNUMBER(SEARCH("PEAD",$F859)),ISNUMBER(SEARCH("Puxe",$J859)),ISNUMBER(SEARCH("Apoio HDD",$F859))),"MND",IF(OR(ISNUMBER(SEARCH("VCA",$F859)),ISNUMBER(SEARCH("PVC",$F859)),ISNUMBER(SEARCH("vca",$J859)),ISNUMBER(SEARCH("Transformação",$J859))),"VCA",IF(OR(ISNUMBER(SEARCH("crava",$F859)),ISNUMBER(SEARCH("tubo cravado",$F859)),ISNUMBER(SEARCH("shaft",$J859)),ISNUMBER(SEARCH("concreto",$F859))),"TUBO CRAVADO","")))</f>
        <v/>
      </c>
      <c r="T859">
        <f>IF($A859="","",TEXT($A859,"yyyymm")&amp;"|"&amp;$C859&amp;"|"&amp;$F859&amp;"|"&amp;$N859&amp;"|"&amp;$R859)</f>
        <v/>
      </c>
    </row>
    <row r="860" ht="11.55" customHeight="1">
      <c r="A860" s="10" t="n">
        <v>46067</v>
      </c>
      <c r="B860" s="7" t="n"/>
      <c r="C860" s="7" t="inlineStr">
        <is>
          <t>RCE ARARIBA</t>
        </is>
      </c>
      <c r="D860" s="7" t="inlineStr">
        <is>
          <t>ROBSON</t>
        </is>
      </c>
      <c r="E860" s="7" t="inlineStr">
        <is>
          <t>Valter</t>
        </is>
      </c>
      <c r="F860" s="13" t="inlineStr">
        <is>
          <t>VCA PV 11 ao 13</t>
        </is>
      </c>
      <c r="G860" s="7" t="inlineStr">
        <is>
          <t>11</t>
        </is>
      </c>
      <c r="H860" s="7" t="n"/>
      <c r="I860" s="7" t="inlineStr">
        <is>
          <t>11</t>
        </is>
      </c>
      <c r="J860" s="7" t="inlineStr">
        <is>
          <t>VCA</t>
        </is>
      </c>
      <c r="K860" s="7" t="inlineStr">
        <is>
          <t>Planejamento</t>
        </is>
      </c>
      <c r="L860" s="16" t="inlineStr">
        <is>
          <t>PDS-Fevereiro(1).docx</t>
        </is>
      </c>
      <c r="M860">
        <f>IF($A860="","",TEXT($A860,"mmmm/yyyy"))</f>
        <v/>
      </c>
      <c r="P860">
        <f>IFERROR(_xludf.XLOOKUP($N860,Base_Enderecos!$A:$A,Base_Enderecos!$B:$B,""),"")</f>
        <v/>
      </c>
      <c r="Q860">
        <f>IFERROR(_xludf.XLOOKUP($N860,Base_Enderecos!$A:$A,Base_Enderecos!$C:$C,""),"")</f>
        <v/>
      </c>
      <c r="R860">
        <f>IF(OR(ISNUMBER(SEARCH("HDD",$F860)),ISNUMBER(SEARCH("MND",$F860)),ISNUMBER(SEARCH("PEAD",$F860)),ISNUMBER(SEARCH("Puxe",$J860)),ISNUMBER(SEARCH("Apoio HDD",$F860))),"MND",IF(OR(ISNUMBER(SEARCH("VCA",$F860)),ISNUMBER(SEARCH("PVC",$F860)),ISNUMBER(SEARCH("vca",$J860)),ISNUMBER(SEARCH("Transformação",$J860))),"VCA",IF(OR(ISNUMBER(SEARCH("crava",$F860)),ISNUMBER(SEARCH("tubo cravado",$F860)),ISNUMBER(SEARCH("shaft",$J860)),ISNUMBER(SEARCH("concreto",$F860))),"TUBO CRAVADO","")))</f>
        <v/>
      </c>
      <c r="T860">
        <f>IF($A860="","",TEXT($A860,"yyyymm")&amp;"|"&amp;$C860&amp;"|"&amp;$F860&amp;"|"&amp;$N860&amp;"|"&amp;$R860)</f>
        <v/>
      </c>
    </row>
    <row r="861" ht="11.55" customHeight="1">
      <c r="A861" s="10" t="n">
        <v>46067</v>
      </c>
      <c r="B861" s="7" t="n"/>
      <c r="C861" s="7" t="inlineStr">
        <is>
          <t>Vacal</t>
        </is>
      </c>
      <c r="D861" s="7" t="n"/>
      <c r="E861" s="7" t="inlineStr">
        <is>
          <t>Água Vermelha</t>
        </is>
      </c>
      <c r="F861" s="13" t="inlineStr">
        <is>
          <t>Apoio Vacal</t>
        </is>
      </c>
      <c r="G861" s="7" t="n"/>
      <c r="H861" s="7" t="n"/>
      <c r="I861" s="7" t="n"/>
      <c r="J861" s="7" t="inlineStr">
        <is>
          <t>Vacal</t>
        </is>
      </c>
      <c r="K861" s="7" t="inlineStr">
        <is>
          <t>Apoio</t>
        </is>
      </c>
      <c r="L861" s="16" t="inlineStr">
        <is>
          <t>PDS-Fevereiro(1).docx</t>
        </is>
      </c>
      <c r="M861">
        <f>IF($A861="","",TEXT($A861,"mmmm/yyyy"))</f>
        <v/>
      </c>
      <c r="P861">
        <f>IFERROR(_xludf.XLOOKUP($N861,Base_Enderecos!$A:$A,Base_Enderecos!$B:$B,""),"")</f>
        <v/>
      </c>
      <c r="Q861">
        <f>IFERROR(_xludf.XLOOKUP($N861,Base_Enderecos!$A:$A,Base_Enderecos!$C:$C,""),"")</f>
        <v/>
      </c>
      <c r="R861">
        <f>IF(OR(ISNUMBER(SEARCH("HDD",$F861)),ISNUMBER(SEARCH("MND",$F861)),ISNUMBER(SEARCH("PEAD",$F861)),ISNUMBER(SEARCH("Puxe",$J861)),ISNUMBER(SEARCH("Apoio HDD",$F861))),"MND",IF(OR(ISNUMBER(SEARCH("VCA",$F861)),ISNUMBER(SEARCH("PVC",$F861)),ISNUMBER(SEARCH("vca",$J861)),ISNUMBER(SEARCH("Transformação",$J861))),"VCA",IF(OR(ISNUMBER(SEARCH("crava",$F861)),ISNUMBER(SEARCH("tubo cravado",$F861)),ISNUMBER(SEARCH("shaft",$J861)),ISNUMBER(SEARCH("concreto",$F861))),"TUBO CRAVADO","")))</f>
        <v/>
      </c>
      <c r="T861">
        <f>IF($A861="","",TEXT($A861,"yyyymm")&amp;"|"&amp;$C861&amp;"|"&amp;$F861&amp;"|"&amp;$N861&amp;"|"&amp;$R861)</f>
        <v/>
      </c>
    </row>
    <row r="862" ht="11.55" customHeight="1">
      <c r="A862" s="10" t="n">
        <v>46067</v>
      </c>
      <c r="B862" s="7" t="n"/>
      <c r="C862" s="7" t="inlineStr">
        <is>
          <t>Vacal</t>
        </is>
      </c>
      <c r="D862" s="7" t="n"/>
      <c r="E862" s="7" t="inlineStr">
        <is>
          <t>Mar de Coral</t>
        </is>
      </c>
      <c r="F862" s="13" t="inlineStr">
        <is>
          <t>Apoio Vacal</t>
        </is>
      </c>
      <c r="G862" s="7" t="n"/>
      <c r="H862" s="7" t="n"/>
      <c r="I862" s="7" t="n"/>
      <c r="J862" s="7" t="inlineStr">
        <is>
          <t>Vacal</t>
        </is>
      </c>
      <c r="K862" s="7" t="inlineStr">
        <is>
          <t>Apoio</t>
        </is>
      </c>
      <c r="L862" s="16" t="inlineStr">
        <is>
          <t>PDS-Fevereiro(1).docx</t>
        </is>
      </c>
      <c r="M862">
        <f>IF($A862="","",TEXT($A862,"mmmm/yyyy"))</f>
        <v/>
      </c>
      <c r="P862">
        <f>IFERROR(_xludf.XLOOKUP($N862,Base_Enderecos!$A:$A,Base_Enderecos!$B:$B,""),"")</f>
        <v/>
      </c>
      <c r="Q862">
        <f>IFERROR(_xludf.XLOOKUP($N862,Base_Enderecos!$A:$A,Base_Enderecos!$C:$C,""),"")</f>
        <v/>
      </c>
      <c r="R862">
        <f>IF(OR(ISNUMBER(SEARCH("HDD",$F862)),ISNUMBER(SEARCH("MND",$F862)),ISNUMBER(SEARCH("PEAD",$F862)),ISNUMBER(SEARCH("Puxe",$J862)),ISNUMBER(SEARCH("Apoio HDD",$F862))),"MND",IF(OR(ISNUMBER(SEARCH("VCA",$F862)),ISNUMBER(SEARCH("PVC",$F862)),ISNUMBER(SEARCH("vca",$J862)),ISNUMBER(SEARCH("Transformação",$J862))),"VCA",IF(OR(ISNUMBER(SEARCH("crava",$F862)),ISNUMBER(SEARCH("tubo cravado",$F862)),ISNUMBER(SEARCH("shaft",$J862)),ISNUMBER(SEARCH("concreto",$F862))),"TUBO CRAVADO","")))</f>
        <v/>
      </c>
      <c r="T862">
        <f>IF($A862="","",TEXT($A862,"yyyymm")&amp;"|"&amp;$C862&amp;"|"&amp;$F862&amp;"|"&amp;$N862&amp;"|"&amp;$R862)</f>
        <v/>
      </c>
    </row>
    <row r="863" ht="11.55" customHeight="1">
      <c r="A863" s="10" t="n">
        <v>46067</v>
      </c>
      <c r="B863" s="7" t="n"/>
      <c r="C863" s="7" t="inlineStr">
        <is>
          <t>Vacal</t>
        </is>
      </c>
      <c r="D863" s="7" t="n"/>
      <c r="E863" s="7" t="inlineStr">
        <is>
          <t>Mar de Coral</t>
        </is>
      </c>
      <c r="F863" s="13" t="inlineStr">
        <is>
          <t>Apoio Vacal</t>
        </is>
      </c>
      <c r="G863" s="7" t="n"/>
      <c r="H863" s="7" t="n"/>
      <c r="I863" s="7" t="n"/>
      <c r="J863" s="7" t="inlineStr">
        <is>
          <t>Vacal</t>
        </is>
      </c>
      <c r="K863" s="7" t="inlineStr">
        <is>
          <t>Apoio</t>
        </is>
      </c>
      <c r="L863" s="16" t="inlineStr">
        <is>
          <t>PDS-Fevereiro(1).docx</t>
        </is>
      </c>
      <c r="M863">
        <f>IF($A863="","",TEXT($A863,"mmmm/yyyy"))</f>
        <v/>
      </c>
      <c r="P863">
        <f>IFERROR(_xludf.XLOOKUP($N863,Base_Enderecos!$A:$A,Base_Enderecos!$B:$B,""),"")</f>
        <v/>
      </c>
      <c r="Q863">
        <f>IFERROR(_xludf.XLOOKUP($N863,Base_Enderecos!$A:$A,Base_Enderecos!$C:$C,""),"")</f>
        <v/>
      </c>
      <c r="R863">
        <f>IF(OR(ISNUMBER(SEARCH("HDD",$F863)),ISNUMBER(SEARCH("MND",$F863)),ISNUMBER(SEARCH("PEAD",$F863)),ISNUMBER(SEARCH("Puxe",$J863)),ISNUMBER(SEARCH("Apoio HDD",$F863))),"MND",IF(OR(ISNUMBER(SEARCH("VCA",$F863)),ISNUMBER(SEARCH("PVC",$F863)),ISNUMBER(SEARCH("vca",$J863)),ISNUMBER(SEARCH("Transformação",$J863))),"VCA",IF(OR(ISNUMBER(SEARCH("crava",$F863)),ISNUMBER(SEARCH("tubo cravado",$F863)),ISNUMBER(SEARCH("shaft",$J863)),ISNUMBER(SEARCH("concreto",$F863))),"TUBO CRAVADO","")))</f>
        <v/>
      </c>
      <c r="T863">
        <f>IF($A863="","",TEXT($A863,"yyyymm")&amp;"|"&amp;$C863&amp;"|"&amp;$F863&amp;"|"&amp;$N863&amp;"|"&amp;$R863)</f>
        <v/>
      </c>
    </row>
    <row r="864" ht="11.55" customHeight="1">
      <c r="A864" s="10" t="n">
        <v>46069</v>
      </c>
      <c r="B864" s="7" t="inlineStr">
        <is>
          <t>Segunda</t>
        </is>
      </c>
      <c r="C864" s="7" t="inlineStr">
        <is>
          <t>CT MAR DE CORAL</t>
        </is>
      </c>
      <c r="D864" s="7" t="inlineStr">
        <is>
          <t>LEANDRO, SILVESTRE e ROBSON</t>
        </is>
      </c>
      <c r="E864" s="7" t="inlineStr">
        <is>
          <t>Carlos</t>
        </is>
      </c>
      <c r="F864" s="13" t="inlineStr">
        <is>
          <t>Transformação PV 25</t>
        </is>
      </c>
      <c r="G864" s="7" t="inlineStr">
        <is>
          <t>25</t>
        </is>
      </c>
      <c r="H864" s="7" t="n"/>
      <c r="I864" s="7" t="inlineStr">
        <is>
          <t>25</t>
        </is>
      </c>
      <c r="J864" s="7" t="inlineStr">
        <is>
          <t>Transformação</t>
        </is>
      </c>
      <c r="K864" s="7" t="inlineStr">
        <is>
          <t>Planejamento</t>
        </is>
      </c>
      <c r="L864" s="16" t="inlineStr">
        <is>
          <t>PDS-Fevereiro(1).docx</t>
        </is>
      </c>
      <c r="M864">
        <f>IF($A864="","",TEXT($A864,"mmmm/yyyy"))</f>
        <v/>
      </c>
      <c r="P864">
        <f>IFERROR(_xludf.XLOOKUP($N864,Base_Enderecos!$A:$A,Base_Enderecos!$B:$B,""),"")</f>
        <v/>
      </c>
      <c r="Q864">
        <f>IFERROR(_xludf.XLOOKUP($N864,Base_Enderecos!$A:$A,Base_Enderecos!$C:$C,""),"")</f>
        <v/>
      </c>
      <c r="R864">
        <f>IF(OR(ISNUMBER(SEARCH("HDD",$F864)),ISNUMBER(SEARCH("MND",$F864)),ISNUMBER(SEARCH("PEAD",$F864)),ISNUMBER(SEARCH("Puxe",$J864)),ISNUMBER(SEARCH("Apoio HDD",$F864))),"MND",IF(OR(ISNUMBER(SEARCH("VCA",$F864)),ISNUMBER(SEARCH("PVC",$F864)),ISNUMBER(SEARCH("vca",$J864)),ISNUMBER(SEARCH("Transformação",$J864))),"VCA",IF(OR(ISNUMBER(SEARCH("crava",$F864)),ISNUMBER(SEARCH("tubo cravado",$F864)),ISNUMBER(SEARCH("shaft",$J864)),ISNUMBER(SEARCH("concreto",$F864))),"TUBO CRAVADO","")))</f>
        <v/>
      </c>
      <c r="T864">
        <f>IF($A864="","",TEXT($A864,"yyyymm")&amp;"|"&amp;$C864&amp;"|"&amp;$F864&amp;"|"&amp;$N864&amp;"|"&amp;$R864)</f>
        <v/>
      </c>
    </row>
    <row r="865" ht="11.55" customHeight="1">
      <c r="A865" s="10" t="n">
        <v>46069</v>
      </c>
      <c r="B865" s="7" t="inlineStr">
        <is>
          <t>Segunda</t>
        </is>
      </c>
      <c r="C865" s="7" t="inlineStr">
        <is>
          <t>CT MAR DE CORAL</t>
        </is>
      </c>
      <c r="D865" s="7" t="inlineStr">
        <is>
          <t>LEANDRO, SILVESTRE e ROBSON</t>
        </is>
      </c>
      <c r="E865" s="7" t="inlineStr">
        <is>
          <t>Work Drill</t>
        </is>
      </c>
      <c r="F865" s="13" t="inlineStr">
        <is>
          <t>Furo Piloto e Puxe entre PVs 33 ao 40</t>
        </is>
      </c>
      <c r="G865" s="7" t="inlineStr">
        <is>
          <t>33</t>
        </is>
      </c>
      <c r="H865" s="7" t="n"/>
      <c r="I865" s="7" t="inlineStr">
        <is>
          <t>33</t>
        </is>
      </c>
      <c r="J865" s="7" t="inlineStr">
        <is>
          <t>Furo piloto</t>
        </is>
      </c>
      <c r="K865" s="7" t="inlineStr">
        <is>
          <t>Planejamento</t>
        </is>
      </c>
      <c r="L865" s="16" t="inlineStr">
        <is>
          <t>PDS-Fevereiro(1).docx</t>
        </is>
      </c>
      <c r="M865">
        <f>IF($A865="","",TEXT($A865,"mmmm/yyyy"))</f>
        <v/>
      </c>
      <c r="P865">
        <f>IFERROR(_xludf.XLOOKUP($N865,Base_Enderecos!$A:$A,Base_Enderecos!$B:$B,""),"")</f>
        <v/>
      </c>
      <c r="Q865">
        <f>IFERROR(_xludf.XLOOKUP($N865,Base_Enderecos!$A:$A,Base_Enderecos!$C:$C,""),"")</f>
        <v/>
      </c>
      <c r="R865">
        <f>IF(OR(ISNUMBER(SEARCH("HDD",$F865)),ISNUMBER(SEARCH("MND",$F865)),ISNUMBER(SEARCH("PEAD",$F865)),ISNUMBER(SEARCH("Puxe",$J865)),ISNUMBER(SEARCH("Apoio HDD",$F865))),"MND",IF(OR(ISNUMBER(SEARCH("VCA",$F865)),ISNUMBER(SEARCH("PVC",$F865)),ISNUMBER(SEARCH("vca",$J865)),ISNUMBER(SEARCH("Transformação",$J865))),"VCA",IF(OR(ISNUMBER(SEARCH("crava",$F865)),ISNUMBER(SEARCH("tubo cravado",$F865)),ISNUMBER(SEARCH("shaft",$J865)),ISNUMBER(SEARCH("concreto",$F865))),"TUBO CRAVADO","")))</f>
        <v/>
      </c>
      <c r="T865">
        <f>IF($A865="","",TEXT($A865,"yyyymm")&amp;"|"&amp;$C865&amp;"|"&amp;$F865&amp;"|"&amp;$N865&amp;"|"&amp;$R865)</f>
        <v/>
      </c>
    </row>
    <row r="866" ht="11.55" customHeight="1">
      <c r="A866" s="10" t="n">
        <v>46069</v>
      </c>
      <c r="B866" s="7" t="inlineStr">
        <is>
          <t>Segunda</t>
        </is>
      </c>
      <c r="C866" s="7" t="inlineStr">
        <is>
          <t>CT MAR DE CORAL</t>
        </is>
      </c>
      <c r="D866" s="7" t="inlineStr">
        <is>
          <t>LEANDRO, SILVESTRE e ROBSON</t>
        </is>
      </c>
      <c r="E866" s="7" t="inlineStr">
        <is>
          <t>Medeiros</t>
        </is>
      </c>
      <c r="F866" s="13" t="inlineStr">
        <is>
          <t>Apoio HDD PV 33 ao PV 40</t>
        </is>
      </c>
      <c r="G866" s="7" t="inlineStr">
        <is>
          <t>33</t>
        </is>
      </c>
      <c r="H866" s="7" t="inlineStr">
        <is>
          <t>40</t>
        </is>
      </c>
      <c r="I866" s="7" t="inlineStr">
        <is>
          <t>33, 40</t>
        </is>
      </c>
      <c r="J866" s="7" t="inlineStr">
        <is>
          <t>Apoio HDD</t>
        </is>
      </c>
      <c r="K866" s="7" t="inlineStr">
        <is>
          <t>Planejamento</t>
        </is>
      </c>
      <c r="L866" s="16" t="inlineStr">
        <is>
          <t>PDS-Fevereiro(1).docx</t>
        </is>
      </c>
      <c r="M866">
        <f>IF($A866="","",TEXT($A866,"mmmm/yyyy"))</f>
        <v/>
      </c>
      <c r="P866">
        <f>IFERROR(_xludf.XLOOKUP($N866,Base_Enderecos!$A:$A,Base_Enderecos!$B:$B,""),"")</f>
        <v/>
      </c>
      <c r="Q866">
        <f>IFERROR(_xludf.XLOOKUP($N866,Base_Enderecos!$A:$A,Base_Enderecos!$C:$C,""),"")</f>
        <v/>
      </c>
      <c r="R866">
        <f>IF(OR(ISNUMBER(SEARCH("HDD",$F866)),ISNUMBER(SEARCH("MND",$F866)),ISNUMBER(SEARCH("PEAD",$F866)),ISNUMBER(SEARCH("Puxe",$J866)),ISNUMBER(SEARCH("Apoio HDD",$F866))),"MND",IF(OR(ISNUMBER(SEARCH("VCA",$F866)),ISNUMBER(SEARCH("PVC",$F866)),ISNUMBER(SEARCH("vca",$J866)),ISNUMBER(SEARCH("Transformação",$J866))),"VCA",IF(OR(ISNUMBER(SEARCH("crava",$F866)),ISNUMBER(SEARCH("tubo cravado",$F866)),ISNUMBER(SEARCH("shaft",$J866)),ISNUMBER(SEARCH("concreto",$F866))),"TUBO CRAVADO","")))</f>
        <v/>
      </c>
      <c r="T866">
        <f>IF($A866="","",TEXT($A866,"yyyymm")&amp;"|"&amp;$C866&amp;"|"&amp;$F866&amp;"|"&amp;$N866&amp;"|"&amp;$R866)</f>
        <v/>
      </c>
    </row>
    <row r="867" ht="11.55" customHeight="1">
      <c r="A867" s="10" t="n">
        <v>46069</v>
      </c>
      <c r="B867" s="7" t="inlineStr">
        <is>
          <t>Segunda</t>
        </is>
      </c>
      <c r="C867" s="7" t="inlineStr">
        <is>
          <t>CT MAR DE CORAL</t>
        </is>
      </c>
      <c r="D867" s="7" t="inlineStr">
        <is>
          <t>LEANDRO, SILVESTRE e ROBSON</t>
        </is>
      </c>
      <c r="E867" s="7" t="inlineStr">
        <is>
          <t>Marcio</t>
        </is>
      </c>
      <c r="F867" s="13" t="inlineStr">
        <is>
          <t>Transformação PV 13</t>
        </is>
      </c>
      <c r="G867" s="7" t="inlineStr">
        <is>
          <t>13</t>
        </is>
      </c>
      <c r="H867" s="7" t="n"/>
      <c r="I867" s="7" t="inlineStr">
        <is>
          <t>13</t>
        </is>
      </c>
      <c r="J867" s="7" t="inlineStr">
        <is>
          <t>Transformação</t>
        </is>
      </c>
      <c r="K867" s="7" t="inlineStr">
        <is>
          <t>Planejamento</t>
        </is>
      </c>
      <c r="L867" s="16" t="inlineStr">
        <is>
          <t>PDS-Fevereiro(1).docx</t>
        </is>
      </c>
      <c r="M867">
        <f>IF($A867="","",TEXT($A867,"mmmm/yyyy"))</f>
        <v/>
      </c>
      <c r="P867">
        <f>IFERROR(_xludf.XLOOKUP($N867,Base_Enderecos!$A:$A,Base_Enderecos!$B:$B,""),"")</f>
        <v/>
      </c>
      <c r="Q867">
        <f>IFERROR(_xludf.XLOOKUP($N867,Base_Enderecos!$A:$A,Base_Enderecos!$C:$C,""),"")</f>
        <v/>
      </c>
      <c r="R867">
        <f>IF(OR(ISNUMBER(SEARCH("HDD",$F867)),ISNUMBER(SEARCH("MND",$F867)),ISNUMBER(SEARCH("PEAD",$F867)),ISNUMBER(SEARCH("Puxe",$J867)),ISNUMBER(SEARCH("Apoio HDD",$F867))),"MND",IF(OR(ISNUMBER(SEARCH("VCA",$F867)),ISNUMBER(SEARCH("PVC",$F867)),ISNUMBER(SEARCH("vca",$J867)),ISNUMBER(SEARCH("Transformação",$J867))),"VCA",IF(OR(ISNUMBER(SEARCH("crava",$F867)),ISNUMBER(SEARCH("tubo cravado",$F867)),ISNUMBER(SEARCH("shaft",$J867)),ISNUMBER(SEARCH("concreto",$F867))),"TUBO CRAVADO","")))</f>
        <v/>
      </c>
      <c r="T867">
        <f>IF($A867="","",TEXT($A867,"yyyymm")&amp;"|"&amp;$C867&amp;"|"&amp;$F867&amp;"|"&amp;$N867&amp;"|"&amp;$R867)</f>
        <v/>
      </c>
    </row>
    <row r="868" ht="11.55" customHeight="1">
      <c r="A868" s="10" t="n">
        <v>46069</v>
      </c>
      <c r="B868" s="7" t="inlineStr">
        <is>
          <t>Segunda</t>
        </is>
      </c>
      <c r="C868" s="7" t="inlineStr">
        <is>
          <t>CT MAR DE CORAL</t>
        </is>
      </c>
      <c r="D868" s="7" t="inlineStr">
        <is>
          <t>LEANDRO, SILVESTRE e ROBSON</t>
        </is>
      </c>
      <c r="E868" s="7" t="inlineStr">
        <is>
          <t>Sergio</t>
        </is>
      </c>
      <c r="F868" s="13" t="inlineStr">
        <is>
          <t>Transformação PV 12</t>
        </is>
      </c>
      <c r="G868" s="7" t="inlineStr">
        <is>
          <t>12</t>
        </is>
      </c>
      <c r="H868" s="7" t="n"/>
      <c r="I868" s="7" t="inlineStr">
        <is>
          <t>12</t>
        </is>
      </c>
      <c r="J868" s="7" t="inlineStr">
        <is>
          <t>Transformação</t>
        </is>
      </c>
      <c r="K868" s="7" t="inlineStr">
        <is>
          <t>Planejamento</t>
        </is>
      </c>
      <c r="L868" s="16" t="inlineStr">
        <is>
          <t>PDS-Fevereiro(1).docx</t>
        </is>
      </c>
      <c r="M868">
        <f>IF($A868="","",TEXT($A868,"mmmm/yyyy"))</f>
        <v/>
      </c>
      <c r="P868">
        <f>IFERROR(_xludf.XLOOKUP($N868,Base_Enderecos!$A:$A,Base_Enderecos!$B:$B,""),"")</f>
        <v/>
      </c>
      <c r="Q868">
        <f>IFERROR(_xludf.XLOOKUP($N868,Base_Enderecos!$A:$A,Base_Enderecos!$C:$C,""),"")</f>
        <v/>
      </c>
      <c r="R868">
        <f>IF(OR(ISNUMBER(SEARCH("HDD",$F868)),ISNUMBER(SEARCH("MND",$F868)),ISNUMBER(SEARCH("PEAD",$F868)),ISNUMBER(SEARCH("Puxe",$J868)),ISNUMBER(SEARCH("Apoio HDD",$F868))),"MND",IF(OR(ISNUMBER(SEARCH("VCA",$F868)),ISNUMBER(SEARCH("PVC",$F868)),ISNUMBER(SEARCH("vca",$J868)),ISNUMBER(SEARCH("Transformação",$J868))),"VCA",IF(OR(ISNUMBER(SEARCH("crava",$F868)),ISNUMBER(SEARCH("tubo cravado",$F868)),ISNUMBER(SEARCH("shaft",$J868)),ISNUMBER(SEARCH("concreto",$F868))),"TUBO CRAVADO","")))</f>
        <v/>
      </c>
      <c r="T868">
        <f>IF($A868="","",TEXT($A868,"yyyymm")&amp;"|"&amp;$C868&amp;"|"&amp;$F868&amp;"|"&amp;$N868&amp;"|"&amp;$R868)</f>
        <v/>
      </c>
    </row>
    <row r="869" ht="11.55" customHeight="1">
      <c r="A869" s="10" t="n">
        <v>46069</v>
      </c>
      <c r="B869" s="7" t="inlineStr">
        <is>
          <t>Segunda</t>
        </is>
      </c>
      <c r="C869" s="7" t="inlineStr">
        <is>
          <t>CT MAR DE CORAL</t>
        </is>
      </c>
      <c r="D869" s="7" t="inlineStr">
        <is>
          <t>LEANDRO, SILVESTRE e ROBSON</t>
        </is>
      </c>
      <c r="E869" s="7" t="inlineStr">
        <is>
          <t>Paulo</t>
        </is>
      </c>
      <c r="F869" s="13" t="inlineStr">
        <is>
          <t>Transformação PV 10</t>
        </is>
      </c>
      <c r="G869" s="7" t="inlineStr">
        <is>
          <t>10</t>
        </is>
      </c>
      <c r="H869" s="7" t="n"/>
      <c r="I869" s="7" t="inlineStr">
        <is>
          <t>10</t>
        </is>
      </c>
      <c r="J869" s="7" t="inlineStr">
        <is>
          <t>Transformação</t>
        </is>
      </c>
      <c r="K869" s="7" t="inlineStr">
        <is>
          <t>Planejamento</t>
        </is>
      </c>
      <c r="L869" s="16" t="inlineStr">
        <is>
          <t>PDS-Fevereiro(1).docx</t>
        </is>
      </c>
      <c r="M869">
        <f>IF($A869="","",TEXT($A869,"mmmm/yyyy"))</f>
        <v/>
      </c>
      <c r="P869">
        <f>IFERROR(_xludf.XLOOKUP($N869,Base_Enderecos!$A:$A,Base_Enderecos!$B:$B,""),"")</f>
        <v/>
      </c>
      <c r="Q869">
        <f>IFERROR(_xludf.XLOOKUP($N869,Base_Enderecos!$A:$A,Base_Enderecos!$C:$C,""),"")</f>
        <v/>
      </c>
      <c r="R869">
        <f>IF(OR(ISNUMBER(SEARCH("HDD",$F869)),ISNUMBER(SEARCH("MND",$F869)),ISNUMBER(SEARCH("PEAD",$F869)),ISNUMBER(SEARCH("Puxe",$J869)),ISNUMBER(SEARCH("Apoio HDD",$F869))),"MND",IF(OR(ISNUMBER(SEARCH("VCA",$F869)),ISNUMBER(SEARCH("PVC",$F869)),ISNUMBER(SEARCH("vca",$J869)),ISNUMBER(SEARCH("Transformação",$J869))),"VCA",IF(OR(ISNUMBER(SEARCH("crava",$F869)),ISNUMBER(SEARCH("tubo cravado",$F869)),ISNUMBER(SEARCH("shaft",$J869)),ISNUMBER(SEARCH("concreto",$F869))),"TUBO CRAVADO","")))</f>
        <v/>
      </c>
      <c r="T869">
        <f>IF($A869="","",TEXT($A869,"yyyymm")&amp;"|"&amp;$C869&amp;"|"&amp;$F869&amp;"|"&amp;$N869&amp;"|"&amp;$R869)</f>
        <v/>
      </c>
    </row>
    <row r="870" ht="11.55" customHeight="1">
      <c r="A870" s="10" t="n">
        <v>46069</v>
      </c>
      <c r="B870" s="7" t="inlineStr">
        <is>
          <t>Segunda</t>
        </is>
      </c>
      <c r="C870" s="7" t="inlineStr">
        <is>
          <t>CT MAR DE CORAL</t>
        </is>
      </c>
      <c r="D870" s="7" t="inlineStr">
        <is>
          <t>LEANDRO, SILVESTRE e ROBSON</t>
        </is>
      </c>
      <c r="E870" s="7" t="inlineStr">
        <is>
          <t>Edvando</t>
        </is>
      </c>
      <c r="F870" s="13" t="inlineStr">
        <is>
          <t>Transformação PV 30</t>
        </is>
      </c>
      <c r="G870" s="7" t="inlineStr">
        <is>
          <t>30</t>
        </is>
      </c>
      <c r="H870" s="7" t="n"/>
      <c r="I870" s="7" t="inlineStr">
        <is>
          <t>30</t>
        </is>
      </c>
      <c r="J870" s="7" t="inlineStr">
        <is>
          <t>Transformação</t>
        </is>
      </c>
      <c r="K870" s="7" t="inlineStr">
        <is>
          <t>Planejamento</t>
        </is>
      </c>
      <c r="L870" s="16" t="inlineStr">
        <is>
          <t>PDS-Fevereiro(1).docx</t>
        </is>
      </c>
      <c r="M870">
        <f>IF($A870="","",TEXT($A870,"mmmm/yyyy"))</f>
        <v/>
      </c>
      <c r="P870">
        <f>IFERROR(_xludf.XLOOKUP($N870,Base_Enderecos!$A:$A,Base_Enderecos!$B:$B,""),"")</f>
        <v/>
      </c>
      <c r="Q870">
        <f>IFERROR(_xludf.XLOOKUP($N870,Base_Enderecos!$A:$A,Base_Enderecos!$C:$C,""),"")</f>
        <v/>
      </c>
      <c r="R870">
        <f>IF(OR(ISNUMBER(SEARCH("HDD",$F870)),ISNUMBER(SEARCH("MND",$F870)),ISNUMBER(SEARCH("PEAD",$F870)),ISNUMBER(SEARCH("Puxe",$J870)),ISNUMBER(SEARCH("Apoio HDD",$F870))),"MND",IF(OR(ISNUMBER(SEARCH("VCA",$F870)),ISNUMBER(SEARCH("PVC",$F870)),ISNUMBER(SEARCH("vca",$J870)),ISNUMBER(SEARCH("Transformação",$J870))),"VCA",IF(OR(ISNUMBER(SEARCH("crava",$F870)),ISNUMBER(SEARCH("tubo cravado",$F870)),ISNUMBER(SEARCH("shaft",$J870)),ISNUMBER(SEARCH("concreto",$F870))),"TUBO CRAVADO","")))</f>
        <v/>
      </c>
      <c r="T870">
        <f>IF($A870="","",TEXT($A870,"yyyymm")&amp;"|"&amp;$C870&amp;"|"&amp;$F870&amp;"|"&amp;$N870&amp;"|"&amp;$R870)</f>
        <v/>
      </c>
    </row>
    <row r="871" ht="11.55" customHeight="1">
      <c r="A871" s="10" t="n">
        <v>46069</v>
      </c>
      <c r="B871" s="7" t="inlineStr">
        <is>
          <t>Segunda</t>
        </is>
      </c>
      <c r="C871" s="7" t="inlineStr">
        <is>
          <t>CT MAR DE CORAL</t>
        </is>
      </c>
      <c r="D871" s="7" t="inlineStr">
        <is>
          <t>LEANDRO, SILVESTRE e ROBSON</t>
        </is>
      </c>
      <c r="E871" s="7" t="inlineStr">
        <is>
          <t>Valter</t>
        </is>
      </c>
      <c r="F871" s="13" t="inlineStr">
        <is>
          <t>Transformação PV 08</t>
        </is>
      </c>
      <c r="G871" s="7" t="inlineStr">
        <is>
          <t>08</t>
        </is>
      </c>
      <c r="H871" s="7" t="n"/>
      <c r="I871" s="7" t="inlineStr">
        <is>
          <t>08</t>
        </is>
      </c>
      <c r="J871" s="7" t="inlineStr">
        <is>
          <t>Transformação</t>
        </is>
      </c>
      <c r="K871" s="7" t="inlineStr">
        <is>
          <t>Planejamento</t>
        </is>
      </c>
      <c r="L871" s="16" t="inlineStr">
        <is>
          <t>PDS-Fevereiro(1).docx</t>
        </is>
      </c>
      <c r="M871">
        <f>IF($A871="","",TEXT($A871,"mmmm/yyyy"))</f>
        <v/>
      </c>
      <c r="P871">
        <f>IFERROR(_xludf.XLOOKUP($N871,Base_Enderecos!$A:$A,Base_Enderecos!$B:$B,""),"")</f>
        <v/>
      </c>
      <c r="Q871">
        <f>IFERROR(_xludf.XLOOKUP($N871,Base_Enderecos!$A:$A,Base_Enderecos!$C:$C,""),"")</f>
        <v/>
      </c>
      <c r="R871">
        <f>IF(OR(ISNUMBER(SEARCH("HDD",$F871)),ISNUMBER(SEARCH("MND",$F871)),ISNUMBER(SEARCH("PEAD",$F871)),ISNUMBER(SEARCH("Puxe",$J871)),ISNUMBER(SEARCH("Apoio HDD",$F871))),"MND",IF(OR(ISNUMBER(SEARCH("VCA",$F871)),ISNUMBER(SEARCH("PVC",$F871)),ISNUMBER(SEARCH("vca",$J871)),ISNUMBER(SEARCH("Transformação",$J871))),"VCA",IF(OR(ISNUMBER(SEARCH("crava",$F871)),ISNUMBER(SEARCH("tubo cravado",$F871)),ISNUMBER(SEARCH("shaft",$J871)),ISNUMBER(SEARCH("concreto",$F871))),"TUBO CRAVADO","")))</f>
        <v/>
      </c>
      <c r="T871">
        <f>IF($A871="","",TEXT($A871,"yyyymm")&amp;"|"&amp;$C871&amp;"|"&amp;$F871&amp;"|"&amp;$N871&amp;"|"&amp;$R871)</f>
        <v/>
      </c>
    </row>
    <row r="872" ht="11.55" customHeight="1">
      <c r="A872" s="10" t="n">
        <v>46069</v>
      </c>
      <c r="B872" s="7" t="inlineStr">
        <is>
          <t>Segunda</t>
        </is>
      </c>
      <c r="C872" s="7" t="inlineStr">
        <is>
          <t>CT ÁGUA VERMELHA M.D</t>
        </is>
      </c>
      <c r="D872" s="7" t="inlineStr">
        <is>
          <t>CAROLINE e FÁBIO</t>
        </is>
      </c>
      <c r="E872" s="7" t="inlineStr">
        <is>
          <t>Jonathan</t>
        </is>
      </c>
      <c r="F872" s="13" t="inlineStr">
        <is>
          <t>Apoio HDD entre PVD 5 e PV 7</t>
        </is>
      </c>
      <c r="G872" s="7" t="inlineStr">
        <is>
          <t>5</t>
        </is>
      </c>
      <c r="H872" s="7" t="inlineStr">
        <is>
          <t>7</t>
        </is>
      </c>
      <c r="I872" s="7" t="inlineStr">
        <is>
          <t>5, 7</t>
        </is>
      </c>
      <c r="J872" s="7" t="inlineStr">
        <is>
          <t>Apoio HDD</t>
        </is>
      </c>
      <c r="K872" s="7" t="inlineStr">
        <is>
          <t>Planejamento</t>
        </is>
      </c>
      <c r="L872" s="16" t="inlineStr">
        <is>
          <t>PDS-Fevereiro(1).docx</t>
        </is>
      </c>
      <c r="M872">
        <f>IF($A872="","",TEXT($A872,"mmmm/yyyy"))</f>
        <v/>
      </c>
      <c r="P872">
        <f>IFERROR(_xludf.XLOOKUP($N872,Base_Enderecos!$A:$A,Base_Enderecos!$B:$B,""),"")</f>
        <v/>
      </c>
      <c r="Q872">
        <f>IFERROR(_xludf.XLOOKUP($N872,Base_Enderecos!$A:$A,Base_Enderecos!$C:$C,""),"")</f>
        <v/>
      </c>
      <c r="R872">
        <f>IF(OR(ISNUMBER(SEARCH("HDD",$F872)),ISNUMBER(SEARCH("MND",$F872)),ISNUMBER(SEARCH("PEAD",$F872)),ISNUMBER(SEARCH("Puxe",$J872)),ISNUMBER(SEARCH("Apoio HDD",$F872))),"MND",IF(OR(ISNUMBER(SEARCH("VCA",$F872)),ISNUMBER(SEARCH("PVC",$F872)),ISNUMBER(SEARCH("vca",$J872)),ISNUMBER(SEARCH("Transformação",$J872))),"VCA",IF(OR(ISNUMBER(SEARCH("crava",$F872)),ISNUMBER(SEARCH("tubo cravado",$F872)),ISNUMBER(SEARCH("shaft",$J872)),ISNUMBER(SEARCH("concreto",$F872))),"TUBO CRAVADO","")))</f>
        <v/>
      </c>
      <c r="T872">
        <f>IF($A872="","",TEXT($A872,"yyyymm")&amp;"|"&amp;$C872&amp;"|"&amp;$F872&amp;"|"&amp;$N872&amp;"|"&amp;$R872)</f>
        <v/>
      </c>
    </row>
    <row r="873" ht="11.55" customHeight="1">
      <c r="A873" s="10" t="n">
        <v>46069</v>
      </c>
      <c r="B873" s="7" t="inlineStr">
        <is>
          <t>Segunda</t>
        </is>
      </c>
      <c r="C873" s="7" t="inlineStr">
        <is>
          <t>CT ÁGUA VERMELHA M.D</t>
        </is>
      </c>
      <c r="D873" s="7" t="inlineStr">
        <is>
          <t>CAROLINE e FÁBIO</t>
        </is>
      </c>
      <c r="E873" s="7" t="inlineStr">
        <is>
          <t>WJ 02</t>
        </is>
      </c>
      <c r="F873" s="13" t="inlineStr">
        <is>
          <t>Piloto e Puxe PVD 5 e PVD 7</t>
        </is>
      </c>
      <c r="G873" s="7" t="inlineStr">
        <is>
          <t>5</t>
        </is>
      </c>
      <c r="H873" s="7" t="inlineStr">
        <is>
          <t>7</t>
        </is>
      </c>
      <c r="I873" s="7" t="inlineStr">
        <is>
          <t>5, 7</t>
        </is>
      </c>
      <c r="J873" s="7" t="inlineStr">
        <is>
          <t>Piloto e puxe</t>
        </is>
      </c>
      <c r="K873" s="7" t="inlineStr">
        <is>
          <t>Planejamento</t>
        </is>
      </c>
      <c r="L873" s="16" t="inlineStr">
        <is>
          <t>PDS-Fevereiro(1).docx</t>
        </is>
      </c>
      <c r="M873">
        <f>IF($A873="","",TEXT($A873,"mmmm/yyyy"))</f>
        <v/>
      </c>
      <c r="P873">
        <f>IFERROR(_xludf.XLOOKUP($N873,Base_Enderecos!$A:$A,Base_Enderecos!$B:$B,""),"")</f>
        <v/>
      </c>
      <c r="Q873">
        <f>IFERROR(_xludf.XLOOKUP($N873,Base_Enderecos!$A:$A,Base_Enderecos!$C:$C,""),"")</f>
        <v/>
      </c>
      <c r="R873">
        <f>IF(OR(ISNUMBER(SEARCH("HDD",$F873)),ISNUMBER(SEARCH("MND",$F873)),ISNUMBER(SEARCH("PEAD",$F873)),ISNUMBER(SEARCH("Puxe",$J873)),ISNUMBER(SEARCH("Apoio HDD",$F873))),"MND",IF(OR(ISNUMBER(SEARCH("VCA",$F873)),ISNUMBER(SEARCH("PVC",$F873)),ISNUMBER(SEARCH("vca",$J873)),ISNUMBER(SEARCH("Transformação",$J873))),"VCA",IF(OR(ISNUMBER(SEARCH("crava",$F873)),ISNUMBER(SEARCH("tubo cravado",$F873)),ISNUMBER(SEARCH("shaft",$J873)),ISNUMBER(SEARCH("concreto",$F873))),"TUBO CRAVADO","")))</f>
        <v/>
      </c>
      <c r="T873">
        <f>IF($A873="","",TEXT($A873,"yyyymm")&amp;"|"&amp;$C873&amp;"|"&amp;$F873&amp;"|"&amp;$N873&amp;"|"&amp;$R873)</f>
        <v/>
      </c>
    </row>
    <row r="874" ht="11.55" customHeight="1">
      <c r="A874" s="10" t="n">
        <v>46069</v>
      </c>
      <c r="B874" s="7" t="inlineStr">
        <is>
          <t>Segunda</t>
        </is>
      </c>
      <c r="C874" s="7" t="inlineStr">
        <is>
          <t>CT ÁGUA VERMELHA M.D</t>
        </is>
      </c>
      <c r="D874" s="7" t="inlineStr">
        <is>
          <t>CAROLINE e FÁBIO</t>
        </is>
      </c>
      <c r="E874" s="7" t="inlineStr">
        <is>
          <t>Marcelo</t>
        </is>
      </c>
      <c r="F874" s="13" t="inlineStr">
        <is>
          <t>Transformação PVD 3</t>
        </is>
      </c>
      <c r="G874" s="7" t="inlineStr">
        <is>
          <t>3</t>
        </is>
      </c>
      <c r="H874" s="7" t="n"/>
      <c r="I874" s="7" t="inlineStr">
        <is>
          <t>3</t>
        </is>
      </c>
      <c r="J874" s="7" t="inlineStr">
        <is>
          <t>Transformação</t>
        </is>
      </c>
      <c r="K874" s="7" t="inlineStr">
        <is>
          <t>Planejamento</t>
        </is>
      </c>
      <c r="L874" s="16" t="inlineStr">
        <is>
          <t>PDS-Fevereiro(1).docx</t>
        </is>
      </c>
      <c r="M874">
        <f>IF($A874="","",TEXT($A874,"mmmm/yyyy"))</f>
        <v/>
      </c>
      <c r="P874">
        <f>IFERROR(_xludf.XLOOKUP($N874,Base_Enderecos!$A:$A,Base_Enderecos!$B:$B,""),"")</f>
        <v/>
      </c>
      <c r="Q874">
        <f>IFERROR(_xludf.XLOOKUP($N874,Base_Enderecos!$A:$A,Base_Enderecos!$C:$C,""),"")</f>
        <v/>
      </c>
      <c r="R874">
        <f>IF(OR(ISNUMBER(SEARCH("HDD",$F874)),ISNUMBER(SEARCH("MND",$F874)),ISNUMBER(SEARCH("PEAD",$F874)),ISNUMBER(SEARCH("Puxe",$J874)),ISNUMBER(SEARCH("Apoio HDD",$F874))),"MND",IF(OR(ISNUMBER(SEARCH("VCA",$F874)),ISNUMBER(SEARCH("PVC",$F874)),ISNUMBER(SEARCH("vca",$J874)),ISNUMBER(SEARCH("Transformação",$J874))),"VCA",IF(OR(ISNUMBER(SEARCH("crava",$F874)),ISNUMBER(SEARCH("tubo cravado",$F874)),ISNUMBER(SEARCH("shaft",$J874)),ISNUMBER(SEARCH("concreto",$F874))),"TUBO CRAVADO","")))</f>
        <v/>
      </c>
      <c r="T874">
        <f>IF($A874="","",TEXT($A874,"yyyymm")&amp;"|"&amp;$C874&amp;"|"&amp;$F874&amp;"|"&amp;$N874&amp;"|"&amp;$R874)</f>
        <v/>
      </c>
    </row>
    <row r="875" ht="11.55" customHeight="1">
      <c r="A875" s="10" t="n">
        <v>46069</v>
      </c>
      <c r="B875" s="7" t="inlineStr">
        <is>
          <t>Segunda</t>
        </is>
      </c>
      <c r="C875" s="7" t="inlineStr">
        <is>
          <t>CT ÁGUA VERMELHA M.D</t>
        </is>
      </c>
      <c r="D875" s="7" t="inlineStr">
        <is>
          <t>CAROLINE e FÁBIO</t>
        </is>
      </c>
      <c r="E875" s="7" t="inlineStr">
        <is>
          <t>Cesar</t>
        </is>
      </c>
      <c r="F875" s="13" t="inlineStr">
        <is>
          <t>Shaft PVD 10</t>
        </is>
      </c>
      <c r="G875" s="7" t="inlineStr">
        <is>
          <t>10</t>
        </is>
      </c>
      <c r="H875" s="7" t="n"/>
      <c r="I875" s="7" t="inlineStr">
        <is>
          <t>10</t>
        </is>
      </c>
      <c r="J875" s="7" t="inlineStr">
        <is>
          <t>Shaft</t>
        </is>
      </c>
      <c r="K875" s="7" t="inlineStr">
        <is>
          <t>Planejamento</t>
        </is>
      </c>
      <c r="L875" s="16" t="inlineStr">
        <is>
          <t>PDS-Fevereiro(1).docx</t>
        </is>
      </c>
      <c r="M875">
        <f>IF($A875="","",TEXT($A875,"mmmm/yyyy"))</f>
        <v/>
      </c>
      <c r="P875">
        <f>IFERROR(_xludf.XLOOKUP($N875,Base_Enderecos!$A:$A,Base_Enderecos!$B:$B,""),"")</f>
        <v/>
      </c>
      <c r="Q875">
        <f>IFERROR(_xludf.XLOOKUP($N875,Base_Enderecos!$A:$A,Base_Enderecos!$C:$C,""),"")</f>
        <v/>
      </c>
      <c r="R875">
        <f>IF(OR(ISNUMBER(SEARCH("HDD",$F875)),ISNUMBER(SEARCH("MND",$F875)),ISNUMBER(SEARCH("PEAD",$F875)),ISNUMBER(SEARCH("Puxe",$J875)),ISNUMBER(SEARCH("Apoio HDD",$F875))),"MND",IF(OR(ISNUMBER(SEARCH("VCA",$F875)),ISNUMBER(SEARCH("PVC",$F875)),ISNUMBER(SEARCH("vca",$J875)),ISNUMBER(SEARCH("Transformação",$J875))),"VCA",IF(OR(ISNUMBER(SEARCH("crava",$F875)),ISNUMBER(SEARCH("tubo cravado",$F875)),ISNUMBER(SEARCH("shaft",$J875)),ISNUMBER(SEARCH("concreto",$F875))),"TUBO CRAVADO","")))</f>
        <v/>
      </c>
      <c r="T875">
        <f>IF($A875="","",TEXT($A875,"yyyymm")&amp;"|"&amp;$C875&amp;"|"&amp;$F875&amp;"|"&amp;$N875&amp;"|"&amp;$R875)</f>
        <v/>
      </c>
    </row>
    <row r="876" ht="11.55" customHeight="1">
      <c r="A876" s="10" t="n">
        <v>46069</v>
      </c>
      <c r="B876" s="7" t="inlineStr">
        <is>
          <t>Segunda</t>
        </is>
      </c>
      <c r="C876" s="7" t="inlineStr">
        <is>
          <t>CT ÁGUA VERMELHA M.E– Valmir e Eloizio</t>
        </is>
      </c>
      <c r="D876" s="7" t="n"/>
      <c r="E876" s="7" t="inlineStr">
        <is>
          <t>WJ 01</t>
        </is>
      </c>
      <c r="F876" s="13" t="inlineStr">
        <is>
          <t>Piloto e Puxe PVD 7 e PVD 05</t>
        </is>
      </c>
      <c r="G876" s="7" t="inlineStr">
        <is>
          <t>7</t>
        </is>
      </c>
      <c r="H876" s="7" t="inlineStr">
        <is>
          <t>05</t>
        </is>
      </c>
      <c r="I876" s="7" t="inlineStr">
        <is>
          <t>7, 05</t>
        </is>
      </c>
      <c r="J876" s="7" t="inlineStr">
        <is>
          <t>Piloto e puxe</t>
        </is>
      </c>
      <c r="K876" s="7" t="inlineStr">
        <is>
          <t>Planejamento</t>
        </is>
      </c>
      <c r="L876" s="16" t="inlineStr">
        <is>
          <t>PDS-Fevereiro(1).docx</t>
        </is>
      </c>
      <c r="M876">
        <f>IF($A876="","",TEXT($A876,"mmmm/yyyy"))</f>
        <v/>
      </c>
      <c r="P876">
        <f>IFERROR(_xludf.XLOOKUP($N876,Base_Enderecos!$A:$A,Base_Enderecos!$B:$B,""),"")</f>
        <v/>
      </c>
      <c r="Q876">
        <f>IFERROR(_xludf.XLOOKUP($N876,Base_Enderecos!$A:$A,Base_Enderecos!$C:$C,""),"")</f>
        <v/>
      </c>
      <c r="R876">
        <f>IF(OR(ISNUMBER(SEARCH("HDD",$F876)),ISNUMBER(SEARCH("MND",$F876)),ISNUMBER(SEARCH("PEAD",$F876)),ISNUMBER(SEARCH("Puxe",$J876)),ISNUMBER(SEARCH("Apoio HDD",$F876))),"MND",IF(OR(ISNUMBER(SEARCH("VCA",$F876)),ISNUMBER(SEARCH("PVC",$F876)),ISNUMBER(SEARCH("vca",$J876)),ISNUMBER(SEARCH("Transformação",$J876))),"VCA",IF(OR(ISNUMBER(SEARCH("crava",$F876)),ISNUMBER(SEARCH("tubo cravado",$F876)),ISNUMBER(SEARCH("shaft",$J876)),ISNUMBER(SEARCH("concreto",$F876))),"TUBO CRAVADO","")))</f>
        <v/>
      </c>
      <c r="T876">
        <f>IF($A876="","",TEXT($A876,"yyyymm")&amp;"|"&amp;$C876&amp;"|"&amp;$F876&amp;"|"&amp;$N876&amp;"|"&amp;$R876)</f>
        <v/>
      </c>
    </row>
    <row r="877" ht="11.55" customHeight="1">
      <c r="A877" s="10" t="n">
        <v>46069</v>
      </c>
      <c r="B877" s="7" t="inlineStr">
        <is>
          <t>Segunda</t>
        </is>
      </c>
      <c r="C877" s="7" t="inlineStr">
        <is>
          <t>CT ÁGUA VERMELHA M.E– Valmir e Eloizio</t>
        </is>
      </c>
      <c r="D877" s="7" t="n"/>
      <c r="E877" s="7" t="inlineStr">
        <is>
          <t>Natalino</t>
        </is>
      </c>
      <c r="F877" s="13" t="inlineStr">
        <is>
          <t>Apoio HDD PVE 7 ao 05</t>
        </is>
      </c>
      <c r="G877" s="7" t="inlineStr">
        <is>
          <t>7</t>
        </is>
      </c>
      <c r="H877" s="7" t="n"/>
      <c r="I877" s="7" t="inlineStr">
        <is>
          <t>7</t>
        </is>
      </c>
      <c r="J877" s="7" t="inlineStr">
        <is>
          <t>Apoio HDD</t>
        </is>
      </c>
      <c r="K877" s="7" t="inlineStr">
        <is>
          <t>Planejamento</t>
        </is>
      </c>
      <c r="L877" s="16" t="inlineStr">
        <is>
          <t>PDS-Fevereiro(1).docx</t>
        </is>
      </c>
      <c r="M877">
        <f>IF($A877="","",TEXT($A877,"mmmm/yyyy"))</f>
        <v/>
      </c>
      <c r="P877">
        <f>IFERROR(_xludf.XLOOKUP($N877,Base_Enderecos!$A:$A,Base_Enderecos!$B:$B,""),"")</f>
        <v/>
      </c>
      <c r="Q877">
        <f>IFERROR(_xludf.XLOOKUP($N877,Base_Enderecos!$A:$A,Base_Enderecos!$C:$C,""),"")</f>
        <v/>
      </c>
      <c r="R877">
        <f>IF(OR(ISNUMBER(SEARCH("HDD",$F877)),ISNUMBER(SEARCH("MND",$F877)),ISNUMBER(SEARCH("PEAD",$F877)),ISNUMBER(SEARCH("Puxe",$J877)),ISNUMBER(SEARCH("Apoio HDD",$F877))),"MND",IF(OR(ISNUMBER(SEARCH("VCA",$F877)),ISNUMBER(SEARCH("PVC",$F877)),ISNUMBER(SEARCH("vca",$J877)),ISNUMBER(SEARCH("Transformação",$J877))),"VCA",IF(OR(ISNUMBER(SEARCH("crava",$F877)),ISNUMBER(SEARCH("tubo cravado",$F877)),ISNUMBER(SEARCH("shaft",$J877)),ISNUMBER(SEARCH("concreto",$F877))),"TUBO CRAVADO","")))</f>
        <v/>
      </c>
      <c r="T877">
        <f>IF($A877="","",TEXT($A877,"yyyymm")&amp;"|"&amp;$C877&amp;"|"&amp;$F877&amp;"|"&amp;$N877&amp;"|"&amp;$R877)</f>
        <v/>
      </c>
    </row>
    <row r="878" ht="11.55" customHeight="1">
      <c r="A878" s="10" t="n">
        <v>46069</v>
      </c>
      <c r="B878" s="7" t="inlineStr">
        <is>
          <t>Segunda</t>
        </is>
      </c>
      <c r="C878" s="7" t="inlineStr">
        <is>
          <t>CT ÁGUA VERMELHA M.E– Valmir e Eloizio</t>
        </is>
      </c>
      <c r="D878" s="7" t="n"/>
      <c r="E878" s="7" t="inlineStr">
        <is>
          <t>Higor</t>
        </is>
      </c>
      <c r="F878" s="13" t="inlineStr">
        <is>
          <t>Transformação PVE 01</t>
        </is>
      </c>
      <c r="G878" s="7" t="inlineStr">
        <is>
          <t>01</t>
        </is>
      </c>
      <c r="H878" s="7" t="n"/>
      <c r="I878" s="7" t="inlineStr">
        <is>
          <t>01</t>
        </is>
      </c>
      <c r="J878" s="7" t="inlineStr">
        <is>
          <t>Transformação</t>
        </is>
      </c>
      <c r="K878" s="7" t="inlineStr">
        <is>
          <t>Planejamento</t>
        </is>
      </c>
      <c r="L878" s="16" t="inlineStr">
        <is>
          <t>PDS-Fevereiro(1).docx</t>
        </is>
      </c>
      <c r="M878">
        <f>IF($A878="","",TEXT($A878,"mmmm/yyyy"))</f>
        <v/>
      </c>
      <c r="P878">
        <f>IFERROR(_xludf.XLOOKUP($N878,Base_Enderecos!$A:$A,Base_Enderecos!$B:$B,""),"")</f>
        <v/>
      </c>
      <c r="Q878">
        <f>IFERROR(_xludf.XLOOKUP($N878,Base_Enderecos!$A:$A,Base_Enderecos!$C:$C,""),"")</f>
        <v/>
      </c>
      <c r="R878">
        <f>IF(OR(ISNUMBER(SEARCH("HDD",$F878)),ISNUMBER(SEARCH("MND",$F878)),ISNUMBER(SEARCH("PEAD",$F878)),ISNUMBER(SEARCH("Puxe",$J878)),ISNUMBER(SEARCH("Apoio HDD",$F878))),"MND",IF(OR(ISNUMBER(SEARCH("VCA",$F878)),ISNUMBER(SEARCH("PVC",$F878)),ISNUMBER(SEARCH("vca",$J878)),ISNUMBER(SEARCH("Transformação",$J878))),"VCA",IF(OR(ISNUMBER(SEARCH("crava",$F878)),ISNUMBER(SEARCH("tubo cravado",$F878)),ISNUMBER(SEARCH("shaft",$J878)),ISNUMBER(SEARCH("concreto",$F878))),"TUBO CRAVADO","")))</f>
        <v/>
      </c>
      <c r="T878">
        <f>IF($A878="","",TEXT($A878,"yyyymm")&amp;"|"&amp;$C878&amp;"|"&amp;$F878&amp;"|"&amp;$N878&amp;"|"&amp;$R878)</f>
        <v/>
      </c>
    </row>
    <row r="879" ht="11.55" customHeight="1">
      <c r="A879" s="10" t="n">
        <v>46069</v>
      </c>
      <c r="B879" s="7" t="inlineStr">
        <is>
          <t>Segunda</t>
        </is>
      </c>
      <c r="C879" s="7" t="inlineStr">
        <is>
          <t>CT ÁGUA VERMELHA M.E– Valmir e Eloizio</t>
        </is>
      </c>
      <c r="D879" s="7" t="n"/>
      <c r="E879" s="7" t="inlineStr">
        <is>
          <t>Cidão</t>
        </is>
      </c>
      <c r="F879" s="13" t="inlineStr">
        <is>
          <t>Transformação PVE 5</t>
        </is>
      </c>
      <c r="G879" s="7" t="inlineStr">
        <is>
          <t>5</t>
        </is>
      </c>
      <c r="H879" s="7" t="n"/>
      <c r="I879" s="7" t="inlineStr">
        <is>
          <t>5</t>
        </is>
      </c>
      <c r="J879" s="7" t="inlineStr">
        <is>
          <t>Transformação</t>
        </is>
      </c>
      <c r="K879" s="7" t="inlineStr">
        <is>
          <t>Planejamento</t>
        </is>
      </c>
      <c r="L879" s="16" t="inlineStr">
        <is>
          <t>PDS-Fevereiro(1).docx</t>
        </is>
      </c>
      <c r="M879">
        <f>IF($A879="","",TEXT($A879,"mmmm/yyyy"))</f>
        <v/>
      </c>
      <c r="P879">
        <f>IFERROR(_xludf.XLOOKUP($N879,Base_Enderecos!$A:$A,Base_Enderecos!$B:$B,""),"")</f>
        <v/>
      </c>
      <c r="Q879">
        <f>IFERROR(_xludf.XLOOKUP($N879,Base_Enderecos!$A:$A,Base_Enderecos!$C:$C,""),"")</f>
        <v/>
      </c>
      <c r="R879">
        <f>IF(OR(ISNUMBER(SEARCH("HDD",$F879)),ISNUMBER(SEARCH("MND",$F879)),ISNUMBER(SEARCH("PEAD",$F879)),ISNUMBER(SEARCH("Puxe",$J879)),ISNUMBER(SEARCH("Apoio HDD",$F879))),"MND",IF(OR(ISNUMBER(SEARCH("VCA",$F879)),ISNUMBER(SEARCH("PVC",$F879)),ISNUMBER(SEARCH("vca",$J879)),ISNUMBER(SEARCH("Transformação",$J879))),"VCA",IF(OR(ISNUMBER(SEARCH("crava",$F879)),ISNUMBER(SEARCH("tubo cravado",$F879)),ISNUMBER(SEARCH("shaft",$J879)),ISNUMBER(SEARCH("concreto",$F879))),"TUBO CRAVADO","")))</f>
        <v/>
      </c>
      <c r="T879">
        <f>IF($A879="","",TEXT($A879,"yyyymm")&amp;"|"&amp;$C879&amp;"|"&amp;$F879&amp;"|"&amp;$N879&amp;"|"&amp;$R879)</f>
        <v/>
      </c>
    </row>
    <row r="880" ht="11.55" customHeight="1">
      <c r="A880" s="10" t="n">
        <v>46069</v>
      </c>
      <c r="B880" s="7" t="inlineStr">
        <is>
          <t>Segunda</t>
        </is>
      </c>
      <c r="C880" s="7" t="inlineStr">
        <is>
          <t>Vacal</t>
        </is>
      </c>
      <c r="D880" s="7" t="n"/>
      <c r="E880" s="7" t="inlineStr">
        <is>
          <t>Água Vermelha</t>
        </is>
      </c>
      <c r="F880" s="13" t="inlineStr">
        <is>
          <t>Apoio Vacal</t>
        </is>
      </c>
      <c r="G880" s="7" t="n"/>
      <c r="H880" s="7" t="n"/>
      <c r="I880" s="7" t="n"/>
      <c r="J880" s="7" t="inlineStr">
        <is>
          <t>Vacal</t>
        </is>
      </c>
      <c r="K880" s="7" t="inlineStr">
        <is>
          <t>Apoio</t>
        </is>
      </c>
      <c r="L880" s="16" t="inlineStr">
        <is>
          <t>PDS-Fevereiro(1).docx</t>
        </is>
      </c>
      <c r="M880">
        <f>IF($A880="","",TEXT($A880,"mmmm/yyyy"))</f>
        <v/>
      </c>
      <c r="P880">
        <f>IFERROR(_xludf.XLOOKUP($N880,Base_Enderecos!$A:$A,Base_Enderecos!$B:$B,""),"")</f>
        <v/>
      </c>
      <c r="Q880">
        <f>IFERROR(_xludf.XLOOKUP($N880,Base_Enderecos!$A:$A,Base_Enderecos!$C:$C,""),"")</f>
        <v/>
      </c>
      <c r="R880">
        <f>IF(OR(ISNUMBER(SEARCH("HDD",$F880)),ISNUMBER(SEARCH("MND",$F880)),ISNUMBER(SEARCH("PEAD",$F880)),ISNUMBER(SEARCH("Puxe",$J880)),ISNUMBER(SEARCH("Apoio HDD",$F880))),"MND",IF(OR(ISNUMBER(SEARCH("VCA",$F880)),ISNUMBER(SEARCH("PVC",$F880)),ISNUMBER(SEARCH("vca",$J880)),ISNUMBER(SEARCH("Transformação",$J880))),"VCA",IF(OR(ISNUMBER(SEARCH("crava",$F880)),ISNUMBER(SEARCH("tubo cravado",$F880)),ISNUMBER(SEARCH("shaft",$J880)),ISNUMBER(SEARCH("concreto",$F880))),"TUBO CRAVADO","")))</f>
        <v/>
      </c>
      <c r="T880">
        <f>IF($A880="","",TEXT($A880,"yyyymm")&amp;"|"&amp;$C880&amp;"|"&amp;$F880&amp;"|"&amp;$N880&amp;"|"&amp;$R880)</f>
        <v/>
      </c>
    </row>
    <row r="881" ht="11.55" customHeight="1">
      <c r="A881" s="10" t="n">
        <v>46069</v>
      </c>
      <c r="B881" s="7" t="inlineStr">
        <is>
          <t>Segunda</t>
        </is>
      </c>
      <c r="C881" s="7" t="inlineStr">
        <is>
          <t>Vacal</t>
        </is>
      </c>
      <c r="D881" s="7" t="n"/>
      <c r="E881" s="7" t="inlineStr">
        <is>
          <t>Água Vermelha</t>
        </is>
      </c>
      <c r="F881" s="13" t="inlineStr">
        <is>
          <t>Apoio Vacal</t>
        </is>
      </c>
      <c r="G881" s="7" t="n"/>
      <c r="H881" s="7" t="n"/>
      <c r="I881" s="7" t="n"/>
      <c r="J881" s="7" t="inlineStr">
        <is>
          <t>Vacal</t>
        </is>
      </c>
      <c r="K881" s="7" t="inlineStr">
        <is>
          <t>Apoio</t>
        </is>
      </c>
      <c r="L881" s="16" t="inlineStr">
        <is>
          <t>PDS-Fevereiro(1).docx</t>
        </is>
      </c>
      <c r="M881">
        <f>IF($A881="","",TEXT($A881,"mmmm/yyyy"))</f>
        <v/>
      </c>
      <c r="P881">
        <f>IFERROR(_xludf.XLOOKUP($N881,Base_Enderecos!$A:$A,Base_Enderecos!$B:$B,""),"")</f>
        <v/>
      </c>
      <c r="Q881">
        <f>IFERROR(_xludf.XLOOKUP($N881,Base_Enderecos!$A:$A,Base_Enderecos!$C:$C,""),"")</f>
        <v/>
      </c>
      <c r="R881">
        <f>IF(OR(ISNUMBER(SEARCH("HDD",$F881)),ISNUMBER(SEARCH("MND",$F881)),ISNUMBER(SEARCH("PEAD",$F881)),ISNUMBER(SEARCH("Puxe",$J881)),ISNUMBER(SEARCH("Apoio HDD",$F881))),"MND",IF(OR(ISNUMBER(SEARCH("VCA",$F881)),ISNUMBER(SEARCH("PVC",$F881)),ISNUMBER(SEARCH("vca",$J881)),ISNUMBER(SEARCH("Transformação",$J881))),"VCA",IF(OR(ISNUMBER(SEARCH("crava",$F881)),ISNUMBER(SEARCH("tubo cravado",$F881)),ISNUMBER(SEARCH("shaft",$J881)),ISNUMBER(SEARCH("concreto",$F881))),"TUBO CRAVADO","")))</f>
        <v/>
      </c>
      <c r="T881">
        <f>IF($A881="","",TEXT($A881,"yyyymm")&amp;"|"&amp;$C881&amp;"|"&amp;$F881&amp;"|"&amp;$N881&amp;"|"&amp;$R881)</f>
        <v/>
      </c>
    </row>
    <row r="882" ht="11.55" customHeight="1">
      <c r="A882" s="10" t="n">
        <v>46069</v>
      </c>
      <c r="B882" s="7" t="inlineStr">
        <is>
          <t>Segunda</t>
        </is>
      </c>
      <c r="C882" s="7" t="inlineStr">
        <is>
          <t>Vacal</t>
        </is>
      </c>
      <c r="D882" s="7" t="n"/>
      <c r="E882" s="7" t="inlineStr">
        <is>
          <t>Mar de Coral</t>
        </is>
      </c>
      <c r="F882" s="13" t="inlineStr">
        <is>
          <t>Apoio Vacal</t>
        </is>
      </c>
      <c r="G882" s="7" t="n"/>
      <c r="H882" s="7" t="n"/>
      <c r="I882" s="7" t="n"/>
      <c r="J882" s="7" t="inlineStr">
        <is>
          <t>Vacal</t>
        </is>
      </c>
      <c r="K882" s="7" t="inlineStr">
        <is>
          <t>Apoio</t>
        </is>
      </c>
      <c r="L882" s="16" t="inlineStr">
        <is>
          <t>PDS-Fevereiro(1).docx</t>
        </is>
      </c>
      <c r="M882">
        <f>IF($A882="","",TEXT($A882,"mmmm/yyyy"))</f>
        <v/>
      </c>
      <c r="P882">
        <f>IFERROR(_xludf.XLOOKUP($N882,Base_Enderecos!$A:$A,Base_Enderecos!$B:$B,""),"")</f>
        <v/>
      </c>
      <c r="Q882">
        <f>IFERROR(_xludf.XLOOKUP($N882,Base_Enderecos!$A:$A,Base_Enderecos!$C:$C,""),"")</f>
        <v/>
      </c>
      <c r="R882">
        <f>IF(OR(ISNUMBER(SEARCH("HDD",$F882)),ISNUMBER(SEARCH("MND",$F882)),ISNUMBER(SEARCH("PEAD",$F882)),ISNUMBER(SEARCH("Puxe",$J882)),ISNUMBER(SEARCH("Apoio HDD",$F882))),"MND",IF(OR(ISNUMBER(SEARCH("VCA",$F882)),ISNUMBER(SEARCH("PVC",$F882)),ISNUMBER(SEARCH("vca",$J882)),ISNUMBER(SEARCH("Transformação",$J882))),"VCA",IF(OR(ISNUMBER(SEARCH("crava",$F882)),ISNUMBER(SEARCH("tubo cravado",$F882)),ISNUMBER(SEARCH("shaft",$J882)),ISNUMBER(SEARCH("concreto",$F882))),"TUBO CRAVADO","")))</f>
        <v/>
      </c>
      <c r="T882">
        <f>IF($A882="","",TEXT($A882,"yyyymm")&amp;"|"&amp;$C882&amp;"|"&amp;$F882&amp;"|"&amp;$N882&amp;"|"&amp;$R882)</f>
        <v/>
      </c>
    </row>
    <row r="883" ht="11.55" customHeight="1">
      <c r="A883" s="10" t="n">
        <v>46069</v>
      </c>
      <c r="B883" s="7" t="inlineStr">
        <is>
          <t>Segunda</t>
        </is>
      </c>
      <c r="C883" s="7" t="inlineStr">
        <is>
          <t>Guindauto</t>
        </is>
      </c>
      <c r="D883" s="7" t="n"/>
      <c r="E883" s="7" t="inlineStr">
        <is>
          <t>Rodrigo</t>
        </is>
      </c>
      <c r="F883" s="13" t="inlineStr">
        <is>
          <t>Rodrigo - Apoio as equipes</t>
        </is>
      </c>
      <c r="G883" s="7" t="n"/>
      <c r="H883" s="7" t="n"/>
      <c r="I883" s="7" t="n"/>
      <c r="J883" s="7" t="inlineStr">
        <is>
          <t>Guindauto</t>
        </is>
      </c>
      <c r="K883" s="7" t="inlineStr">
        <is>
          <t>Apoio</t>
        </is>
      </c>
      <c r="L883" s="16" t="inlineStr">
        <is>
          <t>PDS-Fevereiro(1).docx</t>
        </is>
      </c>
      <c r="M883">
        <f>IF($A883="","",TEXT($A883,"mmmm/yyyy"))</f>
        <v/>
      </c>
      <c r="P883">
        <f>IFERROR(_xludf.XLOOKUP($N883,Base_Enderecos!$A:$A,Base_Enderecos!$B:$B,""),"")</f>
        <v/>
      </c>
      <c r="Q883">
        <f>IFERROR(_xludf.XLOOKUP($N883,Base_Enderecos!$A:$A,Base_Enderecos!$C:$C,""),"")</f>
        <v/>
      </c>
      <c r="R883">
        <f>IF(OR(ISNUMBER(SEARCH("HDD",$F883)),ISNUMBER(SEARCH("MND",$F883)),ISNUMBER(SEARCH("PEAD",$F883)),ISNUMBER(SEARCH("Puxe",$J883)),ISNUMBER(SEARCH("Apoio HDD",$F883))),"MND",IF(OR(ISNUMBER(SEARCH("VCA",$F883)),ISNUMBER(SEARCH("PVC",$F883)),ISNUMBER(SEARCH("vca",$J883)),ISNUMBER(SEARCH("Transformação",$J883))),"VCA",IF(OR(ISNUMBER(SEARCH("crava",$F883)),ISNUMBER(SEARCH("tubo cravado",$F883)),ISNUMBER(SEARCH("shaft",$J883)),ISNUMBER(SEARCH("concreto",$F883))),"TUBO CRAVADO","")))</f>
        <v/>
      </c>
      <c r="T883">
        <f>IF($A883="","",TEXT($A883,"yyyymm")&amp;"|"&amp;$C883&amp;"|"&amp;$F883&amp;"|"&amp;$N883&amp;"|"&amp;$R883)</f>
        <v/>
      </c>
    </row>
    <row r="884" ht="11.55" customHeight="1">
      <c r="A884" s="10" t="n">
        <v>46069</v>
      </c>
      <c r="B884" s="7" t="inlineStr">
        <is>
          <t>Segunda</t>
        </is>
      </c>
      <c r="C884" s="7" t="inlineStr">
        <is>
          <t>Guindauto</t>
        </is>
      </c>
      <c r="D884" s="7" t="n"/>
      <c r="E884" s="7" t="inlineStr">
        <is>
          <t>Marcio</t>
        </is>
      </c>
      <c r="F884" s="13" t="inlineStr">
        <is>
          <t>Marcio - Apoio as equipes</t>
        </is>
      </c>
      <c r="G884" s="7" t="n"/>
      <c r="H884" s="7" t="n"/>
      <c r="I884" s="7" t="n"/>
      <c r="J884" s="7" t="inlineStr">
        <is>
          <t>Guindauto</t>
        </is>
      </c>
      <c r="K884" s="7" t="inlineStr">
        <is>
          <t>Apoio</t>
        </is>
      </c>
      <c r="L884" s="16" t="inlineStr">
        <is>
          <t>PDS-Fevereiro(1).docx</t>
        </is>
      </c>
      <c r="M884">
        <f>IF($A884="","",TEXT($A884,"mmmm/yyyy"))</f>
        <v/>
      </c>
      <c r="P884">
        <f>IFERROR(_xludf.XLOOKUP($N884,Base_Enderecos!$A:$A,Base_Enderecos!$B:$B,""),"")</f>
        <v/>
      </c>
      <c r="Q884">
        <f>IFERROR(_xludf.XLOOKUP($N884,Base_Enderecos!$A:$A,Base_Enderecos!$C:$C,""),"")</f>
        <v/>
      </c>
      <c r="R884">
        <f>IF(OR(ISNUMBER(SEARCH("HDD",$F884)),ISNUMBER(SEARCH("MND",$F884)),ISNUMBER(SEARCH("PEAD",$F884)),ISNUMBER(SEARCH("Puxe",$J884)),ISNUMBER(SEARCH("Apoio HDD",$F884))),"MND",IF(OR(ISNUMBER(SEARCH("VCA",$F884)),ISNUMBER(SEARCH("PVC",$F884)),ISNUMBER(SEARCH("vca",$J884)),ISNUMBER(SEARCH("Transformação",$J884))),"VCA",IF(OR(ISNUMBER(SEARCH("crava",$F884)),ISNUMBER(SEARCH("tubo cravado",$F884)),ISNUMBER(SEARCH("shaft",$J884)),ISNUMBER(SEARCH("concreto",$F884))),"TUBO CRAVADO","")))</f>
        <v/>
      </c>
      <c r="T884">
        <f>IF($A884="","",TEXT($A884,"yyyymm")&amp;"|"&amp;$C884&amp;"|"&amp;$F884&amp;"|"&amp;$N884&amp;"|"&amp;$R884)</f>
        <v/>
      </c>
    </row>
    <row r="885" ht="11.55" customHeight="1">
      <c r="A885" s="10" t="n">
        <v>46071</v>
      </c>
      <c r="B885" s="7" t="inlineStr">
        <is>
          <t>Quarta</t>
        </is>
      </c>
      <c r="C885" s="7" t="inlineStr">
        <is>
          <t>CT MAR DE CORAL</t>
        </is>
      </c>
      <c r="D885" s="7" t="inlineStr">
        <is>
          <t>LEANDRO, SILVESTRE e ROBSON</t>
        </is>
      </c>
      <c r="E885" s="7" t="inlineStr">
        <is>
          <t>Carlos</t>
        </is>
      </c>
      <c r="F885" s="13" t="inlineStr">
        <is>
          <t>Reparo Ramal Esgoto Cond Omega3</t>
        </is>
      </c>
      <c r="G885" s="7" t="n"/>
      <c r="H885" s="7" t="n"/>
      <c r="I885" s="7" t="n"/>
      <c r="J885" s="7" t="inlineStr">
        <is>
          <t>Reparo</t>
        </is>
      </c>
      <c r="K885" s="7" t="inlineStr">
        <is>
          <t>Planejamento</t>
        </is>
      </c>
      <c r="L885" s="16" t="inlineStr">
        <is>
          <t>PDS-Fevereiro(1).docx</t>
        </is>
      </c>
      <c r="M885">
        <f>IF($A885="","",TEXT($A885,"mmmm/yyyy"))</f>
        <v/>
      </c>
      <c r="P885">
        <f>IFERROR(_xludf.XLOOKUP($N885,Base_Enderecos!$A:$A,Base_Enderecos!$B:$B,""),"")</f>
        <v/>
      </c>
      <c r="Q885">
        <f>IFERROR(_xludf.XLOOKUP($N885,Base_Enderecos!$A:$A,Base_Enderecos!$C:$C,""),"")</f>
        <v/>
      </c>
      <c r="R885">
        <f>IF(OR(ISNUMBER(SEARCH("HDD",$F885)),ISNUMBER(SEARCH("MND",$F885)),ISNUMBER(SEARCH("PEAD",$F885)),ISNUMBER(SEARCH("Puxe",$J885)),ISNUMBER(SEARCH("Apoio HDD",$F885))),"MND",IF(OR(ISNUMBER(SEARCH("VCA",$F885)),ISNUMBER(SEARCH("PVC",$F885)),ISNUMBER(SEARCH("vca",$J885)),ISNUMBER(SEARCH("Transformação",$J885))),"VCA",IF(OR(ISNUMBER(SEARCH("crava",$F885)),ISNUMBER(SEARCH("tubo cravado",$F885)),ISNUMBER(SEARCH("shaft",$J885)),ISNUMBER(SEARCH("concreto",$F885))),"TUBO CRAVADO","")))</f>
        <v/>
      </c>
      <c r="T885">
        <f>IF($A885="","",TEXT($A885,"yyyymm")&amp;"|"&amp;$C885&amp;"|"&amp;$F885&amp;"|"&amp;$N885&amp;"|"&amp;$R885)</f>
        <v/>
      </c>
    </row>
    <row r="886" ht="11.55" customHeight="1">
      <c r="A886" s="10" t="n">
        <v>46071</v>
      </c>
      <c r="B886" s="7" t="inlineStr">
        <is>
          <t>Quarta</t>
        </is>
      </c>
      <c r="C886" s="7" t="inlineStr">
        <is>
          <t>CT MAR DE CORAL</t>
        </is>
      </c>
      <c r="D886" s="7" t="inlineStr">
        <is>
          <t>LEANDRO, SILVESTRE e ROBSON</t>
        </is>
      </c>
      <c r="E886" s="7" t="inlineStr">
        <is>
          <t>Work Drill</t>
        </is>
      </c>
      <c r="F886" s="13" t="inlineStr">
        <is>
          <t>Furo Piloto e Puxe entre PVs 33 ao 40</t>
        </is>
      </c>
      <c r="G886" s="7" t="inlineStr">
        <is>
          <t>33</t>
        </is>
      </c>
      <c r="H886" s="7" t="n"/>
      <c r="I886" s="7" t="inlineStr">
        <is>
          <t>33</t>
        </is>
      </c>
      <c r="J886" s="7" t="inlineStr">
        <is>
          <t>Furo piloto</t>
        </is>
      </c>
      <c r="K886" s="7" t="inlineStr">
        <is>
          <t>Planejamento</t>
        </is>
      </c>
      <c r="L886" s="16" t="inlineStr">
        <is>
          <t>PDS-Fevereiro(1).docx</t>
        </is>
      </c>
      <c r="M886">
        <f>IF($A886="","",TEXT($A886,"mmmm/yyyy"))</f>
        <v/>
      </c>
      <c r="P886">
        <f>IFERROR(_xludf.XLOOKUP($N886,Base_Enderecos!$A:$A,Base_Enderecos!$B:$B,""),"")</f>
        <v/>
      </c>
      <c r="Q886">
        <f>IFERROR(_xludf.XLOOKUP($N886,Base_Enderecos!$A:$A,Base_Enderecos!$C:$C,""),"")</f>
        <v/>
      </c>
      <c r="R886">
        <f>IF(OR(ISNUMBER(SEARCH("HDD",$F886)),ISNUMBER(SEARCH("MND",$F886)),ISNUMBER(SEARCH("PEAD",$F886)),ISNUMBER(SEARCH("Puxe",$J886)),ISNUMBER(SEARCH("Apoio HDD",$F886))),"MND",IF(OR(ISNUMBER(SEARCH("VCA",$F886)),ISNUMBER(SEARCH("PVC",$F886)),ISNUMBER(SEARCH("vca",$J886)),ISNUMBER(SEARCH("Transformação",$J886))),"VCA",IF(OR(ISNUMBER(SEARCH("crava",$F886)),ISNUMBER(SEARCH("tubo cravado",$F886)),ISNUMBER(SEARCH("shaft",$J886)),ISNUMBER(SEARCH("concreto",$F886))),"TUBO CRAVADO","")))</f>
        <v/>
      </c>
      <c r="T886">
        <f>IF($A886="","",TEXT($A886,"yyyymm")&amp;"|"&amp;$C886&amp;"|"&amp;$F886&amp;"|"&amp;$N886&amp;"|"&amp;$R886)</f>
        <v/>
      </c>
    </row>
    <row r="887" ht="11.55" customHeight="1">
      <c r="A887" s="10" t="n">
        <v>46071</v>
      </c>
      <c r="B887" s="7" t="inlineStr">
        <is>
          <t>Quarta</t>
        </is>
      </c>
      <c r="C887" s="7" t="inlineStr">
        <is>
          <t>CT MAR DE CORAL</t>
        </is>
      </c>
      <c r="D887" s="7" t="inlineStr">
        <is>
          <t>LEANDRO, SILVESTRE e ROBSON</t>
        </is>
      </c>
      <c r="E887" s="7" t="inlineStr">
        <is>
          <t>Medeiros</t>
        </is>
      </c>
      <c r="F887" s="13" t="inlineStr">
        <is>
          <t>Apoio HDD PV 33 ao PV 40</t>
        </is>
      </c>
      <c r="G887" s="7" t="inlineStr">
        <is>
          <t>33</t>
        </is>
      </c>
      <c r="H887" s="7" t="inlineStr">
        <is>
          <t>40</t>
        </is>
      </c>
      <c r="I887" s="7" t="inlineStr">
        <is>
          <t>33, 40</t>
        </is>
      </c>
      <c r="J887" s="7" t="inlineStr">
        <is>
          <t>Apoio HDD</t>
        </is>
      </c>
      <c r="K887" s="7" t="inlineStr">
        <is>
          <t>Planejamento</t>
        </is>
      </c>
      <c r="L887" s="16" t="inlineStr">
        <is>
          <t>PDS-Fevereiro(1).docx</t>
        </is>
      </c>
      <c r="M887">
        <f>IF($A887="","",TEXT($A887,"mmmm/yyyy"))</f>
        <v/>
      </c>
      <c r="P887">
        <f>IFERROR(_xludf.XLOOKUP($N887,Base_Enderecos!$A:$A,Base_Enderecos!$B:$B,""),"")</f>
        <v/>
      </c>
      <c r="Q887">
        <f>IFERROR(_xludf.XLOOKUP($N887,Base_Enderecos!$A:$A,Base_Enderecos!$C:$C,""),"")</f>
        <v/>
      </c>
      <c r="R887">
        <f>IF(OR(ISNUMBER(SEARCH("HDD",$F887)),ISNUMBER(SEARCH("MND",$F887)),ISNUMBER(SEARCH("PEAD",$F887)),ISNUMBER(SEARCH("Puxe",$J887)),ISNUMBER(SEARCH("Apoio HDD",$F887))),"MND",IF(OR(ISNUMBER(SEARCH("VCA",$F887)),ISNUMBER(SEARCH("PVC",$F887)),ISNUMBER(SEARCH("vca",$J887)),ISNUMBER(SEARCH("Transformação",$J887))),"VCA",IF(OR(ISNUMBER(SEARCH("crava",$F887)),ISNUMBER(SEARCH("tubo cravado",$F887)),ISNUMBER(SEARCH("shaft",$J887)),ISNUMBER(SEARCH("concreto",$F887))),"TUBO CRAVADO","")))</f>
        <v/>
      </c>
      <c r="T887">
        <f>IF($A887="","",TEXT($A887,"yyyymm")&amp;"|"&amp;$C887&amp;"|"&amp;$F887&amp;"|"&amp;$N887&amp;"|"&amp;$R887)</f>
        <v/>
      </c>
    </row>
    <row r="888" ht="11.55" customHeight="1">
      <c r="A888" s="10" t="n">
        <v>46071</v>
      </c>
      <c r="B888" s="7" t="inlineStr">
        <is>
          <t>Quarta</t>
        </is>
      </c>
      <c r="C888" s="7" t="inlineStr">
        <is>
          <t>CT MAR DE CORAL</t>
        </is>
      </c>
      <c r="D888" s="7" t="inlineStr">
        <is>
          <t>LEANDRO, SILVESTRE e ROBSON</t>
        </is>
      </c>
      <c r="E888" s="7" t="inlineStr">
        <is>
          <t>Sergio</t>
        </is>
      </c>
      <c r="F888" s="13" t="inlineStr">
        <is>
          <t>Shaft PV 43</t>
        </is>
      </c>
      <c r="G888" s="7" t="inlineStr">
        <is>
          <t>43</t>
        </is>
      </c>
      <c r="H888" s="7" t="n"/>
      <c r="I888" s="7" t="inlineStr">
        <is>
          <t>43</t>
        </is>
      </c>
      <c r="J888" s="7" t="inlineStr">
        <is>
          <t>Shaft</t>
        </is>
      </c>
      <c r="K888" s="7" t="inlineStr">
        <is>
          <t>Planejamento</t>
        </is>
      </c>
      <c r="L888" s="16" t="inlineStr">
        <is>
          <t>PDS-Fevereiro(1).docx</t>
        </is>
      </c>
      <c r="M888">
        <f>IF($A888="","",TEXT($A888,"mmmm/yyyy"))</f>
        <v/>
      </c>
      <c r="P888">
        <f>IFERROR(_xludf.XLOOKUP($N888,Base_Enderecos!$A:$A,Base_Enderecos!$B:$B,""),"")</f>
        <v/>
      </c>
      <c r="Q888">
        <f>IFERROR(_xludf.XLOOKUP($N888,Base_Enderecos!$A:$A,Base_Enderecos!$C:$C,""),"")</f>
        <v/>
      </c>
      <c r="R888">
        <f>IF(OR(ISNUMBER(SEARCH("HDD",$F888)),ISNUMBER(SEARCH("MND",$F888)),ISNUMBER(SEARCH("PEAD",$F888)),ISNUMBER(SEARCH("Puxe",$J888)),ISNUMBER(SEARCH("Apoio HDD",$F888))),"MND",IF(OR(ISNUMBER(SEARCH("VCA",$F888)),ISNUMBER(SEARCH("PVC",$F888)),ISNUMBER(SEARCH("vca",$J888)),ISNUMBER(SEARCH("Transformação",$J888))),"VCA",IF(OR(ISNUMBER(SEARCH("crava",$F888)),ISNUMBER(SEARCH("tubo cravado",$F888)),ISNUMBER(SEARCH("shaft",$J888)),ISNUMBER(SEARCH("concreto",$F888))),"TUBO CRAVADO","")))</f>
        <v/>
      </c>
      <c r="T888">
        <f>IF($A888="","",TEXT($A888,"yyyymm")&amp;"|"&amp;$C888&amp;"|"&amp;$F888&amp;"|"&amp;$N888&amp;"|"&amp;$R888)</f>
        <v/>
      </c>
    </row>
    <row r="889" ht="11.55" customHeight="1">
      <c r="A889" s="10" t="n">
        <v>46071</v>
      </c>
      <c r="B889" s="7" t="inlineStr">
        <is>
          <t>Quarta</t>
        </is>
      </c>
      <c r="C889" s="7" t="inlineStr">
        <is>
          <t>CT MAR DE CORAL</t>
        </is>
      </c>
      <c r="D889" s="7" t="inlineStr">
        <is>
          <t>LEANDRO, SILVESTRE e ROBSON</t>
        </is>
      </c>
      <c r="E889" s="7" t="inlineStr">
        <is>
          <t>Paulo</t>
        </is>
      </c>
      <c r="F889" s="13" t="inlineStr">
        <is>
          <t>Transformação PV 5</t>
        </is>
      </c>
      <c r="G889" s="7" t="inlineStr">
        <is>
          <t>5</t>
        </is>
      </c>
      <c r="H889" s="7" t="n"/>
      <c r="I889" s="7" t="inlineStr">
        <is>
          <t>5</t>
        </is>
      </c>
      <c r="J889" s="7" t="inlineStr">
        <is>
          <t>Transformação</t>
        </is>
      </c>
      <c r="K889" s="7" t="inlineStr">
        <is>
          <t>Planejamento</t>
        </is>
      </c>
      <c r="L889" s="16" t="inlineStr">
        <is>
          <t>PDS-Fevereiro(1).docx</t>
        </is>
      </c>
      <c r="M889">
        <f>IF($A889="","",TEXT($A889,"mmmm/yyyy"))</f>
        <v/>
      </c>
      <c r="P889">
        <f>IFERROR(_xludf.XLOOKUP($N889,Base_Enderecos!$A:$A,Base_Enderecos!$B:$B,""),"")</f>
        <v/>
      </c>
      <c r="Q889">
        <f>IFERROR(_xludf.XLOOKUP($N889,Base_Enderecos!$A:$A,Base_Enderecos!$C:$C,""),"")</f>
        <v/>
      </c>
      <c r="R889">
        <f>IF(OR(ISNUMBER(SEARCH("HDD",$F889)),ISNUMBER(SEARCH("MND",$F889)),ISNUMBER(SEARCH("PEAD",$F889)),ISNUMBER(SEARCH("Puxe",$J889)),ISNUMBER(SEARCH("Apoio HDD",$F889))),"MND",IF(OR(ISNUMBER(SEARCH("VCA",$F889)),ISNUMBER(SEARCH("PVC",$F889)),ISNUMBER(SEARCH("vca",$J889)),ISNUMBER(SEARCH("Transformação",$J889))),"VCA",IF(OR(ISNUMBER(SEARCH("crava",$F889)),ISNUMBER(SEARCH("tubo cravado",$F889)),ISNUMBER(SEARCH("shaft",$J889)),ISNUMBER(SEARCH("concreto",$F889))),"TUBO CRAVADO","")))</f>
        <v/>
      </c>
      <c r="T889">
        <f>IF($A889="","",TEXT($A889,"yyyymm")&amp;"|"&amp;$C889&amp;"|"&amp;$F889&amp;"|"&amp;$N889&amp;"|"&amp;$R889)</f>
        <v/>
      </c>
    </row>
    <row r="890" ht="11.55" customHeight="1">
      <c r="A890" s="10" t="n">
        <v>46071</v>
      </c>
      <c r="B890" s="7" t="inlineStr">
        <is>
          <t>Quarta</t>
        </is>
      </c>
      <c r="C890" s="7" t="inlineStr">
        <is>
          <t>CT MAR DE CORAL</t>
        </is>
      </c>
      <c r="D890" s="7" t="inlineStr">
        <is>
          <t>LEANDRO, SILVESTRE e ROBSON</t>
        </is>
      </c>
      <c r="E890" s="7" t="inlineStr">
        <is>
          <t>Ricardo</t>
        </is>
      </c>
      <c r="F890" s="13" t="inlineStr">
        <is>
          <t>Shaft PV 44</t>
        </is>
      </c>
      <c r="G890" s="7" t="inlineStr">
        <is>
          <t>44</t>
        </is>
      </c>
      <c r="H890" s="7" t="n"/>
      <c r="I890" s="7" t="inlineStr">
        <is>
          <t>44</t>
        </is>
      </c>
      <c r="J890" s="7" t="inlineStr">
        <is>
          <t>Shaft</t>
        </is>
      </c>
      <c r="K890" s="7" t="inlineStr">
        <is>
          <t>Planejamento</t>
        </is>
      </c>
      <c r="L890" s="16" t="inlineStr">
        <is>
          <t>PDS-Fevereiro(1).docx</t>
        </is>
      </c>
      <c r="M890">
        <f>IF($A890="","",TEXT($A890,"mmmm/yyyy"))</f>
        <v/>
      </c>
      <c r="P890">
        <f>IFERROR(_xludf.XLOOKUP($N890,Base_Enderecos!$A:$A,Base_Enderecos!$B:$B,""),"")</f>
        <v/>
      </c>
      <c r="Q890">
        <f>IFERROR(_xludf.XLOOKUP($N890,Base_Enderecos!$A:$A,Base_Enderecos!$C:$C,""),"")</f>
        <v/>
      </c>
      <c r="R890">
        <f>IF(OR(ISNUMBER(SEARCH("HDD",$F890)),ISNUMBER(SEARCH("MND",$F890)),ISNUMBER(SEARCH("PEAD",$F890)),ISNUMBER(SEARCH("Puxe",$J890)),ISNUMBER(SEARCH("Apoio HDD",$F890))),"MND",IF(OR(ISNUMBER(SEARCH("VCA",$F890)),ISNUMBER(SEARCH("PVC",$F890)),ISNUMBER(SEARCH("vca",$J890)),ISNUMBER(SEARCH("Transformação",$J890))),"VCA",IF(OR(ISNUMBER(SEARCH("crava",$F890)),ISNUMBER(SEARCH("tubo cravado",$F890)),ISNUMBER(SEARCH("shaft",$J890)),ISNUMBER(SEARCH("concreto",$F890))),"TUBO CRAVADO","")))</f>
        <v/>
      </c>
      <c r="T890">
        <f>IF($A890="","",TEXT($A890,"yyyymm")&amp;"|"&amp;$C890&amp;"|"&amp;$F890&amp;"|"&amp;$N890&amp;"|"&amp;$R890)</f>
        <v/>
      </c>
    </row>
    <row r="891" ht="11.55" customHeight="1">
      <c r="A891" s="10" t="n">
        <v>46071</v>
      </c>
      <c r="B891" s="7" t="inlineStr">
        <is>
          <t>Quarta</t>
        </is>
      </c>
      <c r="C891" s="7" t="inlineStr">
        <is>
          <t>CT MAR DE CORAL</t>
        </is>
      </c>
      <c r="D891" s="7" t="inlineStr">
        <is>
          <t>LEANDRO, SILVESTRE e ROBSON</t>
        </is>
      </c>
      <c r="E891" s="7" t="inlineStr">
        <is>
          <t>Valter</t>
        </is>
      </c>
      <c r="F891" s="13" t="inlineStr">
        <is>
          <t>Transformação PV 08</t>
        </is>
      </c>
      <c r="G891" s="7" t="inlineStr">
        <is>
          <t>08</t>
        </is>
      </c>
      <c r="H891" s="7" t="n"/>
      <c r="I891" s="7" t="inlineStr">
        <is>
          <t>08</t>
        </is>
      </c>
      <c r="J891" s="7" t="inlineStr">
        <is>
          <t>Transformação</t>
        </is>
      </c>
      <c r="K891" s="7" t="inlineStr">
        <is>
          <t>Planejamento</t>
        </is>
      </c>
      <c r="L891" s="16" t="inlineStr">
        <is>
          <t>PDS-Fevereiro(1).docx</t>
        </is>
      </c>
      <c r="M891">
        <f>IF($A891="","",TEXT($A891,"mmmm/yyyy"))</f>
        <v/>
      </c>
      <c r="P891">
        <f>IFERROR(_xludf.XLOOKUP($N891,Base_Enderecos!$A:$A,Base_Enderecos!$B:$B,""),"")</f>
        <v/>
      </c>
      <c r="Q891">
        <f>IFERROR(_xludf.XLOOKUP($N891,Base_Enderecos!$A:$A,Base_Enderecos!$C:$C,""),"")</f>
        <v/>
      </c>
      <c r="R891">
        <f>IF(OR(ISNUMBER(SEARCH("HDD",$F891)),ISNUMBER(SEARCH("MND",$F891)),ISNUMBER(SEARCH("PEAD",$F891)),ISNUMBER(SEARCH("Puxe",$J891)),ISNUMBER(SEARCH("Apoio HDD",$F891))),"MND",IF(OR(ISNUMBER(SEARCH("VCA",$F891)),ISNUMBER(SEARCH("PVC",$F891)),ISNUMBER(SEARCH("vca",$J891)),ISNUMBER(SEARCH("Transformação",$J891))),"VCA",IF(OR(ISNUMBER(SEARCH("crava",$F891)),ISNUMBER(SEARCH("tubo cravado",$F891)),ISNUMBER(SEARCH("shaft",$J891)),ISNUMBER(SEARCH("concreto",$F891))),"TUBO CRAVADO","")))</f>
        <v/>
      </c>
      <c r="T891">
        <f>IF($A891="","",TEXT($A891,"yyyymm")&amp;"|"&amp;$C891&amp;"|"&amp;$F891&amp;"|"&amp;$N891&amp;"|"&amp;$R891)</f>
        <v/>
      </c>
    </row>
    <row r="892" ht="11.55" customHeight="1">
      <c r="A892" s="10" t="n">
        <v>46071</v>
      </c>
      <c r="B892" s="7" t="inlineStr">
        <is>
          <t>Quarta</t>
        </is>
      </c>
      <c r="C892" s="7" t="inlineStr">
        <is>
          <t>CT MAR DE CORAL</t>
        </is>
      </c>
      <c r="D892" s="7" t="inlineStr">
        <is>
          <t>LEANDRO, SILVESTRE e ROBSON</t>
        </is>
      </c>
      <c r="E892" s="7" t="inlineStr">
        <is>
          <t>Edivando</t>
        </is>
      </c>
      <c r="F892" s="13" t="inlineStr">
        <is>
          <t>Transformação PV 30</t>
        </is>
      </c>
      <c r="G892" s="7" t="inlineStr">
        <is>
          <t>30</t>
        </is>
      </c>
      <c r="H892" s="7" t="n"/>
      <c r="I892" s="7" t="inlineStr">
        <is>
          <t>30</t>
        </is>
      </c>
      <c r="J892" s="7" t="inlineStr">
        <is>
          <t>Transformação</t>
        </is>
      </c>
      <c r="K892" s="7" t="inlineStr">
        <is>
          <t>Planejamento</t>
        </is>
      </c>
      <c r="L892" s="16" t="inlineStr">
        <is>
          <t>PDS-Fevereiro(1).docx</t>
        </is>
      </c>
      <c r="M892">
        <f>IF($A892="","",TEXT($A892,"mmmm/yyyy"))</f>
        <v/>
      </c>
      <c r="P892">
        <f>IFERROR(_xludf.XLOOKUP($N892,Base_Enderecos!$A:$A,Base_Enderecos!$B:$B,""),"")</f>
        <v/>
      </c>
      <c r="Q892">
        <f>IFERROR(_xludf.XLOOKUP($N892,Base_Enderecos!$A:$A,Base_Enderecos!$C:$C,""),"")</f>
        <v/>
      </c>
      <c r="R892">
        <f>IF(OR(ISNUMBER(SEARCH("HDD",$F892)),ISNUMBER(SEARCH("MND",$F892)),ISNUMBER(SEARCH("PEAD",$F892)),ISNUMBER(SEARCH("Puxe",$J892)),ISNUMBER(SEARCH("Apoio HDD",$F892))),"MND",IF(OR(ISNUMBER(SEARCH("VCA",$F892)),ISNUMBER(SEARCH("PVC",$F892)),ISNUMBER(SEARCH("vca",$J892)),ISNUMBER(SEARCH("Transformação",$J892))),"VCA",IF(OR(ISNUMBER(SEARCH("crava",$F892)),ISNUMBER(SEARCH("tubo cravado",$F892)),ISNUMBER(SEARCH("shaft",$J892)),ISNUMBER(SEARCH("concreto",$F892))),"TUBO CRAVADO","")))</f>
        <v/>
      </c>
      <c r="T892">
        <f>IF($A892="","",TEXT($A892,"yyyymm")&amp;"|"&amp;$C892&amp;"|"&amp;$F892&amp;"|"&amp;$N892&amp;"|"&amp;$R892)</f>
        <v/>
      </c>
    </row>
    <row r="893" ht="11.55" customHeight="1">
      <c r="A893" s="10" t="n">
        <v>46071</v>
      </c>
      <c r="B893" s="7" t="inlineStr">
        <is>
          <t>Quarta</t>
        </is>
      </c>
      <c r="C893" s="7" t="inlineStr">
        <is>
          <t>CT AGUA VERMELHA M.D</t>
        </is>
      </c>
      <c r="D893" s="7" t="inlineStr">
        <is>
          <t>CAROLINE e FÁBIO</t>
        </is>
      </c>
      <c r="E893" s="7" t="inlineStr">
        <is>
          <t>Jonathan</t>
        </is>
      </c>
      <c r="F893" s="13" t="inlineStr">
        <is>
          <t>Apoio HDD entre PVD 7 e PV 10</t>
        </is>
      </c>
      <c r="G893" s="7" t="inlineStr">
        <is>
          <t>7</t>
        </is>
      </c>
      <c r="H893" s="7" t="inlineStr">
        <is>
          <t>10</t>
        </is>
      </c>
      <c r="I893" s="7" t="inlineStr">
        <is>
          <t>7, 10</t>
        </is>
      </c>
      <c r="J893" s="7" t="inlineStr">
        <is>
          <t>Apoio HDD</t>
        </is>
      </c>
      <c r="K893" s="7" t="inlineStr">
        <is>
          <t>Planejamento</t>
        </is>
      </c>
      <c r="L893" s="16" t="inlineStr">
        <is>
          <t>PDS-Fevereiro(1).docx</t>
        </is>
      </c>
      <c r="M893">
        <f>IF($A893="","",TEXT($A893,"mmmm/yyyy"))</f>
        <v/>
      </c>
      <c r="P893">
        <f>IFERROR(_xludf.XLOOKUP($N893,Base_Enderecos!$A:$A,Base_Enderecos!$B:$B,""),"")</f>
        <v/>
      </c>
      <c r="Q893">
        <f>IFERROR(_xludf.XLOOKUP($N893,Base_Enderecos!$A:$A,Base_Enderecos!$C:$C,""),"")</f>
        <v/>
      </c>
      <c r="R893">
        <f>IF(OR(ISNUMBER(SEARCH("HDD",$F893)),ISNUMBER(SEARCH("MND",$F893)),ISNUMBER(SEARCH("PEAD",$F893)),ISNUMBER(SEARCH("Puxe",$J893)),ISNUMBER(SEARCH("Apoio HDD",$F893))),"MND",IF(OR(ISNUMBER(SEARCH("VCA",$F893)),ISNUMBER(SEARCH("PVC",$F893)),ISNUMBER(SEARCH("vca",$J893)),ISNUMBER(SEARCH("Transformação",$J893))),"VCA",IF(OR(ISNUMBER(SEARCH("crava",$F893)),ISNUMBER(SEARCH("tubo cravado",$F893)),ISNUMBER(SEARCH("shaft",$J893)),ISNUMBER(SEARCH("concreto",$F893))),"TUBO CRAVADO","")))</f>
        <v/>
      </c>
      <c r="T893">
        <f>IF($A893="","",TEXT($A893,"yyyymm")&amp;"|"&amp;$C893&amp;"|"&amp;$F893&amp;"|"&amp;$N893&amp;"|"&amp;$R893)</f>
        <v/>
      </c>
    </row>
    <row r="894" ht="11.55" customHeight="1">
      <c r="A894" s="10" t="n">
        <v>46071</v>
      </c>
      <c r="B894" s="7" t="inlineStr">
        <is>
          <t>Quarta</t>
        </is>
      </c>
      <c r="C894" s="7" t="inlineStr">
        <is>
          <t>CT AGUA VERMELHA M.D</t>
        </is>
      </c>
      <c r="D894" s="7" t="inlineStr">
        <is>
          <t>CAROLINE e FÁBIO</t>
        </is>
      </c>
      <c r="E894" s="7" t="inlineStr">
        <is>
          <t>WJ 02</t>
        </is>
      </c>
      <c r="F894" s="13" t="inlineStr">
        <is>
          <t>Piloto e Puxe PVD 7 e PVD 10</t>
        </is>
      </c>
      <c r="G894" s="7" t="inlineStr">
        <is>
          <t>7</t>
        </is>
      </c>
      <c r="H894" s="7" t="inlineStr">
        <is>
          <t>10</t>
        </is>
      </c>
      <c r="I894" s="7" t="inlineStr">
        <is>
          <t>7, 10</t>
        </is>
      </c>
      <c r="J894" s="7" t="inlineStr">
        <is>
          <t>Piloto e puxe</t>
        </is>
      </c>
      <c r="K894" s="7" t="inlineStr">
        <is>
          <t>Planejamento</t>
        </is>
      </c>
      <c r="L894" s="16" t="inlineStr">
        <is>
          <t>PDS-Fevereiro(1).docx</t>
        </is>
      </c>
      <c r="M894">
        <f>IF($A894="","",TEXT($A894,"mmmm/yyyy"))</f>
        <v/>
      </c>
      <c r="P894">
        <f>IFERROR(_xludf.XLOOKUP($N894,Base_Enderecos!$A:$A,Base_Enderecos!$B:$B,""),"")</f>
        <v/>
      </c>
      <c r="Q894">
        <f>IFERROR(_xludf.XLOOKUP($N894,Base_Enderecos!$A:$A,Base_Enderecos!$C:$C,""),"")</f>
        <v/>
      </c>
      <c r="R894">
        <f>IF(OR(ISNUMBER(SEARCH("HDD",$F894)),ISNUMBER(SEARCH("MND",$F894)),ISNUMBER(SEARCH("PEAD",$F894)),ISNUMBER(SEARCH("Puxe",$J894)),ISNUMBER(SEARCH("Apoio HDD",$F894))),"MND",IF(OR(ISNUMBER(SEARCH("VCA",$F894)),ISNUMBER(SEARCH("PVC",$F894)),ISNUMBER(SEARCH("vca",$J894)),ISNUMBER(SEARCH("Transformação",$J894))),"VCA",IF(OR(ISNUMBER(SEARCH("crava",$F894)),ISNUMBER(SEARCH("tubo cravado",$F894)),ISNUMBER(SEARCH("shaft",$J894)),ISNUMBER(SEARCH("concreto",$F894))),"TUBO CRAVADO","")))</f>
        <v/>
      </c>
      <c r="T894">
        <f>IF($A894="","",TEXT($A894,"yyyymm")&amp;"|"&amp;$C894&amp;"|"&amp;$F894&amp;"|"&amp;$N894&amp;"|"&amp;$R894)</f>
        <v/>
      </c>
    </row>
    <row r="895" ht="11.55" customHeight="1">
      <c r="A895" s="10" t="n">
        <v>46071</v>
      </c>
      <c r="B895" s="7" t="inlineStr">
        <is>
          <t>Quarta</t>
        </is>
      </c>
      <c r="C895" s="7" t="inlineStr">
        <is>
          <t>CT AGUA VERMELHA M.D</t>
        </is>
      </c>
      <c r="D895" s="7" t="inlineStr">
        <is>
          <t>CAROLINE e FÁBIO</t>
        </is>
      </c>
      <c r="E895" s="7" t="inlineStr">
        <is>
          <t>Marcelo</t>
        </is>
      </c>
      <c r="F895" s="13" t="inlineStr">
        <is>
          <t>Shaft PV 13</t>
        </is>
      </c>
      <c r="G895" s="7" t="inlineStr">
        <is>
          <t>13</t>
        </is>
      </c>
      <c r="H895" s="7" t="n"/>
      <c r="I895" s="7" t="inlineStr">
        <is>
          <t>13</t>
        </is>
      </c>
      <c r="J895" s="7" t="inlineStr">
        <is>
          <t>Shaft</t>
        </is>
      </c>
      <c r="K895" s="7" t="inlineStr">
        <is>
          <t>Planejamento</t>
        </is>
      </c>
      <c r="L895" s="16" t="inlineStr">
        <is>
          <t>PDS-Fevereiro(1).docx</t>
        </is>
      </c>
      <c r="M895">
        <f>IF($A895="","",TEXT($A895,"mmmm/yyyy"))</f>
        <v/>
      </c>
      <c r="P895">
        <f>IFERROR(_xludf.XLOOKUP($N895,Base_Enderecos!$A:$A,Base_Enderecos!$B:$B,""),"")</f>
        <v/>
      </c>
      <c r="Q895">
        <f>IFERROR(_xludf.XLOOKUP($N895,Base_Enderecos!$A:$A,Base_Enderecos!$C:$C,""),"")</f>
        <v/>
      </c>
      <c r="R895">
        <f>IF(OR(ISNUMBER(SEARCH("HDD",$F895)),ISNUMBER(SEARCH("MND",$F895)),ISNUMBER(SEARCH("PEAD",$F895)),ISNUMBER(SEARCH("Puxe",$J895)),ISNUMBER(SEARCH("Apoio HDD",$F895))),"MND",IF(OR(ISNUMBER(SEARCH("VCA",$F895)),ISNUMBER(SEARCH("PVC",$F895)),ISNUMBER(SEARCH("vca",$J895)),ISNUMBER(SEARCH("Transformação",$J895))),"VCA",IF(OR(ISNUMBER(SEARCH("crava",$F895)),ISNUMBER(SEARCH("tubo cravado",$F895)),ISNUMBER(SEARCH("shaft",$J895)),ISNUMBER(SEARCH("concreto",$F895))),"TUBO CRAVADO","")))</f>
        <v/>
      </c>
      <c r="T895">
        <f>IF($A895="","",TEXT($A895,"yyyymm")&amp;"|"&amp;$C895&amp;"|"&amp;$F895&amp;"|"&amp;$N895&amp;"|"&amp;$R895)</f>
        <v/>
      </c>
    </row>
    <row r="896" ht="11.55" customHeight="1">
      <c r="A896" s="10" t="n">
        <v>46071</v>
      </c>
      <c r="B896" s="7" t="inlineStr">
        <is>
          <t>Quarta</t>
        </is>
      </c>
      <c r="C896" s="7" t="inlineStr">
        <is>
          <t>CT AGUA VERMELHA M.D</t>
        </is>
      </c>
      <c r="D896" s="7" t="inlineStr">
        <is>
          <t>CAROLINE e FÁBIO</t>
        </is>
      </c>
      <c r="E896" s="7" t="inlineStr">
        <is>
          <t>Cesar</t>
        </is>
      </c>
      <c r="F896" s="13" t="inlineStr">
        <is>
          <t>Shaft PVD 10</t>
        </is>
      </c>
      <c r="G896" s="7" t="inlineStr">
        <is>
          <t>10</t>
        </is>
      </c>
      <c r="H896" s="7" t="n"/>
      <c r="I896" s="7" t="inlineStr">
        <is>
          <t>10</t>
        </is>
      </c>
      <c r="J896" s="7" t="inlineStr">
        <is>
          <t>Shaft</t>
        </is>
      </c>
      <c r="K896" s="7" t="inlineStr">
        <is>
          <t>Planejamento</t>
        </is>
      </c>
      <c r="L896" s="16" t="inlineStr">
        <is>
          <t>PDS-Fevereiro(1).docx</t>
        </is>
      </c>
      <c r="M896">
        <f>IF($A896="","",TEXT($A896,"mmmm/yyyy"))</f>
        <v/>
      </c>
      <c r="P896">
        <f>IFERROR(_xludf.XLOOKUP($N896,Base_Enderecos!$A:$A,Base_Enderecos!$B:$B,""),"")</f>
        <v/>
      </c>
      <c r="Q896">
        <f>IFERROR(_xludf.XLOOKUP($N896,Base_Enderecos!$A:$A,Base_Enderecos!$C:$C,""),"")</f>
        <v/>
      </c>
      <c r="R896">
        <f>IF(OR(ISNUMBER(SEARCH("HDD",$F896)),ISNUMBER(SEARCH("MND",$F896)),ISNUMBER(SEARCH("PEAD",$F896)),ISNUMBER(SEARCH("Puxe",$J896)),ISNUMBER(SEARCH("Apoio HDD",$F896))),"MND",IF(OR(ISNUMBER(SEARCH("VCA",$F896)),ISNUMBER(SEARCH("PVC",$F896)),ISNUMBER(SEARCH("vca",$J896)),ISNUMBER(SEARCH("Transformação",$J896))),"VCA",IF(OR(ISNUMBER(SEARCH("crava",$F896)),ISNUMBER(SEARCH("tubo cravado",$F896)),ISNUMBER(SEARCH("shaft",$J896)),ISNUMBER(SEARCH("concreto",$F896))),"TUBO CRAVADO","")))</f>
        <v/>
      </c>
      <c r="T896">
        <f>IF($A896="","",TEXT($A896,"yyyymm")&amp;"|"&amp;$C896&amp;"|"&amp;$F896&amp;"|"&amp;$N896&amp;"|"&amp;$R896)</f>
        <v/>
      </c>
    </row>
    <row r="897" ht="11.55" customHeight="1">
      <c r="A897" s="10" t="n">
        <v>46071</v>
      </c>
      <c r="B897" s="7" t="inlineStr">
        <is>
          <t>Quarta</t>
        </is>
      </c>
      <c r="C897" s="7" t="inlineStr">
        <is>
          <t>CT AGUA VERMELHA M.E– Valmir e Eloizio</t>
        </is>
      </c>
      <c r="D897" s="7" t="n"/>
      <c r="E897" s="7" t="inlineStr">
        <is>
          <t>WJ 01</t>
        </is>
      </c>
      <c r="F897" s="13" t="inlineStr">
        <is>
          <t>Piloto e Puxe PVE 7 e PVE 11</t>
        </is>
      </c>
      <c r="G897" s="7" t="inlineStr">
        <is>
          <t>7</t>
        </is>
      </c>
      <c r="H897" s="7" t="inlineStr">
        <is>
          <t>11</t>
        </is>
      </c>
      <c r="I897" s="7" t="inlineStr">
        <is>
          <t>7, 11</t>
        </is>
      </c>
      <c r="J897" s="7" t="inlineStr">
        <is>
          <t>Piloto e puxe</t>
        </is>
      </c>
      <c r="K897" s="7" t="inlineStr">
        <is>
          <t>Planejamento</t>
        </is>
      </c>
      <c r="L897" s="16" t="inlineStr">
        <is>
          <t>PDS-Fevereiro(1).docx</t>
        </is>
      </c>
      <c r="M897">
        <f>IF($A897="","",TEXT($A897,"mmmm/yyyy"))</f>
        <v/>
      </c>
      <c r="P897">
        <f>IFERROR(_xludf.XLOOKUP($N897,Base_Enderecos!$A:$A,Base_Enderecos!$B:$B,""),"")</f>
        <v/>
      </c>
      <c r="Q897">
        <f>IFERROR(_xludf.XLOOKUP($N897,Base_Enderecos!$A:$A,Base_Enderecos!$C:$C,""),"")</f>
        <v/>
      </c>
      <c r="R897">
        <f>IF(OR(ISNUMBER(SEARCH("HDD",$F897)),ISNUMBER(SEARCH("MND",$F897)),ISNUMBER(SEARCH("PEAD",$F897)),ISNUMBER(SEARCH("Puxe",$J897)),ISNUMBER(SEARCH("Apoio HDD",$F897))),"MND",IF(OR(ISNUMBER(SEARCH("VCA",$F897)),ISNUMBER(SEARCH("PVC",$F897)),ISNUMBER(SEARCH("vca",$J897)),ISNUMBER(SEARCH("Transformação",$J897))),"VCA",IF(OR(ISNUMBER(SEARCH("crava",$F897)),ISNUMBER(SEARCH("tubo cravado",$F897)),ISNUMBER(SEARCH("shaft",$J897)),ISNUMBER(SEARCH("concreto",$F897))),"TUBO CRAVADO","")))</f>
        <v/>
      </c>
      <c r="T897">
        <f>IF($A897="","",TEXT($A897,"yyyymm")&amp;"|"&amp;$C897&amp;"|"&amp;$F897&amp;"|"&amp;$N897&amp;"|"&amp;$R897)</f>
        <v/>
      </c>
    </row>
    <row r="898" ht="11.55" customHeight="1">
      <c r="A898" s="10" t="n">
        <v>46071</v>
      </c>
      <c r="B898" s="7" t="inlineStr">
        <is>
          <t>Quarta</t>
        </is>
      </c>
      <c r="C898" s="7" t="inlineStr">
        <is>
          <t>CT AGUA VERMELHA M.E– Valmir e Eloizio</t>
        </is>
      </c>
      <c r="D898" s="7" t="n"/>
      <c r="E898" s="7" t="inlineStr">
        <is>
          <t>Marcio</t>
        </is>
      </c>
      <c r="F898" s="13" t="inlineStr">
        <is>
          <t>Apoio HDD PVE 7 ao 11</t>
        </is>
      </c>
      <c r="G898" s="7" t="inlineStr">
        <is>
          <t>7</t>
        </is>
      </c>
      <c r="H898" s="7" t="n"/>
      <c r="I898" s="7" t="inlineStr">
        <is>
          <t>7</t>
        </is>
      </c>
      <c r="J898" s="7" t="inlineStr">
        <is>
          <t>Apoio HDD</t>
        </is>
      </c>
      <c r="K898" s="7" t="inlineStr">
        <is>
          <t>Planejamento</t>
        </is>
      </c>
      <c r="L898" s="16" t="inlineStr">
        <is>
          <t>PDS-Fevereiro(1).docx</t>
        </is>
      </c>
      <c r="M898">
        <f>IF($A898="","",TEXT($A898,"mmmm/yyyy"))</f>
        <v/>
      </c>
      <c r="P898">
        <f>IFERROR(_xludf.XLOOKUP($N898,Base_Enderecos!$A:$A,Base_Enderecos!$B:$B,""),"")</f>
        <v/>
      </c>
      <c r="Q898">
        <f>IFERROR(_xludf.XLOOKUP($N898,Base_Enderecos!$A:$A,Base_Enderecos!$C:$C,""),"")</f>
        <v/>
      </c>
      <c r="R898">
        <f>IF(OR(ISNUMBER(SEARCH("HDD",$F898)),ISNUMBER(SEARCH("MND",$F898)),ISNUMBER(SEARCH("PEAD",$F898)),ISNUMBER(SEARCH("Puxe",$J898)),ISNUMBER(SEARCH("Apoio HDD",$F898))),"MND",IF(OR(ISNUMBER(SEARCH("VCA",$F898)),ISNUMBER(SEARCH("PVC",$F898)),ISNUMBER(SEARCH("vca",$J898)),ISNUMBER(SEARCH("Transformação",$J898))),"VCA",IF(OR(ISNUMBER(SEARCH("crava",$F898)),ISNUMBER(SEARCH("tubo cravado",$F898)),ISNUMBER(SEARCH("shaft",$J898)),ISNUMBER(SEARCH("concreto",$F898))),"TUBO CRAVADO","")))</f>
        <v/>
      </c>
      <c r="T898">
        <f>IF($A898="","",TEXT($A898,"yyyymm")&amp;"|"&amp;$C898&amp;"|"&amp;$F898&amp;"|"&amp;$N898&amp;"|"&amp;$R898)</f>
        <v/>
      </c>
    </row>
    <row r="899" ht="11.55" customHeight="1">
      <c r="A899" s="10" t="n">
        <v>46071</v>
      </c>
      <c r="B899" s="7" t="inlineStr">
        <is>
          <t>Quarta</t>
        </is>
      </c>
      <c r="C899" s="7" t="inlineStr">
        <is>
          <t>CT AGUA VERMELHA M.E– Valmir e Eloizio</t>
        </is>
      </c>
      <c r="D899" s="7" t="n"/>
      <c r="E899" s="7" t="inlineStr">
        <is>
          <t>Higor</t>
        </is>
      </c>
      <c r="F899" s="13" t="inlineStr">
        <is>
          <t>Transformação PVE 01</t>
        </is>
      </c>
      <c r="G899" s="7" t="inlineStr">
        <is>
          <t>01</t>
        </is>
      </c>
      <c r="H899" s="7" t="n"/>
      <c r="I899" s="7" t="inlineStr">
        <is>
          <t>01</t>
        </is>
      </c>
      <c r="J899" s="7" t="inlineStr">
        <is>
          <t>Transformação</t>
        </is>
      </c>
      <c r="K899" s="7" t="inlineStr">
        <is>
          <t>Planejamento</t>
        </is>
      </c>
      <c r="L899" s="16" t="inlineStr">
        <is>
          <t>PDS-Fevereiro(1).docx</t>
        </is>
      </c>
      <c r="M899">
        <f>IF($A899="","",TEXT($A899,"mmmm/yyyy"))</f>
        <v/>
      </c>
      <c r="P899">
        <f>IFERROR(_xludf.XLOOKUP($N899,Base_Enderecos!$A:$A,Base_Enderecos!$B:$B,""),"")</f>
        <v/>
      </c>
      <c r="Q899">
        <f>IFERROR(_xludf.XLOOKUP($N899,Base_Enderecos!$A:$A,Base_Enderecos!$C:$C,""),"")</f>
        <v/>
      </c>
      <c r="R899">
        <f>IF(OR(ISNUMBER(SEARCH("HDD",$F899)),ISNUMBER(SEARCH("MND",$F899)),ISNUMBER(SEARCH("PEAD",$F899)),ISNUMBER(SEARCH("Puxe",$J899)),ISNUMBER(SEARCH("Apoio HDD",$F899))),"MND",IF(OR(ISNUMBER(SEARCH("VCA",$F899)),ISNUMBER(SEARCH("PVC",$F899)),ISNUMBER(SEARCH("vca",$J899)),ISNUMBER(SEARCH("Transformação",$J899))),"VCA",IF(OR(ISNUMBER(SEARCH("crava",$F899)),ISNUMBER(SEARCH("tubo cravado",$F899)),ISNUMBER(SEARCH("shaft",$J899)),ISNUMBER(SEARCH("concreto",$F899))),"TUBO CRAVADO","")))</f>
        <v/>
      </c>
      <c r="T899">
        <f>IF($A899="","",TEXT($A899,"yyyymm")&amp;"|"&amp;$C899&amp;"|"&amp;$F899&amp;"|"&amp;$N899&amp;"|"&amp;$R899)</f>
        <v/>
      </c>
    </row>
    <row r="900" ht="11.55" customHeight="1">
      <c r="A900" s="10" t="n">
        <v>46071</v>
      </c>
      <c r="B900" s="7" t="inlineStr">
        <is>
          <t>Quarta</t>
        </is>
      </c>
      <c r="C900" s="7" t="inlineStr">
        <is>
          <t>CT AGUA VERMELHA M.E– Valmir e Eloizio</t>
        </is>
      </c>
      <c r="D900" s="7" t="n"/>
      <c r="E900" s="7" t="inlineStr">
        <is>
          <t>Cidão</t>
        </is>
      </c>
      <c r="F900" s="13" t="inlineStr">
        <is>
          <t>Transformação PVE 3</t>
        </is>
      </c>
      <c r="G900" s="7" t="inlineStr">
        <is>
          <t>3</t>
        </is>
      </c>
      <c r="H900" s="7" t="n"/>
      <c r="I900" s="7" t="inlineStr">
        <is>
          <t>3</t>
        </is>
      </c>
      <c r="J900" s="7" t="inlineStr">
        <is>
          <t>Transformação</t>
        </is>
      </c>
      <c r="K900" s="7" t="inlineStr">
        <is>
          <t>Planejamento</t>
        </is>
      </c>
      <c r="L900" s="16" t="inlineStr">
        <is>
          <t>PDS-Fevereiro(1).docx</t>
        </is>
      </c>
      <c r="M900">
        <f>IF($A900="","",TEXT($A900,"mmmm/yyyy"))</f>
        <v/>
      </c>
      <c r="P900">
        <f>IFERROR(_xludf.XLOOKUP($N900,Base_Enderecos!$A:$A,Base_Enderecos!$B:$B,""),"")</f>
        <v/>
      </c>
      <c r="Q900">
        <f>IFERROR(_xludf.XLOOKUP($N900,Base_Enderecos!$A:$A,Base_Enderecos!$C:$C,""),"")</f>
        <v/>
      </c>
      <c r="R900">
        <f>IF(OR(ISNUMBER(SEARCH("HDD",$F900)),ISNUMBER(SEARCH("MND",$F900)),ISNUMBER(SEARCH("PEAD",$F900)),ISNUMBER(SEARCH("Puxe",$J900)),ISNUMBER(SEARCH("Apoio HDD",$F900))),"MND",IF(OR(ISNUMBER(SEARCH("VCA",$F900)),ISNUMBER(SEARCH("PVC",$F900)),ISNUMBER(SEARCH("vca",$J900)),ISNUMBER(SEARCH("Transformação",$J900))),"VCA",IF(OR(ISNUMBER(SEARCH("crava",$F900)),ISNUMBER(SEARCH("tubo cravado",$F900)),ISNUMBER(SEARCH("shaft",$J900)),ISNUMBER(SEARCH("concreto",$F900))),"TUBO CRAVADO","")))</f>
        <v/>
      </c>
      <c r="T900">
        <f>IF($A900="","",TEXT($A900,"yyyymm")&amp;"|"&amp;$C900&amp;"|"&amp;$F900&amp;"|"&amp;$N900&amp;"|"&amp;$R900)</f>
        <v/>
      </c>
    </row>
    <row r="901" ht="11.55" customHeight="1">
      <c r="A901" s="10" t="n">
        <v>46071</v>
      </c>
      <c r="B901" s="7" t="inlineStr">
        <is>
          <t>Quarta</t>
        </is>
      </c>
      <c r="C901" s="7" t="inlineStr">
        <is>
          <t>Vacal</t>
        </is>
      </c>
      <c r="D901" s="7" t="n"/>
      <c r="E901" s="7" t="inlineStr">
        <is>
          <t>Agua Vermelha</t>
        </is>
      </c>
      <c r="F901" s="13" t="inlineStr">
        <is>
          <t>Apoio Vacal</t>
        </is>
      </c>
      <c r="G901" s="7" t="n"/>
      <c r="H901" s="7" t="n"/>
      <c r="I901" s="7" t="n"/>
      <c r="J901" s="7" t="inlineStr">
        <is>
          <t>Vacal</t>
        </is>
      </c>
      <c r="K901" s="7" t="inlineStr">
        <is>
          <t>Apoio</t>
        </is>
      </c>
      <c r="L901" s="16" t="inlineStr">
        <is>
          <t>PDS-Fevereiro(1).docx</t>
        </is>
      </c>
      <c r="M901">
        <f>IF($A901="","",TEXT($A901,"mmmm/yyyy"))</f>
        <v/>
      </c>
      <c r="P901">
        <f>IFERROR(_xludf.XLOOKUP($N901,Base_Enderecos!$A:$A,Base_Enderecos!$B:$B,""),"")</f>
        <v/>
      </c>
      <c r="Q901">
        <f>IFERROR(_xludf.XLOOKUP($N901,Base_Enderecos!$A:$A,Base_Enderecos!$C:$C,""),"")</f>
        <v/>
      </c>
      <c r="R901">
        <f>IF(OR(ISNUMBER(SEARCH("HDD",$F901)),ISNUMBER(SEARCH("MND",$F901)),ISNUMBER(SEARCH("PEAD",$F901)),ISNUMBER(SEARCH("Puxe",$J901)),ISNUMBER(SEARCH("Apoio HDD",$F901))),"MND",IF(OR(ISNUMBER(SEARCH("VCA",$F901)),ISNUMBER(SEARCH("PVC",$F901)),ISNUMBER(SEARCH("vca",$J901)),ISNUMBER(SEARCH("Transformação",$J901))),"VCA",IF(OR(ISNUMBER(SEARCH("crava",$F901)),ISNUMBER(SEARCH("tubo cravado",$F901)),ISNUMBER(SEARCH("shaft",$J901)),ISNUMBER(SEARCH("concreto",$F901))),"TUBO CRAVADO","")))</f>
        <v/>
      </c>
      <c r="T901">
        <f>IF($A901="","",TEXT($A901,"yyyymm")&amp;"|"&amp;$C901&amp;"|"&amp;$F901&amp;"|"&amp;$N901&amp;"|"&amp;$R901)</f>
        <v/>
      </c>
    </row>
    <row r="902" ht="11.55" customHeight="1">
      <c r="A902" s="10" t="n">
        <v>46071</v>
      </c>
      <c r="B902" s="7" t="inlineStr">
        <is>
          <t>Quarta</t>
        </is>
      </c>
      <c r="C902" s="7" t="inlineStr">
        <is>
          <t>Vacal</t>
        </is>
      </c>
      <c r="D902" s="7" t="n"/>
      <c r="E902" s="7" t="inlineStr">
        <is>
          <t>Agua Vermelha</t>
        </is>
      </c>
      <c r="F902" s="13" t="inlineStr">
        <is>
          <t>Apoio Vacal</t>
        </is>
      </c>
      <c r="G902" s="7" t="n"/>
      <c r="H902" s="7" t="n"/>
      <c r="I902" s="7" t="n"/>
      <c r="J902" s="7" t="inlineStr">
        <is>
          <t>Vacal</t>
        </is>
      </c>
      <c r="K902" s="7" t="inlineStr">
        <is>
          <t>Apoio</t>
        </is>
      </c>
      <c r="L902" s="16" t="inlineStr">
        <is>
          <t>PDS-Fevereiro(1).docx</t>
        </is>
      </c>
      <c r="M902">
        <f>IF($A902="","",TEXT($A902,"mmmm/yyyy"))</f>
        <v/>
      </c>
      <c r="P902">
        <f>IFERROR(_xludf.XLOOKUP($N902,Base_Enderecos!$A:$A,Base_Enderecos!$B:$B,""),"")</f>
        <v/>
      </c>
      <c r="Q902">
        <f>IFERROR(_xludf.XLOOKUP($N902,Base_Enderecos!$A:$A,Base_Enderecos!$C:$C,""),"")</f>
        <v/>
      </c>
      <c r="R902">
        <f>IF(OR(ISNUMBER(SEARCH("HDD",$F902)),ISNUMBER(SEARCH("MND",$F902)),ISNUMBER(SEARCH("PEAD",$F902)),ISNUMBER(SEARCH("Puxe",$J902)),ISNUMBER(SEARCH("Apoio HDD",$F902))),"MND",IF(OR(ISNUMBER(SEARCH("VCA",$F902)),ISNUMBER(SEARCH("PVC",$F902)),ISNUMBER(SEARCH("vca",$J902)),ISNUMBER(SEARCH("Transformação",$J902))),"VCA",IF(OR(ISNUMBER(SEARCH("crava",$F902)),ISNUMBER(SEARCH("tubo cravado",$F902)),ISNUMBER(SEARCH("shaft",$J902)),ISNUMBER(SEARCH("concreto",$F902))),"TUBO CRAVADO","")))</f>
        <v/>
      </c>
      <c r="T902">
        <f>IF($A902="","",TEXT($A902,"yyyymm")&amp;"|"&amp;$C902&amp;"|"&amp;$F902&amp;"|"&amp;$N902&amp;"|"&amp;$R902)</f>
        <v/>
      </c>
    </row>
    <row r="903" ht="11.55" customHeight="1">
      <c r="A903" s="10" t="n">
        <v>46071</v>
      </c>
      <c r="B903" s="7" t="inlineStr">
        <is>
          <t>Quarta</t>
        </is>
      </c>
      <c r="C903" s="7" t="inlineStr">
        <is>
          <t>Vacal</t>
        </is>
      </c>
      <c r="D903" s="7" t="n"/>
      <c r="E903" s="7" t="inlineStr">
        <is>
          <t>Mar de Coral</t>
        </is>
      </c>
      <c r="F903" s="13" t="inlineStr">
        <is>
          <t>Apoio Vacal</t>
        </is>
      </c>
      <c r="G903" s="7" t="n"/>
      <c r="H903" s="7" t="n"/>
      <c r="I903" s="7" t="n"/>
      <c r="J903" s="7" t="inlineStr">
        <is>
          <t>Vacal</t>
        </is>
      </c>
      <c r="K903" s="7" t="inlineStr">
        <is>
          <t>Apoio</t>
        </is>
      </c>
      <c r="L903" s="16" t="inlineStr">
        <is>
          <t>PDS-Fevereiro(1).docx</t>
        </is>
      </c>
      <c r="M903">
        <f>IF($A903="","",TEXT($A903,"mmmm/yyyy"))</f>
        <v/>
      </c>
      <c r="P903">
        <f>IFERROR(_xludf.XLOOKUP($N903,Base_Enderecos!$A:$A,Base_Enderecos!$B:$B,""),"")</f>
        <v/>
      </c>
      <c r="Q903">
        <f>IFERROR(_xludf.XLOOKUP($N903,Base_Enderecos!$A:$A,Base_Enderecos!$C:$C,""),"")</f>
        <v/>
      </c>
      <c r="R903">
        <f>IF(OR(ISNUMBER(SEARCH("HDD",$F903)),ISNUMBER(SEARCH("MND",$F903)),ISNUMBER(SEARCH("PEAD",$F903)),ISNUMBER(SEARCH("Puxe",$J903)),ISNUMBER(SEARCH("Apoio HDD",$F903))),"MND",IF(OR(ISNUMBER(SEARCH("VCA",$F903)),ISNUMBER(SEARCH("PVC",$F903)),ISNUMBER(SEARCH("vca",$J903)),ISNUMBER(SEARCH("Transformação",$J903))),"VCA",IF(OR(ISNUMBER(SEARCH("crava",$F903)),ISNUMBER(SEARCH("tubo cravado",$F903)),ISNUMBER(SEARCH("shaft",$J903)),ISNUMBER(SEARCH("concreto",$F903))),"TUBO CRAVADO","")))</f>
        <v/>
      </c>
      <c r="T903">
        <f>IF($A903="","",TEXT($A903,"yyyymm")&amp;"|"&amp;$C903&amp;"|"&amp;$F903&amp;"|"&amp;$N903&amp;"|"&amp;$R903)</f>
        <v/>
      </c>
    </row>
    <row r="904" ht="11.55" customHeight="1">
      <c r="A904" s="10" t="n">
        <v>46071</v>
      </c>
      <c r="B904" s="7" t="inlineStr">
        <is>
          <t>Quarta</t>
        </is>
      </c>
      <c r="C904" s="7" t="inlineStr">
        <is>
          <t>Vacal</t>
        </is>
      </c>
      <c r="D904" s="7" t="n"/>
      <c r="E904" s="7" t="inlineStr">
        <is>
          <t>Mar de Coral</t>
        </is>
      </c>
      <c r="F904" s="13" t="inlineStr">
        <is>
          <t>Apoio Vacal</t>
        </is>
      </c>
      <c r="G904" s="7" t="n"/>
      <c r="H904" s="7" t="n"/>
      <c r="I904" s="7" t="n"/>
      <c r="J904" s="7" t="inlineStr">
        <is>
          <t>Vacal</t>
        </is>
      </c>
      <c r="K904" s="7" t="inlineStr">
        <is>
          <t>Apoio</t>
        </is>
      </c>
      <c r="L904" s="16" t="inlineStr">
        <is>
          <t>PDS-Fevereiro(1).docx</t>
        </is>
      </c>
      <c r="M904">
        <f>IF($A904="","",TEXT($A904,"mmmm/yyyy"))</f>
        <v/>
      </c>
      <c r="P904">
        <f>IFERROR(_xludf.XLOOKUP($N904,Base_Enderecos!$A:$A,Base_Enderecos!$B:$B,""),"")</f>
        <v/>
      </c>
      <c r="Q904">
        <f>IFERROR(_xludf.XLOOKUP($N904,Base_Enderecos!$A:$A,Base_Enderecos!$C:$C,""),"")</f>
        <v/>
      </c>
      <c r="R904">
        <f>IF(OR(ISNUMBER(SEARCH("HDD",$F904)),ISNUMBER(SEARCH("MND",$F904)),ISNUMBER(SEARCH("PEAD",$F904)),ISNUMBER(SEARCH("Puxe",$J904)),ISNUMBER(SEARCH("Apoio HDD",$F904))),"MND",IF(OR(ISNUMBER(SEARCH("VCA",$F904)),ISNUMBER(SEARCH("PVC",$F904)),ISNUMBER(SEARCH("vca",$J904)),ISNUMBER(SEARCH("Transformação",$J904))),"VCA",IF(OR(ISNUMBER(SEARCH("crava",$F904)),ISNUMBER(SEARCH("tubo cravado",$F904)),ISNUMBER(SEARCH("shaft",$J904)),ISNUMBER(SEARCH("concreto",$F904))),"TUBO CRAVADO","")))</f>
        <v/>
      </c>
      <c r="T904">
        <f>IF($A904="","",TEXT($A904,"yyyymm")&amp;"|"&amp;$C904&amp;"|"&amp;$F904&amp;"|"&amp;$N904&amp;"|"&amp;$R904)</f>
        <v/>
      </c>
    </row>
    <row r="905" ht="11.55" customHeight="1">
      <c r="A905" s="10" t="n">
        <v>46071</v>
      </c>
      <c r="B905" s="7" t="inlineStr">
        <is>
          <t>Quarta</t>
        </is>
      </c>
      <c r="C905" s="7" t="inlineStr">
        <is>
          <t>Guindauto</t>
        </is>
      </c>
      <c r="D905" s="7" t="n"/>
      <c r="E905" s="7" t="inlineStr">
        <is>
          <t>Rodrigo</t>
        </is>
      </c>
      <c r="F905" s="13" t="inlineStr">
        <is>
          <t>Rodrigo - Apoio as equipes</t>
        </is>
      </c>
      <c r="G905" s="7" t="n"/>
      <c r="H905" s="7" t="n"/>
      <c r="I905" s="7" t="n"/>
      <c r="J905" s="7" t="inlineStr">
        <is>
          <t>Guindauto</t>
        </is>
      </c>
      <c r="K905" s="7" t="inlineStr">
        <is>
          <t>Apoio</t>
        </is>
      </c>
      <c r="L905" s="16" t="inlineStr">
        <is>
          <t>PDS-Fevereiro(1).docx</t>
        </is>
      </c>
      <c r="M905">
        <f>IF($A905="","",TEXT($A905,"mmmm/yyyy"))</f>
        <v/>
      </c>
      <c r="P905">
        <f>IFERROR(_xludf.XLOOKUP($N905,Base_Enderecos!$A:$A,Base_Enderecos!$B:$B,""),"")</f>
        <v/>
      </c>
      <c r="Q905">
        <f>IFERROR(_xludf.XLOOKUP($N905,Base_Enderecos!$A:$A,Base_Enderecos!$C:$C,""),"")</f>
        <v/>
      </c>
      <c r="R905">
        <f>IF(OR(ISNUMBER(SEARCH("HDD",$F905)),ISNUMBER(SEARCH("MND",$F905)),ISNUMBER(SEARCH("PEAD",$F905)),ISNUMBER(SEARCH("Puxe",$J905)),ISNUMBER(SEARCH("Apoio HDD",$F905))),"MND",IF(OR(ISNUMBER(SEARCH("VCA",$F905)),ISNUMBER(SEARCH("PVC",$F905)),ISNUMBER(SEARCH("vca",$J905)),ISNUMBER(SEARCH("Transformação",$J905))),"VCA",IF(OR(ISNUMBER(SEARCH("crava",$F905)),ISNUMBER(SEARCH("tubo cravado",$F905)),ISNUMBER(SEARCH("shaft",$J905)),ISNUMBER(SEARCH("concreto",$F905))),"TUBO CRAVADO","")))</f>
        <v/>
      </c>
      <c r="T905">
        <f>IF($A905="","",TEXT($A905,"yyyymm")&amp;"|"&amp;$C905&amp;"|"&amp;$F905&amp;"|"&amp;$N905&amp;"|"&amp;$R905)</f>
        <v/>
      </c>
    </row>
    <row r="906" ht="11.55" customHeight="1">
      <c r="A906" s="10" t="n">
        <v>46071</v>
      </c>
      <c r="B906" s="7" t="inlineStr">
        <is>
          <t>Quarta</t>
        </is>
      </c>
      <c r="C906" s="7" t="inlineStr">
        <is>
          <t>Guindauto</t>
        </is>
      </c>
      <c r="D906" s="7" t="n"/>
      <c r="E906" s="7" t="inlineStr">
        <is>
          <t>Marcio</t>
        </is>
      </c>
      <c r="F906" s="13" t="inlineStr">
        <is>
          <t>Marcio - Apoio as equipes</t>
        </is>
      </c>
      <c r="G906" s="7" t="n"/>
      <c r="H906" s="7" t="n"/>
      <c r="I906" s="7" t="n"/>
      <c r="J906" s="7" t="inlineStr">
        <is>
          <t>Guindauto</t>
        </is>
      </c>
      <c r="K906" s="7" t="inlineStr">
        <is>
          <t>Apoio</t>
        </is>
      </c>
      <c r="L906" s="16" t="inlineStr">
        <is>
          <t>PDS-Fevereiro(1).docx</t>
        </is>
      </c>
      <c r="M906">
        <f>IF($A906="","",TEXT($A906,"mmmm/yyyy"))</f>
        <v/>
      </c>
      <c r="P906">
        <f>IFERROR(_xludf.XLOOKUP($N906,Base_Enderecos!$A:$A,Base_Enderecos!$B:$B,""),"")</f>
        <v/>
      </c>
      <c r="Q906">
        <f>IFERROR(_xludf.XLOOKUP($N906,Base_Enderecos!$A:$A,Base_Enderecos!$C:$C,""),"")</f>
        <v/>
      </c>
      <c r="R906">
        <f>IF(OR(ISNUMBER(SEARCH("HDD",$F906)),ISNUMBER(SEARCH("MND",$F906)),ISNUMBER(SEARCH("PEAD",$F906)),ISNUMBER(SEARCH("Puxe",$J906)),ISNUMBER(SEARCH("Apoio HDD",$F906))),"MND",IF(OR(ISNUMBER(SEARCH("VCA",$F906)),ISNUMBER(SEARCH("PVC",$F906)),ISNUMBER(SEARCH("vca",$J906)),ISNUMBER(SEARCH("Transformação",$J906))),"VCA",IF(OR(ISNUMBER(SEARCH("crava",$F906)),ISNUMBER(SEARCH("tubo cravado",$F906)),ISNUMBER(SEARCH("shaft",$J906)),ISNUMBER(SEARCH("concreto",$F906))),"TUBO CRAVADO","")))</f>
        <v/>
      </c>
      <c r="T906">
        <f>IF($A906="","",TEXT($A906,"yyyymm")&amp;"|"&amp;$C906&amp;"|"&amp;$F906&amp;"|"&amp;$N906&amp;"|"&amp;$R906)</f>
        <v/>
      </c>
    </row>
    <row r="907" ht="11.55" customHeight="1">
      <c r="A907" s="10" t="n">
        <v>46072</v>
      </c>
      <c r="B907" s="7" t="inlineStr">
        <is>
          <t>Quinta</t>
        </is>
      </c>
      <c r="C907" s="7" t="inlineStr">
        <is>
          <t>CT MAR DE CORAL</t>
        </is>
      </c>
      <c r="D907" s="7" t="inlineStr">
        <is>
          <t>LEANDRO, SILVESTRE e ROBSON</t>
        </is>
      </c>
      <c r="E907" s="7" t="inlineStr">
        <is>
          <t>Carlos</t>
        </is>
      </c>
      <c r="F907" s="13" t="inlineStr">
        <is>
          <t>Transformação PV 5.10</t>
        </is>
      </c>
      <c r="G907" s="7" t="inlineStr">
        <is>
          <t>5.10</t>
        </is>
      </c>
      <c r="H907" s="7" t="n"/>
      <c r="I907" s="7" t="inlineStr">
        <is>
          <t>5.10</t>
        </is>
      </c>
      <c r="J907" s="7" t="inlineStr">
        <is>
          <t>Transformação</t>
        </is>
      </c>
      <c r="K907" s="7" t="inlineStr">
        <is>
          <t>Planejamento</t>
        </is>
      </c>
      <c r="L907" s="16" t="inlineStr">
        <is>
          <t>PDS-Fevereiro(1).docx</t>
        </is>
      </c>
      <c r="M907">
        <f>IF($A907="","",TEXT($A907,"mmmm/yyyy"))</f>
        <v/>
      </c>
      <c r="P907">
        <f>IFERROR(_xludf.XLOOKUP($N907,Base_Enderecos!$A:$A,Base_Enderecos!$B:$B,""),"")</f>
        <v/>
      </c>
      <c r="Q907">
        <f>IFERROR(_xludf.XLOOKUP($N907,Base_Enderecos!$A:$A,Base_Enderecos!$C:$C,""),"")</f>
        <v/>
      </c>
      <c r="R907">
        <f>IF(OR(ISNUMBER(SEARCH("HDD",$F907)),ISNUMBER(SEARCH("MND",$F907)),ISNUMBER(SEARCH("PEAD",$F907)),ISNUMBER(SEARCH("Puxe",$J907)),ISNUMBER(SEARCH("Apoio HDD",$F907))),"MND",IF(OR(ISNUMBER(SEARCH("VCA",$F907)),ISNUMBER(SEARCH("PVC",$F907)),ISNUMBER(SEARCH("vca",$J907)),ISNUMBER(SEARCH("Transformação",$J907))),"VCA",IF(OR(ISNUMBER(SEARCH("crava",$F907)),ISNUMBER(SEARCH("tubo cravado",$F907)),ISNUMBER(SEARCH("shaft",$J907)),ISNUMBER(SEARCH("concreto",$F907))),"TUBO CRAVADO","")))</f>
        <v/>
      </c>
      <c r="T907">
        <f>IF($A907="","",TEXT($A907,"yyyymm")&amp;"|"&amp;$C907&amp;"|"&amp;$F907&amp;"|"&amp;$N907&amp;"|"&amp;$R907)</f>
        <v/>
      </c>
    </row>
    <row r="908" ht="11.55" customHeight="1">
      <c r="A908" s="10" t="n">
        <v>46072</v>
      </c>
      <c r="B908" s="7" t="inlineStr">
        <is>
          <t>Quinta</t>
        </is>
      </c>
      <c r="C908" s="7" t="inlineStr">
        <is>
          <t>CT MAR DE CORAL</t>
        </is>
      </c>
      <c r="D908" s="7" t="inlineStr">
        <is>
          <t>LEANDRO, SILVESTRE e ROBSON</t>
        </is>
      </c>
      <c r="E908" s="7" t="inlineStr">
        <is>
          <t>Work Drill</t>
        </is>
      </c>
      <c r="F908" s="13" t="inlineStr">
        <is>
          <t>Furo Piloto e Puxe entre PVs 33 ao 40</t>
        </is>
      </c>
      <c r="G908" s="7" t="inlineStr">
        <is>
          <t>33</t>
        </is>
      </c>
      <c r="H908" s="7" t="n"/>
      <c r="I908" s="7" t="inlineStr">
        <is>
          <t>33</t>
        </is>
      </c>
      <c r="J908" s="7" t="inlineStr">
        <is>
          <t>Furo piloto</t>
        </is>
      </c>
      <c r="K908" s="7" t="inlineStr">
        <is>
          <t>Planejamento</t>
        </is>
      </c>
      <c r="L908" s="16" t="inlineStr">
        <is>
          <t>PDS-Fevereiro(1).docx</t>
        </is>
      </c>
      <c r="M908">
        <f>IF($A908="","",TEXT($A908,"mmmm/yyyy"))</f>
        <v/>
      </c>
      <c r="P908">
        <f>IFERROR(_xludf.XLOOKUP($N908,Base_Enderecos!$A:$A,Base_Enderecos!$B:$B,""),"")</f>
        <v/>
      </c>
      <c r="Q908">
        <f>IFERROR(_xludf.XLOOKUP($N908,Base_Enderecos!$A:$A,Base_Enderecos!$C:$C,""),"")</f>
        <v/>
      </c>
      <c r="R908">
        <f>IF(OR(ISNUMBER(SEARCH("HDD",$F908)),ISNUMBER(SEARCH("MND",$F908)),ISNUMBER(SEARCH("PEAD",$F908)),ISNUMBER(SEARCH("Puxe",$J908)),ISNUMBER(SEARCH("Apoio HDD",$F908))),"MND",IF(OR(ISNUMBER(SEARCH("VCA",$F908)),ISNUMBER(SEARCH("PVC",$F908)),ISNUMBER(SEARCH("vca",$J908)),ISNUMBER(SEARCH("Transformação",$J908))),"VCA",IF(OR(ISNUMBER(SEARCH("crava",$F908)),ISNUMBER(SEARCH("tubo cravado",$F908)),ISNUMBER(SEARCH("shaft",$J908)),ISNUMBER(SEARCH("concreto",$F908))),"TUBO CRAVADO","")))</f>
        <v/>
      </c>
      <c r="T908">
        <f>IF($A908="","",TEXT($A908,"yyyymm")&amp;"|"&amp;$C908&amp;"|"&amp;$F908&amp;"|"&amp;$N908&amp;"|"&amp;$R908)</f>
        <v/>
      </c>
    </row>
    <row r="909" ht="11.55" customHeight="1">
      <c r="A909" s="10" t="n">
        <v>46072</v>
      </c>
      <c r="B909" s="7" t="inlineStr">
        <is>
          <t>Quinta</t>
        </is>
      </c>
      <c r="C909" s="7" t="inlineStr">
        <is>
          <t>CT MAR DE CORAL</t>
        </is>
      </c>
      <c r="D909" s="7" t="inlineStr">
        <is>
          <t>LEANDRO, SILVESTRE e ROBSON</t>
        </is>
      </c>
      <c r="E909" s="7" t="inlineStr">
        <is>
          <t>Medeiros</t>
        </is>
      </c>
      <c r="F909" s="13" t="inlineStr">
        <is>
          <t>Apoio HDD PV 33 ao PV 40</t>
        </is>
      </c>
      <c r="G909" s="7" t="inlineStr">
        <is>
          <t>33</t>
        </is>
      </c>
      <c r="H909" s="7" t="inlineStr">
        <is>
          <t>40</t>
        </is>
      </c>
      <c r="I909" s="7" t="inlineStr">
        <is>
          <t>33, 40</t>
        </is>
      </c>
      <c r="J909" s="7" t="inlineStr">
        <is>
          <t>Apoio HDD</t>
        </is>
      </c>
      <c r="K909" s="7" t="inlineStr">
        <is>
          <t>Planejamento</t>
        </is>
      </c>
      <c r="L909" s="16" t="inlineStr">
        <is>
          <t>PDS-Fevereiro(1).docx</t>
        </is>
      </c>
      <c r="M909">
        <f>IF($A909="","",TEXT($A909,"mmmm/yyyy"))</f>
        <v/>
      </c>
      <c r="P909">
        <f>IFERROR(_xludf.XLOOKUP($N909,Base_Enderecos!$A:$A,Base_Enderecos!$B:$B,""),"")</f>
        <v/>
      </c>
      <c r="Q909">
        <f>IFERROR(_xludf.XLOOKUP($N909,Base_Enderecos!$A:$A,Base_Enderecos!$C:$C,""),"")</f>
        <v/>
      </c>
      <c r="R909">
        <f>IF(OR(ISNUMBER(SEARCH("HDD",$F909)),ISNUMBER(SEARCH("MND",$F909)),ISNUMBER(SEARCH("PEAD",$F909)),ISNUMBER(SEARCH("Puxe",$J909)),ISNUMBER(SEARCH("Apoio HDD",$F909))),"MND",IF(OR(ISNUMBER(SEARCH("VCA",$F909)),ISNUMBER(SEARCH("PVC",$F909)),ISNUMBER(SEARCH("vca",$J909)),ISNUMBER(SEARCH("Transformação",$J909))),"VCA",IF(OR(ISNUMBER(SEARCH("crava",$F909)),ISNUMBER(SEARCH("tubo cravado",$F909)),ISNUMBER(SEARCH("shaft",$J909)),ISNUMBER(SEARCH("concreto",$F909))),"TUBO CRAVADO","")))</f>
        <v/>
      </c>
      <c r="T909">
        <f>IF($A909="","",TEXT($A909,"yyyymm")&amp;"|"&amp;$C909&amp;"|"&amp;$F909&amp;"|"&amp;$N909&amp;"|"&amp;$R909)</f>
        <v/>
      </c>
    </row>
    <row r="910" ht="11.55" customHeight="1">
      <c r="A910" s="10" t="n">
        <v>46072</v>
      </c>
      <c r="B910" s="7" t="inlineStr">
        <is>
          <t>Quinta</t>
        </is>
      </c>
      <c r="C910" s="7" t="inlineStr">
        <is>
          <t>CT MAR DE CORAL</t>
        </is>
      </c>
      <c r="D910" s="7" t="inlineStr">
        <is>
          <t>LEANDRO, SILVESTRE e ROBSON</t>
        </is>
      </c>
      <c r="E910" s="7" t="inlineStr">
        <is>
          <t>Sergio</t>
        </is>
      </c>
      <c r="F910" s="13" t="inlineStr">
        <is>
          <t>Shaft PV 43</t>
        </is>
      </c>
      <c r="G910" s="7" t="inlineStr">
        <is>
          <t>43</t>
        </is>
      </c>
      <c r="H910" s="7" t="n"/>
      <c r="I910" s="7" t="inlineStr">
        <is>
          <t>43</t>
        </is>
      </c>
      <c r="J910" s="7" t="inlineStr">
        <is>
          <t>Shaft</t>
        </is>
      </c>
      <c r="K910" s="7" t="inlineStr">
        <is>
          <t>Planejamento</t>
        </is>
      </c>
      <c r="L910" s="16" t="inlineStr">
        <is>
          <t>PDS-Fevereiro(1).docx</t>
        </is>
      </c>
      <c r="M910">
        <f>IF($A910="","",TEXT($A910,"mmmm/yyyy"))</f>
        <v/>
      </c>
      <c r="P910">
        <f>IFERROR(_xludf.XLOOKUP($N910,Base_Enderecos!$A:$A,Base_Enderecos!$B:$B,""),"")</f>
        <v/>
      </c>
      <c r="Q910">
        <f>IFERROR(_xludf.XLOOKUP($N910,Base_Enderecos!$A:$A,Base_Enderecos!$C:$C,""),"")</f>
        <v/>
      </c>
      <c r="R910">
        <f>IF(OR(ISNUMBER(SEARCH("HDD",$F910)),ISNUMBER(SEARCH("MND",$F910)),ISNUMBER(SEARCH("PEAD",$F910)),ISNUMBER(SEARCH("Puxe",$J910)),ISNUMBER(SEARCH("Apoio HDD",$F910))),"MND",IF(OR(ISNUMBER(SEARCH("VCA",$F910)),ISNUMBER(SEARCH("PVC",$F910)),ISNUMBER(SEARCH("vca",$J910)),ISNUMBER(SEARCH("Transformação",$J910))),"VCA",IF(OR(ISNUMBER(SEARCH("crava",$F910)),ISNUMBER(SEARCH("tubo cravado",$F910)),ISNUMBER(SEARCH("shaft",$J910)),ISNUMBER(SEARCH("concreto",$F910))),"TUBO CRAVADO","")))</f>
        <v/>
      </c>
      <c r="T910">
        <f>IF($A910="","",TEXT($A910,"yyyymm")&amp;"|"&amp;$C910&amp;"|"&amp;$F910&amp;"|"&amp;$N910&amp;"|"&amp;$R910)</f>
        <v/>
      </c>
    </row>
    <row r="911" ht="11.55" customHeight="1">
      <c r="A911" s="10" t="n">
        <v>46072</v>
      </c>
      <c r="B911" s="7" t="inlineStr">
        <is>
          <t>Quinta</t>
        </is>
      </c>
      <c r="C911" s="7" t="inlineStr">
        <is>
          <t>CT MAR DE CORAL</t>
        </is>
      </c>
      <c r="D911" s="7" t="inlineStr">
        <is>
          <t>LEANDRO, SILVESTRE e ROBSON</t>
        </is>
      </c>
      <c r="E911" s="7" t="inlineStr">
        <is>
          <t>Paulo</t>
        </is>
      </c>
      <c r="F911" s="13" t="inlineStr">
        <is>
          <t>Transformação PV 5</t>
        </is>
      </c>
      <c r="G911" s="7" t="inlineStr">
        <is>
          <t>5</t>
        </is>
      </c>
      <c r="H911" s="7" t="n"/>
      <c r="I911" s="7" t="inlineStr">
        <is>
          <t>5</t>
        </is>
      </c>
      <c r="J911" s="7" t="inlineStr">
        <is>
          <t>Transformação</t>
        </is>
      </c>
      <c r="K911" s="7" t="inlineStr">
        <is>
          <t>Planejamento</t>
        </is>
      </c>
      <c r="L911" s="16" t="inlineStr">
        <is>
          <t>PDS-Fevereiro(1).docx</t>
        </is>
      </c>
      <c r="M911">
        <f>IF($A911="","",TEXT($A911,"mmmm/yyyy"))</f>
        <v/>
      </c>
      <c r="P911">
        <f>IFERROR(_xludf.XLOOKUP($N911,Base_Enderecos!$A:$A,Base_Enderecos!$B:$B,""),"")</f>
        <v/>
      </c>
      <c r="Q911">
        <f>IFERROR(_xludf.XLOOKUP($N911,Base_Enderecos!$A:$A,Base_Enderecos!$C:$C,""),"")</f>
        <v/>
      </c>
      <c r="R911">
        <f>IF(OR(ISNUMBER(SEARCH("HDD",$F911)),ISNUMBER(SEARCH("MND",$F911)),ISNUMBER(SEARCH("PEAD",$F911)),ISNUMBER(SEARCH("Puxe",$J911)),ISNUMBER(SEARCH("Apoio HDD",$F911))),"MND",IF(OR(ISNUMBER(SEARCH("VCA",$F911)),ISNUMBER(SEARCH("PVC",$F911)),ISNUMBER(SEARCH("vca",$J911)),ISNUMBER(SEARCH("Transformação",$J911))),"VCA",IF(OR(ISNUMBER(SEARCH("crava",$F911)),ISNUMBER(SEARCH("tubo cravado",$F911)),ISNUMBER(SEARCH("shaft",$J911)),ISNUMBER(SEARCH("concreto",$F911))),"TUBO CRAVADO","")))</f>
        <v/>
      </c>
      <c r="T911">
        <f>IF($A911="","",TEXT($A911,"yyyymm")&amp;"|"&amp;$C911&amp;"|"&amp;$F911&amp;"|"&amp;$N911&amp;"|"&amp;$R911)</f>
        <v/>
      </c>
    </row>
    <row r="912" ht="11.55" customHeight="1">
      <c r="A912" s="10" t="n">
        <v>46072</v>
      </c>
      <c r="B912" s="7" t="inlineStr">
        <is>
          <t>Quinta</t>
        </is>
      </c>
      <c r="C912" s="7" t="inlineStr">
        <is>
          <t>CT MAR DE CORAL</t>
        </is>
      </c>
      <c r="D912" s="7" t="inlineStr">
        <is>
          <t>LEANDRO, SILVESTRE e ROBSON</t>
        </is>
      </c>
      <c r="E912" s="7" t="inlineStr">
        <is>
          <t>Ricardo</t>
        </is>
      </c>
      <c r="F912" s="13" t="inlineStr">
        <is>
          <t>Shaft PV 45</t>
        </is>
      </c>
      <c r="G912" s="7" t="inlineStr">
        <is>
          <t>45</t>
        </is>
      </c>
      <c r="H912" s="7" t="n"/>
      <c r="I912" s="7" t="inlineStr">
        <is>
          <t>45</t>
        </is>
      </c>
      <c r="J912" s="7" t="inlineStr">
        <is>
          <t>Shaft</t>
        </is>
      </c>
      <c r="K912" s="7" t="inlineStr">
        <is>
          <t>Planejamento</t>
        </is>
      </c>
      <c r="L912" s="16" t="inlineStr">
        <is>
          <t>PDS-Fevereiro(1).docx</t>
        </is>
      </c>
      <c r="M912">
        <f>IF($A912="","",TEXT($A912,"mmmm/yyyy"))</f>
        <v/>
      </c>
      <c r="P912">
        <f>IFERROR(_xludf.XLOOKUP($N912,Base_Enderecos!$A:$A,Base_Enderecos!$B:$B,""),"")</f>
        <v/>
      </c>
      <c r="Q912">
        <f>IFERROR(_xludf.XLOOKUP($N912,Base_Enderecos!$A:$A,Base_Enderecos!$C:$C,""),"")</f>
        <v/>
      </c>
      <c r="R912">
        <f>IF(OR(ISNUMBER(SEARCH("HDD",$F912)),ISNUMBER(SEARCH("MND",$F912)),ISNUMBER(SEARCH("PEAD",$F912)),ISNUMBER(SEARCH("Puxe",$J912)),ISNUMBER(SEARCH("Apoio HDD",$F912))),"MND",IF(OR(ISNUMBER(SEARCH("VCA",$F912)),ISNUMBER(SEARCH("PVC",$F912)),ISNUMBER(SEARCH("vca",$J912)),ISNUMBER(SEARCH("Transformação",$J912))),"VCA",IF(OR(ISNUMBER(SEARCH("crava",$F912)),ISNUMBER(SEARCH("tubo cravado",$F912)),ISNUMBER(SEARCH("shaft",$J912)),ISNUMBER(SEARCH("concreto",$F912))),"TUBO CRAVADO","")))</f>
        <v/>
      </c>
      <c r="T912">
        <f>IF($A912="","",TEXT($A912,"yyyymm")&amp;"|"&amp;$C912&amp;"|"&amp;$F912&amp;"|"&amp;$N912&amp;"|"&amp;$R912)</f>
        <v/>
      </c>
    </row>
    <row r="913" ht="11.55" customHeight="1">
      <c r="A913" s="10" t="n">
        <v>46072</v>
      </c>
      <c r="B913" s="7" t="inlineStr">
        <is>
          <t>Quinta</t>
        </is>
      </c>
      <c r="C913" s="7" t="inlineStr">
        <is>
          <t>CT MAR DE CORAL</t>
        </is>
      </c>
      <c r="D913" s="7" t="inlineStr">
        <is>
          <t>LEANDRO, SILVESTRE e ROBSON</t>
        </is>
      </c>
      <c r="E913" s="7" t="inlineStr">
        <is>
          <t>Valter</t>
        </is>
      </c>
      <c r="F913" s="13" t="inlineStr">
        <is>
          <t>Transformação PV 08</t>
        </is>
      </c>
      <c r="G913" s="7" t="inlineStr">
        <is>
          <t>08</t>
        </is>
      </c>
      <c r="H913" s="7" t="n"/>
      <c r="I913" s="7" t="inlineStr">
        <is>
          <t>08</t>
        </is>
      </c>
      <c r="J913" s="7" t="inlineStr">
        <is>
          <t>Transformação</t>
        </is>
      </c>
      <c r="K913" s="7" t="inlineStr">
        <is>
          <t>Planejamento</t>
        </is>
      </c>
      <c r="L913" s="16" t="inlineStr">
        <is>
          <t>PDS-Fevereiro(1).docx</t>
        </is>
      </c>
      <c r="M913">
        <f>IF($A913="","",TEXT($A913,"mmmm/yyyy"))</f>
        <v/>
      </c>
      <c r="P913">
        <f>IFERROR(_xludf.XLOOKUP($N913,Base_Enderecos!$A:$A,Base_Enderecos!$B:$B,""),"")</f>
        <v/>
      </c>
      <c r="Q913">
        <f>IFERROR(_xludf.XLOOKUP($N913,Base_Enderecos!$A:$A,Base_Enderecos!$C:$C,""),"")</f>
        <v/>
      </c>
      <c r="R913">
        <f>IF(OR(ISNUMBER(SEARCH("HDD",$F913)),ISNUMBER(SEARCH("MND",$F913)),ISNUMBER(SEARCH("PEAD",$F913)),ISNUMBER(SEARCH("Puxe",$J913)),ISNUMBER(SEARCH("Apoio HDD",$F913))),"MND",IF(OR(ISNUMBER(SEARCH("VCA",$F913)),ISNUMBER(SEARCH("PVC",$F913)),ISNUMBER(SEARCH("vca",$J913)),ISNUMBER(SEARCH("Transformação",$J913))),"VCA",IF(OR(ISNUMBER(SEARCH("crava",$F913)),ISNUMBER(SEARCH("tubo cravado",$F913)),ISNUMBER(SEARCH("shaft",$J913)),ISNUMBER(SEARCH("concreto",$F913))),"TUBO CRAVADO","")))</f>
        <v/>
      </c>
      <c r="T913">
        <f>IF($A913="","",TEXT($A913,"yyyymm")&amp;"|"&amp;$C913&amp;"|"&amp;$F913&amp;"|"&amp;$N913&amp;"|"&amp;$R913)</f>
        <v/>
      </c>
    </row>
    <row r="914" ht="11.55" customHeight="1">
      <c r="A914" s="10" t="n">
        <v>46072</v>
      </c>
      <c r="B914" s="7" t="inlineStr">
        <is>
          <t>Quinta</t>
        </is>
      </c>
      <c r="C914" s="7" t="inlineStr">
        <is>
          <t>CT MAR DE CORAL</t>
        </is>
      </c>
      <c r="D914" s="7" t="inlineStr">
        <is>
          <t>LEANDRO, SILVESTRE e ROBSON</t>
        </is>
      </c>
      <c r="E914" s="7" t="inlineStr">
        <is>
          <t>Edivando</t>
        </is>
      </c>
      <c r="F914" s="13" t="inlineStr">
        <is>
          <t>Acabamento PV 04</t>
        </is>
      </c>
      <c r="G914" s="7" t="inlineStr">
        <is>
          <t>04</t>
        </is>
      </c>
      <c r="H914" s="7" t="n"/>
      <c r="I914" s="7" t="inlineStr">
        <is>
          <t>04</t>
        </is>
      </c>
      <c r="J914" s="7" t="inlineStr">
        <is>
          <t>Acabamento</t>
        </is>
      </c>
      <c r="K914" s="7" t="inlineStr">
        <is>
          <t>Planejamento</t>
        </is>
      </c>
      <c r="L914" s="16" t="inlineStr">
        <is>
          <t>PDS-Fevereiro(1).docx</t>
        </is>
      </c>
      <c r="M914">
        <f>IF($A914="","",TEXT($A914,"mmmm/yyyy"))</f>
        <v/>
      </c>
      <c r="P914">
        <f>IFERROR(_xludf.XLOOKUP($N914,Base_Enderecos!$A:$A,Base_Enderecos!$B:$B,""),"")</f>
        <v/>
      </c>
      <c r="Q914">
        <f>IFERROR(_xludf.XLOOKUP($N914,Base_Enderecos!$A:$A,Base_Enderecos!$C:$C,""),"")</f>
        <v/>
      </c>
      <c r="R914">
        <f>IF(OR(ISNUMBER(SEARCH("HDD",$F914)),ISNUMBER(SEARCH("MND",$F914)),ISNUMBER(SEARCH("PEAD",$F914)),ISNUMBER(SEARCH("Puxe",$J914)),ISNUMBER(SEARCH("Apoio HDD",$F914))),"MND",IF(OR(ISNUMBER(SEARCH("VCA",$F914)),ISNUMBER(SEARCH("PVC",$F914)),ISNUMBER(SEARCH("vca",$J914)),ISNUMBER(SEARCH("Transformação",$J914))),"VCA",IF(OR(ISNUMBER(SEARCH("crava",$F914)),ISNUMBER(SEARCH("tubo cravado",$F914)),ISNUMBER(SEARCH("shaft",$J914)),ISNUMBER(SEARCH("concreto",$F914))),"TUBO CRAVADO","")))</f>
        <v/>
      </c>
      <c r="T914">
        <f>IF($A914="","",TEXT($A914,"yyyymm")&amp;"|"&amp;$C914&amp;"|"&amp;$F914&amp;"|"&amp;$N914&amp;"|"&amp;$R914)</f>
        <v/>
      </c>
    </row>
    <row r="915" ht="11.55" customHeight="1">
      <c r="A915" s="10" t="n">
        <v>46072</v>
      </c>
      <c r="B915" s="7" t="inlineStr">
        <is>
          <t>Quinta</t>
        </is>
      </c>
      <c r="C915" s="7" t="inlineStr">
        <is>
          <t>CT AGUA VERMELHA M.D</t>
        </is>
      </c>
      <c r="D915" s="7" t="inlineStr">
        <is>
          <t>CAROLINE e FÁBIO</t>
        </is>
      </c>
      <c r="E915" s="7" t="inlineStr">
        <is>
          <t>Jonathan</t>
        </is>
      </c>
      <c r="F915" s="13" t="inlineStr">
        <is>
          <t>Apoio HDD entre PVD 7 e PV 10</t>
        </is>
      </c>
      <c r="G915" s="7" t="inlineStr">
        <is>
          <t>7</t>
        </is>
      </c>
      <c r="H915" s="7" t="inlineStr">
        <is>
          <t>10</t>
        </is>
      </c>
      <c r="I915" s="7" t="inlineStr">
        <is>
          <t>7, 10</t>
        </is>
      </c>
      <c r="J915" s="7" t="inlineStr">
        <is>
          <t>Apoio HDD</t>
        </is>
      </c>
      <c r="K915" s="7" t="inlineStr">
        <is>
          <t>Planejamento</t>
        </is>
      </c>
      <c r="L915" s="16" t="inlineStr">
        <is>
          <t>PDS-Fevereiro(1).docx</t>
        </is>
      </c>
      <c r="M915">
        <f>IF($A915="","",TEXT($A915,"mmmm/yyyy"))</f>
        <v/>
      </c>
      <c r="P915">
        <f>IFERROR(_xludf.XLOOKUP($N915,Base_Enderecos!$A:$A,Base_Enderecos!$B:$B,""),"")</f>
        <v/>
      </c>
      <c r="Q915">
        <f>IFERROR(_xludf.XLOOKUP($N915,Base_Enderecos!$A:$A,Base_Enderecos!$C:$C,""),"")</f>
        <v/>
      </c>
      <c r="R915">
        <f>IF(OR(ISNUMBER(SEARCH("HDD",$F915)),ISNUMBER(SEARCH("MND",$F915)),ISNUMBER(SEARCH("PEAD",$F915)),ISNUMBER(SEARCH("Puxe",$J915)),ISNUMBER(SEARCH("Apoio HDD",$F915))),"MND",IF(OR(ISNUMBER(SEARCH("VCA",$F915)),ISNUMBER(SEARCH("PVC",$F915)),ISNUMBER(SEARCH("vca",$J915)),ISNUMBER(SEARCH("Transformação",$J915))),"VCA",IF(OR(ISNUMBER(SEARCH("crava",$F915)),ISNUMBER(SEARCH("tubo cravado",$F915)),ISNUMBER(SEARCH("shaft",$J915)),ISNUMBER(SEARCH("concreto",$F915))),"TUBO CRAVADO","")))</f>
        <v/>
      </c>
      <c r="T915">
        <f>IF($A915="","",TEXT($A915,"yyyymm")&amp;"|"&amp;$C915&amp;"|"&amp;$F915&amp;"|"&amp;$N915&amp;"|"&amp;$R915)</f>
        <v/>
      </c>
    </row>
    <row r="916" ht="11.55" customHeight="1">
      <c r="A916" s="10" t="n">
        <v>46072</v>
      </c>
      <c r="B916" s="7" t="inlineStr">
        <is>
          <t>Quinta</t>
        </is>
      </c>
      <c r="C916" s="7" t="inlineStr">
        <is>
          <t>CT AGUA VERMELHA M.D</t>
        </is>
      </c>
      <c r="D916" s="7" t="inlineStr">
        <is>
          <t>CAROLINE e FÁBIO</t>
        </is>
      </c>
      <c r="E916" s="7" t="inlineStr">
        <is>
          <t>WJ 02</t>
        </is>
      </c>
      <c r="F916" s="13" t="inlineStr">
        <is>
          <t>Piloto e Puxe PVD 7 e PVD 10</t>
        </is>
      </c>
      <c r="G916" s="7" t="inlineStr">
        <is>
          <t>7</t>
        </is>
      </c>
      <c r="H916" s="7" t="inlineStr">
        <is>
          <t>10</t>
        </is>
      </c>
      <c r="I916" s="7" t="inlineStr">
        <is>
          <t>7, 10</t>
        </is>
      </c>
      <c r="J916" s="7" t="inlineStr">
        <is>
          <t>Piloto e puxe</t>
        </is>
      </c>
      <c r="K916" s="7" t="inlineStr">
        <is>
          <t>Planejamento</t>
        </is>
      </c>
      <c r="L916" s="16" t="inlineStr">
        <is>
          <t>PDS-Fevereiro(1).docx</t>
        </is>
      </c>
      <c r="M916">
        <f>IF($A916="","",TEXT($A916,"mmmm/yyyy"))</f>
        <v/>
      </c>
      <c r="P916">
        <f>IFERROR(_xludf.XLOOKUP($N916,Base_Enderecos!$A:$A,Base_Enderecos!$B:$B,""),"")</f>
        <v/>
      </c>
      <c r="Q916">
        <f>IFERROR(_xludf.XLOOKUP($N916,Base_Enderecos!$A:$A,Base_Enderecos!$C:$C,""),"")</f>
        <v/>
      </c>
      <c r="R916">
        <f>IF(OR(ISNUMBER(SEARCH("HDD",$F916)),ISNUMBER(SEARCH("MND",$F916)),ISNUMBER(SEARCH("PEAD",$F916)),ISNUMBER(SEARCH("Puxe",$J916)),ISNUMBER(SEARCH("Apoio HDD",$F916))),"MND",IF(OR(ISNUMBER(SEARCH("VCA",$F916)),ISNUMBER(SEARCH("PVC",$F916)),ISNUMBER(SEARCH("vca",$J916)),ISNUMBER(SEARCH("Transformação",$J916))),"VCA",IF(OR(ISNUMBER(SEARCH("crava",$F916)),ISNUMBER(SEARCH("tubo cravado",$F916)),ISNUMBER(SEARCH("shaft",$J916)),ISNUMBER(SEARCH("concreto",$F916))),"TUBO CRAVADO","")))</f>
        <v/>
      </c>
      <c r="T916">
        <f>IF($A916="","",TEXT($A916,"yyyymm")&amp;"|"&amp;$C916&amp;"|"&amp;$F916&amp;"|"&amp;$N916&amp;"|"&amp;$R916)</f>
        <v/>
      </c>
    </row>
    <row r="917" ht="11.55" customHeight="1">
      <c r="A917" s="10" t="n">
        <v>46072</v>
      </c>
      <c r="B917" s="7" t="inlineStr">
        <is>
          <t>Quinta</t>
        </is>
      </c>
      <c r="C917" s="7" t="inlineStr">
        <is>
          <t>CT AGUA VERMELHA M.D</t>
        </is>
      </c>
      <c r="D917" s="7" t="inlineStr">
        <is>
          <t>CAROLINE e FÁBIO</t>
        </is>
      </c>
      <c r="E917" s="7" t="inlineStr">
        <is>
          <t>Marcelo</t>
        </is>
      </c>
      <c r="F917" s="13" t="inlineStr">
        <is>
          <t>Shaft PV 13</t>
        </is>
      </c>
      <c r="G917" s="7" t="inlineStr">
        <is>
          <t>13</t>
        </is>
      </c>
      <c r="H917" s="7" t="n"/>
      <c r="I917" s="7" t="inlineStr">
        <is>
          <t>13</t>
        </is>
      </c>
      <c r="J917" s="7" t="inlineStr">
        <is>
          <t>Shaft</t>
        </is>
      </c>
      <c r="K917" s="7" t="inlineStr">
        <is>
          <t>Planejamento</t>
        </is>
      </c>
      <c r="L917" s="16" t="inlineStr">
        <is>
          <t>PDS-Fevereiro(1).docx</t>
        </is>
      </c>
      <c r="M917">
        <f>IF($A917="","",TEXT($A917,"mmmm/yyyy"))</f>
        <v/>
      </c>
      <c r="P917">
        <f>IFERROR(_xludf.XLOOKUP($N917,Base_Enderecos!$A:$A,Base_Enderecos!$B:$B,""),"")</f>
        <v/>
      </c>
      <c r="Q917">
        <f>IFERROR(_xludf.XLOOKUP($N917,Base_Enderecos!$A:$A,Base_Enderecos!$C:$C,""),"")</f>
        <v/>
      </c>
      <c r="R917">
        <f>IF(OR(ISNUMBER(SEARCH("HDD",$F917)),ISNUMBER(SEARCH("MND",$F917)),ISNUMBER(SEARCH("PEAD",$F917)),ISNUMBER(SEARCH("Puxe",$J917)),ISNUMBER(SEARCH("Apoio HDD",$F917))),"MND",IF(OR(ISNUMBER(SEARCH("VCA",$F917)),ISNUMBER(SEARCH("PVC",$F917)),ISNUMBER(SEARCH("vca",$J917)),ISNUMBER(SEARCH("Transformação",$J917))),"VCA",IF(OR(ISNUMBER(SEARCH("crava",$F917)),ISNUMBER(SEARCH("tubo cravado",$F917)),ISNUMBER(SEARCH("shaft",$J917)),ISNUMBER(SEARCH("concreto",$F917))),"TUBO CRAVADO","")))</f>
        <v/>
      </c>
      <c r="T917">
        <f>IF($A917="","",TEXT($A917,"yyyymm")&amp;"|"&amp;$C917&amp;"|"&amp;$F917&amp;"|"&amp;$N917&amp;"|"&amp;$R917)</f>
        <v/>
      </c>
    </row>
    <row r="918" ht="11.55" customHeight="1">
      <c r="A918" s="10" t="n">
        <v>46072</v>
      </c>
      <c r="B918" s="7" t="inlineStr">
        <is>
          <t>Quinta</t>
        </is>
      </c>
      <c r="C918" s="7" t="inlineStr">
        <is>
          <t>CT AGUA VERMELHA M.D</t>
        </is>
      </c>
      <c r="D918" s="7" t="inlineStr">
        <is>
          <t>CAROLINE e FÁBIO</t>
        </is>
      </c>
      <c r="E918" s="7" t="inlineStr">
        <is>
          <t>Cesar</t>
        </is>
      </c>
      <c r="F918" s="13" t="inlineStr">
        <is>
          <t>Shaft PVD 10</t>
        </is>
      </c>
      <c r="G918" s="7" t="inlineStr">
        <is>
          <t>10</t>
        </is>
      </c>
      <c r="H918" s="7" t="n"/>
      <c r="I918" s="7" t="inlineStr">
        <is>
          <t>10</t>
        </is>
      </c>
      <c r="J918" s="7" t="inlineStr">
        <is>
          <t>Shaft</t>
        </is>
      </c>
      <c r="K918" s="7" t="inlineStr">
        <is>
          <t>Planejamento</t>
        </is>
      </c>
      <c r="L918" s="16" t="inlineStr">
        <is>
          <t>PDS-Fevereiro(1).docx</t>
        </is>
      </c>
      <c r="M918">
        <f>IF($A918="","",TEXT($A918,"mmmm/yyyy"))</f>
        <v/>
      </c>
      <c r="P918">
        <f>IFERROR(_xludf.XLOOKUP($N918,Base_Enderecos!$A:$A,Base_Enderecos!$B:$B,""),"")</f>
        <v/>
      </c>
      <c r="Q918">
        <f>IFERROR(_xludf.XLOOKUP($N918,Base_Enderecos!$A:$A,Base_Enderecos!$C:$C,""),"")</f>
        <v/>
      </c>
      <c r="R918">
        <f>IF(OR(ISNUMBER(SEARCH("HDD",$F918)),ISNUMBER(SEARCH("MND",$F918)),ISNUMBER(SEARCH("PEAD",$F918)),ISNUMBER(SEARCH("Puxe",$J918)),ISNUMBER(SEARCH("Apoio HDD",$F918))),"MND",IF(OR(ISNUMBER(SEARCH("VCA",$F918)),ISNUMBER(SEARCH("PVC",$F918)),ISNUMBER(SEARCH("vca",$J918)),ISNUMBER(SEARCH("Transformação",$J918))),"VCA",IF(OR(ISNUMBER(SEARCH("crava",$F918)),ISNUMBER(SEARCH("tubo cravado",$F918)),ISNUMBER(SEARCH("shaft",$J918)),ISNUMBER(SEARCH("concreto",$F918))),"TUBO CRAVADO","")))</f>
        <v/>
      </c>
      <c r="T918">
        <f>IF($A918="","",TEXT($A918,"yyyymm")&amp;"|"&amp;$C918&amp;"|"&amp;$F918&amp;"|"&amp;$N918&amp;"|"&amp;$R918)</f>
        <v/>
      </c>
    </row>
    <row r="919" ht="11.55" customHeight="1">
      <c r="A919" s="10" t="n">
        <v>46072</v>
      </c>
      <c r="B919" s="7" t="inlineStr">
        <is>
          <t>Quinta</t>
        </is>
      </c>
      <c r="C919" s="7" t="inlineStr">
        <is>
          <t>CT AGUA VERMELHA M.E– Valmir e Eloizio</t>
        </is>
      </c>
      <c r="D919" s="7" t="n"/>
      <c r="E919" s="7" t="inlineStr">
        <is>
          <t>WJ 01</t>
        </is>
      </c>
      <c r="F919" s="13" t="inlineStr">
        <is>
          <t>Piloto e Puxe PVE 7 e PVE 11</t>
        </is>
      </c>
      <c r="G919" s="7" t="inlineStr">
        <is>
          <t>7</t>
        </is>
      </c>
      <c r="H919" s="7" t="inlineStr">
        <is>
          <t>11</t>
        </is>
      </c>
      <c r="I919" s="7" t="inlineStr">
        <is>
          <t>7, 11</t>
        </is>
      </c>
      <c r="J919" s="7" t="inlineStr">
        <is>
          <t>Piloto e puxe</t>
        </is>
      </c>
      <c r="K919" s="7" t="inlineStr">
        <is>
          <t>Planejamento</t>
        </is>
      </c>
      <c r="L919" s="16" t="inlineStr">
        <is>
          <t>PDS-Fevereiro(1).docx</t>
        </is>
      </c>
      <c r="M919">
        <f>IF($A919="","",TEXT($A919,"mmmm/yyyy"))</f>
        <v/>
      </c>
      <c r="P919">
        <f>IFERROR(_xludf.XLOOKUP($N919,Base_Enderecos!$A:$A,Base_Enderecos!$B:$B,""),"")</f>
        <v/>
      </c>
      <c r="Q919">
        <f>IFERROR(_xludf.XLOOKUP($N919,Base_Enderecos!$A:$A,Base_Enderecos!$C:$C,""),"")</f>
        <v/>
      </c>
      <c r="R919">
        <f>IF(OR(ISNUMBER(SEARCH("HDD",$F919)),ISNUMBER(SEARCH("MND",$F919)),ISNUMBER(SEARCH("PEAD",$F919)),ISNUMBER(SEARCH("Puxe",$J919)),ISNUMBER(SEARCH("Apoio HDD",$F919))),"MND",IF(OR(ISNUMBER(SEARCH("VCA",$F919)),ISNUMBER(SEARCH("PVC",$F919)),ISNUMBER(SEARCH("vca",$J919)),ISNUMBER(SEARCH("Transformação",$J919))),"VCA",IF(OR(ISNUMBER(SEARCH("crava",$F919)),ISNUMBER(SEARCH("tubo cravado",$F919)),ISNUMBER(SEARCH("shaft",$J919)),ISNUMBER(SEARCH("concreto",$F919))),"TUBO CRAVADO","")))</f>
        <v/>
      </c>
      <c r="T919">
        <f>IF($A919="","",TEXT($A919,"yyyymm")&amp;"|"&amp;$C919&amp;"|"&amp;$F919&amp;"|"&amp;$N919&amp;"|"&amp;$R919)</f>
        <v/>
      </c>
    </row>
    <row r="920" ht="11.55" customHeight="1">
      <c r="A920" s="10" t="n">
        <v>46072</v>
      </c>
      <c r="B920" s="7" t="inlineStr">
        <is>
          <t>Quinta</t>
        </is>
      </c>
      <c r="C920" s="7" t="inlineStr">
        <is>
          <t>CT AGUA VERMELHA M.E– Valmir e Eloizio</t>
        </is>
      </c>
      <c r="D920" s="7" t="n"/>
      <c r="E920" s="7" t="inlineStr">
        <is>
          <t>Marcio</t>
        </is>
      </c>
      <c r="F920" s="13" t="inlineStr">
        <is>
          <t>Apoio HDD PVE 7 ao 11</t>
        </is>
      </c>
      <c r="G920" s="7" t="inlineStr">
        <is>
          <t>7</t>
        </is>
      </c>
      <c r="H920" s="7" t="n"/>
      <c r="I920" s="7" t="inlineStr">
        <is>
          <t>7</t>
        </is>
      </c>
      <c r="J920" s="7" t="inlineStr">
        <is>
          <t>Apoio HDD</t>
        </is>
      </c>
      <c r="K920" s="7" t="inlineStr">
        <is>
          <t>Planejamento</t>
        </is>
      </c>
      <c r="L920" s="16" t="inlineStr">
        <is>
          <t>PDS-Fevereiro(1).docx</t>
        </is>
      </c>
      <c r="M920">
        <f>IF($A920="","",TEXT($A920,"mmmm/yyyy"))</f>
        <v/>
      </c>
      <c r="P920">
        <f>IFERROR(_xludf.XLOOKUP($N920,Base_Enderecos!$A:$A,Base_Enderecos!$B:$B,""),"")</f>
        <v/>
      </c>
      <c r="Q920">
        <f>IFERROR(_xludf.XLOOKUP($N920,Base_Enderecos!$A:$A,Base_Enderecos!$C:$C,""),"")</f>
        <v/>
      </c>
      <c r="R920">
        <f>IF(OR(ISNUMBER(SEARCH("HDD",$F920)),ISNUMBER(SEARCH("MND",$F920)),ISNUMBER(SEARCH("PEAD",$F920)),ISNUMBER(SEARCH("Puxe",$J920)),ISNUMBER(SEARCH("Apoio HDD",$F920))),"MND",IF(OR(ISNUMBER(SEARCH("VCA",$F920)),ISNUMBER(SEARCH("PVC",$F920)),ISNUMBER(SEARCH("vca",$J920)),ISNUMBER(SEARCH("Transformação",$J920))),"VCA",IF(OR(ISNUMBER(SEARCH("crava",$F920)),ISNUMBER(SEARCH("tubo cravado",$F920)),ISNUMBER(SEARCH("shaft",$J920)),ISNUMBER(SEARCH("concreto",$F920))),"TUBO CRAVADO","")))</f>
        <v/>
      </c>
      <c r="T920">
        <f>IF($A920="","",TEXT($A920,"yyyymm")&amp;"|"&amp;$C920&amp;"|"&amp;$F920&amp;"|"&amp;$N920&amp;"|"&amp;$R920)</f>
        <v/>
      </c>
    </row>
    <row r="921" ht="11.55" customHeight="1">
      <c r="A921" s="10" t="n">
        <v>46072</v>
      </c>
      <c r="B921" s="7" t="inlineStr">
        <is>
          <t>Quinta</t>
        </is>
      </c>
      <c r="C921" s="7" t="inlineStr">
        <is>
          <t>CT AGUA VERMELHA M.E– Valmir e Eloizio</t>
        </is>
      </c>
      <c r="D921" s="7" t="n"/>
      <c r="E921" s="7" t="inlineStr">
        <is>
          <t>Higor</t>
        </is>
      </c>
      <c r="F921" s="13" t="inlineStr">
        <is>
          <t>Transformação PVE 05</t>
        </is>
      </c>
      <c r="G921" s="7" t="inlineStr">
        <is>
          <t>05</t>
        </is>
      </c>
      <c r="H921" s="7" t="n"/>
      <c r="I921" s="7" t="inlineStr">
        <is>
          <t>05</t>
        </is>
      </c>
      <c r="J921" s="7" t="inlineStr">
        <is>
          <t>Transformação</t>
        </is>
      </c>
      <c r="K921" s="7" t="inlineStr">
        <is>
          <t>Planejamento</t>
        </is>
      </c>
      <c r="L921" s="16" t="inlineStr">
        <is>
          <t>PDS-Fevereiro(1).docx</t>
        </is>
      </c>
      <c r="M921">
        <f>IF($A921="","",TEXT($A921,"mmmm/yyyy"))</f>
        <v/>
      </c>
      <c r="P921">
        <f>IFERROR(_xludf.XLOOKUP($N921,Base_Enderecos!$A:$A,Base_Enderecos!$B:$B,""),"")</f>
        <v/>
      </c>
      <c r="Q921">
        <f>IFERROR(_xludf.XLOOKUP($N921,Base_Enderecos!$A:$A,Base_Enderecos!$C:$C,""),"")</f>
        <v/>
      </c>
      <c r="R921">
        <f>IF(OR(ISNUMBER(SEARCH("HDD",$F921)),ISNUMBER(SEARCH("MND",$F921)),ISNUMBER(SEARCH("PEAD",$F921)),ISNUMBER(SEARCH("Puxe",$J921)),ISNUMBER(SEARCH("Apoio HDD",$F921))),"MND",IF(OR(ISNUMBER(SEARCH("VCA",$F921)),ISNUMBER(SEARCH("PVC",$F921)),ISNUMBER(SEARCH("vca",$J921)),ISNUMBER(SEARCH("Transformação",$J921))),"VCA",IF(OR(ISNUMBER(SEARCH("crava",$F921)),ISNUMBER(SEARCH("tubo cravado",$F921)),ISNUMBER(SEARCH("shaft",$J921)),ISNUMBER(SEARCH("concreto",$F921))),"TUBO CRAVADO","")))</f>
        <v/>
      </c>
      <c r="T921">
        <f>IF($A921="","",TEXT($A921,"yyyymm")&amp;"|"&amp;$C921&amp;"|"&amp;$F921&amp;"|"&amp;$N921&amp;"|"&amp;$R921)</f>
        <v/>
      </c>
    </row>
    <row r="922" ht="11.55" customHeight="1">
      <c r="A922" s="10" t="n">
        <v>46072</v>
      </c>
      <c r="B922" s="7" t="inlineStr">
        <is>
          <t>Quinta</t>
        </is>
      </c>
      <c r="C922" s="7" t="inlineStr">
        <is>
          <t>CT AGUA VERMELHA M.E– Valmir e Eloizio</t>
        </is>
      </c>
      <c r="D922" s="7" t="n"/>
      <c r="E922" s="7" t="inlineStr">
        <is>
          <t>Cidão</t>
        </is>
      </c>
      <c r="F922" s="13" t="inlineStr">
        <is>
          <t>Shaft PVE 21</t>
        </is>
      </c>
      <c r="G922" s="7" t="inlineStr">
        <is>
          <t>21</t>
        </is>
      </c>
      <c r="H922" s="7" t="n"/>
      <c r="I922" s="7" t="inlineStr">
        <is>
          <t>21</t>
        </is>
      </c>
      <c r="J922" s="7" t="inlineStr">
        <is>
          <t>Shaft</t>
        </is>
      </c>
      <c r="K922" s="7" t="inlineStr">
        <is>
          <t>Planejamento</t>
        </is>
      </c>
      <c r="L922" s="16" t="inlineStr">
        <is>
          <t>PDS-Fevereiro(1).docx</t>
        </is>
      </c>
      <c r="M922">
        <f>IF($A922="","",TEXT($A922,"mmmm/yyyy"))</f>
        <v/>
      </c>
      <c r="P922">
        <f>IFERROR(_xludf.XLOOKUP($N922,Base_Enderecos!$A:$A,Base_Enderecos!$B:$B,""),"")</f>
        <v/>
      </c>
      <c r="Q922">
        <f>IFERROR(_xludf.XLOOKUP($N922,Base_Enderecos!$A:$A,Base_Enderecos!$C:$C,""),"")</f>
        <v/>
      </c>
      <c r="R922">
        <f>IF(OR(ISNUMBER(SEARCH("HDD",$F922)),ISNUMBER(SEARCH("MND",$F922)),ISNUMBER(SEARCH("PEAD",$F922)),ISNUMBER(SEARCH("Puxe",$J922)),ISNUMBER(SEARCH("Apoio HDD",$F922))),"MND",IF(OR(ISNUMBER(SEARCH("VCA",$F922)),ISNUMBER(SEARCH("PVC",$F922)),ISNUMBER(SEARCH("vca",$J922)),ISNUMBER(SEARCH("Transformação",$J922))),"VCA",IF(OR(ISNUMBER(SEARCH("crava",$F922)),ISNUMBER(SEARCH("tubo cravado",$F922)),ISNUMBER(SEARCH("shaft",$J922)),ISNUMBER(SEARCH("concreto",$F922))),"TUBO CRAVADO","")))</f>
        <v/>
      </c>
      <c r="T922">
        <f>IF($A922="","",TEXT($A922,"yyyymm")&amp;"|"&amp;$C922&amp;"|"&amp;$F922&amp;"|"&amp;$N922&amp;"|"&amp;$R922)</f>
        <v/>
      </c>
    </row>
    <row r="923" ht="11.55" customHeight="1">
      <c r="A923" s="10" t="n">
        <v>46072</v>
      </c>
      <c r="B923" s="7" t="inlineStr">
        <is>
          <t>Quinta</t>
        </is>
      </c>
      <c r="C923" s="7" t="inlineStr">
        <is>
          <t>Vacal</t>
        </is>
      </c>
      <c r="D923" s="7" t="n"/>
      <c r="E923" s="7" t="inlineStr">
        <is>
          <t>Agua Vermelha</t>
        </is>
      </c>
      <c r="F923" s="13" t="inlineStr">
        <is>
          <t>Apoio Vacal</t>
        </is>
      </c>
      <c r="G923" s="7" t="n"/>
      <c r="H923" s="7" t="n"/>
      <c r="I923" s="7" t="n"/>
      <c r="J923" s="7" t="inlineStr">
        <is>
          <t>Vacal</t>
        </is>
      </c>
      <c r="K923" s="7" t="inlineStr">
        <is>
          <t>Apoio</t>
        </is>
      </c>
      <c r="L923" s="16" t="inlineStr">
        <is>
          <t>PDS-Fevereiro(1).docx</t>
        </is>
      </c>
      <c r="M923">
        <f>IF($A923="","",TEXT($A923,"mmmm/yyyy"))</f>
        <v/>
      </c>
      <c r="P923">
        <f>IFERROR(_xludf.XLOOKUP($N923,Base_Enderecos!$A:$A,Base_Enderecos!$B:$B,""),"")</f>
        <v/>
      </c>
      <c r="Q923">
        <f>IFERROR(_xludf.XLOOKUP($N923,Base_Enderecos!$A:$A,Base_Enderecos!$C:$C,""),"")</f>
        <v/>
      </c>
      <c r="R923">
        <f>IF(OR(ISNUMBER(SEARCH("HDD",$F923)),ISNUMBER(SEARCH("MND",$F923)),ISNUMBER(SEARCH("PEAD",$F923)),ISNUMBER(SEARCH("Puxe",$J923)),ISNUMBER(SEARCH("Apoio HDD",$F923))),"MND",IF(OR(ISNUMBER(SEARCH("VCA",$F923)),ISNUMBER(SEARCH("PVC",$F923)),ISNUMBER(SEARCH("vca",$J923)),ISNUMBER(SEARCH("Transformação",$J923))),"VCA",IF(OR(ISNUMBER(SEARCH("crava",$F923)),ISNUMBER(SEARCH("tubo cravado",$F923)),ISNUMBER(SEARCH("shaft",$J923)),ISNUMBER(SEARCH("concreto",$F923))),"TUBO CRAVADO","")))</f>
        <v/>
      </c>
      <c r="T923">
        <f>IF($A923="","",TEXT($A923,"yyyymm")&amp;"|"&amp;$C923&amp;"|"&amp;$F923&amp;"|"&amp;$N923&amp;"|"&amp;$R923)</f>
        <v/>
      </c>
    </row>
    <row r="924" ht="11.55" customHeight="1">
      <c r="A924" s="10" t="n">
        <v>46072</v>
      </c>
      <c r="B924" s="7" t="inlineStr">
        <is>
          <t>Quinta</t>
        </is>
      </c>
      <c r="C924" s="7" t="inlineStr">
        <is>
          <t>Vacal</t>
        </is>
      </c>
      <c r="D924" s="7" t="n"/>
      <c r="E924" s="7" t="inlineStr">
        <is>
          <t>Agua Vermelha</t>
        </is>
      </c>
      <c r="F924" s="13" t="inlineStr">
        <is>
          <t>Apoio Vacal</t>
        </is>
      </c>
      <c r="G924" s="7" t="n"/>
      <c r="H924" s="7" t="n"/>
      <c r="I924" s="7" t="n"/>
      <c r="J924" s="7" t="inlineStr">
        <is>
          <t>Vacal</t>
        </is>
      </c>
      <c r="K924" s="7" t="inlineStr">
        <is>
          <t>Apoio</t>
        </is>
      </c>
      <c r="L924" s="16" t="inlineStr">
        <is>
          <t>PDS-Fevereiro(1).docx</t>
        </is>
      </c>
      <c r="M924">
        <f>IF($A924="","",TEXT($A924,"mmmm/yyyy"))</f>
        <v/>
      </c>
      <c r="P924">
        <f>IFERROR(_xludf.XLOOKUP($N924,Base_Enderecos!$A:$A,Base_Enderecos!$B:$B,""),"")</f>
        <v/>
      </c>
      <c r="Q924">
        <f>IFERROR(_xludf.XLOOKUP($N924,Base_Enderecos!$A:$A,Base_Enderecos!$C:$C,""),"")</f>
        <v/>
      </c>
      <c r="R924">
        <f>IF(OR(ISNUMBER(SEARCH("HDD",$F924)),ISNUMBER(SEARCH("MND",$F924)),ISNUMBER(SEARCH("PEAD",$F924)),ISNUMBER(SEARCH("Puxe",$J924)),ISNUMBER(SEARCH("Apoio HDD",$F924))),"MND",IF(OR(ISNUMBER(SEARCH("VCA",$F924)),ISNUMBER(SEARCH("PVC",$F924)),ISNUMBER(SEARCH("vca",$J924)),ISNUMBER(SEARCH("Transformação",$J924))),"VCA",IF(OR(ISNUMBER(SEARCH("crava",$F924)),ISNUMBER(SEARCH("tubo cravado",$F924)),ISNUMBER(SEARCH("shaft",$J924)),ISNUMBER(SEARCH("concreto",$F924))),"TUBO CRAVADO","")))</f>
        <v/>
      </c>
      <c r="T924">
        <f>IF($A924="","",TEXT($A924,"yyyymm")&amp;"|"&amp;$C924&amp;"|"&amp;$F924&amp;"|"&amp;$N924&amp;"|"&amp;$R924)</f>
        <v/>
      </c>
    </row>
    <row r="925" ht="11.55" customHeight="1">
      <c r="A925" s="10" t="n">
        <v>46072</v>
      </c>
      <c r="B925" s="7" t="inlineStr">
        <is>
          <t>Quinta</t>
        </is>
      </c>
      <c r="C925" s="7" t="inlineStr">
        <is>
          <t>Vacal</t>
        </is>
      </c>
      <c r="D925" s="7" t="n"/>
      <c r="E925" s="7" t="inlineStr">
        <is>
          <t>Mar de Coral</t>
        </is>
      </c>
      <c r="F925" s="13" t="inlineStr">
        <is>
          <t>Apoio Vacal</t>
        </is>
      </c>
      <c r="G925" s="7" t="n"/>
      <c r="H925" s="7" t="n"/>
      <c r="I925" s="7" t="n"/>
      <c r="J925" s="7" t="inlineStr">
        <is>
          <t>Vacal</t>
        </is>
      </c>
      <c r="K925" s="7" t="inlineStr">
        <is>
          <t>Apoio</t>
        </is>
      </c>
      <c r="L925" s="16" t="inlineStr">
        <is>
          <t>PDS-Fevereiro(1).docx</t>
        </is>
      </c>
      <c r="M925">
        <f>IF($A925="","",TEXT($A925,"mmmm/yyyy"))</f>
        <v/>
      </c>
      <c r="P925">
        <f>IFERROR(_xludf.XLOOKUP($N925,Base_Enderecos!$A:$A,Base_Enderecos!$B:$B,""),"")</f>
        <v/>
      </c>
      <c r="Q925">
        <f>IFERROR(_xludf.XLOOKUP($N925,Base_Enderecos!$A:$A,Base_Enderecos!$C:$C,""),"")</f>
        <v/>
      </c>
      <c r="R925">
        <f>IF(OR(ISNUMBER(SEARCH("HDD",$F925)),ISNUMBER(SEARCH("MND",$F925)),ISNUMBER(SEARCH("PEAD",$F925)),ISNUMBER(SEARCH("Puxe",$J925)),ISNUMBER(SEARCH("Apoio HDD",$F925))),"MND",IF(OR(ISNUMBER(SEARCH("VCA",$F925)),ISNUMBER(SEARCH("PVC",$F925)),ISNUMBER(SEARCH("vca",$J925)),ISNUMBER(SEARCH("Transformação",$J925))),"VCA",IF(OR(ISNUMBER(SEARCH("crava",$F925)),ISNUMBER(SEARCH("tubo cravado",$F925)),ISNUMBER(SEARCH("shaft",$J925)),ISNUMBER(SEARCH("concreto",$F925))),"TUBO CRAVADO","")))</f>
        <v/>
      </c>
      <c r="T925">
        <f>IF($A925="","",TEXT($A925,"yyyymm")&amp;"|"&amp;$C925&amp;"|"&amp;$F925&amp;"|"&amp;$N925&amp;"|"&amp;$R925)</f>
        <v/>
      </c>
    </row>
    <row r="926" ht="11.55" customHeight="1">
      <c r="A926" s="10" t="n">
        <v>46072</v>
      </c>
      <c r="B926" s="7" t="inlineStr">
        <is>
          <t>Quinta</t>
        </is>
      </c>
      <c r="C926" s="7" t="inlineStr">
        <is>
          <t>Guindauto</t>
        </is>
      </c>
      <c r="D926" s="7" t="n"/>
      <c r="E926" s="7" t="inlineStr">
        <is>
          <t>Rodrigo</t>
        </is>
      </c>
      <c r="F926" s="13" t="inlineStr">
        <is>
          <t>Rodrigo - Apoio as equipes</t>
        </is>
      </c>
      <c r="G926" s="7" t="n"/>
      <c r="H926" s="7" t="n"/>
      <c r="I926" s="7" t="n"/>
      <c r="J926" s="7" t="inlineStr">
        <is>
          <t>Guindauto</t>
        </is>
      </c>
      <c r="K926" s="7" t="inlineStr">
        <is>
          <t>Apoio</t>
        </is>
      </c>
      <c r="L926" s="16" t="inlineStr">
        <is>
          <t>PDS-Fevereiro(1).docx</t>
        </is>
      </c>
      <c r="M926">
        <f>IF($A926="","",TEXT($A926,"mmmm/yyyy"))</f>
        <v/>
      </c>
      <c r="P926">
        <f>IFERROR(_xludf.XLOOKUP($N926,Base_Enderecos!$A:$A,Base_Enderecos!$B:$B,""),"")</f>
        <v/>
      </c>
      <c r="Q926">
        <f>IFERROR(_xludf.XLOOKUP($N926,Base_Enderecos!$A:$A,Base_Enderecos!$C:$C,""),"")</f>
        <v/>
      </c>
      <c r="R926">
        <f>IF(OR(ISNUMBER(SEARCH("HDD",$F926)),ISNUMBER(SEARCH("MND",$F926)),ISNUMBER(SEARCH("PEAD",$F926)),ISNUMBER(SEARCH("Puxe",$J926)),ISNUMBER(SEARCH("Apoio HDD",$F926))),"MND",IF(OR(ISNUMBER(SEARCH("VCA",$F926)),ISNUMBER(SEARCH("PVC",$F926)),ISNUMBER(SEARCH("vca",$J926)),ISNUMBER(SEARCH("Transformação",$J926))),"VCA",IF(OR(ISNUMBER(SEARCH("crava",$F926)),ISNUMBER(SEARCH("tubo cravado",$F926)),ISNUMBER(SEARCH("shaft",$J926)),ISNUMBER(SEARCH("concreto",$F926))),"TUBO CRAVADO","")))</f>
        <v/>
      </c>
      <c r="T926">
        <f>IF($A926="","",TEXT($A926,"yyyymm")&amp;"|"&amp;$C926&amp;"|"&amp;$F926&amp;"|"&amp;$N926&amp;"|"&amp;$R926)</f>
        <v/>
      </c>
    </row>
    <row r="927" ht="11.55" customHeight="1">
      <c r="A927" s="10" t="n">
        <v>46072</v>
      </c>
      <c r="B927" s="7" t="inlineStr">
        <is>
          <t>Quinta</t>
        </is>
      </c>
      <c r="C927" s="7" t="inlineStr">
        <is>
          <t>Guindauto</t>
        </is>
      </c>
      <c r="D927" s="7" t="n"/>
      <c r="E927" s="7" t="inlineStr">
        <is>
          <t>Marcio</t>
        </is>
      </c>
      <c r="F927" s="13" t="inlineStr">
        <is>
          <t>Marcio - Apoio as equipes</t>
        </is>
      </c>
      <c r="G927" s="7" t="n"/>
      <c r="H927" s="7" t="n"/>
      <c r="I927" s="7" t="n"/>
      <c r="J927" s="7" t="inlineStr">
        <is>
          <t>Guindauto</t>
        </is>
      </c>
      <c r="K927" s="7" t="inlineStr">
        <is>
          <t>Apoio</t>
        </is>
      </c>
      <c r="L927" s="16" t="inlineStr">
        <is>
          <t>PDS-Fevereiro(1).docx</t>
        </is>
      </c>
      <c r="M927">
        <f>IF($A927="","",TEXT($A927,"mmmm/yyyy"))</f>
        <v/>
      </c>
      <c r="P927">
        <f>IFERROR(_xludf.XLOOKUP($N927,Base_Enderecos!$A:$A,Base_Enderecos!$B:$B,""),"")</f>
        <v/>
      </c>
      <c r="Q927">
        <f>IFERROR(_xludf.XLOOKUP($N927,Base_Enderecos!$A:$A,Base_Enderecos!$C:$C,""),"")</f>
        <v/>
      </c>
      <c r="R927">
        <f>IF(OR(ISNUMBER(SEARCH("HDD",$F927)),ISNUMBER(SEARCH("MND",$F927)),ISNUMBER(SEARCH("PEAD",$F927)),ISNUMBER(SEARCH("Puxe",$J927)),ISNUMBER(SEARCH("Apoio HDD",$F927))),"MND",IF(OR(ISNUMBER(SEARCH("VCA",$F927)),ISNUMBER(SEARCH("PVC",$F927)),ISNUMBER(SEARCH("vca",$J927)),ISNUMBER(SEARCH("Transformação",$J927))),"VCA",IF(OR(ISNUMBER(SEARCH("crava",$F927)),ISNUMBER(SEARCH("tubo cravado",$F927)),ISNUMBER(SEARCH("shaft",$J927)),ISNUMBER(SEARCH("concreto",$F927))),"TUBO CRAVADO","")))</f>
        <v/>
      </c>
      <c r="T927">
        <f>IF($A927="","",TEXT($A927,"yyyymm")&amp;"|"&amp;$C927&amp;"|"&amp;$F927&amp;"|"&amp;$N927&amp;"|"&amp;$R927)</f>
        <v/>
      </c>
    </row>
    <row r="928" ht="11.55" customHeight="1">
      <c r="A928" s="10" t="n">
        <v>46073</v>
      </c>
      <c r="B928" s="7" t="inlineStr">
        <is>
          <t>Sexta</t>
        </is>
      </c>
      <c r="C928" s="7" t="inlineStr">
        <is>
          <t>CT MAR DE CORAL</t>
        </is>
      </c>
      <c r="D928" s="7" t="inlineStr">
        <is>
          <t>LEANDRO, SILVESTRE e ROBSON</t>
        </is>
      </c>
      <c r="E928" s="7" t="inlineStr">
        <is>
          <t>Work Drill</t>
        </is>
      </c>
      <c r="F928" s="13" t="inlineStr">
        <is>
          <t>Furo Piloto e Puxe entre PVs 44 ao 45</t>
        </is>
      </c>
      <c r="G928" s="7" t="inlineStr">
        <is>
          <t>44</t>
        </is>
      </c>
      <c r="H928" s="7" t="n"/>
      <c r="I928" s="7" t="inlineStr">
        <is>
          <t>44</t>
        </is>
      </c>
      <c r="J928" s="7" t="inlineStr">
        <is>
          <t>Furo piloto</t>
        </is>
      </c>
      <c r="K928" s="7" t="inlineStr">
        <is>
          <t>Planejamento</t>
        </is>
      </c>
      <c r="L928" s="16" t="inlineStr">
        <is>
          <t>PDS-Fevereiro(1).docx</t>
        </is>
      </c>
      <c r="M928">
        <f>IF($A928="","",TEXT($A928,"mmmm/yyyy"))</f>
        <v/>
      </c>
      <c r="P928">
        <f>IFERROR(_xludf.XLOOKUP($N928,Base_Enderecos!$A:$A,Base_Enderecos!$B:$B,""),"")</f>
        <v/>
      </c>
      <c r="Q928">
        <f>IFERROR(_xludf.XLOOKUP($N928,Base_Enderecos!$A:$A,Base_Enderecos!$C:$C,""),"")</f>
        <v/>
      </c>
      <c r="R928">
        <f>IF(OR(ISNUMBER(SEARCH("HDD",$F928)),ISNUMBER(SEARCH("MND",$F928)),ISNUMBER(SEARCH("PEAD",$F928)),ISNUMBER(SEARCH("Puxe",$J928)),ISNUMBER(SEARCH("Apoio HDD",$F928))),"MND",IF(OR(ISNUMBER(SEARCH("VCA",$F928)),ISNUMBER(SEARCH("PVC",$F928)),ISNUMBER(SEARCH("vca",$J928)),ISNUMBER(SEARCH("Transformação",$J928))),"VCA",IF(OR(ISNUMBER(SEARCH("crava",$F928)),ISNUMBER(SEARCH("tubo cravado",$F928)),ISNUMBER(SEARCH("shaft",$J928)),ISNUMBER(SEARCH("concreto",$F928))),"TUBO CRAVADO","")))</f>
        <v/>
      </c>
      <c r="T928">
        <f>IF($A928="","",TEXT($A928,"yyyymm")&amp;"|"&amp;$C928&amp;"|"&amp;$F928&amp;"|"&amp;$N928&amp;"|"&amp;$R928)</f>
        <v/>
      </c>
    </row>
    <row r="929" ht="11.55" customHeight="1">
      <c r="A929" s="10" t="n">
        <v>46073</v>
      </c>
      <c r="B929" s="7" t="inlineStr">
        <is>
          <t>Sexta</t>
        </is>
      </c>
      <c r="C929" s="7" t="inlineStr">
        <is>
          <t>CT MAR DE CORAL</t>
        </is>
      </c>
      <c r="D929" s="7" t="inlineStr">
        <is>
          <t>LEANDRO, SILVESTRE e ROBSON</t>
        </is>
      </c>
      <c r="E929" s="7" t="inlineStr">
        <is>
          <t>Medeiros</t>
        </is>
      </c>
      <c r="F929" s="13" t="inlineStr">
        <is>
          <t>Apoio HDD PV 44 ao PV 45</t>
        </is>
      </c>
      <c r="G929" s="7" t="inlineStr">
        <is>
          <t>44</t>
        </is>
      </c>
      <c r="H929" s="7" t="inlineStr">
        <is>
          <t>45</t>
        </is>
      </c>
      <c r="I929" s="7" t="inlineStr">
        <is>
          <t>44, 45</t>
        </is>
      </c>
      <c r="J929" s="7" t="inlineStr">
        <is>
          <t>Apoio HDD</t>
        </is>
      </c>
      <c r="K929" s="7" t="inlineStr">
        <is>
          <t>Planejamento</t>
        </is>
      </c>
      <c r="L929" s="16" t="inlineStr">
        <is>
          <t>PDS-Fevereiro(1).docx</t>
        </is>
      </c>
      <c r="M929">
        <f>IF($A929="","",TEXT($A929,"mmmm/yyyy"))</f>
        <v/>
      </c>
      <c r="P929">
        <f>IFERROR(_xludf.XLOOKUP($N929,Base_Enderecos!$A:$A,Base_Enderecos!$B:$B,""),"")</f>
        <v/>
      </c>
      <c r="Q929">
        <f>IFERROR(_xludf.XLOOKUP($N929,Base_Enderecos!$A:$A,Base_Enderecos!$C:$C,""),"")</f>
        <v/>
      </c>
      <c r="R929">
        <f>IF(OR(ISNUMBER(SEARCH("HDD",$F929)),ISNUMBER(SEARCH("MND",$F929)),ISNUMBER(SEARCH("PEAD",$F929)),ISNUMBER(SEARCH("Puxe",$J929)),ISNUMBER(SEARCH("Apoio HDD",$F929))),"MND",IF(OR(ISNUMBER(SEARCH("VCA",$F929)),ISNUMBER(SEARCH("PVC",$F929)),ISNUMBER(SEARCH("vca",$J929)),ISNUMBER(SEARCH("Transformação",$J929))),"VCA",IF(OR(ISNUMBER(SEARCH("crava",$F929)),ISNUMBER(SEARCH("tubo cravado",$F929)),ISNUMBER(SEARCH("shaft",$J929)),ISNUMBER(SEARCH("concreto",$F929))),"TUBO CRAVADO","")))</f>
        <v/>
      </c>
      <c r="T929">
        <f>IF($A929="","",TEXT($A929,"yyyymm")&amp;"|"&amp;$C929&amp;"|"&amp;$F929&amp;"|"&amp;$N929&amp;"|"&amp;$R929)</f>
        <v/>
      </c>
    </row>
    <row r="930" ht="11.55" customHeight="1">
      <c r="A930" s="10" t="n">
        <v>46073</v>
      </c>
      <c r="B930" s="7" t="inlineStr">
        <is>
          <t>Sexta</t>
        </is>
      </c>
      <c r="C930" s="7" t="inlineStr">
        <is>
          <t>CT MAR DE CORAL</t>
        </is>
      </c>
      <c r="D930" s="7" t="inlineStr">
        <is>
          <t>LEANDRO, SILVESTRE e ROBSON</t>
        </is>
      </c>
      <c r="E930" s="7" t="inlineStr">
        <is>
          <t>Sergio</t>
        </is>
      </c>
      <c r="F930" s="13" t="inlineStr">
        <is>
          <t>Shaft PV 43</t>
        </is>
      </c>
      <c r="G930" s="7" t="inlineStr">
        <is>
          <t>43</t>
        </is>
      </c>
      <c r="H930" s="7" t="n"/>
      <c r="I930" s="7" t="inlineStr">
        <is>
          <t>43</t>
        </is>
      </c>
      <c r="J930" s="7" t="inlineStr">
        <is>
          <t>Shaft</t>
        </is>
      </c>
      <c r="K930" s="7" t="inlineStr">
        <is>
          <t>Planejamento</t>
        </is>
      </c>
      <c r="L930" s="16" t="inlineStr">
        <is>
          <t>PDS-Fevereiro(1).docx</t>
        </is>
      </c>
      <c r="M930">
        <f>IF($A930="","",TEXT($A930,"mmmm/yyyy"))</f>
        <v/>
      </c>
      <c r="P930">
        <f>IFERROR(_xludf.XLOOKUP($N930,Base_Enderecos!$A:$A,Base_Enderecos!$B:$B,""),"")</f>
        <v/>
      </c>
      <c r="Q930">
        <f>IFERROR(_xludf.XLOOKUP($N930,Base_Enderecos!$A:$A,Base_Enderecos!$C:$C,""),"")</f>
        <v/>
      </c>
      <c r="R930">
        <f>IF(OR(ISNUMBER(SEARCH("HDD",$F930)),ISNUMBER(SEARCH("MND",$F930)),ISNUMBER(SEARCH("PEAD",$F930)),ISNUMBER(SEARCH("Puxe",$J930)),ISNUMBER(SEARCH("Apoio HDD",$F930))),"MND",IF(OR(ISNUMBER(SEARCH("VCA",$F930)),ISNUMBER(SEARCH("PVC",$F930)),ISNUMBER(SEARCH("vca",$J930)),ISNUMBER(SEARCH("Transformação",$J930))),"VCA",IF(OR(ISNUMBER(SEARCH("crava",$F930)),ISNUMBER(SEARCH("tubo cravado",$F930)),ISNUMBER(SEARCH("shaft",$J930)),ISNUMBER(SEARCH("concreto",$F930))),"TUBO CRAVADO","")))</f>
        <v/>
      </c>
      <c r="T930">
        <f>IF($A930="","",TEXT($A930,"yyyymm")&amp;"|"&amp;$C930&amp;"|"&amp;$F930&amp;"|"&amp;$N930&amp;"|"&amp;$R930)</f>
        <v/>
      </c>
    </row>
    <row r="931" ht="11.55" customHeight="1">
      <c r="A931" s="10" t="n">
        <v>46073</v>
      </c>
      <c r="B931" s="7" t="inlineStr">
        <is>
          <t>Sexta</t>
        </is>
      </c>
      <c r="C931" s="7" t="inlineStr">
        <is>
          <t>CT MAR DE CORAL</t>
        </is>
      </c>
      <c r="D931" s="7" t="inlineStr">
        <is>
          <t>LEANDRO, SILVESTRE e ROBSON</t>
        </is>
      </c>
      <c r="E931" s="7" t="inlineStr">
        <is>
          <t>Paulo</t>
        </is>
      </c>
      <c r="F931" s="13" t="inlineStr">
        <is>
          <t>Transformação PV 5</t>
        </is>
      </c>
      <c r="G931" s="7" t="inlineStr">
        <is>
          <t>5</t>
        </is>
      </c>
      <c r="H931" s="7" t="n"/>
      <c r="I931" s="7" t="inlineStr">
        <is>
          <t>5</t>
        </is>
      </c>
      <c r="J931" s="7" t="inlineStr">
        <is>
          <t>Transformação</t>
        </is>
      </c>
      <c r="K931" s="7" t="inlineStr">
        <is>
          <t>Planejamento</t>
        </is>
      </c>
      <c r="L931" s="16" t="inlineStr">
        <is>
          <t>PDS-Fevereiro(1).docx</t>
        </is>
      </c>
      <c r="M931">
        <f>IF($A931="","",TEXT($A931,"mmmm/yyyy"))</f>
        <v/>
      </c>
      <c r="P931">
        <f>IFERROR(_xludf.XLOOKUP($N931,Base_Enderecos!$A:$A,Base_Enderecos!$B:$B,""),"")</f>
        <v/>
      </c>
      <c r="Q931">
        <f>IFERROR(_xludf.XLOOKUP($N931,Base_Enderecos!$A:$A,Base_Enderecos!$C:$C,""),"")</f>
        <v/>
      </c>
      <c r="R931">
        <f>IF(OR(ISNUMBER(SEARCH("HDD",$F931)),ISNUMBER(SEARCH("MND",$F931)),ISNUMBER(SEARCH("PEAD",$F931)),ISNUMBER(SEARCH("Puxe",$J931)),ISNUMBER(SEARCH("Apoio HDD",$F931))),"MND",IF(OR(ISNUMBER(SEARCH("VCA",$F931)),ISNUMBER(SEARCH("PVC",$F931)),ISNUMBER(SEARCH("vca",$J931)),ISNUMBER(SEARCH("Transformação",$J931))),"VCA",IF(OR(ISNUMBER(SEARCH("crava",$F931)),ISNUMBER(SEARCH("tubo cravado",$F931)),ISNUMBER(SEARCH("shaft",$J931)),ISNUMBER(SEARCH("concreto",$F931))),"TUBO CRAVADO","")))</f>
        <v/>
      </c>
      <c r="T931">
        <f>IF($A931="","",TEXT($A931,"yyyymm")&amp;"|"&amp;$C931&amp;"|"&amp;$F931&amp;"|"&amp;$N931&amp;"|"&amp;$R931)</f>
        <v/>
      </c>
    </row>
    <row r="932" ht="11.55" customHeight="1">
      <c r="A932" s="10" t="n">
        <v>46073</v>
      </c>
      <c r="B932" s="7" t="inlineStr">
        <is>
          <t>Sexta</t>
        </is>
      </c>
      <c r="C932" s="7" t="inlineStr">
        <is>
          <t>CT MAR DE CORAL</t>
        </is>
      </c>
      <c r="D932" s="7" t="inlineStr">
        <is>
          <t>LEANDRO, SILVESTRE e ROBSON</t>
        </is>
      </c>
      <c r="E932" s="7" t="inlineStr">
        <is>
          <t>Ricardo</t>
        </is>
      </c>
      <c r="F932" s="13" t="inlineStr">
        <is>
          <t>Shaft PV 41</t>
        </is>
      </c>
      <c r="G932" s="7" t="inlineStr">
        <is>
          <t>41</t>
        </is>
      </c>
      <c r="H932" s="7" t="n"/>
      <c r="I932" s="7" t="inlineStr">
        <is>
          <t>41</t>
        </is>
      </c>
      <c r="J932" s="7" t="inlineStr">
        <is>
          <t>Shaft</t>
        </is>
      </c>
      <c r="K932" s="7" t="inlineStr">
        <is>
          <t>Planejamento</t>
        </is>
      </c>
      <c r="L932" s="16" t="inlineStr">
        <is>
          <t>PDS-Fevereiro(1).docx</t>
        </is>
      </c>
      <c r="M932">
        <f>IF($A932="","",TEXT($A932,"mmmm/yyyy"))</f>
        <v/>
      </c>
      <c r="P932">
        <f>IFERROR(_xludf.XLOOKUP($N932,Base_Enderecos!$A:$A,Base_Enderecos!$B:$B,""),"")</f>
        <v/>
      </c>
      <c r="Q932">
        <f>IFERROR(_xludf.XLOOKUP($N932,Base_Enderecos!$A:$A,Base_Enderecos!$C:$C,""),"")</f>
        <v/>
      </c>
      <c r="R932">
        <f>IF(OR(ISNUMBER(SEARCH("HDD",$F932)),ISNUMBER(SEARCH("MND",$F932)),ISNUMBER(SEARCH("PEAD",$F932)),ISNUMBER(SEARCH("Puxe",$J932)),ISNUMBER(SEARCH("Apoio HDD",$F932))),"MND",IF(OR(ISNUMBER(SEARCH("VCA",$F932)),ISNUMBER(SEARCH("PVC",$F932)),ISNUMBER(SEARCH("vca",$J932)),ISNUMBER(SEARCH("Transformação",$J932))),"VCA",IF(OR(ISNUMBER(SEARCH("crava",$F932)),ISNUMBER(SEARCH("tubo cravado",$F932)),ISNUMBER(SEARCH("shaft",$J932)),ISNUMBER(SEARCH("concreto",$F932))),"TUBO CRAVADO","")))</f>
        <v/>
      </c>
      <c r="T932">
        <f>IF($A932="","",TEXT($A932,"yyyymm")&amp;"|"&amp;$C932&amp;"|"&amp;$F932&amp;"|"&amp;$N932&amp;"|"&amp;$R932)</f>
        <v/>
      </c>
    </row>
    <row r="933" ht="11.55" customHeight="1">
      <c r="A933" s="10" t="n">
        <v>46073</v>
      </c>
      <c r="B933" s="7" t="inlineStr">
        <is>
          <t>Sexta</t>
        </is>
      </c>
      <c r="C933" s="7" t="inlineStr">
        <is>
          <t>CT MAR DE CORAL</t>
        </is>
      </c>
      <c r="D933" s="7" t="inlineStr">
        <is>
          <t>LEANDRO, SILVESTRE e ROBSON</t>
        </is>
      </c>
      <c r="E933" s="7" t="inlineStr">
        <is>
          <t>Valter</t>
        </is>
      </c>
      <c r="F933" s="13" t="inlineStr">
        <is>
          <t>Transformação PV 08</t>
        </is>
      </c>
      <c r="G933" s="7" t="inlineStr">
        <is>
          <t>08</t>
        </is>
      </c>
      <c r="H933" s="7" t="n"/>
      <c r="I933" s="7" t="inlineStr">
        <is>
          <t>08</t>
        </is>
      </c>
      <c r="J933" s="7" t="inlineStr">
        <is>
          <t>Transformação</t>
        </is>
      </c>
      <c r="K933" s="7" t="inlineStr">
        <is>
          <t>Planejamento</t>
        </is>
      </c>
      <c r="L933" s="16" t="inlineStr">
        <is>
          <t>PDS-Fevereiro(1).docx</t>
        </is>
      </c>
      <c r="M933">
        <f>IF($A933="","",TEXT($A933,"mmmm/yyyy"))</f>
        <v/>
      </c>
      <c r="P933">
        <f>IFERROR(_xludf.XLOOKUP($N933,Base_Enderecos!$A:$A,Base_Enderecos!$B:$B,""),"")</f>
        <v/>
      </c>
      <c r="Q933">
        <f>IFERROR(_xludf.XLOOKUP($N933,Base_Enderecos!$A:$A,Base_Enderecos!$C:$C,""),"")</f>
        <v/>
      </c>
      <c r="R933">
        <f>IF(OR(ISNUMBER(SEARCH("HDD",$F933)),ISNUMBER(SEARCH("MND",$F933)),ISNUMBER(SEARCH("PEAD",$F933)),ISNUMBER(SEARCH("Puxe",$J933)),ISNUMBER(SEARCH("Apoio HDD",$F933))),"MND",IF(OR(ISNUMBER(SEARCH("VCA",$F933)),ISNUMBER(SEARCH("PVC",$F933)),ISNUMBER(SEARCH("vca",$J933)),ISNUMBER(SEARCH("Transformação",$J933))),"VCA",IF(OR(ISNUMBER(SEARCH("crava",$F933)),ISNUMBER(SEARCH("tubo cravado",$F933)),ISNUMBER(SEARCH("shaft",$J933)),ISNUMBER(SEARCH("concreto",$F933))),"TUBO CRAVADO","")))</f>
        <v/>
      </c>
      <c r="T933">
        <f>IF($A933="","",TEXT($A933,"yyyymm")&amp;"|"&amp;$C933&amp;"|"&amp;$F933&amp;"|"&amp;$N933&amp;"|"&amp;$R933)</f>
        <v/>
      </c>
    </row>
    <row r="934" ht="11.55" customHeight="1">
      <c r="A934" s="10" t="n">
        <v>46073</v>
      </c>
      <c r="B934" s="7" t="inlineStr">
        <is>
          <t>Sexta</t>
        </is>
      </c>
      <c r="C934" s="7" t="inlineStr">
        <is>
          <t>CT MAR DE CORAL</t>
        </is>
      </c>
      <c r="D934" s="7" t="inlineStr">
        <is>
          <t>LEANDRO, SILVESTRE e ROBSON</t>
        </is>
      </c>
      <c r="E934" s="7" t="inlineStr">
        <is>
          <t>Cidão</t>
        </is>
      </c>
      <c r="F934" s="13" t="inlineStr">
        <is>
          <t>Transformação PV 36</t>
        </is>
      </c>
      <c r="G934" s="7" t="inlineStr">
        <is>
          <t>36</t>
        </is>
      </c>
      <c r="H934" s="7" t="n"/>
      <c r="I934" s="7" t="inlineStr">
        <is>
          <t>36</t>
        </is>
      </c>
      <c r="J934" s="7" t="inlineStr">
        <is>
          <t>Transformação</t>
        </is>
      </c>
      <c r="K934" s="7" t="inlineStr">
        <is>
          <t>Planejamento</t>
        </is>
      </c>
      <c r="L934" s="16" t="inlineStr">
        <is>
          <t>PDS-Fevereiro(1).docx</t>
        </is>
      </c>
      <c r="M934">
        <f>IF($A934="","",TEXT($A934,"mmmm/yyyy"))</f>
        <v/>
      </c>
      <c r="P934">
        <f>IFERROR(_xludf.XLOOKUP($N934,Base_Enderecos!$A:$A,Base_Enderecos!$B:$B,""),"")</f>
        <v/>
      </c>
      <c r="Q934">
        <f>IFERROR(_xludf.XLOOKUP($N934,Base_Enderecos!$A:$A,Base_Enderecos!$C:$C,""),"")</f>
        <v/>
      </c>
      <c r="R934">
        <f>IF(OR(ISNUMBER(SEARCH("HDD",$F934)),ISNUMBER(SEARCH("MND",$F934)),ISNUMBER(SEARCH("PEAD",$F934)),ISNUMBER(SEARCH("Puxe",$J934)),ISNUMBER(SEARCH("Apoio HDD",$F934))),"MND",IF(OR(ISNUMBER(SEARCH("VCA",$F934)),ISNUMBER(SEARCH("PVC",$F934)),ISNUMBER(SEARCH("vca",$J934)),ISNUMBER(SEARCH("Transformação",$J934))),"VCA",IF(OR(ISNUMBER(SEARCH("crava",$F934)),ISNUMBER(SEARCH("tubo cravado",$F934)),ISNUMBER(SEARCH("shaft",$J934)),ISNUMBER(SEARCH("concreto",$F934))),"TUBO CRAVADO","")))</f>
        <v/>
      </c>
      <c r="T934">
        <f>IF($A934="","",TEXT($A934,"yyyymm")&amp;"|"&amp;$C934&amp;"|"&amp;$F934&amp;"|"&amp;$N934&amp;"|"&amp;$R934)</f>
        <v/>
      </c>
    </row>
    <row r="935" ht="11.55" customHeight="1">
      <c r="A935" s="10" t="n">
        <v>46073</v>
      </c>
      <c r="B935" s="7" t="inlineStr">
        <is>
          <t>Sexta</t>
        </is>
      </c>
      <c r="C935" s="7" t="inlineStr">
        <is>
          <t>CT MAR DE CORAL</t>
        </is>
      </c>
      <c r="D935" s="7" t="inlineStr">
        <is>
          <t>LEANDRO, SILVESTRE e ROBSON</t>
        </is>
      </c>
      <c r="E935" s="7" t="inlineStr">
        <is>
          <t>Cesar</t>
        </is>
      </c>
      <c r="F935" s="13" t="inlineStr">
        <is>
          <t>Transformação PV 33</t>
        </is>
      </c>
      <c r="G935" s="7" t="inlineStr">
        <is>
          <t>33</t>
        </is>
      </c>
      <c r="H935" s="7" t="n"/>
      <c r="I935" s="7" t="inlineStr">
        <is>
          <t>33</t>
        </is>
      </c>
      <c r="J935" s="7" t="inlineStr">
        <is>
          <t>Transformação</t>
        </is>
      </c>
      <c r="K935" s="7" t="inlineStr">
        <is>
          <t>Planejamento</t>
        </is>
      </c>
      <c r="L935" s="16" t="inlineStr">
        <is>
          <t>PDS-Fevereiro(1).docx</t>
        </is>
      </c>
      <c r="M935">
        <f>IF($A935="","",TEXT($A935,"mmmm/yyyy"))</f>
        <v/>
      </c>
      <c r="P935">
        <f>IFERROR(_xludf.XLOOKUP($N935,Base_Enderecos!$A:$A,Base_Enderecos!$B:$B,""),"")</f>
        <v/>
      </c>
      <c r="Q935">
        <f>IFERROR(_xludf.XLOOKUP($N935,Base_Enderecos!$A:$A,Base_Enderecos!$C:$C,""),"")</f>
        <v/>
      </c>
      <c r="R935">
        <f>IF(OR(ISNUMBER(SEARCH("HDD",$F935)),ISNUMBER(SEARCH("MND",$F935)),ISNUMBER(SEARCH("PEAD",$F935)),ISNUMBER(SEARCH("Puxe",$J935)),ISNUMBER(SEARCH("Apoio HDD",$F935))),"MND",IF(OR(ISNUMBER(SEARCH("VCA",$F935)),ISNUMBER(SEARCH("PVC",$F935)),ISNUMBER(SEARCH("vca",$J935)),ISNUMBER(SEARCH("Transformação",$J935))),"VCA",IF(OR(ISNUMBER(SEARCH("crava",$F935)),ISNUMBER(SEARCH("tubo cravado",$F935)),ISNUMBER(SEARCH("shaft",$J935)),ISNUMBER(SEARCH("concreto",$F935))),"TUBO CRAVADO","")))</f>
        <v/>
      </c>
      <c r="T935">
        <f>IF($A935="","",TEXT($A935,"yyyymm")&amp;"|"&amp;$C935&amp;"|"&amp;$F935&amp;"|"&amp;$N935&amp;"|"&amp;$R935)</f>
        <v/>
      </c>
    </row>
    <row r="936" ht="11.55" customHeight="1">
      <c r="A936" s="10" t="n">
        <v>46073</v>
      </c>
      <c r="B936" s="7" t="inlineStr">
        <is>
          <t>Sexta</t>
        </is>
      </c>
      <c r="C936" s="7" t="inlineStr">
        <is>
          <t>CT AGUA VERMELHA M.D</t>
        </is>
      </c>
      <c r="D936" s="7" t="inlineStr">
        <is>
          <t>CAROLINE e FÁBIO</t>
        </is>
      </c>
      <c r="E936" s="7" t="inlineStr">
        <is>
          <t>Jonathan</t>
        </is>
      </c>
      <c r="F936" s="13" t="inlineStr">
        <is>
          <t>Apoio HDD entre PVD 7 e PV 10</t>
        </is>
      </c>
      <c r="G936" s="7" t="inlineStr">
        <is>
          <t>7</t>
        </is>
      </c>
      <c r="H936" s="7" t="inlineStr">
        <is>
          <t>10</t>
        </is>
      </c>
      <c r="I936" s="7" t="inlineStr">
        <is>
          <t>7, 10</t>
        </is>
      </c>
      <c r="J936" s="7" t="inlineStr">
        <is>
          <t>Apoio HDD</t>
        </is>
      </c>
      <c r="K936" s="7" t="inlineStr">
        <is>
          <t>Planejamento</t>
        </is>
      </c>
      <c r="L936" s="16" t="inlineStr">
        <is>
          <t>PDS-Fevereiro(1).docx</t>
        </is>
      </c>
      <c r="M936">
        <f>IF($A936="","",TEXT($A936,"mmmm/yyyy"))</f>
        <v/>
      </c>
      <c r="P936">
        <f>IFERROR(_xludf.XLOOKUP($N936,Base_Enderecos!$A:$A,Base_Enderecos!$B:$B,""),"")</f>
        <v/>
      </c>
      <c r="Q936">
        <f>IFERROR(_xludf.XLOOKUP($N936,Base_Enderecos!$A:$A,Base_Enderecos!$C:$C,""),"")</f>
        <v/>
      </c>
      <c r="R936">
        <f>IF(OR(ISNUMBER(SEARCH("HDD",$F936)),ISNUMBER(SEARCH("MND",$F936)),ISNUMBER(SEARCH("PEAD",$F936)),ISNUMBER(SEARCH("Puxe",$J936)),ISNUMBER(SEARCH("Apoio HDD",$F936))),"MND",IF(OR(ISNUMBER(SEARCH("VCA",$F936)),ISNUMBER(SEARCH("PVC",$F936)),ISNUMBER(SEARCH("vca",$J936)),ISNUMBER(SEARCH("Transformação",$J936))),"VCA",IF(OR(ISNUMBER(SEARCH("crava",$F936)),ISNUMBER(SEARCH("tubo cravado",$F936)),ISNUMBER(SEARCH("shaft",$J936)),ISNUMBER(SEARCH("concreto",$F936))),"TUBO CRAVADO","")))</f>
        <v/>
      </c>
      <c r="T936">
        <f>IF($A936="","",TEXT($A936,"yyyymm")&amp;"|"&amp;$C936&amp;"|"&amp;$F936&amp;"|"&amp;$N936&amp;"|"&amp;$R936)</f>
        <v/>
      </c>
    </row>
    <row r="937" ht="11.55" customHeight="1">
      <c r="A937" s="10" t="n">
        <v>46073</v>
      </c>
      <c r="B937" s="7" t="inlineStr">
        <is>
          <t>Sexta</t>
        </is>
      </c>
      <c r="C937" s="7" t="inlineStr">
        <is>
          <t>CT AGUA VERMELHA M.D</t>
        </is>
      </c>
      <c r="D937" s="7" t="inlineStr">
        <is>
          <t>CAROLINE e FÁBIO</t>
        </is>
      </c>
      <c r="E937" s="7" t="inlineStr">
        <is>
          <t>WJ 02</t>
        </is>
      </c>
      <c r="F937" s="13" t="inlineStr">
        <is>
          <t>Puxe PVD 7 e PVD 10</t>
        </is>
      </c>
      <c r="G937" s="7" t="inlineStr">
        <is>
          <t>7</t>
        </is>
      </c>
      <c r="H937" s="7" t="inlineStr">
        <is>
          <t>10</t>
        </is>
      </c>
      <c r="I937" s="7" t="inlineStr">
        <is>
          <t>7, 10</t>
        </is>
      </c>
      <c r="J937" s="7" t="inlineStr">
        <is>
          <t>Puxe</t>
        </is>
      </c>
      <c r="K937" s="7" t="inlineStr">
        <is>
          <t>Planejamento</t>
        </is>
      </c>
      <c r="L937" s="16" t="inlineStr">
        <is>
          <t>PDS-Fevereiro(1).docx</t>
        </is>
      </c>
      <c r="M937">
        <f>IF($A937="","",TEXT($A937,"mmmm/yyyy"))</f>
        <v/>
      </c>
      <c r="P937">
        <f>IFERROR(_xludf.XLOOKUP($N937,Base_Enderecos!$A:$A,Base_Enderecos!$B:$B,""),"")</f>
        <v/>
      </c>
      <c r="Q937">
        <f>IFERROR(_xludf.XLOOKUP($N937,Base_Enderecos!$A:$A,Base_Enderecos!$C:$C,""),"")</f>
        <v/>
      </c>
      <c r="R937">
        <f>IF(OR(ISNUMBER(SEARCH("HDD",$F937)),ISNUMBER(SEARCH("MND",$F937)),ISNUMBER(SEARCH("PEAD",$F937)),ISNUMBER(SEARCH("Puxe",$J937)),ISNUMBER(SEARCH("Apoio HDD",$F937))),"MND",IF(OR(ISNUMBER(SEARCH("VCA",$F937)),ISNUMBER(SEARCH("PVC",$F937)),ISNUMBER(SEARCH("vca",$J937)),ISNUMBER(SEARCH("Transformação",$J937))),"VCA",IF(OR(ISNUMBER(SEARCH("crava",$F937)),ISNUMBER(SEARCH("tubo cravado",$F937)),ISNUMBER(SEARCH("shaft",$J937)),ISNUMBER(SEARCH("concreto",$F937))),"TUBO CRAVADO","")))</f>
        <v/>
      </c>
      <c r="T937">
        <f>IF($A937="","",TEXT($A937,"yyyymm")&amp;"|"&amp;$C937&amp;"|"&amp;$F937&amp;"|"&amp;$N937&amp;"|"&amp;$R937)</f>
        <v/>
      </c>
    </row>
    <row r="938" ht="11.55" customHeight="1">
      <c r="A938" s="10" t="n">
        <v>46073</v>
      </c>
      <c r="B938" s="7" t="inlineStr">
        <is>
          <t>Sexta</t>
        </is>
      </c>
      <c r="C938" s="7" t="inlineStr">
        <is>
          <t>CT AGUA VERMELHA M.D</t>
        </is>
      </c>
      <c r="D938" s="7" t="inlineStr">
        <is>
          <t>CAROLINE e FÁBIO</t>
        </is>
      </c>
      <c r="E938" s="7" t="inlineStr">
        <is>
          <t>Marcelo</t>
        </is>
      </c>
      <c r="F938" s="13" t="inlineStr">
        <is>
          <t>Shaft PV 13</t>
        </is>
      </c>
      <c r="G938" s="7" t="inlineStr">
        <is>
          <t>13</t>
        </is>
      </c>
      <c r="H938" s="7" t="n"/>
      <c r="I938" s="7" t="inlineStr">
        <is>
          <t>13</t>
        </is>
      </c>
      <c r="J938" s="7" t="inlineStr">
        <is>
          <t>Shaft</t>
        </is>
      </c>
      <c r="K938" s="7" t="inlineStr">
        <is>
          <t>Planejamento</t>
        </is>
      </c>
      <c r="L938" s="16" t="inlineStr">
        <is>
          <t>PDS-Fevereiro(1).docx</t>
        </is>
      </c>
      <c r="M938">
        <f>IF($A938="","",TEXT($A938,"mmmm/yyyy"))</f>
        <v/>
      </c>
      <c r="P938">
        <f>IFERROR(_xludf.XLOOKUP($N938,Base_Enderecos!$A:$A,Base_Enderecos!$B:$B,""),"")</f>
        <v/>
      </c>
      <c r="Q938">
        <f>IFERROR(_xludf.XLOOKUP($N938,Base_Enderecos!$A:$A,Base_Enderecos!$C:$C,""),"")</f>
        <v/>
      </c>
      <c r="R938">
        <f>IF(OR(ISNUMBER(SEARCH("HDD",$F938)),ISNUMBER(SEARCH("MND",$F938)),ISNUMBER(SEARCH("PEAD",$F938)),ISNUMBER(SEARCH("Puxe",$J938)),ISNUMBER(SEARCH("Apoio HDD",$F938))),"MND",IF(OR(ISNUMBER(SEARCH("VCA",$F938)),ISNUMBER(SEARCH("PVC",$F938)),ISNUMBER(SEARCH("vca",$J938)),ISNUMBER(SEARCH("Transformação",$J938))),"VCA",IF(OR(ISNUMBER(SEARCH("crava",$F938)),ISNUMBER(SEARCH("tubo cravado",$F938)),ISNUMBER(SEARCH("shaft",$J938)),ISNUMBER(SEARCH("concreto",$F938))),"TUBO CRAVADO","")))</f>
        <v/>
      </c>
      <c r="T938">
        <f>IF($A938="","",TEXT($A938,"yyyymm")&amp;"|"&amp;$C938&amp;"|"&amp;$F938&amp;"|"&amp;$N938&amp;"|"&amp;$R938)</f>
        <v/>
      </c>
    </row>
    <row r="939" ht="11.55" customHeight="1">
      <c r="A939" s="10" t="n">
        <v>46073</v>
      </c>
      <c r="B939" s="7" t="inlineStr">
        <is>
          <t>Sexta</t>
        </is>
      </c>
      <c r="C939" s="7" t="inlineStr">
        <is>
          <t>CT AGUA VERMELHA M.E– Valmir e Eloizio</t>
        </is>
      </c>
      <c r="D939" s="7" t="n"/>
      <c r="E939" s="7" t="inlineStr">
        <is>
          <t>WJ 01</t>
        </is>
      </c>
      <c r="F939" s="13" t="inlineStr">
        <is>
          <t>Piloto e Puxe PVE 11 ao PVE 15</t>
        </is>
      </c>
      <c r="G939" s="7" t="inlineStr">
        <is>
          <t>11</t>
        </is>
      </c>
      <c r="H939" s="7" t="inlineStr">
        <is>
          <t>15</t>
        </is>
      </c>
      <c r="I939" s="7" t="inlineStr">
        <is>
          <t>11, 15</t>
        </is>
      </c>
      <c r="J939" s="7" t="inlineStr">
        <is>
          <t>Piloto e puxe</t>
        </is>
      </c>
      <c r="K939" s="7" t="inlineStr">
        <is>
          <t>Planejamento</t>
        </is>
      </c>
      <c r="L939" s="16" t="inlineStr">
        <is>
          <t>PDS-Fevereiro(1).docx</t>
        </is>
      </c>
      <c r="M939">
        <f>IF($A939="","",TEXT($A939,"mmmm/yyyy"))</f>
        <v/>
      </c>
      <c r="P939">
        <f>IFERROR(_xludf.XLOOKUP($N939,Base_Enderecos!$A:$A,Base_Enderecos!$B:$B,""),"")</f>
        <v/>
      </c>
      <c r="Q939">
        <f>IFERROR(_xludf.XLOOKUP($N939,Base_Enderecos!$A:$A,Base_Enderecos!$C:$C,""),"")</f>
        <v/>
      </c>
      <c r="R939">
        <f>IF(OR(ISNUMBER(SEARCH("HDD",$F939)),ISNUMBER(SEARCH("MND",$F939)),ISNUMBER(SEARCH("PEAD",$F939)),ISNUMBER(SEARCH("Puxe",$J939)),ISNUMBER(SEARCH("Apoio HDD",$F939))),"MND",IF(OR(ISNUMBER(SEARCH("VCA",$F939)),ISNUMBER(SEARCH("PVC",$F939)),ISNUMBER(SEARCH("vca",$J939)),ISNUMBER(SEARCH("Transformação",$J939))),"VCA",IF(OR(ISNUMBER(SEARCH("crava",$F939)),ISNUMBER(SEARCH("tubo cravado",$F939)),ISNUMBER(SEARCH("shaft",$J939)),ISNUMBER(SEARCH("concreto",$F939))),"TUBO CRAVADO","")))</f>
        <v/>
      </c>
      <c r="T939">
        <f>IF($A939="","",TEXT($A939,"yyyymm")&amp;"|"&amp;$C939&amp;"|"&amp;$F939&amp;"|"&amp;$N939&amp;"|"&amp;$R939)</f>
        <v/>
      </c>
    </row>
    <row r="940" ht="11.55" customHeight="1">
      <c r="A940" s="10" t="n">
        <v>46073</v>
      </c>
      <c r="B940" s="7" t="inlineStr">
        <is>
          <t>Sexta</t>
        </is>
      </c>
      <c r="C940" s="7" t="inlineStr">
        <is>
          <t>CT AGUA VERMELHA M.E– Valmir e Eloizio</t>
        </is>
      </c>
      <c r="D940" s="7" t="n"/>
      <c r="E940" s="7" t="inlineStr">
        <is>
          <t>Higor</t>
        </is>
      </c>
      <c r="F940" s="13" t="inlineStr">
        <is>
          <t>Apoio HDD PVE 11 ao 15</t>
        </is>
      </c>
      <c r="G940" s="7" t="inlineStr">
        <is>
          <t>11</t>
        </is>
      </c>
      <c r="H940" s="7" t="n"/>
      <c r="I940" s="7" t="inlineStr">
        <is>
          <t>11</t>
        </is>
      </c>
      <c r="J940" s="7" t="inlineStr">
        <is>
          <t>Apoio HDD</t>
        </is>
      </c>
      <c r="K940" s="7" t="inlineStr">
        <is>
          <t>Planejamento</t>
        </is>
      </c>
      <c r="L940" s="16" t="inlineStr">
        <is>
          <t>PDS-Fevereiro(1).docx</t>
        </is>
      </c>
      <c r="M940">
        <f>IF($A940="","",TEXT($A940,"mmmm/yyyy"))</f>
        <v/>
      </c>
      <c r="P940">
        <f>IFERROR(_xludf.XLOOKUP($N940,Base_Enderecos!$A:$A,Base_Enderecos!$B:$B,""),"")</f>
        <v/>
      </c>
      <c r="Q940">
        <f>IFERROR(_xludf.XLOOKUP($N940,Base_Enderecos!$A:$A,Base_Enderecos!$C:$C,""),"")</f>
        <v/>
      </c>
      <c r="R940">
        <f>IF(OR(ISNUMBER(SEARCH("HDD",$F940)),ISNUMBER(SEARCH("MND",$F940)),ISNUMBER(SEARCH("PEAD",$F940)),ISNUMBER(SEARCH("Puxe",$J940)),ISNUMBER(SEARCH("Apoio HDD",$F940))),"MND",IF(OR(ISNUMBER(SEARCH("VCA",$F940)),ISNUMBER(SEARCH("PVC",$F940)),ISNUMBER(SEARCH("vca",$J940)),ISNUMBER(SEARCH("Transformação",$J940))),"VCA",IF(OR(ISNUMBER(SEARCH("crava",$F940)),ISNUMBER(SEARCH("tubo cravado",$F940)),ISNUMBER(SEARCH("shaft",$J940)),ISNUMBER(SEARCH("concreto",$F940))),"TUBO CRAVADO","")))</f>
        <v/>
      </c>
      <c r="T940">
        <f>IF($A940="","",TEXT($A940,"yyyymm")&amp;"|"&amp;$C940&amp;"|"&amp;$F940&amp;"|"&amp;$N940&amp;"|"&amp;$R940)</f>
        <v/>
      </c>
    </row>
    <row r="941" ht="11.55" customHeight="1">
      <c r="A941" s="10" t="n">
        <v>46073</v>
      </c>
      <c r="B941" s="7" t="inlineStr">
        <is>
          <t>Sexta</t>
        </is>
      </c>
      <c r="C941" s="7" t="inlineStr">
        <is>
          <t>Vacal</t>
        </is>
      </c>
      <c r="D941" s="7" t="n"/>
      <c r="E941" s="7" t="inlineStr">
        <is>
          <t>Agua Vermelha</t>
        </is>
      </c>
      <c r="F941" s="13" t="inlineStr">
        <is>
          <t>Apoio Vacal</t>
        </is>
      </c>
      <c r="G941" s="7" t="n"/>
      <c r="H941" s="7" t="n"/>
      <c r="I941" s="7" t="n"/>
      <c r="J941" s="7" t="inlineStr">
        <is>
          <t>Vacal</t>
        </is>
      </c>
      <c r="K941" s="7" t="inlineStr">
        <is>
          <t>Apoio</t>
        </is>
      </c>
      <c r="L941" s="16" t="inlineStr">
        <is>
          <t>PDS-Fevereiro(1).docx</t>
        </is>
      </c>
      <c r="M941">
        <f>IF($A941="","",TEXT($A941,"mmmm/yyyy"))</f>
        <v/>
      </c>
      <c r="P941">
        <f>IFERROR(_xludf.XLOOKUP($N941,Base_Enderecos!$A:$A,Base_Enderecos!$B:$B,""),"")</f>
        <v/>
      </c>
      <c r="Q941">
        <f>IFERROR(_xludf.XLOOKUP($N941,Base_Enderecos!$A:$A,Base_Enderecos!$C:$C,""),"")</f>
        <v/>
      </c>
      <c r="R941">
        <f>IF(OR(ISNUMBER(SEARCH("HDD",$F941)),ISNUMBER(SEARCH("MND",$F941)),ISNUMBER(SEARCH("PEAD",$F941)),ISNUMBER(SEARCH("Puxe",$J941)),ISNUMBER(SEARCH("Apoio HDD",$F941))),"MND",IF(OR(ISNUMBER(SEARCH("VCA",$F941)),ISNUMBER(SEARCH("PVC",$F941)),ISNUMBER(SEARCH("vca",$J941)),ISNUMBER(SEARCH("Transformação",$J941))),"VCA",IF(OR(ISNUMBER(SEARCH("crava",$F941)),ISNUMBER(SEARCH("tubo cravado",$F941)),ISNUMBER(SEARCH("shaft",$J941)),ISNUMBER(SEARCH("concreto",$F941))),"TUBO CRAVADO","")))</f>
        <v/>
      </c>
      <c r="T941">
        <f>IF($A941="","",TEXT($A941,"yyyymm")&amp;"|"&amp;$C941&amp;"|"&amp;$F941&amp;"|"&amp;$N941&amp;"|"&amp;$R941)</f>
        <v/>
      </c>
    </row>
    <row r="942" ht="11.55" customHeight="1">
      <c r="A942" s="10" t="n">
        <v>46073</v>
      </c>
      <c r="B942" s="7" t="inlineStr">
        <is>
          <t>Sexta</t>
        </is>
      </c>
      <c r="C942" s="7" t="inlineStr">
        <is>
          <t>Vacal</t>
        </is>
      </c>
      <c r="D942" s="7" t="n"/>
      <c r="E942" s="7" t="inlineStr">
        <is>
          <t>Agua Vermelha</t>
        </is>
      </c>
      <c r="F942" s="13" t="inlineStr">
        <is>
          <t>Apoio Vacal</t>
        </is>
      </c>
      <c r="G942" s="7" t="n"/>
      <c r="H942" s="7" t="n"/>
      <c r="I942" s="7" t="n"/>
      <c r="J942" s="7" t="inlineStr">
        <is>
          <t>Vacal</t>
        </is>
      </c>
      <c r="K942" s="7" t="inlineStr">
        <is>
          <t>Apoio</t>
        </is>
      </c>
      <c r="L942" s="16" t="inlineStr">
        <is>
          <t>PDS-Fevereiro(1).docx</t>
        </is>
      </c>
      <c r="M942">
        <f>IF($A942="","",TEXT($A942,"mmmm/yyyy"))</f>
        <v/>
      </c>
      <c r="P942">
        <f>IFERROR(_xludf.XLOOKUP($N942,Base_Enderecos!$A:$A,Base_Enderecos!$B:$B,""),"")</f>
        <v/>
      </c>
      <c r="Q942">
        <f>IFERROR(_xludf.XLOOKUP($N942,Base_Enderecos!$A:$A,Base_Enderecos!$C:$C,""),"")</f>
        <v/>
      </c>
      <c r="R942">
        <f>IF(OR(ISNUMBER(SEARCH("HDD",$F942)),ISNUMBER(SEARCH("MND",$F942)),ISNUMBER(SEARCH("PEAD",$F942)),ISNUMBER(SEARCH("Puxe",$J942)),ISNUMBER(SEARCH("Apoio HDD",$F942))),"MND",IF(OR(ISNUMBER(SEARCH("VCA",$F942)),ISNUMBER(SEARCH("PVC",$F942)),ISNUMBER(SEARCH("vca",$J942)),ISNUMBER(SEARCH("Transformação",$J942))),"VCA",IF(OR(ISNUMBER(SEARCH("crava",$F942)),ISNUMBER(SEARCH("tubo cravado",$F942)),ISNUMBER(SEARCH("shaft",$J942)),ISNUMBER(SEARCH("concreto",$F942))),"TUBO CRAVADO","")))</f>
        <v/>
      </c>
      <c r="T942">
        <f>IF($A942="","",TEXT($A942,"yyyymm")&amp;"|"&amp;$C942&amp;"|"&amp;$F942&amp;"|"&amp;$N942&amp;"|"&amp;$R942)</f>
        <v/>
      </c>
    </row>
    <row r="943" ht="11.55" customHeight="1">
      <c r="A943" s="10" t="n">
        <v>46073</v>
      </c>
      <c r="B943" s="7" t="inlineStr">
        <is>
          <t>Sexta</t>
        </is>
      </c>
      <c r="C943" s="7" t="inlineStr">
        <is>
          <t>Vacal</t>
        </is>
      </c>
      <c r="D943" s="7" t="n"/>
      <c r="E943" s="7" t="inlineStr">
        <is>
          <t>Mar de Coral</t>
        </is>
      </c>
      <c r="F943" s="13" t="inlineStr">
        <is>
          <t>Apoio Vacal</t>
        </is>
      </c>
      <c r="G943" s="7" t="n"/>
      <c r="H943" s="7" t="n"/>
      <c r="I943" s="7" t="n"/>
      <c r="J943" s="7" t="inlineStr">
        <is>
          <t>Vacal</t>
        </is>
      </c>
      <c r="K943" s="7" t="inlineStr">
        <is>
          <t>Apoio</t>
        </is>
      </c>
      <c r="L943" s="16" t="inlineStr">
        <is>
          <t>PDS-Fevereiro(1).docx</t>
        </is>
      </c>
      <c r="M943">
        <f>IF($A943="","",TEXT($A943,"mmmm/yyyy"))</f>
        <v/>
      </c>
      <c r="P943">
        <f>IFERROR(_xludf.XLOOKUP($N943,Base_Enderecos!$A:$A,Base_Enderecos!$B:$B,""),"")</f>
        <v/>
      </c>
      <c r="Q943">
        <f>IFERROR(_xludf.XLOOKUP($N943,Base_Enderecos!$A:$A,Base_Enderecos!$C:$C,""),"")</f>
        <v/>
      </c>
      <c r="R943">
        <f>IF(OR(ISNUMBER(SEARCH("HDD",$F943)),ISNUMBER(SEARCH("MND",$F943)),ISNUMBER(SEARCH("PEAD",$F943)),ISNUMBER(SEARCH("Puxe",$J943)),ISNUMBER(SEARCH("Apoio HDD",$F943))),"MND",IF(OR(ISNUMBER(SEARCH("VCA",$F943)),ISNUMBER(SEARCH("PVC",$F943)),ISNUMBER(SEARCH("vca",$J943)),ISNUMBER(SEARCH("Transformação",$J943))),"VCA",IF(OR(ISNUMBER(SEARCH("crava",$F943)),ISNUMBER(SEARCH("tubo cravado",$F943)),ISNUMBER(SEARCH("shaft",$J943)),ISNUMBER(SEARCH("concreto",$F943))),"TUBO CRAVADO","")))</f>
        <v/>
      </c>
      <c r="T943">
        <f>IF($A943="","",TEXT($A943,"yyyymm")&amp;"|"&amp;$C943&amp;"|"&amp;$F943&amp;"|"&amp;$N943&amp;"|"&amp;$R943)</f>
        <v/>
      </c>
    </row>
    <row r="944" ht="11.55" customHeight="1">
      <c r="A944" s="10" t="n">
        <v>46073</v>
      </c>
      <c r="B944" s="7" t="inlineStr">
        <is>
          <t>Sexta</t>
        </is>
      </c>
      <c r="C944" s="7" t="inlineStr">
        <is>
          <t>Guindauto</t>
        </is>
      </c>
      <c r="D944" s="7" t="n"/>
      <c r="E944" s="7" t="inlineStr">
        <is>
          <t>Rodrigo</t>
        </is>
      </c>
      <c r="F944" s="13" t="inlineStr">
        <is>
          <t>Rodrigo - Apoio as equipes</t>
        </is>
      </c>
      <c r="G944" s="7" t="n"/>
      <c r="H944" s="7" t="n"/>
      <c r="I944" s="7" t="n"/>
      <c r="J944" s="7" t="inlineStr">
        <is>
          <t>Guindauto</t>
        </is>
      </c>
      <c r="K944" s="7" t="inlineStr">
        <is>
          <t>Apoio</t>
        </is>
      </c>
      <c r="L944" s="16" t="inlineStr">
        <is>
          <t>PDS-Fevereiro(1).docx</t>
        </is>
      </c>
      <c r="M944">
        <f>IF($A944="","",TEXT($A944,"mmmm/yyyy"))</f>
        <v/>
      </c>
      <c r="P944">
        <f>IFERROR(_xludf.XLOOKUP($N944,Base_Enderecos!$A:$A,Base_Enderecos!$B:$B,""),"")</f>
        <v/>
      </c>
      <c r="Q944">
        <f>IFERROR(_xludf.XLOOKUP($N944,Base_Enderecos!$A:$A,Base_Enderecos!$C:$C,""),"")</f>
        <v/>
      </c>
      <c r="R944">
        <f>IF(OR(ISNUMBER(SEARCH("HDD",$F944)),ISNUMBER(SEARCH("MND",$F944)),ISNUMBER(SEARCH("PEAD",$F944)),ISNUMBER(SEARCH("Puxe",$J944)),ISNUMBER(SEARCH("Apoio HDD",$F944))),"MND",IF(OR(ISNUMBER(SEARCH("VCA",$F944)),ISNUMBER(SEARCH("PVC",$F944)),ISNUMBER(SEARCH("vca",$J944)),ISNUMBER(SEARCH("Transformação",$J944))),"VCA",IF(OR(ISNUMBER(SEARCH("crava",$F944)),ISNUMBER(SEARCH("tubo cravado",$F944)),ISNUMBER(SEARCH("shaft",$J944)),ISNUMBER(SEARCH("concreto",$F944))),"TUBO CRAVADO","")))</f>
        <v/>
      </c>
      <c r="T944">
        <f>IF($A944="","",TEXT($A944,"yyyymm")&amp;"|"&amp;$C944&amp;"|"&amp;$F944&amp;"|"&amp;$N944&amp;"|"&amp;$R944)</f>
        <v/>
      </c>
    </row>
    <row r="945" ht="11.55" customHeight="1">
      <c r="A945" s="10" t="n">
        <v>46073</v>
      </c>
      <c r="B945" s="7" t="inlineStr">
        <is>
          <t>Sexta</t>
        </is>
      </c>
      <c r="C945" s="7" t="inlineStr">
        <is>
          <t>Guindauto</t>
        </is>
      </c>
      <c r="D945" s="7" t="n"/>
      <c r="E945" s="7" t="inlineStr">
        <is>
          <t>Marcio</t>
        </is>
      </c>
      <c r="F945" s="13" t="inlineStr">
        <is>
          <t>Marcio - Apoio as equipes</t>
        </is>
      </c>
      <c r="G945" s="7" t="n"/>
      <c r="H945" s="7" t="n"/>
      <c r="I945" s="7" t="n"/>
      <c r="J945" s="7" t="inlineStr">
        <is>
          <t>Guindauto</t>
        </is>
      </c>
      <c r="K945" s="7" t="inlineStr">
        <is>
          <t>Apoio</t>
        </is>
      </c>
      <c r="L945" s="16" t="inlineStr">
        <is>
          <t>PDS-Fevereiro(1).docx</t>
        </is>
      </c>
      <c r="M945">
        <f>IF($A945="","",TEXT($A945,"mmmm/yyyy"))</f>
        <v/>
      </c>
      <c r="P945">
        <f>IFERROR(_xludf.XLOOKUP($N945,Base_Enderecos!$A:$A,Base_Enderecos!$B:$B,""),"")</f>
        <v/>
      </c>
      <c r="Q945">
        <f>IFERROR(_xludf.XLOOKUP($N945,Base_Enderecos!$A:$A,Base_Enderecos!$C:$C,""),"")</f>
        <v/>
      </c>
      <c r="R945">
        <f>IF(OR(ISNUMBER(SEARCH("HDD",$F945)),ISNUMBER(SEARCH("MND",$F945)),ISNUMBER(SEARCH("PEAD",$F945)),ISNUMBER(SEARCH("Puxe",$J945)),ISNUMBER(SEARCH("Apoio HDD",$F945))),"MND",IF(OR(ISNUMBER(SEARCH("VCA",$F945)),ISNUMBER(SEARCH("PVC",$F945)),ISNUMBER(SEARCH("vca",$J945)),ISNUMBER(SEARCH("Transformação",$J945))),"VCA",IF(OR(ISNUMBER(SEARCH("crava",$F945)),ISNUMBER(SEARCH("tubo cravado",$F945)),ISNUMBER(SEARCH("shaft",$J945)),ISNUMBER(SEARCH("concreto",$F945))),"TUBO CRAVADO","")))</f>
        <v/>
      </c>
      <c r="T945">
        <f>IF($A945="","",TEXT($A945,"yyyymm")&amp;"|"&amp;$C945&amp;"|"&amp;$F945&amp;"|"&amp;$N945&amp;"|"&amp;$R945)</f>
        <v/>
      </c>
    </row>
    <row r="946" ht="11.55" customHeight="1">
      <c r="A946" s="10" t="n">
        <v>46076</v>
      </c>
      <c r="B946" s="7" t="inlineStr">
        <is>
          <t>Segunda</t>
        </is>
      </c>
      <c r="C946" s="7" t="inlineStr">
        <is>
          <t>CT MAR DE CORAL</t>
        </is>
      </c>
      <c r="D946" s="7" t="inlineStr">
        <is>
          <t>LEANDRO, SILVESTRE e ROBSON</t>
        </is>
      </c>
      <c r="E946" s="7" t="inlineStr">
        <is>
          <t>Goiania Drill</t>
        </is>
      </c>
      <c r="F946" s="13" t="inlineStr">
        <is>
          <t>Furo Piloto e Puxe entre PVs 41 ao 43</t>
        </is>
      </c>
      <c r="G946" s="7" t="inlineStr">
        <is>
          <t>41</t>
        </is>
      </c>
      <c r="H946" s="7" t="n"/>
      <c r="I946" s="7" t="inlineStr">
        <is>
          <t>41</t>
        </is>
      </c>
      <c r="J946" s="7" t="inlineStr">
        <is>
          <t>Furo piloto</t>
        </is>
      </c>
      <c r="K946" s="7" t="inlineStr">
        <is>
          <t>Planejamento</t>
        </is>
      </c>
      <c r="L946" s="16" t="inlineStr">
        <is>
          <t>PDS-Fevereiro(1).docx</t>
        </is>
      </c>
      <c r="M946">
        <f>IF($A946="","",TEXT($A946,"mmmm/yyyy"))</f>
        <v/>
      </c>
      <c r="P946">
        <f>IFERROR(_xludf.XLOOKUP($N946,Base_Enderecos!$A:$A,Base_Enderecos!$B:$B,""),"")</f>
        <v/>
      </c>
      <c r="Q946">
        <f>IFERROR(_xludf.XLOOKUP($N946,Base_Enderecos!$A:$A,Base_Enderecos!$C:$C,""),"")</f>
        <v/>
      </c>
      <c r="R946">
        <f>IF(OR(ISNUMBER(SEARCH("HDD",$F946)),ISNUMBER(SEARCH("MND",$F946)),ISNUMBER(SEARCH("PEAD",$F946)),ISNUMBER(SEARCH("Puxe",$J946)),ISNUMBER(SEARCH("Apoio HDD",$F946))),"MND",IF(OR(ISNUMBER(SEARCH("VCA",$F946)),ISNUMBER(SEARCH("PVC",$F946)),ISNUMBER(SEARCH("vca",$J946)),ISNUMBER(SEARCH("Transformação",$J946))),"VCA",IF(OR(ISNUMBER(SEARCH("crava",$F946)),ISNUMBER(SEARCH("tubo cravado",$F946)),ISNUMBER(SEARCH("shaft",$J946)),ISNUMBER(SEARCH("concreto",$F946))),"TUBO CRAVADO","")))</f>
        <v/>
      </c>
      <c r="T946">
        <f>IF($A946="","",TEXT($A946,"yyyymm")&amp;"|"&amp;$C946&amp;"|"&amp;$F946&amp;"|"&amp;$N946&amp;"|"&amp;$R946)</f>
        <v/>
      </c>
    </row>
    <row r="947" ht="11.55" customHeight="1">
      <c r="A947" s="10" t="n">
        <v>46076</v>
      </c>
      <c r="B947" s="7" t="inlineStr">
        <is>
          <t>Segunda</t>
        </is>
      </c>
      <c r="C947" s="7" t="inlineStr">
        <is>
          <t>CT MAR DE CORAL</t>
        </is>
      </c>
      <c r="D947" s="7" t="inlineStr">
        <is>
          <t>LEANDRO, SILVESTRE e ROBSON</t>
        </is>
      </c>
      <c r="E947" s="7" t="inlineStr">
        <is>
          <t>Ricardo</t>
        </is>
      </c>
      <c r="F947" s="13" t="inlineStr">
        <is>
          <t>Apoio HDD PV 41 ao 43</t>
        </is>
      </c>
      <c r="G947" s="7" t="inlineStr">
        <is>
          <t>41</t>
        </is>
      </c>
      <c r="H947" s="7" t="n"/>
      <c r="I947" s="7" t="inlineStr">
        <is>
          <t>41</t>
        </is>
      </c>
      <c r="J947" s="7" t="inlineStr">
        <is>
          <t>Apoio HDD</t>
        </is>
      </c>
      <c r="K947" s="7" t="inlineStr">
        <is>
          <t>Planejamento</t>
        </is>
      </c>
      <c r="L947" s="16" t="inlineStr">
        <is>
          <t>PDS-Fevereiro(1).docx</t>
        </is>
      </c>
      <c r="M947">
        <f>IF($A947="","",TEXT($A947,"mmmm/yyyy"))</f>
        <v/>
      </c>
      <c r="P947">
        <f>IFERROR(_xludf.XLOOKUP($N947,Base_Enderecos!$A:$A,Base_Enderecos!$B:$B,""),"")</f>
        <v/>
      </c>
      <c r="Q947">
        <f>IFERROR(_xludf.XLOOKUP($N947,Base_Enderecos!$A:$A,Base_Enderecos!$C:$C,""),"")</f>
        <v/>
      </c>
      <c r="R947">
        <f>IF(OR(ISNUMBER(SEARCH("HDD",$F947)),ISNUMBER(SEARCH("MND",$F947)),ISNUMBER(SEARCH("PEAD",$F947)),ISNUMBER(SEARCH("Puxe",$J947)),ISNUMBER(SEARCH("Apoio HDD",$F947))),"MND",IF(OR(ISNUMBER(SEARCH("VCA",$F947)),ISNUMBER(SEARCH("PVC",$F947)),ISNUMBER(SEARCH("vca",$J947)),ISNUMBER(SEARCH("Transformação",$J947))),"VCA",IF(OR(ISNUMBER(SEARCH("crava",$F947)),ISNUMBER(SEARCH("tubo cravado",$F947)),ISNUMBER(SEARCH("shaft",$J947)),ISNUMBER(SEARCH("concreto",$F947))),"TUBO CRAVADO","")))</f>
        <v/>
      </c>
      <c r="T947">
        <f>IF($A947="","",TEXT($A947,"yyyymm")&amp;"|"&amp;$C947&amp;"|"&amp;$F947&amp;"|"&amp;$N947&amp;"|"&amp;$R947)</f>
        <v/>
      </c>
    </row>
    <row r="948" ht="11.55" customHeight="1">
      <c r="A948" s="10" t="n">
        <v>46076</v>
      </c>
      <c r="B948" s="7" t="inlineStr">
        <is>
          <t>Segunda</t>
        </is>
      </c>
      <c r="C948" s="7" t="inlineStr">
        <is>
          <t>CT MAR DE CORAL</t>
        </is>
      </c>
      <c r="D948" s="7" t="inlineStr">
        <is>
          <t>LEANDRO, SILVESTRE e ROBSON</t>
        </is>
      </c>
      <c r="E948" s="7" t="inlineStr">
        <is>
          <t>Cesar</t>
        </is>
      </c>
      <c r="F948" s="13" t="inlineStr">
        <is>
          <t>Transformação PV 40</t>
        </is>
      </c>
      <c r="G948" s="7" t="inlineStr">
        <is>
          <t>40</t>
        </is>
      </c>
      <c r="H948" s="7" t="n"/>
      <c r="I948" s="7" t="inlineStr">
        <is>
          <t>40</t>
        </is>
      </c>
      <c r="J948" s="7" t="inlineStr">
        <is>
          <t>Transformação</t>
        </is>
      </c>
      <c r="K948" s="7" t="inlineStr">
        <is>
          <t>Planejamento</t>
        </is>
      </c>
      <c r="L948" s="16" t="inlineStr">
        <is>
          <t>PDS-Fevereiro(1).docx</t>
        </is>
      </c>
      <c r="M948">
        <f>IF($A948="","",TEXT($A948,"mmmm/yyyy"))</f>
        <v/>
      </c>
      <c r="P948">
        <f>IFERROR(_xludf.XLOOKUP($N948,Base_Enderecos!$A:$A,Base_Enderecos!$B:$B,""),"")</f>
        <v/>
      </c>
      <c r="Q948">
        <f>IFERROR(_xludf.XLOOKUP($N948,Base_Enderecos!$A:$A,Base_Enderecos!$C:$C,""),"")</f>
        <v/>
      </c>
      <c r="R948">
        <f>IF(OR(ISNUMBER(SEARCH("HDD",$F948)),ISNUMBER(SEARCH("MND",$F948)),ISNUMBER(SEARCH("PEAD",$F948)),ISNUMBER(SEARCH("Puxe",$J948)),ISNUMBER(SEARCH("Apoio HDD",$F948))),"MND",IF(OR(ISNUMBER(SEARCH("VCA",$F948)),ISNUMBER(SEARCH("PVC",$F948)),ISNUMBER(SEARCH("vca",$J948)),ISNUMBER(SEARCH("Transformação",$J948))),"VCA",IF(OR(ISNUMBER(SEARCH("crava",$F948)),ISNUMBER(SEARCH("tubo cravado",$F948)),ISNUMBER(SEARCH("shaft",$J948)),ISNUMBER(SEARCH("concreto",$F948))),"TUBO CRAVADO","")))</f>
        <v/>
      </c>
      <c r="T948">
        <f>IF($A948="","",TEXT($A948,"yyyymm")&amp;"|"&amp;$C948&amp;"|"&amp;$F948&amp;"|"&amp;$N948&amp;"|"&amp;$R948)</f>
        <v/>
      </c>
    </row>
    <row r="949" ht="11.55" customHeight="1">
      <c r="A949" s="10" t="n">
        <v>46076</v>
      </c>
      <c r="B949" s="7" t="inlineStr">
        <is>
          <t>Segunda</t>
        </is>
      </c>
      <c r="C949" s="7" t="inlineStr">
        <is>
          <t>CT MAR DE CORAL</t>
        </is>
      </c>
      <c r="D949" s="7" t="inlineStr">
        <is>
          <t>LEANDRO, SILVESTRE e ROBSON</t>
        </is>
      </c>
      <c r="E949" s="7" t="inlineStr">
        <is>
          <t>Carlos</t>
        </is>
      </c>
      <c r="F949" s="13" t="inlineStr">
        <is>
          <t>VCA PV 5.10 ao 5.09</t>
        </is>
      </c>
      <c r="G949" s="7" t="inlineStr">
        <is>
          <t>5.10</t>
        </is>
      </c>
      <c r="H949" s="7" t="n"/>
      <c r="I949" s="7" t="inlineStr">
        <is>
          <t>5.10</t>
        </is>
      </c>
      <c r="J949" s="7" t="inlineStr">
        <is>
          <t>VCA</t>
        </is>
      </c>
      <c r="K949" s="7" t="inlineStr">
        <is>
          <t>Planejamento</t>
        </is>
      </c>
      <c r="L949" s="16" t="inlineStr">
        <is>
          <t>PDS-Fevereiro(1).docx</t>
        </is>
      </c>
      <c r="M949">
        <f>IF($A949="","",TEXT($A949,"mmmm/yyyy"))</f>
        <v/>
      </c>
      <c r="P949">
        <f>IFERROR(_xludf.XLOOKUP($N949,Base_Enderecos!$A:$A,Base_Enderecos!$B:$B,""),"")</f>
        <v/>
      </c>
      <c r="Q949">
        <f>IFERROR(_xludf.XLOOKUP($N949,Base_Enderecos!$A:$A,Base_Enderecos!$C:$C,""),"")</f>
        <v/>
      </c>
      <c r="R949">
        <f>IF(OR(ISNUMBER(SEARCH("HDD",$F949)),ISNUMBER(SEARCH("MND",$F949)),ISNUMBER(SEARCH("PEAD",$F949)),ISNUMBER(SEARCH("Puxe",$J949)),ISNUMBER(SEARCH("Apoio HDD",$F949))),"MND",IF(OR(ISNUMBER(SEARCH("VCA",$F949)),ISNUMBER(SEARCH("PVC",$F949)),ISNUMBER(SEARCH("vca",$J949)),ISNUMBER(SEARCH("Transformação",$J949))),"VCA",IF(OR(ISNUMBER(SEARCH("crava",$F949)),ISNUMBER(SEARCH("tubo cravado",$F949)),ISNUMBER(SEARCH("shaft",$J949)),ISNUMBER(SEARCH("concreto",$F949))),"TUBO CRAVADO","")))</f>
        <v/>
      </c>
      <c r="T949">
        <f>IF($A949="","",TEXT($A949,"yyyymm")&amp;"|"&amp;$C949&amp;"|"&amp;$F949&amp;"|"&amp;$N949&amp;"|"&amp;$R949)</f>
        <v/>
      </c>
    </row>
    <row r="950" ht="11.55" customHeight="1">
      <c r="A950" s="10" t="n">
        <v>46076</v>
      </c>
      <c r="B950" s="7" t="inlineStr">
        <is>
          <t>Segunda</t>
        </is>
      </c>
      <c r="C950" s="7" t="inlineStr">
        <is>
          <t>CT MAR DE CORAL</t>
        </is>
      </c>
      <c r="D950" s="7" t="inlineStr">
        <is>
          <t>LEANDRO, SILVESTRE e ROBSON</t>
        </is>
      </c>
      <c r="E950" s="7" t="inlineStr">
        <is>
          <t>WORK DRILL</t>
        </is>
      </c>
      <c r="F950" s="13" t="inlineStr">
        <is>
          <t>Resgate barra e conclusão puxe PV 43 ao 44</t>
        </is>
      </c>
      <c r="G950" s="7" t="inlineStr">
        <is>
          <t>43</t>
        </is>
      </c>
      <c r="H950" s="7" t="n"/>
      <c r="I950" s="7" t="inlineStr">
        <is>
          <t>43</t>
        </is>
      </c>
      <c r="J950" s="7" t="inlineStr">
        <is>
          <t>Puxe</t>
        </is>
      </c>
      <c r="K950" s="7" t="inlineStr">
        <is>
          <t>Planejamento</t>
        </is>
      </c>
      <c r="L950" s="16" t="inlineStr">
        <is>
          <t>PDS-Fevereiro(1).docx</t>
        </is>
      </c>
      <c r="M950">
        <f>IF($A950="","",TEXT($A950,"mmmm/yyyy"))</f>
        <v/>
      </c>
      <c r="P950">
        <f>IFERROR(_xludf.XLOOKUP($N950,Base_Enderecos!$A:$A,Base_Enderecos!$B:$B,""),"")</f>
        <v/>
      </c>
      <c r="Q950">
        <f>IFERROR(_xludf.XLOOKUP($N950,Base_Enderecos!$A:$A,Base_Enderecos!$C:$C,""),"")</f>
        <v/>
      </c>
      <c r="R950">
        <f>IF(OR(ISNUMBER(SEARCH("HDD",$F950)),ISNUMBER(SEARCH("MND",$F950)),ISNUMBER(SEARCH("PEAD",$F950)),ISNUMBER(SEARCH("Puxe",$J950)),ISNUMBER(SEARCH("Apoio HDD",$F950))),"MND",IF(OR(ISNUMBER(SEARCH("VCA",$F950)),ISNUMBER(SEARCH("PVC",$F950)),ISNUMBER(SEARCH("vca",$J950)),ISNUMBER(SEARCH("Transformação",$J950))),"VCA",IF(OR(ISNUMBER(SEARCH("crava",$F950)),ISNUMBER(SEARCH("tubo cravado",$F950)),ISNUMBER(SEARCH("shaft",$J950)),ISNUMBER(SEARCH("concreto",$F950))),"TUBO CRAVADO","")))</f>
        <v/>
      </c>
      <c r="T950">
        <f>IF($A950="","",TEXT($A950,"yyyymm")&amp;"|"&amp;$C950&amp;"|"&amp;$F950&amp;"|"&amp;$N950&amp;"|"&amp;$R950)</f>
        <v/>
      </c>
    </row>
    <row r="951" ht="11.55" customHeight="1">
      <c r="A951" s="10" t="n">
        <v>46076</v>
      </c>
      <c r="B951" s="7" t="inlineStr">
        <is>
          <t>Segunda</t>
        </is>
      </c>
      <c r="C951" s="7" t="inlineStr">
        <is>
          <t>CT MAR DE CORAL</t>
        </is>
      </c>
      <c r="D951" s="7" t="inlineStr">
        <is>
          <t>LEANDRO, SILVESTRE e ROBSON</t>
        </is>
      </c>
      <c r="E951" s="7" t="inlineStr">
        <is>
          <t>Higor</t>
        </is>
      </c>
      <c r="F951" s="13" t="inlineStr">
        <is>
          <t>Apoio HDD PV 43 ao PV 44</t>
        </is>
      </c>
      <c r="G951" s="7" t="inlineStr">
        <is>
          <t>43</t>
        </is>
      </c>
      <c r="H951" s="7" t="inlineStr">
        <is>
          <t>44</t>
        </is>
      </c>
      <c r="I951" s="7" t="inlineStr">
        <is>
          <t>43, 44</t>
        </is>
      </c>
      <c r="J951" s="7" t="inlineStr">
        <is>
          <t>Apoio HDD</t>
        </is>
      </c>
      <c r="K951" s="7" t="inlineStr">
        <is>
          <t>Planejamento</t>
        </is>
      </c>
      <c r="L951" s="16" t="inlineStr">
        <is>
          <t>PDS-Fevereiro(1).docx</t>
        </is>
      </c>
      <c r="M951">
        <f>IF($A951="","",TEXT($A951,"mmmm/yyyy"))</f>
        <v/>
      </c>
      <c r="P951">
        <f>IFERROR(_xludf.XLOOKUP($N951,Base_Enderecos!$A:$A,Base_Enderecos!$B:$B,""),"")</f>
        <v/>
      </c>
      <c r="Q951">
        <f>IFERROR(_xludf.XLOOKUP($N951,Base_Enderecos!$A:$A,Base_Enderecos!$C:$C,""),"")</f>
        <v/>
      </c>
      <c r="R951">
        <f>IF(OR(ISNUMBER(SEARCH("HDD",$F951)),ISNUMBER(SEARCH("MND",$F951)),ISNUMBER(SEARCH("PEAD",$F951)),ISNUMBER(SEARCH("Puxe",$J951)),ISNUMBER(SEARCH("Apoio HDD",$F951))),"MND",IF(OR(ISNUMBER(SEARCH("VCA",$F951)),ISNUMBER(SEARCH("PVC",$F951)),ISNUMBER(SEARCH("vca",$J951)),ISNUMBER(SEARCH("Transformação",$J951))),"VCA",IF(OR(ISNUMBER(SEARCH("crava",$F951)),ISNUMBER(SEARCH("tubo cravado",$F951)),ISNUMBER(SEARCH("shaft",$J951)),ISNUMBER(SEARCH("concreto",$F951))),"TUBO CRAVADO","")))</f>
        <v/>
      </c>
      <c r="T951">
        <f>IF($A951="","",TEXT($A951,"yyyymm")&amp;"|"&amp;$C951&amp;"|"&amp;$F951&amp;"|"&amp;$N951&amp;"|"&amp;$R951)</f>
        <v/>
      </c>
    </row>
    <row r="952" ht="11.55" customHeight="1">
      <c r="A952" s="10" t="n">
        <v>46076</v>
      </c>
      <c r="B952" s="7" t="inlineStr">
        <is>
          <t>Segunda</t>
        </is>
      </c>
      <c r="C952" s="7" t="inlineStr">
        <is>
          <t>CT AGUA VERMELHA M.D</t>
        </is>
      </c>
      <c r="D952" s="7" t="inlineStr">
        <is>
          <t>CAROLINE e FÁBIO</t>
        </is>
      </c>
      <c r="E952" s="7" t="inlineStr">
        <is>
          <t>Jonathan</t>
        </is>
      </c>
      <c r="F952" s="13" t="inlineStr">
        <is>
          <t>Apoio HDD entre PVD 10 e PV 13</t>
        </is>
      </c>
      <c r="G952" s="7" t="inlineStr">
        <is>
          <t>10</t>
        </is>
      </c>
      <c r="H952" s="7" t="inlineStr">
        <is>
          <t>13</t>
        </is>
      </c>
      <c r="I952" s="7" t="inlineStr">
        <is>
          <t>10, 13</t>
        </is>
      </c>
      <c r="J952" s="7" t="inlineStr">
        <is>
          <t>Apoio HDD</t>
        </is>
      </c>
      <c r="K952" s="7" t="inlineStr">
        <is>
          <t>Planejamento</t>
        </is>
      </c>
      <c r="L952" s="16" t="inlineStr">
        <is>
          <t>PDS-Fevereiro(1).docx</t>
        </is>
      </c>
      <c r="M952">
        <f>IF($A952="","",TEXT($A952,"mmmm/yyyy"))</f>
        <v/>
      </c>
      <c r="P952">
        <f>IFERROR(_xludf.XLOOKUP($N952,Base_Enderecos!$A:$A,Base_Enderecos!$B:$B,""),"")</f>
        <v/>
      </c>
      <c r="Q952">
        <f>IFERROR(_xludf.XLOOKUP($N952,Base_Enderecos!$A:$A,Base_Enderecos!$C:$C,""),"")</f>
        <v/>
      </c>
      <c r="R952">
        <f>IF(OR(ISNUMBER(SEARCH("HDD",$F952)),ISNUMBER(SEARCH("MND",$F952)),ISNUMBER(SEARCH("PEAD",$F952)),ISNUMBER(SEARCH("Puxe",$J952)),ISNUMBER(SEARCH("Apoio HDD",$F952))),"MND",IF(OR(ISNUMBER(SEARCH("VCA",$F952)),ISNUMBER(SEARCH("PVC",$F952)),ISNUMBER(SEARCH("vca",$J952)),ISNUMBER(SEARCH("Transformação",$J952))),"VCA",IF(OR(ISNUMBER(SEARCH("crava",$F952)),ISNUMBER(SEARCH("tubo cravado",$F952)),ISNUMBER(SEARCH("shaft",$J952)),ISNUMBER(SEARCH("concreto",$F952))),"TUBO CRAVADO","")))</f>
        <v/>
      </c>
      <c r="T952">
        <f>IF($A952="","",TEXT($A952,"yyyymm")&amp;"|"&amp;$C952&amp;"|"&amp;$F952&amp;"|"&amp;$N952&amp;"|"&amp;$R952)</f>
        <v/>
      </c>
    </row>
    <row r="953" ht="11.55" customHeight="1">
      <c r="A953" s="10" t="n">
        <v>46076</v>
      </c>
      <c r="B953" s="7" t="inlineStr">
        <is>
          <t>Segunda</t>
        </is>
      </c>
      <c r="C953" s="7" t="inlineStr">
        <is>
          <t>CT AGUA VERMELHA M.D</t>
        </is>
      </c>
      <c r="D953" s="7" t="inlineStr">
        <is>
          <t>CAROLINE e FÁBIO</t>
        </is>
      </c>
      <c r="E953" s="7" t="inlineStr">
        <is>
          <t>WJ 02</t>
        </is>
      </c>
      <c r="F953" s="13" t="inlineStr">
        <is>
          <t>Piloto e Puxe PVD 10 e PVD 13</t>
        </is>
      </c>
      <c r="G953" s="7" t="inlineStr">
        <is>
          <t>10</t>
        </is>
      </c>
      <c r="H953" s="7" t="inlineStr">
        <is>
          <t>13</t>
        </is>
      </c>
      <c r="I953" s="7" t="inlineStr">
        <is>
          <t>10, 13</t>
        </is>
      </c>
      <c r="J953" s="7" t="inlineStr">
        <is>
          <t>Piloto e puxe</t>
        </is>
      </c>
      <c r="K953" s="7" t="inlineStr">
        <is>
          <t>Planejamento</t>
        </is>
      </c>
      <c r="L953" s="16" t="inlineStr">
        <is>
          <t>PDS-Fevereiro(1).docx</t>
        </is>
      </c>
      <c r="M953">
        <f>IF($A953="","",TEXT($A953,"mmmm/yyyy"))</f>
        <v/>
      </c>
      <c r="P953">
        <f>IFERROR(_xludf.XLOOKUP($N953,Base_Enderecos!$A:$A,Base_Enderecos!$B:$B,""),"")</f>
        <v/>
      </c>
      <c r="Q953">
        <f>IFERROR(_xludf.XLOOKUP($N953,Base_Enderecos!$A:$A,Base_Enderecos!$C:$C,""),"")</f>
        <v/>
      </c>
      <c r="R953">
        <f>IF(OR(ISNUMBER(SEARCH("HDD",$F953)),ISNUMBER(SEARCH("MND",$F953)),ISNUMBER(SEARCH("PEAD",$F953)),ISNUMBER(SEARCH("Puxe",$J953)),ISNUMBER(SEARCH("Apoio HDD",$F953))),"MND",IF(OR(ISNUMBER(SEARCH("VCA",$F953)),ISNUMBER(SEARCH("PVC",$F953)),ISNUMBER(SEARCH("vca",$J953)),ISNUMBER(SEARCH("Transformação",$J953))),"VCA",IF(OR(ISNUMBER(SEARCH("crava",$F953)),ISNUMBER(SEARCH("tubo cravado",$F953)),ISNUMBER(SEARCH("shaft",$J953)),ISNUMBER(SEARCH("concreto",$F953))),"TUBO CRAVADO","")))</f>
        <v/>
      </c>
      <c r="T953">
        <f>IF($A953="","",TEXT($A953,"yyyymm")&amp;"|"&amp;$C953&amp;"|"&amp;$F953&amp;"|"&amp;$N953&amp;"|"&amp;$R953)</f>
        <v/>
      </c>
    </row>
    <row r="954" ht="11.55" customHeight="1">
      <c r="A954" s="10" t="n">
        <v>46076</v>
      </c>
      <c r="B954" s="7" t="inlineStr">
        <is>
          <t>Segunda</t>
        </is>
      </c>
      <c r="C954" s="7" t="inlineStr">
        <is>
          <t>CT AGUA VERMELHA M.D</t>
        </is>
      </c>
      <c r="D954" s="7" t="inlineStr">
        <is>
          <t>CAROLINE e FÁBIO</t>
        </is>
      </c>
      <c r="E954" s="7" t="inlineStr">
        <is>
          <t>Marcelo</t>
        </is>
      </c>
      <c r="F954" s="13" t="inlineStr">
        <is>
          <t>Shaft PVD 16</t>
        </is>
      </c>
      <c r="G954" s="7" t="inlineStr">
        <is>
          <t>16</t>
        </is>
      </c>
      <c r="H954" s="7" t="n"/>
      <c r="I954" s="7" t="inlineStr">
        <is>
          <t>16</t>
        </is>
      </c>
      <c r="J954" s="7" t="inlineStr">
        <is>
          <t>Shaft</t>
        </is>
      </c>
      <c r="K954" s="7" t="inlineStr">
        <is>
          <t>Planejamento</t>
        </is>
      </c>
      <c r="L954" s="16" t="inlineStr">
        <is>
          <t>PDS-Fevereiro(1).docx</t>
        </is>
      </c>
      <c r="M954">
        <f>IF($A954="","",TEXT($A954,"mmmm/yyyy"))</f>
        <v/>
      </c>
      <c r="P954">
        <f>IFERROR(_xludf.XLOOKUP($N954,Base_Enderecos!$A:$A,Base_Enderecos!$B:$B,""),"")</f>
        <v/>
      </c>
      <c r="Q954">
        <f>IFERROR(_xludf.XLOOKUP($N954,Base_Enderecos!$A:$A,Base_Enderecos!$C:$C,""),"")</f>
        <v/>
      </c>
      <c r="R954">
        <f>IF(OR(ISNUMBER(SEARCH("HDD",$F954)),ISNUMBER(SEARCH("MND",$F954)),ISNUMBER(SEARCH("PEAD",$F954)),ISNUMBER(SEARCH("Puxe",$J954)),ISNUMBER(SEARCH("Apoio HDD",$F954))),"MND",IF(OR(ISNUMBER(SEARCH("VCA",$F954)),ISNUMBER(SEARCH("PVC",$F954)),ISNUMBER(SEARCH("vca",$J954)),ISNUMBER(SEARCH("Transformação",$J954))),"VCA",IF(OR(ISNUMBER(SEARCH("crava",$F954)),ISNUMBER(SEARCH("tubo cravado",$F954)),ISNUMBER(SEARCH("shaft",$J954)),ISNUMBER(SEARCH("concreto",$F954))),"TUBO CRAVADO","")))</f>
        <v/>
      </c>
      <c r="T954">
        <f>IF($A954="","",TEXT($A954,"yyyymm")&amp;"|"&amp;$C954&amp;"|"&amp;$F954&amp;"|"&amp;$N954&amp;"|"&amp;$R954)</f>
        <v/>
      </c>
    </row>
    <row r="955" ht="11.55" customHeight="1">
      <c r="A955" s="10" t="n">
        <v>46076</v>
      </c>
      <c r="B955" s="7" t="inlineStr">
        <is>
          <t>Segunda</t>
        </is>
      </c>
      <c r="C955" s="7" t="inlineStr">
        <is>
          <t>CT AGUA VERMELHA M.E– Valmir e Eloizio</t>
        </is>
      </c>
      <c r="D955" s="7" t="n"/>
      <c r="E955" s="7" t="inlineStr">
        <is>
          <t>WJ 01</t>
        </is>
      </c>
      <c r="F955" s="13" t="inlineStr">
        <is>
          <t>Piloto e Puxe PVE 15 ao PVE 18</t>
        </is>
      </c>
      <c r="G955" s="7" t="inlineStr">
        <is>
          <t>15</t>
        </is>
      </c>
      <c r="H955" s="7" t="inlineStr">
        <is>
          <t>18</t>
        </is>
      </c>
      <c r="I955" s="7" t="inlineStr">
        <is>
          <t>15, 18</t>
        </is>
      </c>
      <c r="J955" s="7" t="inlineStr">
        <is>
          <t>Piloto e puxe</t>
        </is>
      </c>
      <c r="K955" s="7" t="inlineStr">
        <is>
          <t>Planejamento</t>
        </is>
      </c>
      <c r="L955" s="16" t="inlineStr">
        <is>
          <t>PDS-Fevereiro(1).docx</t>
        </is>
      </c>
      <c r="M955">
        <f>IF($A955="","",TEXT($A955,"mmmm/yyyy"))</f>
        <v/>
      </c>
      <c r="P955">
        <f>IFERROR(_xludf.XLOOKUP($N955,Base_Enderecos!$A:$A,Base_Enderecos!$B:$B,""),"")</f>
        <v/>
      </c>
      <c r="Q955">
        <f>IFERROR(_xludf.XLOOKUP($N955,Base_Enderecos!$A:$A,Base_Enderecos!$C:$C,""),"")</f>
        <v/>
      </c>
      <c r="R955">
        <f>IF(OR(ISNUMBER(SEARCH("HDD",$F955)),ISNUMBER(SEARCH("MND",$F955)),ISNUMBER(SEARCH("PEAD",$F955)),ISNUMBER(SEARCH("Puxe",$J955)),ISNUMBER(SEARCH("Apoio HDD",$F955))),"MND",IF(OR(ISNUMBER(SEARCH("VCA",$F955)),ISNUMBER(SEARCH("PVC",$F955)),ISNUMBER(SEARCH("vca",$J955)),ISNUMBER(SEARCH("Transformação",$J955))),"VCA",IF(OR(ISNUMBER(SEARCH("crava",$F955)),ISNUMBER(SEARCH("tubo cravado",$F955)),ISNUMBER(SEARCH("shaft",$J955)),ISNUMBER(SEARCH("concreto",$F955))),"TUBO CRAVADO","")))</f>
        <v/>
      </c>
      <c r="T955">
        <f>IF($A955="","",TEXT($A955,"yyyymm")&amp;"|"&amp;$C955&amp;"|"&amp;$F955&amp;"|"&amp;$N955&amp;"|"&amp;$R955)</f>
        <v/>
      </c>
    </row>
    <row r="956" ht="11.55" customHeight="1">
      <c r="A956" s="10" t="n">
        <v>46076</v>
      </c>
      <c r="B956" s="7" t="inlineStr">
        <is>
          <t>Segunda</t>
        </is>
      </c>
      <c r="C956" s="7" t="inlineStr">
        <is>
          <t>CT AGUA VERMELHA M.E– Valmir e Eloizio</t>
        </is>
      </c>
      <c r="D956" s="7" t="n"/>
      <c r="E956" s="7" t="inlineStr">
        <is>
          <t>Marcio</t>
        </is>
      </c>
      <c r="F956" s="13" t="inlineStr">
        <is>
          <t>Apoio HDD PVE 15 ao 18</t>
        </is>
      </c>
      <c r="G956" s="7" t="inlineStr">
        <is>
          <t>15</t>
        </is>
      </c>
      <c r="H956" s="7" t="n"/>
      <c r="I956" s="7" t="inlineStr">
        <is>
          <t>15</t>
        </is>
      </c>
      <c r="J956" s="7" t="inlineStr">
        <is>
          <t>Apoio HDD</t>
        </is>
      </c>
      <c r="K956" s="7" t="inlineStr">
        <is>
          <t>Planejamento</t>
        </is>
      </c>
      <c r="L956" s="16" t="inlineStr">
        <is>
          <t>PDS-Fevereiro(1).docx</t>
        </is>
      </c>
      <c r="M956">
        <f>IF($A956="","",TEXT($A956,"mmmm/yyyy"))</f>
        <v/>
      </c>
      <c r="P956">
        <f>IFERROR(_xludf.XLOOKUP($N956,Base_Enderecos!$A:$A,Base_Enderecos!$B:$B,""),"")</f>
        <v/>
      </c>
      <c r="Q956">
        <f>IFERROR(_xludf.XLOOKUP($N956,Base_Enderecos!$A:$A,Base_Enderecos!$C:$C,""),"")</f>
        <v/>
      </c>
      <c r="R956">
        <f>IF(OR(ISNUMBER(SEARCH("HDD",$F956)),ISNUMBER(SEARCH("MND",$F956)),ISNUMBER(SEARCH("PEAD",$F956)),ISNUMBER(SEARCH("Puxe",$J956)),ISNUMBER(SEARCH("Apoio HDD",$F956))),"MND",IF(OR(ISNUMBER(SEARCH("VCA",$F956)),ISNUMBER(SEARCH("PVC",$F956)),ISNUMBER(SEARCH("vca",$J956)),ISNUMBER(SEARCH("Transformação",$J956))),"VCA",IF(OR(ISNUMBER(SEARCH("crava",$F956)),ISNUMBER(SEARCH("tubo cravado",$F956)),ISNUMBER(SEARCH("shaft",$J956)),ISNUMBER(SEARCH("concreto",$F956))),"TUBO CRAVADO","")))</f>
        <v/>
      </c>
      <c r="T956">
        <f>IF($A956="","",TEXT($A956,"yyyymm")&amp;"|"&amp;$C956&amp;"|"&amp;$F956&amp;"|"&amp;$N956&amp;"|"&amp;$R956)</f>
        <v/>
      </c>
    </row>
    <row r="957" ht="11.55" customHeight="1">
      <c r="A957" s="10" t="n">
        <v>46076</v>
      </c>
      <c r="B957" s="7" t="inlineStr">
        <is>
          <t>Segunda</t>
        </is>
      </c>
      <c r="C957" s="7" t="inlineStr">
        <is>
          <t>CT AGUA VERMELHA M.E– Valmir e Eloizio</t>
        </is>
      </c>
      <c r="D957" s="7" t="n"/>
      <c r="E957" s="7" t="inlineStr">
        <is>
          <t>Cidão</t>
        </is>
      </c>
      <c r="F957" s="13" t="inlineStr">
        <is>
          <t>Transformação PVE 21</t>
        </is>
      </c>
      <c r="G957" s="7" t="inlineStr">
        <is>
          <t>21</t>
        </is>
      </c>
      <c r="H957" s="7" t="n"/>
      <c r="I957" s="7" t="inlineStr">
        <is>
          <t>21</t>
        </is>
      </c>
      <c r="J957" s="7" t="inlineStr">
        <is>
          <t>Transformação</t>
        </is>
      </c>
      <c r="K957" s="7" t="inlineStr">
        <is>
          <t>Planejamento</t>
        </is>
      </c>
      <c r="L957" s="16" t="inlineStr">
        <is>
          <t>PDS-Fevereiro(1).docx</t>
        </is>
      </c>
      <c r="M957">
        <f>IF($A957="","",TEXT($A957,"mmmm/yyyy"))</f>
        <v/>
      </c>
      <c r="P957">
        <f>IFERROR(_xludf.XLOOKUP($N957,Base_Enderecos!$A:$A,Base_Enderecos!$B:$B,""),"")</f>
        <v/>
      </c>
      <c r="Q957">
        <f>IFERROR(_xludf.XLOOKUP($N957,Base_Enderecos!$A:$A,Base_Enderecos!$C:$C,""),"")</f>
        <v/>
      </c>
      <c r="R957">
        <f>IF(OR(ISNUMBER(SEARCH("HDD",$F957)),ISNUMBER(SEARCH("MND",$F957)),ISNUMBER(SEARCH("PEAD",$F957)),ISNUMBER(SEARCH("Puxe",$J957)),ISNUMBER(SEARCH("Apoio HDD",$F957))),"MND",IF(OR(ISNUMBER(SEARCH("VCA",$F957)),ISNUMBER(SEARCH("PVC",$F957)),ISNUMBER(SEARCH("vca",$J957)),ISNUMBER(SEARCH("Transformação",$J957))),"VCA",IF(OR(ISNUMBER(SEARCH("crava",$F957)),ISNUMBER(SEARCH("tubo cravado",$F957)),ISNUMBER(SEARCH("shaft",$J957)),ISNUMBER(SEARCH("concreto",$F957))),"TUBO CRAVADO","")))</f>
        <v/>
      </c>
      <c r="T957">
        <f>IF($A957="","",TEXT($A957,"yyyymm")&amp;"|"&amp;$C957&amp;"|"&amp;$F957&amp;"|"&amp;$N957&amp;"|"&amp;$R957)</f>
        <v/>
      </c>
    </row>
    <row r="958" ht="11.55" customHeight="1">
      <c r="A958" s="10" t="n">
        <v>46076</v>
      </c>
      <c r="B958" s="7" t="inlineStr">
        <is>
          <t>Segunda</t>
        </is>
      </c>
      <c r="C958" s="7" t="inlineStr">
        <is>
          <t>Vacal</t>
        </is>
      </c>
      <c r="D958" s="7" t="n"/>
      <c r="E958" s="7" t="inlineStr">
        <is>
          <t>Agua Vermelha</t>
        </is>
      </c>
      <c r="F958" s="13" t="inlineStr">
        <is>
          <t>Apoio Vacal</t>
        </is>
      </c>
      <c r="G958" s="7" t="n"/>
      <c r="H958" s="7" t="n"/>
      <c r="I958" s="7" t="n"/>
      <c r="J958" s="7" t="inlineStr">
        <is>
          <t>Vacal</t>
        </is>
      </c>
      <c r="K958" s="7" t="inlineStr">
        <is>
          <t>Apoio</t>
        </is>
      </c>
      <c r="L958" s="16" t="inlineStr">
        <is>
          <t>PDS-Fevereiro(1).docx</t>
        </is>
      </c>
      <c r="M958">
        <f>IF($A958="","",TEXT($A958,"mmmm/yyyy"))</f>
        <v/>
      </c>
      <c r="P958">
        <f>IFERROR(_xludf.XLOOKUP($N958,Base_Enderecos!$A:$A,Base_Enderecos!$B:$B,""),"")</f>
        <v/>
      </c>
      <c r="Q958">
        <f>IFERROR(_xludf.XLOOKUP($N958,Base_Enderecos!$A:$A,Base_Enderecos!$C:$C,""),"")</f>
        <v/>
      </c>
      <c r="R958">
        <f>IF(OR(ISNUMBER(SEARCH("HDD",$F958)),ISNUMBER(SEARCH("MND",$F958)),ISNUMBER(SEARCH("PEAD",$F958)),ISNUMBER(SEARCH("Puxe",$J958)),ISNUMBER(SEARCH("Apoio HDD",$F958))),"MND",IF(OR(ISNUMBER(SEARCH("VCA",$F958)),ISNUMBER(SEARCH("PVC",$F958)),ISNUMBER(SEARCH("vca",$J958)),ISNUMBER(SEARCH("Transformação",$J958))),"VCA",IF(OR(ISNUMBER(SEARCH("crava",$F958)),ISNUMBER(SEARCH("tubo cravado",$F958)),ISNUMBER(SEARCH("shaft",$J958)),ISNUMBER(SEARCH("concreto",$F958))),"TUBO CRAVADO","")))</f>
        <v/>
      </c>
      <c r="T958">
        <f>IF($A958="","",TEXT($A958,"yyyymm")&amp;"|"&amp;$C958&amp;"|"&amp;$F958&amp;"|"&amp;$N958&amp;"|"&amp;$R958)</f>
        <v/>
      </c>
    </row>
    <row r="959" ht="11.55" customHeight="1">
      <c r="A959" s="10" t="n">
        <v>46076</v>
      </c>
      <c r="B959" s="7" t="inlineStr">
        <is>
          <t>Segunda</t>
        </is>
      </c>
      <c r="C959" s="7" t="inlineStr">
        <is>
          <t>Vacal</t>
        </is>
      </c>
      <c r="D959" s="7" t="n"/>
      <c r="E959" s="7" t="inlineStr">
        <is>
          <t>Agua Vermelha</t>
        </is>
      </c>
      <c r="F959" s="13" t="inlineStr">
        <is>
          <t>Apoio Vacal</t>
        </is>
      </c>
      <c r="G959" s="7" t="n"/>
      <c r="H959" s="7" t="n"/>
      <c r="I959" s="7" t="n"/>
      <c r="J959" s="7" t="inlineStr">
        <is>
          <t>Vacal</t>
        </is>
      </c>
      <c r="K959" s="7" t="inlineStr">
        <is>
          <t>Apoio</t>
        </is>
      </c>
      <c r="L959" s="16" t="inlineStr">
        <is>
          <t>PDS-Fevereiro(1).docx</t>
        </is>
      </c>
      <c r="M959">
        <f>IF($A959="","",TEXT($A959,"mmmm/yyyy"))</f>
        <v/>
      </c>
      <c r="P959">
        <f>IFERROR(_xludf.XLOOKUP($N959,Base_Enderecos!$A:$A,Base_Enderecos!$B:$B,""),"")</f>
        <v/>
      </c>
      <c r="Q959">
        <f>IFERROR(_xludf.XLOOKUP($N959,Base_Enderecos!$A:$A,Base_Enderecos!$C:$C,""),"")</f>
        <v/>
      </c>
      <c r="R959">
        <f>IF(OR(ISNUMBER(SEARCH("HDD",$F959)),ISNUMBER(SEARCH("MND",$F959)),ISNUMBER(SEARCH("PEAD",$F959)),ISNUMBER(SEARCH("Puxe",$J959)),ISNUMBER(SEARCH("Apoio HDD",$F959))),"MND",IF(OR(ISNUMBER(SEARCH("VCA",$F959)),ISNUMBER(SEARCH("PVC",$F959)),ISNUMBER(SEARCH("vca",$J959)),ISNUMBER(SEARCH("Transformação",$J959))),"VCA",IF(OR(ISNUMBER(SEARCH("crava",$F959)),ISNUMBER(SEARCH("tubo cravado",$F959)),ISNUMBER(SEARCH("shaft",$J959)),ISNUMBER(SEARCH("concreto",$F959))),"TUBO CRAVADO","")))</f>
        <v/>
      </c>
      <c r="T959">
        <f>IF($A959="","",TEXT($A959,"yyyymm")&amp;"|"&amp;$C959&amp;"|"&amp;$F959&amp;"|"&amp;$N959&amp;"|"&amp;$R959)</f>
        <v/>
      </c>
    </row>
    <row r="960" ht="11.55" customHeight="1">
      <c r="A960" s="10" t="n">
        <v>46076</v>
      </c>
      <c r="B960" s="7" t="inlineStr">
        <is>
          <t>Segunda</t>
        </is>
      </c>
      <c r="C960" s="7" t="inlineStr">
        <is>
          <t>Vacal</t>
        </is>
      </c>
      <c r="D960" s="7" t="n"/>
      <c r="E960" s="7" t="inlineStr">
        <is>
          <t>Mar de Coral</t>
        </is>
      </c>
      <c r="F960" s="13" t="inlineStr">
        <is>
          <t>Apoio Vacal</t>
        </is>
      </c>
      <c r="G960" s="7" t="n"/>
      <c r="H960" s="7" t="n"/>
      <c r="I960" s="7" t="n"/>
      <c r="J960" s="7" t="inlineStr">
        <is>
          <t>Vacal</t>
        </is>
      </c>
      <c r="K960" s="7" t="inlineStr">
        <is>
          <t>Apoio</t>
        </is>
      </c>
      <c r="L960" s="16" t="inlineStr">
        <is>
          <t>PDS-Fevereiro(1).docx</t>
        </is>
      </c>
      <c r="M960">
        <f>IF($A960="","",TEXT($A960,"mmmm/yyyy"))</f>
        <v/>
      </c>
      <c r="P960">
        <f>IFERROR(_xludf.XLOOKUP($N960,Base_Enderecos!$A:$A,Base_Enderecos!$B:$B,""),"")</f>
        <v/>
      </c>
      <c r="Q960">
        <f>IFERROR(_xludf.XLOOKUP($N960,Base_Enderecos!$A:$A,Base_Enderecos!$C:$C,""),"")</f>
        <v/>
      </c>
      <c r="R960">
        <f>IF(OR(ISNUMBER(SEARCH("HDD",$F960)),ISNUMBER(SEARCH("MND",$F960)),ISNUMBER(SEARCH("PEAD",$F960)),ISNUMBER(SEARCH("Puxe",$J960)),ISNUMBER(SEARCH("Apoio HDD",$F960))),"MND",IF(OR(ISNUMBER(SEARCH("VCA",$F960)),ISNUMBER(SEARCH("PVC",$F960)),ISNUMBER(SEARCH("vca",$J960)),ISNUMBER(SEARCH("Transformação",$J960))),"VCA",IF(OR(ISNUMBER(SEARCH("crava",$F960)),ISNUMBER(SEARCH("tubo cravado",$F960)),ISNUMBER(SEARCH("shaft",$J960)),ISNUMBER(SEARCH("concreto",$F960))),"TUBO CRAVADO","")))</f>
        <v/>
      </c>
      <c r="T960">
        <f>IF($A960="","",TEXT($A960,"yyyymm")&amp;"|"&amp;$C960&amp;"|"&amp;$F960&amp;"|"&amp;$N960&amp;"|"&amp;$R960)</f>
        <v/>
      </c>
    </row>
    <row r="961" ht="11.55" customHeight="1">
      <c r="A961" s="10" t="n">
        <v>46076</v>
      </c>
      <c r="B961" s="7" t="inlineStr">
        <is>
          <t>Segunda</t>
        </is>
      </c>
      <c r="C961" s="7" t="inlineStr">
        <is>
          <t>Vacal</t>
        </is>
      </c>
      <c r="D961" s="7" t="n"/>
      <c r="E961" s="7" t="inlineStr">
        <is>
          <t>Mar de Coral</t>
        </is>
      </c>
      <c r="F961" s="13" t="inlineStr">
        <is>
          <t>Apoio Vacal</t>
        </is>
      </c>
      <c r="G961" s="7" t="n"/>
      <c r="H961" s="7" t="n"/>
      <c r="I961" s="7" t="n"/>
      <c r="J961" s="7" t="inlineStr">
        <is>
          <t>Vacal</t>
        </is>
      </c>
      <c r="K961" s="7" t="inlineStr">
        <is>
          <t>Apoio</t>
        </is>
      </c>
      <c r="L961" s="16" t="inlineStr">
        <is>
          <t>PDS-Fevereiro(1).docx</t>
        </is>
      </c>
      <c r="M961">
        <f>IF($A961="","",TEXT($A961,"mmmm/yyyy"))</f>
        <v/>
      </c>
      <c r="P961">
        <f>IFERROR(_xludf.XLOOKUP($N961,Base_Enderecos!$A:$A,Base_Enderecos!$B:$B,""),"")</f>
        <v/>
      </c>
      <c r="Q961">
        <f>IFERROR(_xludf.XLOOKUP($N961,Base_Enderecos!$A:$A,Base_Enderecos!$C:$C,""),"")</f>
        <v/>
      </c>
      <c r="R961">
        <f>IF(OR(ISNUMBER(SEARCH("HDD",$F961)),ISNUMBER(SEARCH("MND",$F961)),ISNUMBER(SEARCH("PEAD",$F961)),ISNUMBER(SEARCH("Puxe",$J961)),ISNUMBER(SEARCH("Apoio HDD",$F961))),"MND",IF(OR(ISNUMBER(SEARCH("VCA",$F961)),ISNUMBER(SEARCH("PVC",$F961)),ISNUMBER(SEARCH("vca",$J961)),ISNUMBER(SEARCH("Transformação",$J961))),"VCA",IF(OR(ISNUMBER(SEARCH("crava",$F961)),ISNUMBER(SEARCH("tubo cravado",$F961)),ISNUMBER(SEARCH("shaft",$J961)),ISNUMBER(SEARCH("concreto",$F961))),"TUBO CRAVADO","")))</f>
        <v/>
      </c>
      <c r="T961">
        <f>IF($A961="","",TEXT($A961,"yyyymm")&amp;"|"&amp;$C961&amp;"|"&amp;$F961&amp;"|"&amp;$N961&amp;"|"&amp;$R961)</f>
        <v/>
      </c>
    </row>
    <row r="962" ht="11.55" customHeight="1">
      <c r="A962" s="10" t="n">
        <v>46076</v>
      </c>
      <c r="B962" s="7" t="inlineStr">
        <is>
          <t>Segunda</t>
        </is>
      </c>
      <c r="C962" s="7" t="inlineStr">
        <is>
          <t>Guindauto</t>
        </is>
      </c>
      <c r="D962" s="7" t="n"/>
      <c r="E962" s="7" t="inlineStr">
        <is>
          <t>Rodrigo</t>
        </is>
      </c>
      <c r="F962" s="13" t="inlineStr">
        <is>
          <t>Rodrigo - Apoio as equipes</t>
        </is>
      </c>
      <c r="G962" s="7" t="n"/>
      <c r="H962" s="7" t="n"/>
      <c r="I962" s="7" t="n"/>
      <c r="J962" s="7" t="inlineStr">
        <is>
          <t>Guindauto</t>
        </is>
      </c>
      <c r="K962" s="7" t="inlineStr">
        <is>
          <t>Apoio</t>
        </is>
      </c>
      <c r="L962" s="16" t="inlineStr">
        <is>
          <t>PDS-Fevereiro(1).docx</t>
        </is>
      </c>
      <c r="M962">
        <f>IF($A962="","",TEXT($A962,"mmmm/yyyy"))</f>
        <v/>
      </c>
      <c r="P962">
        <f>IFERROR(_xludf.XLOOKUP($N962,Base_Enderecos!$A:$A,Base_Enderecos!$B:$B,""),"")</f>
        <v/>
      </c>
      <c r="Q962">
        <f>IFERROR(_xludf.XLOOKUP($N962,Base_Enderecos!$A:$A,Base_Enderecos!$C:$C,""),"")</f>
        <v/>
      </c>
      <c r="R962">
        <f>IF(OR(ISNUMBER(SEARCH("HDD",$F962)),ISNUMBER(SEARCH("MND",$F962)),ISNUMBER(SEARCH("PEAD",$F962)),ISNUMBER(SEARCH("Puxe",$J962)),ISNUMBER(SEARCH("Apoio HDD",$F962))),"MND",IF(OR(ISNUMBER(SEARCH("VCA",$F962)),ISNUMBER(SEARCH("PVC",$F962)),ISNUMBER(SEARCH("vca",$J962)),ISNUMBER(SEARCH("Transformação",$J962))),"VCA",IF(OR(ISNUMBER(SEARCH("crava",$F962)),ISNUMBER(SEARCH("tubo cravado",$F962)),ISNUMBER(SEARCH("shaft",$J962)),ISNUMBER(SEARCH("concreto",$F962))),"TUBO CRAVADO","")))</f>
        <v/>
      </c>
      <c r="T962">
        <f>IF($A962="","",TEXT($A962,"yyyymm")&amp;"|"&amp;$C962&amp;"|"&amp;$F962&amp;"|"&amp;$N962&amp;"|"&amp;$R962)</f>
        <v/>
      </c>
    </row>
    <row r="963" ht="11.55" customHeight="1">
      <c r="A963" s="10" t="n">
        <v>46076</v>
      </c>
      <c r="B963" s="7" t="inlineStr">
        <is>
          <t>Segunda</t>
        </is>
      </c>
      <c r="C963" s="7" t="inlineStr">
        <is>
          <t>Guindauto</t>
        </is>
      </c>
      <c r="D963" s="7" t="n"/>
      <c r="E963" s="7" t="inlineStr">
        <is>
          <t>Marcio</t>
        </is>
      </c>
      <c r="F963" s="13" t="inlineStr">
        <is>
          <t>Marcio - Apoio as equipes</t>
        </is>
      </c>
      <c r="G963" s="7" t="n"/>
      <c r="H963" s="7" t="n"/>
      <c r="I963" s="7" t="n"/>
      <c r="J963" s="7" t="inlineStr">
        <is>
          <t>Guindauto</t>
        </is>
      </c>
      <c r="K963" s="7" t="inlineStr">
        <is>
          <t>Apoio</t>
        </is>
      </c>
      <c r="L963" s="16" t="inlineStr">
        <is>
          <t>PDS-Fevereiro(1).docx</t>
        </is>
      </c>
      <c r="M963">
        <f>IF($A963="","",TEXT($A963,"mmmm/yyyy"))</f>
        <v/>
      </c>
      <c r="P963">
        <f>IFERROR(_xludf.XLOOKUP($N963,Base_Enderecos!$A:$A,Base_Enderecos!$B:$B,""),"")</f>
        <v/>
      </c>
      <c r="Q963">
        <f>IFERROR(_xludf.XLOOKUP($N963,Base_Enderecos!$A:$A,Base_Enderecos!$C:$C,""),"")</f>
        <v/>
      </c>
      <c r="R963">
        <f>IF(OR(ISNUMBER(SEARCH("HDD",$F963)),ISNUMBER(SEARCH("MND",$F963)),ISNUMBER(SEARCH("PEAD",$F963)),ISNUMBER(SEARCH("Puxe",$J963)),ISNUMBER(SEARCH("Apoio HDD",$F963))),"MND",IF(OR(ISNUMBER(SEARCH("VCA",$F963)),ISNUMBER(SEARCH("PVC",$F963)),ISNUMBER(SEARCH("vca",$J963)),ISNUMBER(SEARCH("Transformação",$J963))),"VCA",IF(OR(ISNUMBER(SEARCH("crava",$F963)),ISNUMBER(SEARCH("tubo cravado",$F963)),ISNUMBER(SEARCH("shaft",$J963)),ISNUMBER(SEARCH("concreto",$F963))),"TUBO CRAVADO","")))</f>
        <v/>
      </c>
      <c r="T963">
        <f>IF($A963="","",TEXT($A963,"yyyymm")&amp;"|"&amp;$C963&amp;"|"&amp;$F963&amp;"|"&amp;$N963&amp;"|"&amp;$R963)</f>
        <v/>
      </c>
    </row>
    <row r="964" ht="11.55" customHeight="1">
      <c r="A964" s="10" t="n">
        <v>46077</v>
      </c>
      <c r="B964" s="7" t="inlineStr">
        <is>
          <t>Terça</t>
        </is>
      </c>
      <c r="C964" s="7" t="inlineStr">
        <is>
          <t>CT MAR DE CORAL</t>
        </is>
      </c>
      <c r="D964" s="7" t="inlineStr">
        <is>
          <t>LEANDRO, SILVESTRE e ROBSON</t>
        </is>
      </c>
      <c r="E964" s="7" t="inlineStr">
        <is>
          <t>Goiania Drill</t>
        </is>
      </c>
      <c r="F964" s="13" t="inlineStr">
        <is>
          <t>Furo Piloto e Puxe entre PVs 41 ao 43</t>
        </is>
      </c>
      <c r="G964" s="7" t="inlineStr">
        <is>
          <t>41</t>
        </is>
      </c>
      <c r="H964" s="7" t="n"/>
      <c r="I964" s="7" t="inlineStr">
        <is>
          <t>41</t>
        </is>
      </c>
      <c r="J964" s="7" t="inlineStr">
        <is>
          <t>Furo piloto</t>
        </is>
      </c>
      <c r="K964" s="7" t="inlineStr">
        <is>
          <t>Planejamento</t>
        </is>
      </c>
      <c r="L964" s="16" t="inlineStr">
        <is>
          <t>PDS-Fevereiro(1).docx</t>
        </is>
      </c>
      <c r="M964">
        <f>IF($A964="","",TEXT($A964,"mmmm/yyyy"))</f>
        <v/>
      </c>
      <c r="P964">
        <f>IFERROR(_xludf.XLOOKUP($N964,Base_Enderecos!$A:$A,Base_Enderecos!$B:$B,""),"")</f>
        <v/>
      </c>
      <c r="Q964">
        <f>IFERROR(_xludf.XLOOKUP($N964,Base_Enderecos!$A:$A,Base_Enderecos!$C:$C,""),"")</f>
        <v/>
      </c>
      <c r="R964">
        <f>IF(OR(ISNUMBER(SEARCH("HDD",$F964)),ISNUMBER(SEARCH("MND",$F964)),ISNUMBER(SEARCH("PEAD",$F964)),ISNUMBER(SEARCH("Puxe",$J964)),ISNUMBER(SEARCH("Apoio HDD",$F964))),"MND",IF(OR(ISNUMBER(SEARCH("VCA",$F964)),ISNUMBER(SEARCH("PVC",$F964)),ISNUMBER(SEARCH("vca",$J964)),ISNUMBER(SEARCH("Transformação",$J964))),"VCA",IF(OR(ISNUMBER(SEARCH("crava",$F964)),ISNUMBER(SEARCH("tubo cravado",$F964)),ISNUMBER(SEARCH("shaft",$J964)),ISNUMBER(SEARCH("concreto",$F964))),"TUBO CRAVADO","")))</f>
        <v/>
      </c>
      <c r="T964">
        <f>IF($A964="","",TEXT($A964,"yyyymm")&amp;"|"&amp;$C964&amp;"|"&amp;$F964&amp;"|"&amp;$N964&amp;"|"&amp;$R964)</f>
        <v/>
      </c>
    </row>
    <row r="965" ht="11.55" customHeight="1">
      <c r="A965" s="10" t="n">
        <v>46077</v>
      </c>
      <c r="B965" s="7" t="inlineStr">
        <is>
          <t>Terça</t>
        </is>
      </c>
      <c r="C965" s="7" t="inlineStr">
        <is>
          <t>CT MAR DE CORAL</t>
        </is>
      </c>
      <c r="D965" s="7" t="inlineStr">
        <is>
          <t>LEANDRO, SILVESTRE e ROBSON</t>
        </is>
      </c>
      <c r="E965" s="7" t="inlineStr">
        <is>
          <t>Medeiros</t>
        </is>
      </c>
      <c r="F965" s="13" t="inlineStr">
        <is>
          <t>Apoio HDD PV 41 ao PV 43</t>
        </is>
      </c>
      <c r="G965" s="7" t="inlineStr">
        <is>
          <t>41</t>
        </is>
      </c>
      <c r="H965" s="7" t="inlineStr">
        <is>
          <t>43</t>
        </is>
      </c>
      <c r="I965" s="7" t="inlineStr">
        <is>
          <t>41, 43</t>
        </is>
      </c>
      <c r="J965" s="7" t="inlineStr">
        <is>
          <t>Apoio HDD</t>
        </is>
      </c>
      <c r="K965" s="7" t="inlineStr">
        <is>
          <t>Planejamento</t>
        </is>
      </c>
      <c r="L965" s="16" t="inlineStr">
        <is>
          <t>PDS-Fevereiro(1).docx</t>
        </is>
      </c>
      <c r="M965">
        <f>IF($A965="","",TEXT($A965,"mmmm/yyyy"))</f>
        <v/>
      </c>
      <c r="P965">
        <f>IFERROR(_xludf.XLOOKUP($N965,Base_Enderecos!$A:$A,Base_Enderecos!$B:$B,""),"")</f>
        <v/>
      </c>
      <c r="Q965">
        <f>IFERROR(_xludf.XLOOKUP($N965,Base_Enderecos!$A:$A,Base_Enderecos!$C:$C,""),"")</f>
        <v/>
      </c>
      <c r="R965">
        <f>IF(OR(ISNUMBER(SEARCH("HDD",$F965)),ISNUMBER(SEARCH("MND",$F965)),ISNUMBER(SEARCH("PEAD",$F965)),ISNUMBER(SEARCH("Puxe",$J965)),ISNUMBER(SEARCH("Apoio HDD",$F965))),"MND",IF(OR(ISNUMBER(SEARCH("VCA",$F965)),ISNUMBER(SEARCH("PVC",$F965)),ISNUMBER(SEARCH("vca",$J965)),ISNUMBER(SEARCH("Transformação",$J965))),"VCA",IF(OR(ISNUMBER(SEARCH("crava",$F965)),ISNUMBER(SEARCH("tubo cravado",$F965)),ISNUMBER(SEARCH("shaft",$J965)),ISNUMBER(SEARCH("concreto",$F965))),"TUBO CRAVADO","")))</f>
        <v/>
      </c>
      <c r="T965">
        <f>IF($A965="","",TEXT($A965,"yyyymm")&amp;"|"&amp;$C965&amp;"|"&amp;$F965&amp;"|"&amp;$N965&amp;"|"&amp;$R965)</f>
        <v/>
      </c>
    </row>
    <row r="966" ht="11.55" customHeight="1">
      <c r="A966" s="10" t="n">
        <v>46077</v>
      </c>
      <c r="B966" s="7" t="inlineStr">
        <is>
          <t>Terça</t>
        </is>
      </c>
      <c r="C966" s="7" t="inlineStr">
        <is>
          <t>CT MAR DE CORAL</t>
        </is>
      </c>
      <c r="D966" s="7" t="inlineStr">
        <is>
          <t>LEANDRO, SILVESTRE e ROBSON</t>
        </is>
      </c>
      <c r="E966" s="7" t="inlineStr">
        <is>
          <t>Ricardo</t>
        </is>
      </c>
      <c r="F966" s="13" t="inlineStr">
        <is>
          <t>Adequação PV 41</t>
        </is>
      </c>
      <c r="G966" s="7" t="inlineStr">
        <is>
          <t>41</t>
        </is>
      </c>
      <c r="H966" s="7" t="n"/>
      <c r="I966" s="7" t="inlineStr">
        <is>
          <t>41</t>
        </is>
      </c>
      <c r="J966" s="7" t="inlineStr">
        <is>
          <t>Adequação</t>
        </is>
      </c>
      <c r="K966" s="7" t="inlineStr">
        <is>
          <t>Planejamento</t>
        </is>
      </c>
      <c r="L966" s="16" t="inlineStr">
        <is>
          <t>PDS-Fevereiro(1).docx</t>
        </is>
      </c>
      <c r="M966">
        <f>IF($A966="","",TEXT($A966,"mmmm/yyyy"))</f>
        <v/>
      </c>
      <c r="P966">
        <f>IFERROR(_xludf.XLOOKUP($N966,Base_Enderecos!$A:$A,Base_Enderecos!$B:$B,""),"")</f>
        <v/>
      </c>
      <c r="Q966">
        <f>IFERROR(_xludf.XLOOKUP($N966,Base_Enderecos!$A:$A,Base_Enderecos!$C:$C,""),"")</f>
        <v/>
      </c>
      <c r="R966">
        <f>IF(OR(ISNUMBER(SEARCH("HDD",$F966)),ISNUMBER(SEARCH("MND",$F966)),ISNUMBER(SEARCH("PEAD",$F966)),ISNUMBER(SEARCH("Puxe",$J966)),ISNUMBER(SEARCH("Apoio HDD",$F966))),"MND",IF(OR(ISNUMBER(SEARCH("VCA",$F966)),ISNUMBER(SEARCH("PVC",$F966)),ISNUMBER(SEARCH("vca",$J966)),ISNUMBER(SEARCH("Transformação",$J966))),"VCA",IF(OR(ISNUMBER(SEARCH("crava",$F966)),ISNUMBER(SEARCH("tubo cravado",$F966)),ISNUMBER(SEARCH("shaft",$J966)),ISNUMBER(SEARCH("concreto",$F966))),"TUBO CRAVADO","")))</f>
        <v/>
      </c>
      <c r="T966">
        <f>IF($A966="","",TEXT($A966,"yyyymm")&amp;"|"&amp;$C966&amp;"|"&amp;$F966&amp;"|"&amp;$N966&amp;"|"&amp;$R966)</f>
        <v/>
      </c>
    </row>
    <row r="967" ht="11.55" customHeight="1">
      <c r="A967" s="10" t="n">
        <v>46077</v>
      </c>
      <c r="B967" s="7" t="inlineStr">
        <is>
          <t>Terça</t>
        </is>
      </c>
      <c r="C967" s="7" t="inlineStr">
        <is>
          <t>CT MAR DE CORAL</t>
        </is>
      </c>
      <c r="D967" s="7" t="inlineStr">
        <is>
          <t>LEANDRO, SILVESTRE e ROBSON</t>
        </is>
      </c>
      <c r="E967" s="7" t="inlineStr">
        <is>
          <t>Edivando</t>
        </is>
      </c>
      <c r="F967" s="13" t="inlineStr">
        <is>
          <t>Transformação PV 40</t>
        </is>
      </c>
      <c r="G967" s="7" t="inlineStr">
        <is>
          <t>40</t>
        </is>
      </c>
      <c r="H967" s="7" t="n"/>
      <c r="I967" s="7" t="inlineStr">
        <is>
          <t>40</t>
        </is>
      </c>
      <c r="J967" s="7" t="inlineStr">
        <is>
          <t>Transformação</t>
        </is>
      </c>
      <c r="K967" s="7" t="inlineStr">
        <is>
          <t>Planejamento</t>
        </is>
      </c>
      <c r="L967" s="16" t="inlineStr">
        <is>
          <t>PDS-Fevereiro(1).docx</t>
        </is>
      </c>
      <c r="M967">
        <f>IF($A967="","",TEXT($A967,"mmmm/yyyy"))</f>
        <v/>
      </c>
      <c r="P967">
        <f>IFERROR(_xludf.XLOOKUP($N967,Base_Enderecos!$A:$A,Base_Enderecos!$B:$B,""),"")</f>
        <v/>
      </c>
      <c r="Q967">
        <f>IFERROR(_xludf.XLOOKUP($N967,Base_Enderecos!$A:$A,Base_Enderecos!$C:$C,""),"")</f>
        <v/>
      </c>
      <c r="R967">
        <f>IF(OR(ISNUMBER(SEARCH("HDD",$F967)),ISNUMBER(SEARCH("MND",$F967)),ISNUMBER(SEARCH("PEAD",$F967)),ISNUMBER(SEARCH("Puxe",$J967)),ISNUMBER(SEARCH("Apoio HDD",$F967))),"MND",IF(OR(ISNUMBER(SEARCH("VCA",$F967)),ISNUMBER(SEARCH("PVC",$F967)),ISNUMBER(SEARCH("vca",$J967)),ISNUMBER(SEARCH("Transformação",$J967))),"VCA",IF(OR(ISNUMBER(SEARCH("crava",$F967)),ISNUMBER(SEARCH("tubo cravado",$F967)),ISNUMBER(SEARCH("shaft",$J967)),ISNUMBER(SEARCH("concreto",$F967))),"TUBO CRAVADO","")))</f>
        <v/>
      </c>
      <c r="T967">
        <f>IF($A967="","",TEXT($A967,"yyyymm")&amp;"|"&amp;$C967&amp;"|"&amp;$F967&amp;"|"&amp;$N967&amp;"|"&amp;$R967)</f>
        <v/>
      </c>
    </row>
    <row r="968" ht="11.55" customHeight="1">
      <c r="A968" s="10" t="n">
        <v>46077</v>
      </c>
      <c r="B968" s="7" t="inlineStr">
        <is>
          <t>Terça</t>
        </is>
      </c>
      <c r="C968" s="7" t="inlineStr">
        <is>
          <t>CT MAR DE CORAL</t>
        </is>
      </c>
      <c r="D968" s="7" t="inlineStr">
        <is>
          <t>LEANDRO, SILVESTRE e ROBSON</t>
        </is>
      </c>
      <c r="E968" s="7" t="inlineStr">
        <is>
          <t>WORK DRILL</t>
        </is>
      </c>
      <c r="F968" s="13" t="inlineStr">
        <is>
          <t>Resgate barra e conclusão puxe PV 43 ao 44</t>
        </is>
      </c>
      <c r="G968" s="7" t="inlineStr">
        <is>
          <t>43</t>
        </is>
      </c>
      <c r="H968" s="7" t="n"/>
      <c r="I968" s="7" t="inlineStr">
        <is>
          <t>43</t>
        </is>
      </c>
      <c r="J968" s="7" t="inlineStr">
        <is>
          <t>Puxe</t>
        </is>
      </c>
      <c r="K968" s="7" t="inlineStr">
        <is>
          <t>Planejamento</t>
        </is>
      </c>
      <c r="L968" s="16" t="inlineStr">
        <is>
          <t>PDS-Fevereiro(1).docx</t>
        </is>
      </c>
      <c r="M968">
        <f>IF($A968="","",TEXT($A968,"mmmm/yyyy"))</f>
        <v/>
      </c>
      <c r="P968">
        <f>IFERROR(_xludf.XLOOKUP($N968,Base_Enderecos!$A:$A,Base_Enderecos!$B:$B,""),"")</f>
        <v/>
      </c>
      <c r="Q968">
        <f>IFERROR(_xludf.XLOOKUP($N968,Base_Enderecos!$A:$A,Base_Enderecos!$C:$C,""),"")</f>
        <v/>
      </c>
      <c r="R968">
        <f>IF(OR(ISNUMBER(SEARCH("HDD",$F968)),ISNUMBER(SEARCH("MND",$F968)),ISNUMBER(SEARCH("PEAD",$F968)),ISNUMBER(SEARCH("Puxe",$J968)),ISNUMBER(SEARCH("Apoio HDD",$F968))),"MND",IF(OR(ISNUMBER(SEARCH("VCA",$F968)),ISNUMBER(SEARCH("PVC",$F968)),ISNUMBER(SEARCH("vca",$J968)),ISNUMBER(SEARCH("Transformação",$J968))),"VCA",IF(OR(ISNUMBER(SEARCH("crava",$F968)),ISNUMBER(SEARCH("tubo cravado",$F968)),ISNUMBER(SEARCH("shaft",$J968)),ISNUMBER(SEARCH("concreto",$F968))),"TUBO CRAVADO","")))</f>
        <v/>
      </c>
      <c r="T968">
        <f>IF($A968="","",TEXT($A968,"yyyymm")&amp;"|"&amp;$C968&amp;"|"&amp;$F968&amp;"|"&amp;$N968&amp;"|"&amp;$R968)</f>
        <v/>
      </c>
    </row>
    <row r="969" ht="11.55" customHeight="1">
      <c r="A969" s="10" t="n">
        <v>46077</v>
      </c>
      <c r="B969" s="7" t="inlineStr">
        <is>
          <t>Terça</t>
        </is>
      </c>
      <c r="C969" s="7" t="inlineStr">
        <is>
          <t>CT MAR DE CORAL</t>
        </is>
      </c>
      <c r="D969" s="7" t="inlineStr">
        <is>
          <t>LEANDRO, SILVESTRE e ROBSON</t>
        </is>
      </c>
      <c r="E969" s="7" t="inlineStr">
        <is>
          <t>Valter</t>
        </is>
      </c>
      <c r="F969" s="13" t="inlineStr">
        <is>
          <t>Resgate haste PV 44</t>
        </is>
      </c>
      <c r="G969" s="7" t="inlineStr">
        <is>
          <t>44</t>
        </is>
      </c>
      <c r="H969" s="7" t="n"/>
      <c r="I969" s="7" t="inlineStr">
        <is>
          <t>44</t>
        </is>
      </c>
      <c r="J969" s="7" t="inlineStr">
        <is>
          <t>Resgate</t>
        </is>
      </c>
      <c r="K969" s="7" t="inlineStr">
        <is>
          <t>Planejamento</t>
        </is>
      </c>
      <c r="L969" s="16" t="inlineStr">
        <is>
          <t>PDS-Fevereiro(1).docx</t>
        </is>
      </c>
      <c r="M969">
        <f>IF($A969="","",TEXT($A969,"mmmm/yyyy"))</f>
        <v/>
      </c>
      <c r="P969">
        <f>IFERROR(_xludf.XLOOKUP($N969,Base_Enderecos!$A:$A,Base_Enderecos!$B:$B,""),"")</f>
        <v/>
      </c>
      <c r="Q969">
        <f>IFERROR(_xludf.XLOOKUP($N969,Base_Enderecos!$A:$A,Base_Enderecos!$C:$C,""),"")</f>
        <v/>
      </c>
      <c r="R969">
        <f>IF(OR(ISNUMBER(SEARCH("HDD",$F969)),ISNUMBER(SEARCH("MND",$F969)),ISNUMBER(SEARCH("PEAD",$F969)),ISNUMBER(SEARCH("Puxe",$J969)),ISNUMBER(SEARCH("Apoio HDD",$F969))),"MND",IF(OR(ISNUMBER(SEARCH("VCA",$F969)),ISNUMBER(SEARCH("PVC",$F969)),ISNUMBER(SEARCH("vca",$J969)),ISNUMBER(SEARCH("Transformação",$J969))),"VCA",IF(OR(ISNUMBER(SEARCH("crava",$F969)),ISNUMBER(SEARCH("tubo cravado",$F969)),ISNUMBER(SEARCH("shaft",$J969)),ISNUMBER(SEARCH("concreto",$F969))),"TUBO CRAVADO","")))</f>
        <v/>
      </c>
      <c r="T969">
        <f>IF($A969="","",TEXT($A969,"yyyymm")&amp;"|"&amp;$C969&amp;"|"&amp;$F969&amp;"|"&amp;$N969&amp;"|"&amp;$R969)</f>
        <v/>
      </c>
    </row>
    <row r="970" ht="11.55" customHeight="1">
      <c r="A970" s="10" t="n">
        <v>46077</v>
      </c>
      <c r="B970" s="7" t="inlineStr">
        <is>
          <t>Terça</t>
        </is>
      </c>
      <c r="C970" s="7" t="inlineStr">
        <is>
          <t>CT MAR DE CORAL</t>
        </is>
      </c>
      <c r="D970" s="7" t="inlineStr">
        <is>
          <t>LEANDRO, SILVESTRE e ROBSON</t>
        </is>
      </c>
      <c r="E970" s="7" t="inlineStr">
        <is>
          <t>Paulo</t>
        </is>
      </c>
      <c r="F970" s="13" t="inlineStr">
        <is>
          <t>Interligação PV 5.1</t>
        </is>
      </c>
      <c r="G970" s="7" t="inlineStr">
        <is>
          <t>5.1</t>
        </is>
      </c>
      <c r="H970" s="7" t="n"/>
      <c r="I970" s="7" t="inlineStr">
        <is>
          <t>5.1</t>
        </is>
      </c>
      <c r="J970" s="7" t="inlineStr">
        <is>
          <t>Interligação</t>
        </is>
      </c>
      <c r="K970" s="7" t="inlineStr">
        <is>
          <t>Planejamento</t>
        </is>
      </c>
      <c r="L970" s="16" t="inlineStr">
        <is>
          <t>PDS-Fevereiro(1).docx</t>
        </is>
      </c>
      <c r="M970">
        <f>IF($A970="","",TEXT($A970,"mmmm/yyyy"))</f>
        <v/>
      </c>
      <c r="P970">
        <f>IFERROR(_xludf.XLOOKUP($N970,Base_Enderecos!$A:$A,Base_Enderecos!$B:$B,""),"")</f>
        <v/>
      </c>
      <c r="Q970">
        <f>IFERROR(_xludf.XLOOKUP($N970,Base_Enderecos!$A:$A,Base_Enderecos!$C:$C,""),"")</f>
        <v/>
      </c>
      <c r="R970">
        <f>IF(OR(ISNUMBER(SEARCH("HDD",$F970)),ISNUMBER(SEARCH("MND",$F970)),ISNUMBER(SEARCH("PEAD",$F970)),ISNUMBER(SEARCH("Puxe",$J970)),ISNUMBER(SEARCH("Apoio HDD",$F970))),"MND",IF(OR(ISNUMBER(SEARCH("VCA",$F970)),ISNUMBER(SEARCH("PVC",$F970)),ISNUMBER(SEARCH("vca",$J970)),ISNUMBER(SEARCH("Transformação",$J970))),"VCA",IF(OR(ISNUMBER(SEARCH("crava",$F970)),ISNUMBER(SEARCH("tubo cravado",$F970)),ISNUMBER(SEARCH("shaft",$J970)),ISNUMBER(SEARCH("concreto",$F970))),"TUBO CRAVADO","")))</f>
        <v/>
      </c>
      <c r="T970">
        <f>IF($A970="","",TEXT($A970,"yyyymm")&amp;"|"&amp;$C970&amp;"|"&amp;$F970&amp;"|"&amp;$N970&amp;"|"&amp;$R970)</f>
        <v/>
      </c>
    </row>
    <row r="971" ht="11.55" customHeight="1">
      <c r="A971" s="10" t="n">
        <v>46077</v>
      </c>
      <c r="B971" s="7" t="inlineStr">
        <is>
          <t>Terça</t>
        </is>
      </c>
      <c r="C971" s="7" t="inlineStr">
        <is>
          <t>CT MAR DE CORAL</t>
        </is>
      </c>
      <c r="D971" s="7" t="inlineStr">
        <is>
          <t>LEANDRO, SILVESTRE e ROBSON</t>
        </is>
      </c>
      <c r="E971" s="7" t="inlineStr">
        <is>
          <t>Sergio</t>
        </is>
      </c>
      <c r="F971" s="13" t="inlineStr">
        <is>
          <t>Interligação PV 16</t>
        </is>
      </c>
      <c r="G971" s="7" t="inlineStr">
        <is>
          <t>16</t>
        </is>
      </c>
      <c r="H971" s="7" t="n"/>
      <c r="I971" s="7" t="inlineStr">
        <is>
          <t>16</t>
        </is>
      </c>
      <c r="J971" s="7" t="inlineStr">
        <is>
          <t>Interligação</t>
        </is>
      </c>
      <c r="K971" s="7" t="inlineStr">
        <is>
          <t>Planejamento</t>
        </is>
      </c>
      <c r="L971" s="16" t="inlineStr">
        <is>
          <t>PDS-Fevereiro(1).docx</t>
        </is>
      </c>
      <c r="M971">
        <f>IF($A971="","",TEXT($A971,"mmmm/yyyy"))</f>
        <v/>
      </c>
      <c r="P971">
        <f>IFERROR(_xludf.XLOOKUP($N971,Base_Enderecos!$A:$A,Base_Enderecos!$B:$B,""),"")</f>
        <v/>
      </c>
      <c r="Q971">
        <f>IFERROR(_xludf.XLOOKUP($N971,Base_Enderecos!$A:$A,Base_Enderecos!$C:$C,""),"")</f>
        <v/>
      </c>
      <c r="R971">
        <f>IF(OR(ISNUMBER(SEARCH("HDD",$F971)),ISNUMBER(SEARCH("MND",$F971)),ISNUMBER(SEARCH("PEAD",$F971)),ISNUMBER(SEARCH("Puxe",$J971)),ISNUMBER(SEARCH("Apoio HDD",$F971))),"MND",IF(OR(ISNUMBER(SEARCH("VCA",$F971)),ISNUMBER(SEARCH("PVC",$F971)),ISNUMBER(SEARCH("vca",$J971)),ISNUMBER(SEARCH("Transformação",$J971))),"VCA",IF(OR(ISNUMBER(SEARCH("crava",$F971)),ISNUMBER(SEARCH("tubo cravado",$F971)),ISNUMBER(SEARCH("shaft",$J971)),ISNUMBER(SEARCH("concreto",$F971))),"TUBO CRAVADO","")))</f>
        <v/>
      </c>
      <c r="T971">
        <f>IF($A971="","",TEXT($A971,"yyyymm")&amp;"|"&amp;$C971&amp;"|"&amp;$F971&amp;"|"&amp;$N971&amp;"|"&amp;$R971)</f>
        <v/>
      </c>
    </row>
    <row r="972" ht="11.55" customHeight="1">
      <c r="A972" s="10" t="n">
        <v>46077</v>
      </c>
      <c r="B972" s="7" t="inlineStr">
        <is>
          <t>Terça</t>
        </is>
      </c>
      <c r="C972" s="7" t="inlineStr">
        <is>
          <t>CT MAR DE CORAL</t>
        </is>
      </c>
      <c r="D972" s="7" t="inlineStr">
        <is>
          <t>LEANDRO, SILVESTRE e ROBSON</t>
        </is>
      </c>
      <c r="E972" s="7" t="inlineStr">
        <is>
          <t>Adilson</t>
        </is>
      </c>
      <c r="F972" s="13" t="inlineStr">
        <is>
          <t>Shaft PV 42</t>
        </is>
      </c>
      <c r="G972" s="7" t="inlineStr">
        <is>
          <t>42</t>
        </is>
      </c>
      <c r="H972" s="7" t="n"/>
      <c r="I972" s="7" t="inlineStr">
        <is>
          <t>42</t>
        </is>
      </c>
      <c r="J972" s="7" t="inlineStr">
        <is>
          <t>Shaft</t>
        </is>
      </c>
      <c r="K972" s="7" t="inlineStr">
        <is>
          <t>Planejamento</t>
        </is>
      </c>
      <c r="L972" s="16" t="inlineStr">
        <is>
          <t>PDS-Fevereiro(1).docx</t>
        </is>
      </c>
      <c r="M972">
        <f>IF($A972="","",TEXT($A972,"mmmm/yyyy"))</f>
        <v/>
      </c>
      <c r="P972">
        <f>IFERROR(_xludf.XLOOKUP($N972,Base_Enderecos!$A:$A,Base_Enderecos!$B:$B,""),"")</f>
        <v/>
      </c>
      <c r="Q972">
        <f>IFERROR(_xludf.XLOOKUP($N972,Base_Enderecos!$A:$A,Base_Enderecos!$C:$C,""),"")</f>
        <v/>
      </c>
      <c r="R972">
        <f>IF(OR(ISNUMBER(SEARCH("HDD",$F972)),ISNUMBER(SEARCH("MND",$F972)),ISNUMBER(SEARCH("PEAD",$F972)),ISNUMBER(SEARCH("Puxe",$J972)),ISNUMBER(SEARCH("Apoio HDD",$F972))),"MND",IF(OR(ISNUMBER(SEARCH("VCA",$F972)),ISNUMBER(SEARCH("PVC",$F972)),ISNUMBER(SEARCH("vca",$J972)),ISNUMBER(SEARCH("Transformação",$J972))),"VCA",IF(OR(ISNUMBER(SEARCH("crava",$F972)),ISNUMBER(SEARCH("tubo cravado",$F972)),ISNUMBER(SEARCH("shaft",$J972)),ISNUMBER(SEARCH("concreto",$F972))),"TUBO CRAVADO","")))</f>
        <v/>
      </c>
      <c r="T972">
        <f>IF($A972="","",TEXT($A972,"yyyymm")&amp;"|"&amp;$C972&amp;"|"&amp;$F972&amp;"|"&amp;$N972&amp;"|"&amp;$R972)</f>
        <v/>
      </c>
    </row>
    <row r="973" ht="11.55" customHeight="1">
      <c r="A973" s="10" t="n">
        <v>46077</v>
      </c>
      <c r="B973" s="7" t="inlineStr">
        <is>
          <t>Terça</t>
        </is>
      </c>
      <c r="C973" s="7" t="inlineStr">
        <is>
          <t>CT ÁGUA VERMELHA M.D</t>
        </is>
      </c>
      <c r="D973" s="7" t="inlineStr">
        <is>
          <t>CAROLINE e FÁBIO</t>
        </is>
      </c>
      <c r="E973" s="7" t="inlineStr">
        <is>
          <t>Jonathan</t>
        </is>
      </c>
      <c r="F973" s="13" t="inlineStr">
        <is>
          <t>Apoio HDD entre PVD 10 e PV 13</t>
        </is>
      </c>
      <c r="G973" s="7" t="inlineStr">
        <is>
          <t>10</t>
        </is>
      </c>
      <c r="H973" s="7" t="inlineStr">
        <is>
          <t>13</t>
        </is>
      </c>
      <c r="I973" s="7" t="inlineStr">
        <is>
          <t>10, 13</t>
        </is>
      </c>
      <c r="J973" s="7" t="inlineStr">
        <is>
          <t>Apoio HDD</t>
        </is>
      </c>
      <c r="K973" s="7" t="inlineStr">
        <is>
          <t>Planejamento</t>
        </is>
      </c>
      <c r="L973" s="16" t="inlineStr">
        <is>
          <t>PDS-Fevereiro(1).docx</t>
        </is>
      </c>
      <c r="M973">
        <f>IF($A973="","",TEXT($A973,"mmmm/yyyy"))</f>
        <v/>
      </c>
      <c r="P973">
        <f>IFERROR(_xludf.XLOOKUP($N973,Base_Enderecos!$A:$A,Base_Enderecos!$B:$B,""),"")</f>
        <v/>
      </c>
      <c r="Q973">
        <f>IFERROR(_xludf.XLOOKUP($N973,Base_Enderecos!$A:$A,Base_Enderecos!$C:$C,""),"")</f>
        <v/>
      </c>
      <c r="R973">
        <f>IF(OR(ISNUMBER(SEARCH("HDD",$F973)),ISNUMBER(SEARCH("MND",$F973)),ISNUMBER(SEARCH("PEAD",$F973)),ISNUMBER(SEARCH("Puxe",$J973)),ISNUMBER(SEARCH("Apoio HDD",$F973))),"MND",IF(OR(ISNUMBER(SEARCH("VCA",$F973)),ISNUMBER(SEARCH("PVC",$F973)),ISNUMBER(SEARCH("vca",$J973)),ISNUMBER(SEARCH("Transformação",$J973))),"VCA",IF(OR(ISNUMBER(SEARCH("crava",$F973)),ISNUMBER(SEARCH("tubo cravado",$F973)),ISNUMBER(SEARCH("shaft",$J973)),ISNUMBER(SEARCH("concreto",$F973))),"TUBO CRAVADO","")))</f>
        <v/>
      </c>
      <c r="T973">
        <f>IF($A973="","",TEXT($A973,"yyyymm")&amp;"|"&amp;$C973&amp;"|"&amp;$F973&amp;"|"&amp;$N973&amp;"|"&amp;$R973)</f>
        <v/>
      </c>
    </row>
    <row r="974" ht="11.55" customHeight="1">
      <c r="A974" s="10" t="n">
        <v>46077</v>
      </c>
      <c r="B974" s="7" t="inlineStr">
        <is>
          <t>Terça</t>
        </is>
      </c>
      <c r="C974" s="7" t="inlineStr">
        <is>
          <t>CT ÁGUA VERMELHA M.D</t>
        </is>
      </c>
      <c r="D974" s="7" t="inlineStr">
        <is>
          <t>CAROLINE e FÁBIO</t>
        </is>
      </c>
      <c r="E974" s="7" t="inlineStr">
        <is>
          <t>WJ 02</t>
        </is>
      </c>
      <c r="F974" s="13" t="inlineStr">
        <is>
          <t>Piloto e Puxe PVD 10 e PVD 13</t>
        </is>
      </c>
      <c r="G974" s="7" t="inlineStr">
        <is>
          <t>10</t>
        </is>
      </c>
      <c r="H974" s="7" t="inlineStr">
        <is>
          <t>13</t>
        </is>
      </c>
      <c r="I974" s="7" t="inlineStr">
        <is>
          <t>10, 13</t>
        </is>
      </c>
      <c r="J974" s="7" t="inlineStr">
        <is>
          <t>Piloto e puxe</t>
        </is>
      </c>
      <c r="K974" s="7" t="inlineStr">
        <is>
          <t>Planejamento</t>
        </is>
      </c>
      <c r="L974" s="16" t="inlineStr">
        <is>
          <t>PDS-Fevereiro(1).docx</t>
        </is>
      </c>
      <c r="M974">
        <f>IF($A974="","",TEXT($A974,"mmmm/yyyy"))</f>
        <v/>
      </c>
      <c r="P974">
        <f>IFERROR(_xludf.XLOOKUP($N974,Base_Enderecos!$A:$A,Base_Enderecos!$B:$B,""),"")</f>
        <v/>
      </c>
      <c r="Q974">
        <f>IFERROR(_xludf.XLOOKUP($N974,Base_Enderecos!$A:$A,Base_Enderecos!$C:$C,""),"")</f>
        <v/>
      </c>
      <c r="R974">
        <f>IF(OR(ISNUMBER(SEARCH("HDD",$F974)),ISNUMBER(SEARCH("MND",$F974)),ISNUMBER(SEARCH("PEAD",$F974)),ISNUMBER(SEARCH("Puxe",$J974)),ISNUMBER(SEARCH("Apoio HDD",$F974))),"MND",IF(OR(ISNUMBER(SEARCH("VCA",$F974)),ISNUMBER(SEARCH("PVC",$F974)),ISNUMBER(SEARCH("vca",$J974)),ISNUMBER(SEARCH("Transformação",$J974))),"VCA",IF(OR(ISNUMBER(SEARCH("crava",$F974)),ISNUMBER(SEARCH("tubo cravado",$F974)),ISNUMBER(SEARCH("shaft",$J974)),ISNUMBER(SEARCH("concreto",$F974))),"TUBO CRAVADO","")))</f>
        <v/>
      </c>
      <c r="T974">
        <f>IF($A974="","",TEXT($A974,"yyyymm")&amp;"|"&amp;$C974&amp;"|"&amp;$F974&amp;"|"&amp;$N974&amp;"|"&amp;$R974)</f>
        <v/>
      </c>
    </row>
    <row r="975" ht="11.55" customHeight="1">
      <c r="A975" s="10" t="n">
        <v>46077</v>
      </c>
      <c r="B975" s="7" t="inlineStr">
        <is>
          <t>Terça</t>
        </is>
      </c>
      <c r="C975" s="7" t="inlineStr">
        <is>
          <t>CT ÁGUA VERMELHA M.D</t>
        </is>
      </c>
      <c r="D975" s="7" t="inlineStr">
        <is>
          <t>CAROLINE e FÁBIO</t>
        </is>
      </c>
      <c r="E975" s="7" t="inlineStr">
        <is>
          <t>Marcelo</t>
        </is>
      </c>
      <c r="F975" s="13" t="inlineStr">
        <is>
          <t>Shaft PVD 16</t>
        </is>
      </c>
      <c r="G975" s="7" t="inlineStr">
        <is>
          <t>16</t>
        </is>
      </c>
      <c r="H975" s="7" t="n"/>
      <c r="I975" s="7" t="inlineStr">
        <is>
          <t>16</t>
        </is>
      </c>
      <c r="J975" s="7" t="inlineStr">
        <is>
          <t>Shaft</t>
        </is>
      </c>
      <c r="K975" s="7" t="inlineStr">
        <is>
          <t>Planejamento</t>
        </is>
      </c>
      <c r="L975" s="16" t="inlineStr">
        <is>
          <t>PDS-Fevereiro(1).docx</t>
        </is>
      </c>
      <c r="M975">
        <f>IF($A975="","",TEXT($A975,"mmmm/yyyy"))</f>
        <v/>
      </c>
      <c r="P975">
        <f>IFERROR(_xludf.XLOOKUP($N975,Base_Enderecos!$A:$A,Base_Enderecos!$B:$B,""),"")</f>
        <v/>
      </c>
      <c r="Q975">
        <f>IFERROR(_xludf.XLOOKUP($N975,Base_Enderecos!$A:$A,Base_Enderecos!$C:$C,""),"")</f>
        <v/>
      </c>
      <c r="R975">
        <f>IF(OR(ISNUMBER(SEARCH("HDD",$F975)),ISNUMBER(SEARCH("MND",$F975)),ISNUMBER(SEARCH("PEAD",$F975)),ISNUMBER(SEARCH("Puxe",$J975)),ISNUMBER(SEARCH("Apoio HDD",$F975))),"MND",IF(OR(ISNUMBER(SEARCH("VCA",$F975)),ISNUMBER(SEARCH("PVC",$F975)),ISNUMBER(SEARCH("vca",$J975)),ISNUMBER(SEARCH("Transformação",$J975))),"VCA",IF(OR(ISNUMBER(SEARCH("crava",$F975)),ISNUMBER(SEARCH("tubo cravado",$F975)),ISNUMBER(SEARCH("shaft",$J975)),ISNUMBER(SEARCH("concreto",$F975))),"TUBO CRAVADO","")))</f>
        <v/>
      </c>
      <c r="T975">
        <f>IF($A975="","",TEXT($A975,"yyyymm")&amp;"|"&amp;$C975&amp;"|"&amp;$F975&amp;"|"&amp;$N975&amp;"|"&amp;$R975)</f>
        <v/>
      </c>
    </row>
    <row r="976" ht="11.55" customHeight="1">
      <c r="A976" s="10" t="n">
        <v>46077</v>
      </c>
      <c r="B976" s="7" t="inlineStr">
        <is>
          <t>Terça</t>
        </is>
      </c>
      <c r="C976" s="7" t="inlineStr">
        <is>
          <t>CT ÁGUA VERMELHA M.D</t>
        </is>
      </c>
      <c r="D976" s="7" t="inlineStr">
        <is>
          <t>CAROLINE e FÁBIO</t>
        </is>
      </c>
      <c r="E976" s="7" t="inlineStr">
        <is>
          <t>Cesar</t>
        </is>
      </c>
      <c r="F976" s="13" t="inlineStr">
        <is>
          <t>Transformação PVD 03</t>
        </is>
      </c>
      <c r="G976" s="7" t="inlineStr">
        <is>
          <t>03</t>
        </is>
      </c>
      <c r="H976" s="7" t="n"/>
      <c r="I976" s="7" t="inlineStr">
        <is>
          <t>03</t>
        </is>
      </c>
      <c r="J976" s="7" t="inlineStr">
        <is>
          <t>Transformação</t>
        </is>
      </c>
      <c r="K976" s="7" t="inlineStr">
        <is>
          <t>Planejamento</t>
        </is>
      </c>
      <c r="L976" s="16" t="inlineStr">
        <is>
          <t>PDS-Fevereiro(1).docx</t>
        </is>
      </c>
      <c r="M976">
        <f>IF($A976="","",TEXT($A976,"mmmm/yyyy"))</f>
        <v/>
      </c>
      <c r="P976">
        <f>IFERROR(_xludf.XLOOKUP($N976,Base_Enderecos!$A:$A,Base_Enderecos!$B:$B,""),"")</f>
        <v/>
      </c>
      <c r="Q976">
        <f>IFERROR(_xludf.XLOOKUP($N976,Base_Enderecos!$A:$A,Base_Enderecos!$C:$C,""),"")</f>
        <v/>
      </c>
      <c r="R976">
        <f>IF(OR(ISNUMBER(SEARCH("HDD",$F976)),ISNUMBER(SEARCH("MND",$F976)),ISNUMBER(SEARCH("PEAD",$F976)),ISNUMBER(SEARCH("Puxe",$J976)),ISNUMBER(SEARCH("Apoio HDD",$F976))),"MND",IF(OR(ISNUMBER(SEARCH("VCA",$F976)),ISNUMBER(SEARCH("PVC",$F976)),ISNUMBER(SEARCH("vca",$J976)),ISNUMBER(SEARCH("Transformação",$J976))),"VCA",IF(OR(ISNUMBER(SEARCH("crava",$F976)),ISNUMBER(SEARCH("tubo cravado",$F976)),ISNUMBER(SEARCH("shaft",$J976)),ISNUMBER(SEARCH("concreto",$F976))),"TUBO CRAVADO","")))</f>
        <v/>
      </c>
      <c r="T976">
        <f>IF($A976="","",TEXT($A976,"yyyymm")&amp;"|"&amp;$C976&amp;"|"&amp;$F976&amp;"|"&amp;$N976&amp;"|"&amp;$R976)</f>
        <v/>
      </c>
    </row>
    <row r="977" ht="11.55" customHeight="1">
      <c r="A977" s="10" t="n">
        <v>46077</v>
      </c>
      <c r="B977" s="7" t="inlineStr">
        <is>
          <t>Terça</t>
        </is>
      </c>
      <c r="C977" s="7" t="inlineStr">
        <is>
          <t>CT ÁGUA VERMELHA M.D</t>
        </is>
      </c>
      <c r="D977" s="7" t="inlineStr">
        <is>
          <t>CAROLINE e FÁBIO</t>
        </is>
      </c>
      <c r="E977" s="7" t="inlineStr">
        <is>
          <t>Antônio</t>
        </is>
      </c>
      <c r="F977" s="13" t="inlineStr">
        <is>
          <t>Shaft PVD 19</t>
        </is>
      </c>
      <c r="G977" s="7" t="inlineStr">
        <is>
          <t>19</t>
        </is>
      </c>
      <c r="H977" s="7" t="n"/>
      <c r="I977" s="7" t="inlineStr">
        <is>
          <t>19</t>
        </is>
      </c>
      <c r="J977" s="7" t="inlineStr">
        <is>
          <t>Shaft</t>
        </is>
      </c>
      <c r="K977" s="7" t="inlineStr">
        <is>
          <t>Planejamento</t>
        </is>
      </c>
      <c r="L977" s="16" t="inlineStr">
        <is>
          <t>PDS-Fevereiro(1).docx</t>
        </is>
      </c>
      <c r="M977">
        <f>IF($A977="","",TEXT($A977,"mmmm/yyyy"))</f>
        <v/>
      </c>
      <c r="P977">
        <f>IFERROR(_xludf.XLOOKUP($N977,Base_Enderecos!$A:$A,Base_Enderecos!$B:$B,""),"")</f>
        <v/>
      </c>
      <c r="Q977">
        <f>IFERROR(_xludf.XLOOKUP($N977,Base_Enderecos!$A:$A,Base_Enderecos!$C:$C,""),"")</f>
        <v/>
      </c>
      <c r="R977">
        <f>IF(OR(ISNUMBER(SEARCH("HDD",$F977)),ISNUMBER(SEARCH("MND",$F977)),ISNUMBER(SEARCH("PEAD",$F977)),ISNUMBER(SEARCH("Puxe",$J977)),ISNUMBER(SEARCH("Apoio HDD",$F977))),"MND",IF(OR(ISNUMBER(SEARCH("VCA",$F977)),ISNUMBER(SEARCH("PVC",$F977)),ISNUMBER(SEARCH("vca",$J977)),ISNUMBER(SEARCH("Transformação",$J977))),"VCA",IF(OR(ISNUMBER(SEARCH("crava",$F977)),ISNUMBER(SEARCH("tubo cravado",$F977)),ISNUMBER(SEARCH("shaft",$J977)),ISNUMBER(SEARCH("concreto",$F977))),"TUBO CRAVADO","")))</f>
        <v/>
      </c>
      <c r="T977">
        <f>IF($A977="","",TEXT($A977,"yyyymm")&amp;"|"&amp;$C977&amp;"|"&amp;$F977&amp;"|"&amp;$N977&amp;"|"&amp;$R977)</f>
        <v/>
      </c>
    </row>
    <row r="978" ht="11.55" customHeight="1">
      <c r="A978" s="10" t="n">
        <v>46077</v>
      </c>
      <c r="B978" s="7" t="inlineStr">
        <is>
          <t>Terça</t>
        </is>
      </c>
      <c r="C978" s="7" t="inlineStr">
        <is>
          <t>CT AGUA VERMELHA M.E– Valmir e Eloizio</t>
        </is>
      </c>
      <c r="D978" s="7" t="n"/>
      <c r="E978" s="7" t="inlineStr">
        <is>
          <t>WJ 01</t>
        </is>
      </c>
      <c r="F978" s="13" t="inlineStr">
        <is>
          <t>Piloto e Puxe PVE 15 ao PVE 18</t>
        </is>
      </c>
      <c r="G978" s="7" t="inlineStr">
        <is>
          <t>15</t>
        </is>
      </c>
      <c r="H978" s="7" t="inlineStr">
        <is>
          <t>18</t>
        </is>
      </c>
      <c r="I978" s="7" t="inlineStr">
        <is>
          <t>15, 18</t>
        </is>
      </c>
      <c r="J978" s="7" t="inlineStr">
        <is>
          <t>Piloto e puxe</t>
        </is>
      </c>
      <c r="K978" s="7" t="inlineStr">
        <is>
          <t>Planejamento</t>
        </is>
      </c>
      <c r="L978" s="16" t="inlineStr">
        <is>
          <t>PDS-Fevereiro(1).docx</t>
        </is>
      </c>
      <c r="M978">
        <f>IF($A978="","",TEXT($A978,"mmmm/yyyy"))</f>
        <v/>
      </c>
      <c r="P978">
        <f>IFERROR(_xludf.XLOOKUP($N978,Base_Enderecos!$A:$A,Base_Enderecos!$B:$B,""),"")</f>
        <v/>
      </c>
      <c r="Q978">
        <f>IFERROR(_xludf.XLOOKUP($N978,Base_Enderecos!$A:$A,Base_Enderecos!$C:$C,""),"")</f>
        <v/>
      </c>
      <c r="R978">
        <f>IF(OR(ISNUMBER(SEARCH("HDD",$F978)),ISNUMBER(SEARCH("MND",$F978)),ISNUMBER(SEARCH("PEAD",$F978)),ISNUMBER(SEARCH("Puxe",$J978)),ISNUMBER(SEARCH("Apoio HDD",$F978))),"MND",IF(OR(ISNUMBER(SEARCH("VCA",$F978)),ISNUMBER(SEARCH("PVC",$F978)),ISNUMBER(SEARCH("vca",$J978)),ISNUMBER(SEARCH("Transformação",$J978))),"VCA",IF(OR(ISNUMBER(SEARCH("crava",$F978)),ISNUMBER(SEARCH("tubo cravado",$F978)),ISNUMBER(SEARCH("shaft",$J978)),ISNUMBER(SEARCH("concreto",$F978))),"TUBO CRAVADO","")))</f>
        <v/>
      </c>
      <c r="T978">
        <f>IF($A978="","",TEXT($A978,"yyyymm")&amp;"|"&amp;$C978&amp;"|"&amp;$F978&amp;"|"&amp;$N978&amp;"|"&amp;$R978)</f>
        <v/>
      </c>
    </row>
    <row r="979" ht="11.55" customHeight="1">
      <c r="A979" s="10" t="n">
        <v>46077</v>
      </c>
      <c r="B979" s="7" t="inlineStr">
        <is>
          <t>Terça</t>
        </is>
      </c>
      <c r="C979" s="7" t="inlineStr">
        <is>
          <t>CT AGUA VERMELHA M.E– Valmir e Eloizio</t>
        </is>
      </c>
      <c r="D979" s="7" t="n"/>
      <c r="E979" s="7" t="inlineStr">
        <is>
          <t>Marcio</t>
        </is>
      </c>
      <c r="F979" s="13" t="inlineStr">
        <is>
          <t>Apoio HDD PVE 15 ao 18</t>
        </is>
      </c>
      <c r="G979" s="7" t="inlineStr">
        <is>
          <t>15</t>
        </is>
      </c>
      <c r="H979" s="7" t="n"/>
      <c r="I979" s="7" t="inlineStr">
        <is>
          <t>15</t>
        </is>
      </c>
      <c r="J979" s="7" t="inlineStr">
        <is>
          <t>Apoio HDD</t>
        </is>
      </c>
      <c r="K979" s="7" t="inlineStr">
        <is>
          <t>Planejamento</t>
        </is>
      </c>
      <c r="L979" s="16" t="inlineStr">
        <is>
          <t>PDS-Fevereiro(1).docx</t>
        </is>
      </c>
      <c r="M979">
        <f>IF($A979="","",TEXT($A979,"mmmm/yyyy"))</f>
        <v/>
      </c>
      <c r="P979">
        <f>IFERROR(_xludf.XLOOKUP($N979,Base_Enderecos!$A:$A,Base_Enderecos!$B:$B,""),"")</f>
        <v/>
      </c>
      <c r="Q979">
        <f>IFERROR(_xludf.XLOOKUP($N979,Base_Enderecos!$A:$A,Base_Enderecos!$C:$C,""),"")</f>
        <v/>
      </c>
      <c r="R979">
        <f>IF(OR(ISNUMBER(SEARCH("HDD",$F979)),ISNUMBER(SEARCH("MND",$F979)),ISNUMBER(SEARCH("PEAD",$F979)),ISNUMBER(SEARCH("Puxe",$J979)),ISNUMBER(SEARCH("Apoio HDD",$F979))),"MND",IF(OR(ISNUMBER(SEARCH("VCA",$F979)),ISNUMBER(SEARCH("PVC",$F979)),ISNUMBER(SEARCH("vca",$J979)),ISNUMBER(SEARCH("Transformação",$J979))),"VCA",IF(OR(ISNUMBER(SEARCH("crava",$F979)),ISNUMBER(SEARCH("tubo cravado",$F979)),ISNUMBER(SEARCH("shaft",$J979)),ISNUMBER(SEARCH("concreto",$F979))),"TUBO CRAVADO","")))</f>
        <v/>
      </c>
      <c r="T979">
        <f>IF($A979="","",TEXT($A979,"yyyymm")&amp;"|"&amp;$C979&amp;"|"&amp;$F979&amp;"|"&amp;$N979&amp;"|"&amp;$R979)</f>
        <v/>
      </c>
    </row>
    <row r="980" ht="11.55" customHeight="1">
      <c r="A980" s="10" t="n">
        <v>46077</v>
      </c>
      <c r="B980" s="7" t="inlineStr">
        <is>
          <t>Terça</t>
        </is>
      </c>
      <c r="C980" s="7" t="inlineStr">
        <is>
          <t>CT AGUA VERMELHA M.E– Valmir e Eloizio</t>
        </is>
      </c>
      <c r="D980" s="7" t="n"/>
      <c r="E980" s="7" t="inlineStr">
        <is>
          <t>Cidão</t>
        </is>
      </c>
      <c r="F980" s="13" t="inlineStr">
        <is>
          <t>Shaft PVE 21</t>
        </is>
      </c>
      <c r="G980" s="7" t="inlineStr">
        <is>
          <t>21</t>
        </is>
      </c>
      <c r="H980" s="7" t="n"/>
      <c r="I980" s="7" t="inlineStr">
        <is>
          <t>21</t>
        </is>
      </c>
      <c r="J980" s="7" t="inlineStr">
        <is>
          <t>Shaft</t>
        </is>
      </c>
      <c r="K980" s="7" t="inlineStr">
        <is>
          <t>Planejamento</t>
        </is>
      </c>
      <c r="L980" s="16" t="inlineStr">
        <is>
          <t>PDS-Fevereiro(1).docx</t>
        </is>
      </c>
      <c r="M980">
        <f>IF($A980="","",TEXT($A980,"mmmm/yyyy"))</f>
        <v/>
      </c>
      <c r="P980">
        <f>IFERROR(_xludf.XLOOKUP($N980,Base_Enderecos!$A:$A,Base_Enderecos!$B:$B,""),"")</f>
        <v/>
      </c>
      <c r="Q980">
        <f>IFERROR(_xludf.XLOOKUP($N980,Base_Enderecos!$A:$A,Base_Enderecos!$C:$C,""),"")</f>
        <v/>
      </c>
      <c r="R980">
        <f>IF(OR(ISNUMBER(SEARCH("HDD",$F980)),ISNUMBER(SEARCH("MND",$F980)),ISNUMBER(SEARCH("PEAD",$F980)),ISNUMBER(SEARCH("Puxe",$J980)),ISNUMBER(SEARCH("Apoio HDD",$F980))),"MND",IF(OR(ISNUMBER(SEARCH("VCA",$F980)),ISNUMBER(SEARCH("PVC",$F980)),ISNUMBER(SEARCH("vca",$J980)),ISNUMBER(SEARCH("Transformação",$J980))),"VCA",IF(OR(ISNUMBER(SEARCH("crava",$F980)),ISNUMBER(SEARCH("tubo cravado",$F980)),ISNUMBER(SEARCH("shaft",$J980)),ISNUMBER(SEARCH("concreto",$F980))),"TUBO CRAVADO","")))</f>
        <v/>
      </c>
      <c r="T980">
        <f>IF($A980="","",TEXT($A980,"yyyymm")&amp;"|"&amp;$C980&amp;"|"&amp;$F980&amp;"|"&amp;$N980&amp;"|"&amp;$R980)</f>
        <v/>
      </c>
    </row>
    <row r="981" ht="11.55" customHeight="1">
      <c r="A981" s="10" t="n">
        <v>46077</v>
      </c>
      <c r="B981" s="7" t="inlineStr">
        <is>
          <t>Terça</t>
        </is>
      </c>
      <c r="C981" s="7" t="inlineStr">
        <is>
          <t>CT AGUA VERMELHA M.E– Valmir e Eloizio</t>
        </is>
      </c>
      <c r="D981" s="7" t="n"/>
      <c r="E981" s="7" t="inlineStr">
        <is>
          <t>Higor</t>
        </is>
      </c>
      <c r="F981" s="13" t="inlineStr">
        <is>
          <t>Transformação PVE 05</t>
        </is>
      </c>
      <c r="G981" s="7" t="inlineStr">
        <is>
          <t>05</t>
        </is>
      </c>
      <c r="H981" s="7" t="n"/>
      <c r="I981" s="7" t="inlineStr">
        <is>
          <t>05</t>
        </is>
      </c>
      <c r="J981" s="7" t="inlineStr">
        <is>
          <t>Transformação</t>
        </is>
      </c>
      <c r="K981" s="7" t="inlineStr">
        <is>
          <t>Planejamento</t>
        </is>
      </c>
      <c r="L981" s="16" t="inlineStr">
        <is>
          <t>PDS-Fevereiro(1).docx</t>
        </is>
      </c>
      <c r="M981">
        <f>IF($A981="","",TEXT($A981,"mmmm/yyyy"))</f>
        <v/>
      </c>
      <c r="P981">
        <f>IFERROR(_xludf.XLOOKUP($N981,Base_Enderecos!$A:$A,Base_Enderecos!$B:$B,""),"")</f>
        <v/>
      </c>
      <c r="Q981">
        <f>IFERROR(_xludf.XLOOKUP($N981,Base_Enderecos!$A:$A,Base_Enderecos!$C:$C,""),"")</f>
        <v/>
      </c>
      <c r="R981">
        <f>IF(OR(ISNUMBER(SEARCH("HDD",$F981)),ISNUMBER(SEARCH("MND",$F981)),ISNUMBER(SEARCH("PEAD",$F981)),ISNUMBER(SEARCH("Puxe",$J981)),ISNUMBER(SEARCH("Apoio HDD",$F981))),"MND",IF(OR(ISNUMBER(SEARCH("VCA",$F981)),ISNUMBER(SEARCH("PVC",$F981)),ISNUMBER(SEARCH("vca",$J981)),ISNUMBER(SEARCH("Transformação",$J981))),"VCA",IF(OR(ISNUMBER(SEARCH("crava",$F981)),ISNUMBER(SEARCH("tubo cravado",$F981)),ISNUMBER(SEARCH("shaft",$J981)),ISNUMBER(SEARCH("concreto",$F981))),"TUBO CRAVADO","")))</f>
        <v/>
      </c>
      <c r="T981">
        <f>IF($A981="","",TEXT($A981,"yyyymm")&amp;"|"&amp;$C981&amp;"|"&amp;$F981&amp;"|"&amp;$N981&amp;"|"&amp;$R981)</f>
        <v/>
      </c>
    </row>
    <row r="982" ht="11.55" customHeight="1">
      <c r="A982" s="10" t="n">
        <v>46077</v>
      </c>
      <c r="B982" s="7" t="inlineStr">
        <is>
          <t>Terça</t>
        </is>
      </c>
      <c r="C982" s="7" t="inlineStr">
        <is>
          <t>CT AGUA VERMELHA M.E– Valmir e Eloizio</t>
        </is>
      </c>
      <c r="D982" s="7" t="n"/>
      <c r="E982" s="7" t="inlineStr">
        <is>
          <t>Carlos</t>
        </is>
      </c>
      <c r="F982" s="13" t="inlineStr">
        <is>
          <t>Transformação PVE 07</t>
        </is>
      </c>
      <c r="G982" s="7" t="inlineStr">
        <is>
          <t>07</t>
        </is>
      </c>
      <c r="H982" s="7" t="n"/>
      <c r="I982" s="7" t="inlineStr">
        <is>
          <t>07</t>
        </is>
      </c>
      <c r="J982" s="7" t="inlineStr">
        <is>
          <t>Transformação</t>
        </is>
      </c>
      <c r="K982" s="7" t="inlineStr">
        <is>
          <t>Planejamento</t>
        </is>
      </c>
      <c r="L982" s="16" t="inlineStr">
        <is>
          <t>PDS-Fevereiro(1).docx</t>
        </is>
      </c>
      <c r="M982">
        <f>IF($A982="","",TEXT($A982,"mmmm/yyyy"))</f>
        <v/>
      </c>
      <c r="P982">
        <f>IFERROR(_xludf.XLOOKUP($N982,Base_Enderecos!$A:$A,Base_Enderecos!$B:$B,""),"")</f>
        <v/>
      </c>
      <c r="Q982">
        <f>IFERROR(_xludf.XLOOKUP($N982,Base_Enderecos!$A:$A,Base_Enderecos!$C:$C,""),"")</f>
        <v/>
      </c>
      <c r="R982">
        <f>IF(OR(ISNUMBER(SEARCH("HDD",$F982)),ISNUMBER(SEARCH("MND",$F982)),ISNUMBER(SEARCH("PEAD",$F982)),ISNUMBER(SEARCH("Puxe",$J982)),ISNUMBER(SEARCH("Apoio HDD",$F982))),"MND",IF(OR(ISNUMBER(SEARCH("VCA",$F982)),ISNUMBER(SEARCH("PVC",$F982)),ISNUMBER(SEARCH("vca",$J982)),ISNUMBER(SEARCH("Transformação",$J982))),"VCA",IF(OR(ISNUMBER(SEARCH("crava",$F982)),ISNUMBER(SEARCH("tubo cravado",$F982)),ISNUMBER(SEARCH("shaft",$J982)),ISNUMBER(SEARCH("concreto",$F982))),"TUBO CRAVADO","")))</f>
        <v/>
      </c>
      <c r="T982">
        <f>IF($A982="","",TEXT($A982,"yyyymm")&amp;"|"&amp;$C982&amp;"|"&amp;$F982&amp;"|"&amp;$N982&amp;"|"&amp;$R982)</f>
        <v/>
      </c>
    </row>
    <row r="983" ht="11.55" customHeight="1">
      <c r="A983" s="10" t="n">
        <v>46077</v>
      </c>
      <c r="B983" s="7" t="inlineStr">
        <is>
          <t>Terça</t>
        </is>
      </c>
      <c r="C983" s="7" t="inlineStr">
        <is>
          <t>Vacal</t>
        </is>
      </c>
      <c r="D983" s="7" t="n"/>
      <c r="E983" s="7" t="inlineStr">
        <is>
          <t>Água Vermelha</t>
        </is>
      </c>
      <c r="F983" s="13" t="inlineStr">
        <is>
          <t>Apoio Vacal</t>
        </is>
      </c>
      <c r="G983" s="7" t="n"/>
      <c r="H983" s="7" t="n"/>
      <c r="I983" s="7" t="n"/>
      <c r="J983" s="7" t="inlineStr">
        <is>
          <t>Vacal</t>
        </is>
      </c>
      <c r="K983" s="7" t="inlineStr">
        <is>
          <t>Apoio</t>
        </is>
      </c>
      <c r="L983" s="16" t="inlineStr">
        <is>
          <t>PDS-Fevereiro(1).docx</t>
        </is>
      </c>
      <c r="M983">
        <f>IF($A983="","",TEXT($A983,"mmmm/yyyy"))</f>
        <v/>
      </c>
      <c r="P983">
        <f>IFERROR(_xludf.XLOOKUP($N983,Base_Enderecos!$A:$A,Base_Enderecos!$B:$B,""),"")</f>
        <v/>
      </c>
      <c r="Q983">
        <f>IFERROR(_xludf.XLOOKUP($N983,Base_Enderecos!$A:$A,Base_Enderecos!$C:$C,""),"")</f>
        <v/>
      </c>
      <c r="R983">
        <f>IF(OR(ISNUMBER(SEARCH("HDD",$F983)),ISNUMBER(SEARCH("MND",$F983)),ISNUMBER(SEARCH("PEAD",$F983)),ISNUMBER(SEARCH("Puxe",$J983)),ISNUMBER(SEARCH("Apoio HDD",$F983))),"MND",IF(OR(ISNUMBER(SEARCH("VCA",$F983)),ISNUMBER(SEARCH("PVC",$F983)),ISNUMBER(SEARCH("vca",$J983)),ISNUMBER(SEARCH("Transformação",$J983))),"VCA",IF(OR(ISNUMBER(SEARCH("crava",$F983)),ISNUMBER(SEARCH("tubo cravado",$F983)),ISNUMBER(SEARCH("shaft",$J983)),ISNUMBER(SEARCH("concreto",$F983))),"TUBO CRAVADO","")))</f>
        <v/>
      </c>
      <c r="T983">
        <f>IF($A983="","",TEXT($A983,"yyyymm")&amp;"|"&amp;$C983&amp;"|"&amp;$F983&amp;"|"&amp;$N983&amp;"|"&amp;$R983)</f>
        <v/>
      </c>
    </row>
    <row r="984" ht="11.55" customHeight="1">
      <c r="A984" s="10" t="n">
        <v>46077</v>
      </c>
      <c r="B984" s="7" t="inlineStr">
        <is>
          <t>Terça</t>
        </is>
      </c>
      <c r="C984" s="7" t="inlineStr">
        <is>
          <t>Vacal</t>
        </is>
      </c>
      <c r="D984" s="7" t="n"/>
      <c r="E984" s="7" t="inlineStr">
        <is>
          <t>Água Vermelha</t>
        </is>
      </c>
      <c r="F984" s="13" t="inlineStr">
        <is>
          <t>Apoio Vacal</t>
        </is>
      </c>
      <c r="G984" s="7" t="n"/>
      <c r="H984" s="7" t="n"/>
      <c r="I984" s="7" t="n"/>
      <c r="J984" s="7" t="inlineStr">
        <is>
          <t>Vacal</t>
        </is>
      </c>
      <c r="K984" s="7" t="inlineStr">
        <is>
          <t>Apoio</t>
        </is>
      </c>
      <c r="L984" s="16" t="inlineStr">
        <is>
          <t>PDS-Fevereiro(1).docx</t>
        </is>
      </c>
      <c r="M984">
        <f>IF($A984="","",TEXT($A984,"mmmm/yyyy"))</f>
        <v/>
      </c>
      <c r="P984">
        <f>IFERROR(_xludf.XLOOKUP($N984,Base_Enderecos!$A:$A,Base_Enderecos!$B:$B,""),"")</f>
        <v/>
      </c>
      <c r="Q984">
        <f>IFERROR(_xludf.XLOOKUP($N984,Base_Enderecos!$A:$A,Base_Enderecos!$C:$C,""),"")</f>
        <v/>
      </c>
      <c r="R984">
        <f>IF(OR(ISNUMBER(SEARCH("HDD",$F984)),ISNUMBER(SEARCH("MND",$F984)),ISNUMBER(SEARCH("PEAD",$F984)),ISNUMBER(SEARCH("Puxe",$J984)),ISNUMBER(SEARCH("Apoio HDD",$F984))),"MND",IF(OR(ISNUMBER(SEARCH("VCA",$F984)),ISNUMBER(SEARCH("PVC",$F984)),ISNUMBER(SEARCH("vca",$J984)),ISNUMBER(SEARCH("Transformação",$J984))),"VCA",IF(OR(ISNUMBER(SEARCH("crava",$F984)),ISNUMBER(SEARCH("tubo cravado",$F984)),ISNUMBER(SEARCH("shaft",$J984)),ISNUMBER(SEARCH("concreto",$F984))),"TUBO CRAVADO","")))</f>
        <v/>
      </c>
      <c r="T984">
        <f>IF($A984="","",TEXT($A984,"yyyymm")&amp;"|"&amp;$C984&amp;"|"&amp;$F984&amp;"|"&amp;$N984&amp;"|"&amp;$R984)</f>
        <v/>
      </c>
    </row>
    <row r="985" ht="11.55" customHeight="1">
      <c r="A985" s="10" t="n">
        <v>46077</v>
      </c>
      <c r="B985" s="7" t="inlineStr">
        <is>
          <t>Terça</t>
        </is>
      </c>
      <c r="C985" s="7" t="inlineStr">
        <is>
          <t>Vacal</t>
        </is>
      </c>
      <c r="D985" s="7" t="n"/>
      <c r="E985" s="7" t="inlineStr">
        <is>
          <t>Mar de Coral</t>
        </is>
      </c>
      <c r="F985" s="13" t="inlineStr">
        <is>
          <t>Apoio Vacal</t>
        </is>
      </c>
      <c r="G985" s="7" t="n"/>
      <c r="H985" s="7" t="n"/>
      <c r="I985" s="7" t="n"/>
      <c r="J985" s="7" t="inlineStr">
        <is>
          <t>Vacal</t>
        </is>
      </c>
      <c r="K985" s="7" t="inlineStr">
        <is>
          <t>Apoio</t>
        </is>
      </c>
      <c r="L985" s="16" t="inlineStr">
        <is>
          <t>PDS-Fevereiro(1).docx</t>
        </is>
      </c>
      <c r="M985">
        <f>IF($A985="","",TEXT($A985,"mmmm/yyyy"))</f>
        <v/>
      </c>
      <c r="P985">
        <f>IFERROR(_xludf.XLOOKUP($N985,Base_Enderecos!$A:$A,Base_Enderecos!$B:$B,""),"")</f>
        <v/>
      </c>
      <c r="Q985">
        <f>IFERROR(_xludf.XLOOKUP($N985,Base_Enderecos!$A:$A,Base_Enderecos!$C:$C,""),"")</f>
        <v/>
      </c>
      <c r="R985">
        <f>IF(OR(ISNUMBER(SEARCH("HDD",$F985)),ISNUMBER(SEARCH("MND",$F985)),ISNUMBER(SEARCH("PEAD",$F985)),ISNUMBER(SEARCH("Puxe",$J985)),ISNUMBER(SEARCH("Apoio HDD",$F985))),"MND",IF(OR(ISNUMBER(SEARCH("VCA",$F985)),ISNUMBER(SEARCH("PVC",$F985)),ISNUMBER(SEARCH("vca",$J985)),ISNUMBER(SEARCH("Transformação",$J985))),"VCA",IF(OR(ISNUMBER(SEARCH("crava",$F985)),ISNUMBER(SEARCH("tubo cravado",$F985)),ISNUMBER(SEARCH("shaft",$J985)),ISNUMBER(SEARCH("concreto",$F985))),"TUBO CRAVADO","")))</f>
        <v/>
      </c>
      <c r="T985">
        <f>IF($A985="","",TEXT($A985,"yyyymm")&amp;"|"&amp;$C985&amp;"|"&amp;$F985&amp;"|"&amp;$N985&amp;"|"&amp;$R985)</f>
        <v/>
      </c>
    </row>
    <row r="986" ht="11.55" customHeight="1">
      <c r="A986" s="10" t="n">
        <v>46077</v>
      </c>
      <c r="B986" s="7" t="inlineStr">
        <is>
          <t>Terça</t>
        </is>
      </c>
      <c r="C986" s="7" t="inlineStr">
        <is>
          <t>Guindauto</t>
        </is>
      </c>
      <c r="D986" s="7" t="n"/>
      <c r="E986" s="7" t="inlineStr">
        <is>
          <t>Rodrigo</t>
        </is>
      </c>
      <c r="F986" s="13" t="inlineStr">
        <is>
          <t>Rodrigo - Apoio as equipes</t>
        </is>
      </c>
      <c r="G986" s="7" t="n"/>
      <c r="H986" s="7" t="n"/>
      <c r="I986" s="7" t="n"/>
      <c r="J986" s="7" t="inlineStr">
        <is>
          <t>Guindauto</t>
        </is>
      </c>
      <c r="K986" s="7" t="inlineStr">
        <is>
          <t>Apoio</t>
        </is>
      </c>
      <c r="L986" s="16" t="inlineStr">
        <is>
          <t>PDS-Fevereiro(1).docx</t>
        </is>
      </c>
      <c r="M986">
        <f>IF($A986="","",TEXT($A986,"mmmm/yyyy"))</f>
        <v/>
      </c>
      <c r="P986">
        <f>IFERROR(_xludf.XLOOKUP($N986,Base_Enderecos!$A:$A,Base_Enderecos!$B:$B,""),"")</f>
        <v/>
      </c>
      <c r="Q986">
        <f>IFERROR(_xludf.XLOOKUP($N986,Base_Enderecos!$A:$A,Base_Enderecos!$C:$C,""),"")</f>
        <v/>
      </c>
      <c r="R986">
        <f>IF(OR(ISNUMBER(SEARCH("HDD",$F986)),ISNUMBER(SEARCH("MND",$F986)),ISNUMBER(SEARCH("PEAD",$F986)),ISNUMBER(SEARCH("Puxe",$J986)),ISNUMBER(SEARCH("Apoio HDD",$F986))),"MND",IF(OR(ISNUMBER(SEARCH("VCA",$F986)),ISNUMBER(SEARCH("PVC",$F986)),ISNUMBER(SEARCH("vca",$J986)),ISNUMBER(SEARCH("Transformação",$J986))),"VCA",IF(OR(ISNUMBER(SEARCH("crava",$F986)),ISNUMBER(SEARCH("tubo cravado",$F986)),ISNUMBER(SEARCH("shaft",$J986)),ISNUMBER(SEARCH("concreto",$F986))),"TUBO CRAVADO","")))</f>
        <v/>
      </c>
      <c r="T986">
        <f>IF($A986="","",TEXT($A986,"yyyymm")&amp;"|"&amp;$C986&amp;"|"&amp;$F986&amp;"|"&amp;$N986&amp;"|"&amp;$R986)</f>
        <v/>
      </c>
    </row>
    <row r="987" ht="11.55" customHeight="1">
      <c r="A987" s="10" t="n">
        <v>46077</v>
      </c>
      <c r="B987" s="7" t="inlineStr">
        <is>
          <t>Terça</t>
        </is>
      </c>
      <c r="C987" s="7" t="inlineStr">
        <is>
          <t>Guindauto</t>
        </is>
      </c>
      <c r="D987" s="7" t="n"/>
      <c r="E987" s="7" t="inlineStr">
        <is>
          <t>Marcio</t>
        </is>
      </c>
      <c r="F987" s="13" t="inlineStr">
        <is>
          <t>Marcio - Apoio as equipes</t>
        </is>
      </c>
      <c r="G987" s="7" t="n"/>
      <c r="H987" s="7" t="n"/>
      <c r="I987" s="7" t="n"/>
      <c r="J987" s="7" t="inlineStr">
        <is>
          <t>Guindauto</t>
        </is>
      </c>
      <c r="K987" s="7" t="inlineStr">
        <is>
          <t>Apoio</t>
        </is>
      </c>
      <c r="L987" s="16" t="inlineStr">
        <is>
          <t>PDS-Fevereiro(1).docx</t>
        </is>
      </c>
      <c r="M987">
        <f>IF($A987="","",TEXT($A987,"mmmm/yyyy"))</f>
        <v/>
      </c>
      <c r="P987">
        <f>IFERROR(_xludf.XLOOKUP($N987,Base_Enderecos!$A:$A,Base_Enderecos!$B:$B,""),"")</f>
        <v/>
      </c>
      <c r="Q987">
        <f>IFERROR(_xludf.XLOOKUP($N987,Base_Enderecos!$A:$A,Base_Enderecos!$C:$C,""),"")</f>
        <v/>
      </c>
      <c r="R987">
        <f>IF(OR(ISNUMBER(SEARCH("HDD",$F987)),ISNUMBER(SEARCH("MND",$F987)),ISNUMBER(SEARCH("PEAD",$F987)),ISNUMBER(SEARCH("Puxe",$J987)),ISNUMBER(SEARCH("Apoio HDD",$F987))),"MND",IF(OR(ISNUMBER(SEARCH("VCA",$F987)),ISNUMBER(SEARCH("PVC",$F987)),ISNUMBER(SEARCH("vca",$J987)),ISNUMBER(SEARCH("Transformação",$J987))),"VCA",IF(OR(ISNUMBER(SEARCH("crava",$F987)),ISNUMBER(SEARCH("tubo cravado",$F987)),ISNUMBER(SEARCH("shaft",$J987)),ISNUMBER(SEARCH("concreto",$F987))),"TUBO CRAVADO","")))</f>
        <v/>
      </c>
      <c r="T987">
        <f>IF($A987="","",TEXT($A987,"yyyymm")&amp;"|"&amp;$C987&amp;"|"&amp;$F987&amp;"|"&amp;$N987&amp;"|"&amp;$R987)</f>
        <v/>
      </c>
    </row>
    <row r="988" ht="11.55" customHeight="1">
      <c r="A988" s="10" t="n">
        <v>46078</v>
      </c>
      <c r="B988" s="7" t="inlineStr">
        <is>
          <t>Quarta</t>
        </is>
      </c>
      <c r="C988" s="7" t="n"/>
      <c r="D988" s="7" t="n"/>
      <c r="E988" s="7" t="inlineStr">
        <is>
          <t>Edvando</t>
        </is>
      </c>
      <c r="F988" s="13" t="inlineStr">
        <is>
          <t>Acabamento PV 40</t>
        </is>
      </c>
      <c r="G988" s="7" t="inlineStr">
        <is>
          <t>40</t>
        </is>
      </c>
      <c r="H988" s="7" t="n"/>
      <c r="I988" s="7" t="inlineStr">
        <is>
          <t>40</t>
        </is>
      </c>
      <c r="J988" s="7" t="inlineStr">
        <is>
          <t>Acabamento</t>
        </is>
      </c>
      <c r="K988" s="7" t="inlineStr">
        <is>
          <t>Planejamento</t>
        </is>
      </c>
      <c r="L988" s="16" t="inlineStr">
        <is>
          <t>PDS-Fevereiro(1).docx</t>
        </is>
      </c>
      <c r="M988">
        <f>IF($A988="","",TEXT($A988,"mmmm/yyyy"))</f>
        <v/>
      </c>
      <c r="P988">
        <f>IFERROR(_xludf.XLOOKUP($N988,Base_Enderecos!$A:$A,Base_Enderecos!$B:$B,""),"")</f>
        <v/>
      </c>
      <c r="Q988">
        <f>IFERROR(_xludf.XLOOKUP($N988,Base_Enderecos!$A:$A,Base_Enderecos!$C:$C,""),"")</f>
        <v/>
      </c>
      <c r="R988">
        <f>IF(OR(ISNUMBER(SEARCH("HDD",$F988)),ISNUMBER(SEARCH("MND",$F988)),ISNUMBER(SEARCH("PEAD",$F988)),ISNUMBER(SEARCH("Puxe",$J988)),ISNUMBER(SEARCH("Apoio HDD",$F988))),"MND",IF(OR(ISNUMBER(SEARCH("VCA",$F988)),ISNUMBER(SEARCH("PVC",$F988)),ISNUMBER(SEARCH("vca",$J988)),ISNUMBER(SEARCH("Transformação",$J988))),"VCA",IF(OR(ISNUMBER(SEARCH("crava",$F988)),ISNUMBER(SEARCH("tubo cravado",$F988)),ISNUMBER(SEARCH("shaft",$J988)),ISNUMBER(SEARCH("concreto",$F988))),"TUBO CRAVADO","")))</f>
        <v/>
      </c>
      <c r="T988">
        <f>IF($A988="","",TEXT($A988,"yyyymm")&amp;"|"&amp;$C988&amp;"|"&amp;$F988&amp;"|"&amp;$N988&amp;"|"&amp;$R988)</f>
        <v/>
      </c>
    </row>
    <row r="989" ht="11.55" customHeight="1">
      <c r="A989" s="10" t="n">
        <v>46078</v>
      </c>
      <c r="B989" s="7" t="inlineStr">
        <is>
          <t>Quarta</t>
        </is>
      </c>
      <c r="C989" s="7" t="n"/>
      <c r="D989" s="7" t="n"/>
      <c r="E989" s="7" t="inlineStr">
        <is>
          <t>Paulo</t>
        </is>
      </c>
      <c r="F989" s="13" t="inlineStr">
        <is>
          <t>Transformação PV 41</t>
        </is>
      </c>
      <c r="G989" s="7" t="inlineStr">
        <is>
          <t>41</t>
        </is>
      </c>
      <c r="H989" s="7" t="n"/>
      <c r="I989" s="7" t="inlineStr">
        <is>
          <t>41</t>
        </is>
      </c>
      <c r="J989" s="7" t="inlineStr">
        <is>
          <t>Transformação</t>
        </is>
      </c>
      <c r="K989" s="7" t="inlineStr">
        <is>
          <t>Planejamento</t>
        </is>
      </c>
      <c r="L989" s="16" t="inlineStr">
        <is>
          <t>PDS-Fevereiro(1).docx</t>
        </is>
      </c>
      <c r="M989">
        <f>IF($A989="","",TEXT($A989,"mmmm/yyyy"))</f>
        <v/>
      </c>
      <c r="P989">
        <f>IFERROR(_xludf.XLOOKUP($N989,Base_Enderecos!$A:$A,Base_Enderecos!$B:$B,""),"")</f>
        <v/>
      </c>
      <c r="Q989">
        <f>IFERROR(_xludf.XLOOKUP($N989,Base_Enderecos!$A:$A,Base_Enderecos!$C:$C,""),"")</f>
        <v/>
      </c>
      <c r="R989">
        <f>IF(OR(ISNUMBER(SEARCH("HDD",$F989)),ISNUMBER(SEARCH("MND",$F989)),ISNUMBER(SEARCH("PEAD",$F989)),ISNUMBER(SEARCH("Puxe",$J989)),ISNUMBER(SEARCH("Apoio HDD",$F989))),"MND",IF(OR(ISNUMBER(SEARCH("VCA",$F989)),ISNUMBER(SEARCH("PVC",$F989)),ISNUMBER(SEARCH("vca",$J989)),ISNUMBER(SEARCH("Transformação",$J989))),"VCA",IF(OR(ISNUMBER(SEARCH("crava",$F989)),ISNUMBER(SEARCH("tubo cravado",$F989)),ISNUMBER(SEARCH("shaft",$J989)),ISNUMBER(SEARCH("concreto",$F989))),"TUBO CRAVADO","")))</f>
        <v/>
      </c>
      <c r="T989">
        <f>IF($A989="","",TEXT($A989,"yyyymm")&amp;"|"&amp;$C989&amp;"|"&amp;$F989&amp;"|"&amp;$N989&amp;"|"&amp;$R989)</f>
        <v/>
      </c>
    </row>
    <row r="990" ht="11.55" customHeight="1">
      <c r="A990" s="10" t="n">
        <v>46078</v>
      </c>
      <c r="B990" s="7" t="inlineStr">
        <is>
          <t>Quarta</t>
        </is>
      </c>
      <c r="C990" s="7" t="n"/>
      <c r="D990" s="7" t="n"/>
      <c r="E990" s="7" t="inlineStr">
        <is>
          <t>Sergio</t>
        </is>
      </c>
      <c r="F990" s="13" t="inlineStr">
        <is>
          <t>Transformação PV 43</t>
        </is>
      </c>
      <c r="G990" s="7" t="inlineStr">
        <is>
          <t>43</t>
        </is>
      </c>
      <c r="H990" s="7" t="n"/>
      <c r="I990" s="7" t="inlineStr">
        <is>
          <t>43</t>
        </is>
      </c>
      <c r="J990" s="7" t="inlineStr">
        <is>
          <t>Transformação</t>
        </is>
      </c>
      <c r="K990" s="7" t="inlineStr">
        <is>
          <t>Planejamento</t>
        </is>
      </c>
      <c r="L990" s="16" t="inlineStr">
        <is>
          <t>PDS-Fevereiro(1).docx</t>
        </is>
      </c>
      <c r="M990">
        <f>IF($A990="","",TEXT($A990,"mmmm/yyyy"))</f>
        <v/>
      </c>
      <c r="P990">
        <f>IFERROR(_xludf.XLOOKUP($N990,Base_Enderecos!$A:$A,Base_Enderecos!$B:$B,""),"")</f>
        <v/>
      </c>
      <c r="Q990">
        <f>IFERROR(_xludf.XLOOKUP($N990,Base_Enderecos!$A:$A,Base_Enderecos!$C:$C,""),"")</f>
        <v/>
      </c>
      <c r="R990">
        <f>IF(OR(ISNUMBER(SEARCH("HDD",$F990)),ISNUMBER(SEARCH("MND",$F990)),ISNUMBER(SEARCH("PEAD",$F990)),ISNUMBER(SEARCH("Puxe",$J990)),ISNUMBER(SEARCH("Apoio HDD",$F990))),"MND",IF(OR(ISNUMBER(SEARCH("VCA",$F990)),ISNUMBER(SEARCH("PVC",$F990)),ISNUMBER(SEARCH("vca",$J990)),ISNUMBER(SEARCH("Transformação",$J990))),"VCA",IF(OR(ISNUMBER(SEARCH("crava",$F990)),ISNUMBER(SEARCH("tubo cravado",$F990)),ISNUMBER(SEARCH("shaft",$J990)),ISNUMBER(SEARCH("concreto",$F990))),"TUBO CRAVADO","")))</f>
        <v/>
      </c>
      <c r="T990">
        <f>IF($A990="","",TEXT($A990,"yyyymm")&amp;"|"&amp;$C990&amp;"|"&amp;$F990&amp;"|"&amp;$N990&amp;"|"&amp;$R990)</f>
        <v/>
      </c>
    </row>
    <row r="991" ht="11.55" customHeight="1">
      <c r="A991" s="10" t="n">
        <v>46078</v>
      </c>
      <c r="B991" s="7" t="inlineStr">
        <is>
          <t>Quarta</t>
        </is>
      </c>
      <c r="C991" s="7" t="n"/>
      <c r="D991" s="7" t="n"/>
      <c r="E991" s="7" t="inlineStr">
        <is>
          <t>Adilson</t>
        </is>
      </c>
      <c r="F991" s="13" t="inlineStr">
        <is>
          <t>Apoio equipes</t>
        </is>
      </c>
      <c r="G991" s="7" t="n"/>
      <c r="H991" s="7" t="n"/>
      <c r="I991" s="7" t="n"/>
      <c r="J991" s="7" t="n"/>
      <c r="K991" s="7" t="inlineStr">
        <is>
          <t>Planejamento</t>
        </is>
      </c>
      <c r="L991" s="16" t="inlineStr">
        <is>
          <t>PDS-Fevereiro(1).docx</t>
        </is>
      </c>
      <c r="M991">
        <f>IF($A991="","",TEXT($A991,"mmmm/yyyy"))</f>
        <v/>
      </c>
      <c r="P991">
        <f>IFERROR(_xludf.XLOOKUP($N991,Base_Enderecos!$A:$A,Base_Enderecos!$B:$B,""),"")</f>
        <v/>
      </c>
      <c r="Q991">
        <f>IFERROR(_xludf.XLOOKUP($N991,Base_Enderecos!$A:$A,Base_Enderecos!$C:$C,""),"")</f>
        <v/>
      </c>
      <c r="R991">
        <f>IF(OR(ISNUMBER(SEARCH("HDD",$F991)),ISNUMBER(SEARCH("MND",$F991)),ISNUMBER(SEARCH("PEAD",$F991)),ISNUMBER(SEARCH("Puxe",$J991)),ISNUMBER(SEARCH("Apoio HDD",$F991))),"MND",IF(OR(ISNUMBER(SEARCH("VCA",$F991)),ISNUMBER(SEARCH("PVC",$F991)),ISNUMBER(SEARCH("vca",$J991)),ISNUMBER(SEARCH("Transformação",$J991))),"VCA",IF(OR(ISNUMBER(SEARCH("crava",$F991)),ISNUMBER(SEARCH("tubo cravado",$F991)),ISNUMBER(SEARCH("shaft",$J991)),ISNUMBER(SEARCH("concreto",$F991))),"TUBO CRAVADO","")))</f>
        <v/>
      </c>
      <c r="T991">
        <f>IF($A991="","",TEXT($A991,"yyyymm")&amp;"|"&amp;$C991&amp;"|"&amp;$F991&amp;"|"&amp;$N991&amp;"|"&amp;$R991)</f>
        <v/>
      </c>
    </row>
    <row r="992" ht="11.55" customHeight="1">
      <c r="A992" s="10" t="n">
        <v>46078</v>
      </c>
      <c r="B992" s="7" t="inlineStr">
        <is>
          <t>Quarta</t>
        </is>
      </c>
      <c r="C992" s="7" t="inlineStr">
        <is>
          <t>CT ÁGUA VERMELHA M.D</t>
        </is>
      </c>
      <c r="D992" s="7" t="inlineStr">
        <is>
          <t>CAROLINE e FÁBIO</t>
        </is>
      </c>
      <c r="E992" s="7" t="inlineStr">
        <is>
          <t>Jonathan</t>
        </is>
      </c>
      <c r="F992" s="13" t="inlineStr">
        <is>
          <t>Apoio HDD entre PVD 13 e PV 16</t>
        </is>
      </c>
      <c r="G992" s="7" t="inlineStr">
        <is>
          <t>13</t>
        </is>
      </c>
      <c r="H992" s="7" t="inlineStr">
        <is>
          <t>16</t>
        </is>
      </c>
      <c r="I992" s="7" t="inlineStr">
        <is>
          <t>13, 16</t>
        </is>
      </c>
      <c r="J992" s="7" t="inlineStr">
        <is>
          <t>Apoio HDD</t>
        </is>
      </c>
      <c r="K992" s="7" t="inlineStr">
        <is>
          <t>Planejamento</t>
        </is>
      </c>
      <c r="L992" s="16" t="inlineStr">
        <is>
          <t>PDS-Fevereiro(1).docx</t>
        </is>
      </c>
      <c r="M992">
        <f>IF($A992="","",TEXT($A992,"mmmm/yyyy"))</f>
        <v/>
      </c>
      <c r="P992">
        <f>IFERROR(_xludf.XLOOKUP($N992,Base_Enderecos!$A:$A,Base_Enderecos!$B:$B,""),"")</f>
        <v/>
      </c>
      <c r="Q992">
        <f>IFERROR(_xludf.XLOOKUP($N992,Base_Enderecos!$A:$A,Base_Enderecos!$C:$C,""),"")</f>
        <v/>
      </c>
      <c r="R992">
        <f>IF(OR(ISNUMBER(SEARCH("HDD",$F992)),ISNUMBER(SEARCH("MND",$F992)),ISNUMBER(SEARCH("PEAD",$F992)),ISNUMBER(SEARCH("Puxe",$J992)),ISNUMBER(SEARCH("Apoio HDD",$F992))),"MND",IF(OR(ISNUMBER(SEARCH("VCA",$F992)),ISNUMBER(SEARCH("PVC",$F992)),ISNUMBER(SEARCH("vca",$J992)),ISNUMBER(SEARCH("Transformação",$J992))),"VCA",IF(OR(ISNUMBER(SEARCH("crava",$F992)),ISNUMBER(SEARCH("tubo cravado",$F992)),ISNUMBER(SEARCH("shaft",$J992)),ISNUMBER(SEARCH("concreto",$F992))),"TUBO CRAVADO","")))</f>
        <v/>
      </c>
      <c r="T992">
        <f>IF($A992="","",TEXT($A992,"yyyymm")&amp;"|"&amp;$C992&amp;"|"&amp;$F992&amp;"|"&amp;$N992&amp;"|"&amp;$R992)</f>
        <v/>
      </c>
    </row>
    <row r="993" ht="11.55" customHeight="1">
      <c r="A993" s="10" t="n">
        <v>46078</v>
      </c>
      <c r="B993" s="7" t="inlineStr">
        <is>
          <t>Quarta</t>
        </is>
      </c>
      <c r="C993" s="7" t="inlineStr">
        <is>
          <t>CT ÁGUA VERMELHA M.D</t>
        </is>
      </c>
      <c r="D993" s="7" t="inlineStr">
        <is>
          <t>CAROLINE e FÁBIO</t>
        </is>
      </c>
      <c r="E993" s="7" t="inlineStr">
        <is>
          <t>WJ 02</t>
        </is>
      </c>
      <c r="F993" s="13" t="inlineStr">
        <is>
          <t>Piloto e Puxe PVD 13 e PVD 16</t>
        </is>
      </c>
      <c r="G993" s="7" t="inlineStr">
        <is>
          <t>13</t>
        </is>
      </c>
      <c r="H993" s="7" t="inlineStr">
        <is>
          <t>16</t>
        </is>
      </c>
      <c r="I993" s="7" t="inlineStr">
        <is>
          <t>13, 16</t>
        </is>
      </c>
      <c r="J993" s="7" t="inlineStr">
        <is>
          <t>Piloto e puxe</t>
        </is>
      </c>
      <c r="K993" s="7" t="inlineStr">
        <is>
          <t>Planejamento</t>
        </is>
      </c>
      <c r="L993" s="16" t="inlineStr">
        <is>
          <t>PDS-Fevereiro(1).docx</t>
        </is>
      </c>
      <c r="M993">
        <f>IF($A993="","",TEXT($A993,"mmmm/yyyy"))</f>
        <v/>
      </c>
      <c r="P993">
        <f>IFERROR(_xludf.XLOOKUP($N993,Base_Enderecos!$A:$A,Base_Enderecos!$B:$B,""),"")</f>
        <v/>
      </c>
      <c r="Q993">
        <f>IFERROR(_xludf.XLOOKUP($N993,Base_Enderecos!$A:$A,Base_Enderecos!$C:$C,""),"")</f>
        <v/>
      </c>
      <c r="R993">
        <f>IF(OR(ISNUMBER(SEARCH("HDD",$F993)),ISNUMBER(SEARCH("MND",$F993)),ISNUMBER(SEARCH("PEAD",$F993)),ISNUMBER(SEARCH("Puxe",$J993)),ISNUMBER(SEARCH("Apoio HDD",$F993))),"MND",IF(OR(ISNUMBER(SEARCH("VCA",$F993)),ISNUMBER(SEARCH("PVC",$F993)),ISNUMBER(SEARCH("vca",$J993)),ISNUMBER(SEARCH("Transformação",$J993))),"VCA",IF(OR(ISNUMBER(SEARCH("crava",$F993)),ISNUMBER(SEARCH("tubo cravado",$F993)),ISNUMBER(SEARCH("shaft",$J993)),ISNUMBER(SEARCH("concreto",$F993))),"TUBO CRAVADO","")))</f>
        <v/>
      </c>
      <c r="T993">
        <f>IF($A993="","",TEXT($A993,"yyyymm")&amp;"|"&amp;$C993&amp;"|"&amp;$F993&amp;"|"&amp;$N993&amp;"|"&amp;$R993)</f>
        <v/>
      </c>
    </row>
    <row r="994" ht="11.55" customHeight="1">
      <c r="A994" s="10" t="n">
        <v>46078</v>
      </c>
      <c r="B994" s="7" t="inlineStr">
        <is>
          <t>Quarta</t>
        </is>
      </c>
      <c r="C994" s="7" t="inlineStr">
        <is>
          <t>CT ÁGUA VERMELHA M.D</t>
        </is>
      </c>
      <c r="D994" s="7" t="inlineStr">
        <is>
          <t>CAROLINE e FÁBIO</t>
        </is>
      </c>
      <c r="E994" s="7" t="inlineStr">
        <is>
          <t>Marcelo</t>
        </is>
      </c>
      <c r="F994" s="13" t="inlineStr">
        <is>
          <t>Shaft PVD 16</t>
        </is>
      </c>
      <c r="G994" s="7" t="inlineStr">
        <is>
          <t>16</t>
        </is>
      </c>
      <c r="H994" s="7" t="n"/>
      <c r="I994" s="7" t="inlineStr">
        <is>
          <t>16</t>
        </is>
      </c>
      <c r="J994" s="7" t="inlineStr">
        <is>
          <t>Shaft</t>
        </is>
      </c>
      <c r="K994" s="7" t="inlineStr">
        <is>
          <t>Planejamento</t>
        </is>
      </c>
      <c r="L994" s="16" t="inlineStr">
        <is>
          <t>PDS-Fevereiro(1).docx</t>
        </is>
      </c>
      <c r="M994">
        <f>IF($A994="","",TEXT($A994,"mmmm/yyyy"))</f>
        <v/>
      </c>
      <c r="P994">
        <f>IFERROR(_xludf.XLOOKUP($N994,Base_Enderecos!$A:$A,Base_Enderecos!$B:$B,""),"")</f>
        <v/>
      </c>
      <c r="Q994">
        <f>IFERROR(_xludf.XLOOKUP($N994,Base_Enderecos!$A:$A,Base_Enderecos!$C:$C,""),"")</f>
        <v/>
      </c>
      <c r="R994">
        <f>IF(OR(ISNUMBER(SEARCH("HDD",$F994)),ISNUMBER(SEARCH("MND",$F994)),ISNUMBER(SEARCH("PEAD",$F994)),ISNUMBER(SEARCH("Puxe",$J994)),ISNUMBER(SEARCH("Apoio HDD",$F994))),"MND",IF(OR(ISNUMBER(SEARCH("VCA",$F994)),ISNUMBER(SEARCH("PVC",$F994)),ISNUMBER(SEARCH("vca",$J994)),ISNUMBER(SEARCH("Transformação",$J994))),"VCA",IF(OR(ISNUMBER(SEARCH("crava",$F994)),ISNUMBER(SEARCH("tubo cravado",$F994)),ISNUMBER(SEARCH("shaft",$J994)),ISNUMBER(SEARCH("concreto",$F994))),"TUBO CRAVADO","")))</f>
        <v/>
      </c>
      <c r="T994">
        <f>IF($A994="","",TEXT($A994,"yyyymm")&amp;"|"&amp;$C994&amp;"|"&amp;$F994&amp;"|"&amp;$N994&amp;"|"&amp;$R994)</f>
        <v/>
      </c>
    </row>
    <row r="995" ht="11.55" customHeight="1">
      <c r="A995" s="10" t="n">
        <v>46078</v>
      </c>
      <c r="B995" s="7" t="inlineStr">
        <is>
          <t>Quarta</t>
        </is>
      </c>
      <c r="C995" s="7" t="inlineStr">
        <is>
          <t>CT ÁGUA VERMELHA M.D</t>
        </is>
      </c>
      <c r="D995" s="7" t="inlineStr">
        <is>
          <t>CAROLINE e FÁBIO</t>
        </is>
      </c>
      <c r="E995" s="7" t="inlineStr">
        <is>
          <t>Cesar</t>
        </is>
      </c>
      <c r="F995" s="13" t="inlineStr">
        <is>
          <t>Transformação PVD 03</t>
        </is>
      </c>
      <c r="G995" s="7" t="inlineStr">
        <is>
          <t>03</t>
        </is>
      </c>
      <c r="H995" s="7" t="n"/>
      <c r="I995" s="7" t="inlineStr">
        <is>
          <t>03</t>
        </is>
      </c>
      <c r="J995" s="7" t="inlineStr">
        <is>
          <t>Transformação</t>
        </is>
      </c>
      <c r="K995" s="7" t="inlineStr">
        <is>
          <t>Planejamento</t>
        </is>
      </c>
      <c r="L995" s="16" t="inlineStr">
        <is>
          <t>PDS-Fevereiro(1).docx</t>
        </is>
      </c>
      <c r="M995">
        <f>IF($A995="","",TEXT($A995,"mmmm/yyyy"))</f>
        <v/>
      </c>
      <c r="P995">
        <f>IFERROR(_xludf.XLOOKUP($N995,Base_Enderecos!$A:$A,Base_Enderecos!$B:$B,""),"")</f>
        <v/>
      </c>
      <c r="Q995">
        <f>IFERROR(_xludf.XLOOKUP($N995,Base_Enderecos!$A:$A,Base_Enderecos!$C:$C,""),"")</f>
        <v/>
      </c>
      <c r="R995">
        <f>IF(OR(ISNUMBER(SEARCH("HDD",$F995)),ISNUMBER(SEARCH("MND",$F995)),ISNUMBER(SEARCH("PEAD",$F995)),ISNUMBER(SEARCH("Puxe",$J995)),ISNUMBER(SEARCH("Apoio HDD",$F995))),"MND",IF(OR(ISNUMBER(SEARCH("VCA",$F995)),ISNUMBER(SEARCH("PVC",$F995)),ISNUMBER(SEARCH("vca",$J995)),ISNUMBER(SEARCH("Transformação",$J995))),"VCA",IF(OR(ISNUMBER(SEARCH("crava",$F995)),ISNUMBER(SEARCH("tubo cravado",$F995)),ISNUMBER(SEARCH("shaft",$J995)),ISNUMBER(SEARCH("concreto",$F995))),"TUBO CRAVADO","")))</f>
        <v/>
      </c>
      <c r="T995">
        <f>IF($A995="","",TEXT($A995,"yyyymm")&amp;"|"&amp;$C995&amp;"|"&amp;$F995&amp;"|"&amp;$N995&amp;"|"&amp;$R995)</f>
        <v/>
      </c>
    </row>
    <row r="996" ht="11.55" customHeight="1">
      <c r="A996" s="10" t="n">
        <v>46078</v>
      </c>
      <c r="B996" s="7" t="inlineStr">
        <is>
          <t>Quarta</t>
        </is>
      </c>
      <c r="C996" s="7" t="inlineStr">
        <is>
          <t>CT ÁGUA VERMELHA M.D</t>
        </is>
      </c>
      <c r="D996" s="7" t="inlineStr">
        <is>
          <t>CAROLINE e FÁBIO</t>
        </is>
      </c>
      <c r="E996" s="7" t="inlineStr">
        <is>
          <t>Marcelo</t>
        </is>
      </c>
      <c r="F996" s="13" t="inlineStr">
        <is>
          <t>Apoio equipes</t>
        </is>
      </c>
      <c r="G996" s="7" t="n"/>
      <c r="H996" s="7" t="n"/>
      <c r="I996" s="7" t="n"/>
      <c r="J996" s="7" t="n"/>
      <c r="K996" s="7" t="inlineStr">
        <is>
          <t>Planejamento</t>
        </is>
      </c>
      <c r="L996" s="16" t="inlineStr">
        <is>
          <t>PDS-Fevereiro(1).docx</t>
        </is>
      </c>
      <c r="M996">
        <f>IF($A996="","",TEXT($A996,"mmmm/yyyy"))</f>
        <v/>
      </c>
      <c r="P996">
        <f>IFERROR(_xludf.XLOOKUP($N996,Base_Enderecos!$A:$A,Base_Enderecos!$B:$B,""),"")</f>
        <v/>
      </c>
      <c r="Q996">
        <f>IFERROR(_xludf.XLOOKUP($N996,Base_Enderecos!$A:$A,Base_Enderecos!$C:$C,""),"")</f>
        <v/>
      </c>
      <c r="R996">
        <f>IF(OR(ISNUMBER(SEARCH("HDD",$F996)),ISNUMBER(SEARCH("MND",$F996)),ISNUMBER(SEARCH("PEAD",$F996)),ISNUMBER(SEARCH("Puxe",$J996)),ISNUMBER(SEARCH("Apoio HDD",$F996))),"MND",IF(OR(ISNUMBER(SEARCH("VCA",$F996)),ISNUMBER(SEARCH("PVC",$F996)),ISNUMBER(SEARCH("vca",$J996)),ISNUMBER(SEARCH("Transformação",$J996))),"VCA",IF(OR(ISNUMBER(SEARCH("crava",$F996)),ISNUMBER(SEARCH("tubo cravado",$F996)),ISNUMBER(SEARCH("shaft",$J996)),ISNUMBER(SEARCH("concreto",$F996))),"TUBO CRAVADO","")))</f>
        <v/>
      </c>
      <c r="T996">
        <f>IF($A996="","",TEXT($A996,"yyyymm")&amp;"|"&amp;$C996&amp;"|"&amp;$F996&amp;"|"&amp;$N996&amp;"|"&amp;$R996)</f>
        <v/>
      </c>
    </row>
    <row r="997" ht="11.55" customHeight="1">
      <c r="A997" s="10" t="n">
        <v>46078</v>
      </c>
      <c r="B997" s="7" t="inlineStr">
        <is>
          <t>Quarta</t>
        </is>
      </c>
      <c r="C997" s="7" t="inlineStr">
        <is>
          <t>CT ÁGUA VERMELHA M.E– Valmir</t>
        </is>
      </c>
      <c r="D997" s="7" t="n"/>
      <c r="E997" s="7" t="inlineStr">
        <is>
          <t>WJ 01</t>
        </is>
      </c>
      <c r="F997" s="13" t="inlineStr">
        <is>
          <t>Piloto e Puxe PVE 15 ao PVE 18</t>
        </is>
      </c>
      <c r="G997" s="7" t="inlineStr">
        <is>
          <t>15</t>
        </is>
      </c>
      <c r="H997" s="7" t="inlineStr">
        <is>
          <t>18</t>
        </is>
      </c>
      <c r="I997" s="7" t="inlineStr">
        <is>
          <t>15, 18</t>
        </is>
      </c>
      <c r="J997" s="7" t="inlineStr">
        <is>
          <t>Piloto e puxe</t>
        </is>
      </c>
      <c r="K997" s="7" t="inlineStr">
        <is>
          <t>Planejamento</t>
        </is>
      </c>
      <c r="L997" s="16" t="inlineStr">
        <is>
          <t>PDS-Fevereiro(1).docx</t>
        </is>
      </c>
      <c r="M997">
        <f>IF($A997="","",TEXT($A997,"mmmm/yyyy"))</f>
        <v/>
      </c>
      <c r="P997">
        <f>IFERROR(_xludf.XLOOKUP($N997,Base_Enderecos!$A:$A,Base_Enderecos!$B:$B,""),"")</f>
        <v/>
      </c>
      <c r="Q997">
        <f>IFERROR(_xludf.XLOOKUP($N997,Base_Enderecos!$A:$A,Base_Enderecos!$C:$C,""),"")</f>
        <v/>
      </c>
      <c r="R997">
        <f>IF(OR(ISNUMBER(SEARCH("HDD",$F997)),ISNUMBER(SEARCH("MND",$F997)),ISNUMBER(SEARCH("PEAD",$F997)),ISNUMBER(SEARCH("Puxe",$J997)),ISNUMBER(SEARCH("Apoio HDD",$F997))),"MND",IF(OR(ISNUMBER(SEARCH("VCA",$F997)),ISNUMBER(SEARCH("PVC",$F997)),ISNUMBER(SEARCH("vca",$J997)),ISNUMBER(SEARCH("Transformação",$J997))),"VCA",IF(OR(ISNUMBER(SEARCH("crava",$F997)),ISNUMBER(SEARCH("tubo cravado",$F997)),ISNUMBER(SEARCH("shaft",$J997)),ISNUMBER(SEARCH("concreto",$F997))),"TUBO CRAVADO","")))</f>
        <v/>
      </c>
      <c r="T997">
        <f>IF($A997="","",TEXT($A997,"yyyymm")&amp;"|"&amp;$C997&amp;"|"&amp;$F997&amp;"|"&amp;$N997&amp;"|"&amp;$R997)</f>
        <v/>
      </c>
    </row>
    <row r="998" ht="11.55" customHeight="1">
      <c r="A998" s="10" t="n">
        <v>46078</v>
      </c>
      <c r="B998" s="7" t="inlineStr">
        <is>
          <t>Quarta</t>
        </is>
      </c>
      <c r="C998" s="7" t="inlineStr">
        <is>
          <t>CT ÁGUA VERMELHA M.E– Valmir</t>
        </is>
      </c>
      <c r="D998" s="7" t="n"/>
      <c r="E998" s="7" t="inlineStr">
        <is>
          <t>Marcio</t>
        </is>
      </c>
      <c r="F998" s="13" t="inlineStr">
        <is>
          <t>Apoio HDD PVE 15 ao 18</t>
        </is>
      </c>
      <c r="G998" s="7" t="inlineStr">
        <is>
          <t>15</t>
        </is>
      </c>
      <c r="H998" s="7" t="n"/>
      <c r="I998" s="7" t="inlineStr">
        <is>
          <t>15</t>
        </is>
      </c>
      <c r="J998" s="7" t="inlineStr">
        <is>
          <t>Apoio HDD</t>
        </is>
      </c>
      <c r="K998" s="7" t="inlineStr">
        <is>
          <t>Planejamento</t>
        </is>
      </c>
      <c r="L998" s="16" t="inlineStr">
        <is>
          <t>PDS-Fevereiro(1).docx</t>
        </is>
      </c>
      <c r="M998">
        <f>IF($A998="","",TEXT($A998,"mmmm/yyyy"))</f>
        <v/>
      </c>
      <c r="P998">
        <f>IFERROR(_xludf.XLOOKUP($N998,Base_Enderecos!$A:$A,Base_Enderecos!$B:$B,""),"")</f>
        <v/>
      </c>
      <c r="Q998">
        <f>IFERROR(_xludf.XLOOKUP($N998,Base_Enderecos!$A:$A,Base_Enderecos!$C:$C,""),"")</f>
        <v/>
      </c>
      <c r="R998">
        <f>IF(OR(ISNUMBER(SEARCH("HDD",$F998)),ISNUMBER(SEARCH("MND",$F998)),ISNUMBER(SEARCH("PEAD",$F998)),ISNUMBER(SEARCH("Puxe",$J998)),ISNUMBER(SEARCH("Apoio HDD",$F998))),"MND",IF(OR(ISNUMBER(SEARCH("VCA",$F998)),ISNUMBER(SEARCH("PVC",$F998)),ISNUMBER(SEARCH("vca",$J998)),ISNUMBER(SEARCH("Transformação",$J998))),"VCA",IF(OR(ISNUMBER(SEARCH("crava",$F998)),ISNUMBER(SEARCH("tubo cravado",$F998)),ISNUMBER(SEARCH("shaft",$J998)),ISNUMBER(SEARCH("concreto",$F998))),"TUBO CRAVADO","")))</f>
        <v/>
      </c>
      <c r="T998">
        <f>IF($A998="","",TEXT($A998,"yyyymm")&amp;"|"&amp;$C998&amp;"|"&amp;$F998&amp;"|"&amp;$N998&amp;"|"&amp;$R998)</f>
        <v/>
      </c>
    </row>
    <row r="999" ht="11.55" customHeight="1">
      <c r="A999" s="10" t="n">
        <v>46078</v>
      </c>
      <c r="B999" s="7" t="inlineStr">
        <is>
          <t>Quarta</t>
        </is>
      </c>
      <c r="C999" s="7" t="inlineStr">
        <is>
          <t>CT ÁGUA VERMELHA M.E– Valmir</t>
        </is>
      </c>
      <c r="D999" s="7" t="n"/>
      <c r="E999" s="7" t="inlineStr">
        <is>
          <t>Cidão</t>
        </is>
      </c>
      <c r="F999" s="13" t="inlineStr">
        <is>
          <t>Shaft PVE 21</t>
        </is>
      </c>
      <c r="G999" s="7" t="inlineStr">
        <is>
          <t>21</t>
        </is>
      </c>
      <c r="H999" s="7" t="n"/>
      <c r="I999" s="7" t="inlineStr">
        <is>
          <t>21</t>
        </is>
      </c>
      <c r="J999" s="7" t="inlineStr">
        <is>
          <t>Shaft</t>
        </is>
      </c>
      <c r="K999" s="7" t="inlineStr">
        <is>
          <t>Planejamento</t>
        </is>
      </c>
      <c r="L999" s="16" t="inlineStr">
        <is>
          <t>PDS-Fevereiro(1).docx</t>
        </is>
      </c>
      <c r="M999">
        <f>IF($A999="","",TEXT($A999,"mmmm/yyyy"))</f>
        <v/>
      </c>
      <c r="P999">
        <f>IFERROR(_xludf.XLOOKUP($N999,Base_Enderecos!$A:$A,Base_Enderecos!$B:$B,""),"")</f>
        <v/>
      </c>
      <c r="Q999">
        <f>IFERROR(_xludf.XLOOKUP($N999,Base_Enderecos!$A:$A,Base_Enderecos!$C:$C,""),"")</f>
        <v/>
      </c>
      <c r="R999">
        <f>IF(OR(ISNUMBER(SEARCH("HDD",$F999)),ISNUMBER(SEARCH("MND",$F999)),ISNUMBER(SEARCH("PEAD",$F999)),ISNUMBER(SEARCH("Puxe",$J999)),ISNUMBER(SEARCH("Apoio HDD",$F999))),"MND",IF(OR(ISNUMBER(SEARCH("VCA",$F999)),ISNUMBER(SEARCH("PVC",$F999)),ISNUMBER(SEARCH("vca",$J999)),ISNUMBER(SEARCH("Transformação",$J999))),"VCA",IF(OR(ISNUMBER(SEARCH("crava",$F999)),ISNUMBER(SEARCH("tubo cravado",$F999)),ISNUMBER(SEARCH("shaft",$J999)),ISNUMBER(SEARCH("concreto",$F999))),"TUBO CRAVADO","")))</f>
        <v/>
      </c>
      <c r="T999">
        <f>IF($A999="","",TEXT($A999,"yyyymm")&amp;"|"&amp;$C999&amp;"|"&amp;$F999&amp;"|"&amp;$N999&amp;"|"&amp;$R999)</f>
        <v/>
      </c>
    </row>
    <row r="1000" ht="11.55" customHeight="1">
      <c r="A1000" s="10" t="n">
        <v>46078</v>
      </c>
      <c r="B1000" s="7" t="inlineStr">
        <is>
          <t>Quarta</t>
        </is>
      </c>
      <c r="C1000" s="7" t="inlineStr">
        <is>
          <t>CT ÁGUA VERMELHA M.E– Valmir</t>
        </is>
      </c>
      <c r="D1000" s="7" t="n"/>
      <c r="E1000" s="7" t="inlineStr">
        <is>
          <t>Higor</t>
        </is>
      </c>
      <c r="F1000" s="13" t="inlineStr">
        <is>
          <t>Transformação PVE 05</t>
        </is>
      </c>
      <c r="G1000" s="7" t="inlineStr">
        <is>
          <t>05</t>
        </is>
      </c>
      <c r="H1000" s="7" t="n"/>
      <c r="I1000" s="7" t="inlineStr">
        <is>
          <t>05</t>
        </is>
      </c>
      <c r="J1000" s="7" t="inlineStr">
        <is>
          <t>Transformação</t>
        </is>
      </c>
      <c r="K1000" s="7" t="inlineStr">
        <is>
          <t>Planejamento</t>
        </is>
      </c>
      <c r="L1000" s="16" t="inlineStr">
        <is>
          <t>PDS-Fevereiro(1).docx</t>
        </is>
      </c>
      <c r="M1000">
        <f>IF($A1000="","",TEXT($A1000,"mmmm/yyyy"))</f>
        <v/>
      </c>
      <c r="P1000">
        <f>IFERROR(_xludf.XLOOKUP($N1000,Base_Enderecos!$A:$A,Base_Enderecos!$B:$B,""),"")</f>
        <v/>
      </c>
      <c r="Q1000">
        <f>IFERROR(_xludf.XLOOKUP($N1000,Base_Enderecos!$A:$A,Base_Enderecos!$C:$C,""),"")</f>
        <v/>
      </c>
      <c r="R1000">
        <f>IF(OR(ISNUMBER(SEARCH("HDD",$F1000)),ISNUMBER(SEARCH("MND",$F1000)),ISNUMBER(SEARCH("PEAD",$F1000)),ISNUMBER(SEARCH("Puxe",$J1000)),ISNUMBER(SEARCH("Apoio HDD",$F1000))),"MND",IF(OR(ISNUMBER(SEARCH("VCA",$F1000)),ISNUMBER(SEARCH("PVC",$F1000)),ISNUMBER(SEARCH("vca",$J1000)),ISNUMBER(SEARCH("Transformação",$J1000))),"VCA",IF(OR(ISNUMBER(SEARCH("crava",$F1000)),ISNUMBER(SEARCH("tubo cravado",$F1000)),ISNUMBER(SEARCH("shaft",$J1000)),ISNUMBER(SEARCH("concreto",$F1000))),"TUBO CRAVADO","")))</f>
        <v/>
      </c>
      <c r="T1000">
        <f>IF($A1000="","",TEXT($A1000,"yyyymm")&amp;"|"&amp;$C1000&amp;"|"&amp;$F1000&amp;"|"&amp;$N1000&amp;"|"&amp;$R1000)</f>
        <v/>
      </c>
    </row>
    <row r="1001" ht="11.55" customHeight="1">
      <c r="A1001" s="10" t="n">
        <v>46078</v>
      </c>
      <c r="B1001" s="7" t="inlineStr">
        <is>
          <t>Quarta</t>
        </is>
      </c>
      <c r="C1001" s="7" t="inlineStr">
        <is>
          <t>CT ÁGUA VERMELHA M.E– Valmir</t>
        </is>
      </c>
      <c r="D1001" s="7" t="n"/>
      <c r="E1001" s="7" t="inlineStr">
        <is>
          <t>Carlos</t>
        </is>
      </c>
      <c r="F1001" s="13" t="inlineStr">
        <is>
          <t>Transformação PVE 07</t>
        </is>
      </c>
      <c r="G1001" s="7" t="inlineStr">
        <is>
          <t>07</t>
        </is>
      </c>
      <c r="H1001" s="7" t="n"/>
      <c r="I1001" s="7" t="inlineStr">
        <is>
          <t>07</t>
        </is>
      </c>
      <c r="J1001" s="7" t="inlineStr">
        <is>
          <t>Transformação</t>
        </is>
      </c>
      <c r="K1001" s="7" t="inlineStr">
        <is>
          <t>Planejamento</t>
        </is>
      </c>
      <c r="L1001" s="16" t="inlineStr">
        <is>
          <t>PDS-Fevereiro(1).docx</t>
        </is>
      </c>
      <c r="M1001">
        <f>IF($A1001="","",TEXT($A1001,"mmmm/yyyy"))</f>
        <v/>
      </c>
      <c r="P1001">
        <f>IFERROR(_xludf.XLOOKUP($N1001,Base_Enderecos!$A:$A,Base_Enderecos!$B:$B,""),"")</f>
        <v/>
      </c>
      <c r="Q1001">
        <f>IFERROR(_xludf.XLOOKUP($N1001,Base_Enderecos!$A:$A,Base_Enderecos!$C:$C,""),"")</f>
        <v/>
      </c>
      <c r="R1001">
        <f>IF(OR(ISNUMBER(SEARCH("HDD",$F1001)),ISNUMBER(SEARCH("MND",$F1001)),ISNUMBER(SEARCH("PEAD",$F1001)),ISNUMBER(SEARCH("Puxe",$J1001)),ISNUMBER(SEARCH("Apoio HDD",$F1001))),"MND",IF(OR(ISNUMBER(SEARCH("VCA",$F1001)),ISNUMBER(SEARCH("PVC",$F1001)),ISNUMBER(SEARCH("vca",$J1001)),ISNUMBER(SEARCH("Transformação",$J1001))),"VCA",IF(OR(ISNUMBER(SEARCH("crava",$F1001)),ISNUMBER(SEARCH("tubo cravado",$F1001)),ISNUMBER(SEARCH("shaft",$J1001)),ISNUMBER(SEARCH("concreto",$F1001))),"TUBO CRAVADO","")))</f>
        <v/>
      </c>
      <c r="T1001">
        <f>IF($A1001="","",TEXT($A1001,"yyyymm")&amp;"|"&amp;$C1001&amp;"|"&amp;$F1001&amp;"|"&amp;$N1001&amp;"|"&amp;$R1001)</f>
        <v/>
      </c>
    </row>
    <row r="1002" ht="11.55" customHeight="1">
      <c r="A1002" s="10" t="n">
        <v>46078</v>
      </c>
      <c r="B1002" s="7" t="inlineStr">
        <is>
          <t>Quarta</t>
        </is>
      </c>
      <c r="C1002" s="7" t="inlineStr">
        <is>
          <t>Vacal</t>
        </is>
      </c>
      <c r="D1002" s="7" t="n"/>
      <c r="E1002" s="7" t="inlineStr">
        <is>
          <t>Água Vermelha</t>
        </is>
      </c>
      <c r="F1002" s="13" t="inlineStr">
        <is>
          <t>Apoio Vacal</t>
        </is>
      </c>
      <c r="G1002" s="7" t="n"/>
      <c r="H1002" s="7" t="n"/>
      <c r="I1002" s="7" t="n"/>
      <c r="J1002" s="7" t="inlineStr">
        <is>
          <t>Vacal</t>
        </is>
      </c>
      <c r="K1002" s="7" t="inlineStr">
        <is>
          <t>Apoio</t>
        </is>
      </c>
      <c r="L1002" s="16" t="inlineStr">
        <is>
          <t>PDS-Fevereiro(1).docx</t>
        </is>
      </c>
      <c r="M1002">
        <f>IF($A1002="","",TEXT($A1002,"mmmm/yyyy"))</f>
        <v/>
      </c>
      <c r="P1002">
        <f>IFERROR(_xludf.XLOOKUP($N1002,Base_Enderecos!$A:$A,Base_Enderecos!$B:$B,""),"")</f>
        <v/>
      </c>
      <c r="Q1002">
        <f>IFERROR(_xludf.XLOOKUP($N1002,Base_Enderecos!$A:$A,Base_Enderecos!$C:$C,""),"")</f>
        <v/>
      </c>
      <c r="R1002">
        <f>IF(OR(ISNUMBER(SEARCH("HDD",$F1002)),ISNUMBER(SEARCH("MND",$F1002)),ISNUMBER(SEARCH("PEAD",$F1002)),ISNUMBER(SEARCH("Puxe",$J1002)),ISNUMBER(SEARCH("Apoio HDD",$F1002))),"MND",IF(OR(ISNUMBER(SEARCH("VCA",$F1002)),ISNUMBER(SEARCH("PVC",$F1002)),ISNUMBER(SEARCH("vca",$J1002)),ISNUMBER(SEARCH("Transformação",$J1002))),"VCA",IF(OR(ISNUMBER(SEARCH("crava",$F1002)),ISNUMBER(SEARCH("tubo cravado",$F1002)),ISNUMBER(SEARCH("shaft",$J1002)),ISNUMBER(SEARCH("concreto",$F1002))),"TUBO CRAVADO","")))</f>
        <v/>
      </c>
      <c r="T1002">
        <f>IF($A1002="","",TEXT($A1002,"yyyymm")&amp;"|"&amp;$C1002&amp;"|"&amp;$F1002&amp;"|"&amp;$N1002&amp;"|"&amp;$R1002)</f>
        <v/>
      </c>
    </row>
    <row r="1003" ht="11.55" customHeight="1">
      <c r="A1003" s="10" t="n">
        <v>46078</v>
      </c>
      <c r="B1003" s="7" t="inlineStr">
        <is>
          <t>Quarta</t>
        </is>
      </c>
      <c r="C1003" s="7" t="inlineStr">
        <is>
          <t>Vacal</t>
        </is>
      </c>
      <c r="D1003" s="7" t="n"/>
      <c r="E1003" s="7" t="inlineStr">
        <is>
          <t>Água Vermelha</t>
        </is>
      </c>
      <c r="F1003" s="13" t="inlineStr">
        <is>
          <t>Apoio Vacal</t>
        </is>
      </c>
      <c r="G1003" s="7" t="n"/>
      <c r="H1003" s="7" t="n"/>
      <c r="I1003" s="7" t="n"/>
      <c r="J1003" s="7" t="inlineStr">
        <is>
          <t>Vacal</t>
        </is>
      </c>
      <c r="K1003" s="7" t="inlineStr">
        <is>
          <t>Apoio</t>
        </is>
      </c>
      <c r="L1003" s="16" t="inlineStr">
        <is>
          <t>PDS-Fevereiro(1).docx</t>
        </is>
      </c>
      <c r="M1003">
        <f>IF($A1003="","",TEXT($A1003,"mmmm/yyyy"))</f>
        <v/>
      </c>
      <c r="P1003">
        <f>IFERROR(_xludf.XLOOKUP($N1003,Base_Enderecos!$A:$A,Base_Enderecos!$B:$B,""),"")</f>
        <v/>
      </c>
      <c r="Q1003">
        <f>IFERROR(_xludf.XLOOKUP($N1003,Base_Enderecos!$A:$A,Base_Enderecos!$C:$C,""),"")</f>
        <v/>
      </c>
      <c r="R1003">
        <f>IF(OR(ISNUMBER(SEARCH("HDD",$F1003)),ISNUMBER(SEARCH("MND",$F1003)),ISNUMBER(SEARCH("PEAD",$F1003)),ISNUMBER(SEARCH("Puxe",$J1003)),ISNUMBER(SEARCH("Apoio HDD",$F1003))),"MND",IF(OR(ISNUMBER(SEARCH("VCA",$F1003)),ISNUMBER(SEARCH("PVC",$F1003)),ISNUMBER(SEARCH("vca",$J1003)),ISNUMBER(SEARCH("Transformação",$J1003))),"VCA",IF(OR(ISNUMBER(SEARCH("crava",$F1003)),ISNUMBER(SEARCH("tubo cravado",$F1003)),ISNUMBER(SEARCH("shaft",$J1003)),ISNUMBER(SEARCH("concreto",$F1003))),"TUBO CRAVADO","")))</f>
        <v/>
      </c>
      <c r="T1003">
        <f>IF($A1003="","",TEXT($A1003,"yyyymm")&amp;"|"&amp;$C1003&amp;"|"&amp;$F1003&amp;"|"&amp;$N1003&amp;"|"&amp;$R1003)</f>
        <v/>
      </c>
    </row>
    <row r="1004" ht="11.55" customHeight="1">
      <c r="A1004" s="10" t="n">
        <v>46078</v>
      </c>
      <c r="B1004" s="7" t="inlineStr">
        <is>
          <t>Quarta</t>
        </is>
      </c>
      <c r="C1004" s="7" t="inlineStr">
        <is>
          <t>Vacal</t>
        </is>
      </c>
      <c r="D1004" s="7" t="n"/>
      <c r="E1004" s="7" t="inlineStr">
        <is>
          <t>Mar de Coral</t>
        </is>
      </c>
      <c r="F1004" s="13" t="inlineStr">
        <is>
          <t>Apoio Vacal</t>
        </is>
      </c>
      <c r="G1004" s="7" t="n"/>
      <c r="H1004" s="7" t="n"/>
      <c r="I1004" s="7" t="n"/>
      <c r="J1004" s="7" t="inlineStr">
        <is>
          <t>Vacal</t>
        </is>
      </c>
      <c r="K1004" s="7" t="inlineStr">
        <is>
          <t>Apoio</t>
        </is>
      </c>
      <c r="L1004" s="16" t="inlineStr">
        <is>
          <t>PDS-Fevereiro(1).docx</t>
        </is>
      </c>
      <c r="M1004">
        <f>IF($A1004="","",TEXT($A1004,"mmmm/yyyy"))</f>
        <v/>
      </c>
      <c r="P1004">
        <f>IFERROR(_xludf.XLOOKUP($N1004,Base_Enderecos!$A:$A,Base_Enderecos!$B:$B,""),"")</f>
        <v/>
      </c>
      <c r="Q1004">
        <f>IFERROR(_xludf.XLOOKUP($N1004,Base_Enderecos!$A:$A,Base_Enderecos!$C:$C,""),"")</f>
        <v/>
      </c>
      <c r="R1004">
        <f>IF(OR(ISNUMBER(SEARCH("HDD",$F1004)),ISNUMBER(SEARCH("MND",$F1004)),ISNUMBER(SEARCH("PEAD",$F1004)),ISNUMBER(SEARCH("Puxe",$J1004)),ISNUMBER(SEARCH("Apoio HDD",$F1004))),"MND",IF(OR(ISNUMBER(SEARCH("VCA",$F1004)),ISNUMBER(SEARCH("PVC",$F1004)),ISNUMBER(SEARCH("vca",$J1004)),ISNUMBER(SEARCH("Transformação",$J1004))),"VCA",IF(OR(ISNUMBER(SEARCH("crava",$F1004)),ISNUMBER(SEARCH("tubo cravado",$F1004)),ISNUMBER(SEARCH("shaft",$J1004)),ISNUMBER(SEARCH("concreto",$F1004))),"TUBO CRAVADO","")))</f>
        <v/>
      </c>
      <c r="T1004">
        <f>IF($A1004="","",TEXT($A1004,"yyyymm")&amp;"|"&amp;$C1004&amp;"|"&amp;$F1004&amp;"|"&amp;$N1004&amp;"|"&amp;$R1004)</f>
        <v/>
      </c>
    </row>
    <row r="1005" ht="11.55" customHeight="1">
      <c r="A1005" s="10" t="n">
        <v>46078</v>
      </c>
      <c r="B1005" s="7" t="inlineStr">
        <is>
          <t>Quarta</t>
        </is>
      </c>
      <c r="C1005" s="7" t="inlineStr">
        <is>
          <t>Guindauto</t>
        </is>
      </c>
      <c r="D1005" s="7" t="n"/>
      <c r="E1005" s="7" t="inlineStr">
        <is>
          <t>Rodrigo</t>
        </is>
      </c>
      <c r="F1005" s="13" t="inlineStr">
        <is>
          <t>Rodrigo - Apoio as equipes</t>
        </is>
      </c>
      <c r="G1005" s="7" t="n"/>
      <c r="H1005" s="7" t="n"/>
      <c r="I1005" s="7" t="n"/>
      <c r="J1005" s="7" t="inlineStr">
        <is>
          <t>Guindauto</t>
        </is>
      </c>
      <c r="K1005" s="7" t="inlineStr">
        <is>
          <t>Apoio</t>
        </is>
      </c>
      <c r="L1005" s="16" t="inlineStr">
        <is>
          <t>PDS-Fevereiro(1).docx</t>
        </is>
      </c>
      <c r="M1005">
        <f>IF($A1005="","",TEXT($A1005,"mmmm/yyyy"))</f>
        <v/>
      </c>
      <c r="P1005">
        <f>IFERROR(_xludf.XLOOKUP($N1005,Base_Enderecos!$A:$A,Base_Enderecos!$B:$B,""),"")</f>
        <v/>
      </c>
      <c r="Q1005">
        <f>IFERROR(_xludf.XLOOKUP($N1005,Base_Enderecos!$A:$A,Base_Enderecos!$C:$C,""),"")</f>
        <v/>
      </c>
      <c r="R1005">
        <f>IF(OR(ISNUMBER(SEARCH("HDD",$F1005)),ISNUMBER(SEARCH("MND",$F1005)),ISNUMBER(SEARCH("PEAD",$F1005)),ISNUMBER(SEARCH("Puxe",$J1005)),ISNUMBER(SEARCH("Apoio HDD",$F1005))),"MND",IF(OR(ISNUMBER(SEARCH("VCA",$F1005)),ISNUMBER(SEARCH("PVC",$F1005)),ISNUMBER(SEARCH("vca",$J1005)),ISNUMBER(SEARCH("Transformação",$J1005))),"VCA",IF(OR(ISNUMBER(SEARCH("crava",$F1005)),ISNUMBER(SEARCH("tubo cravado",$F1005)),ISNUMBER(SEARCH("shaft",$J1005)),ISNUMBER(SEARCH("concreto",$F1005))),"TUBO CRAVADO","")))</f>
        <v/>
      </c>
      <c r="T1005">
        <f>IF($A1005="","",TEXT($A1005,"yyyymm")&amp;"|"&amp;$C1005&amp;"|"&amp;$F1005&amp;"|"&amp;$N1005&amp;"|"&amp;$R1005)</f>
        <v/>
      </c>
    </row>
    <row r="1006" ht="11.55" customHeight="1">
      <c r="A1006" s="10" t="n">
        <v>46078</v>
      </c>
      <c r="B1006" s="7" t="inlineStr">
        <is>
          <t>Quarta</t>
        </is>
      </c>
      <c r="C1006" s="7" t="inlineStr">
        <is>
          <t>Guindauto</t>
        </is>
      </c>
      <c r="D1006" s="7" t="n"/>
      <c r="E1006" s="7" t="inlineStr">
        <is>
          <t>Marcio</t>
        </is>
      </c>
      <c r="F1006" s="13" t="inlineStr">
        <is>
          <t>Marcio - Apoio as equipes</t>
        </is>
      </c>
      <c r="G1006" s="7" t="n"/>
      <c r="H1006" s="7" t="n"/>
      <c r="I1006" s="7" t="n"/>
      <c r="J1006" s="7" t="inlineStr">
        <is>
          <t>Guindauto</t>
        </is>
      </c>
      <c r="K1006" s="7" t="inlineStr">
        <is>
          <t>Apoio</t>
        </is>
      </c>
      <c r="L1006" s="16" t="inlineStr">
        <is>
          <t>PDS-Fevereiro(1).docx</t>
        </is>
      </c>
      <c r="M1006">
        <f>IF($A1006="","",TEXT($A1006,"mmmm/yyyy"))</f>
        <v/>
      </c>
      <c r="P1006">
        <f>IFERROR(_xludf.XLOOKUP($N1006,Base_Enderecos!$A:$A,Base_Enderecos!$B:$B,""),"")</f>
        <v/>
      </c>
      <c r="Q1006">
        <f>IFERROR(_xludf.XLOOKUP($N1006,Base_Enderecos!$A:$A,Base_Enderecos!$C:$C,""),"")</f>
        <v/>
      </c>
      <c r="R1006">
        <f>IF(OR(ISNUMBER(SEARCH("HDD",$F1006)),ISNUMBER(SEARCH("MND",$F1006)),ISNUMBER(SEARCH("PEAD",$F1006)),ISNUMBER(SEARCH("Puxe",$J1006)),ISNUMBER(SEARCH("Apoio HDD",$F1006))),"MND",IF(OR(ISNUMBER(SEARCH("VCA",$F1006)),ISNUMBER(SEARCH("PVC",$F1006)),ISNUMBER(SEARCH("vca",$J1006)),ISNUMBER(SEARCH("Transformação",$J1006))),"VCA",IF(OR(ISNUMBER(SEARCH("crava",$F1006)),ISNUMBER(SEARCH("tubo cravado",$F1006)),ISNUMBER(SEARCH("shaft",$J1006)),ISNUMBER(SEARCH("concreto",$F1006))),"TUBO CRAVADO","")))</f>
        <v/>
      </c>
      <c r="T1006">
        <f>IF($A1006="","",TEXT($A1006,"yyyymm")&amp;"|"&amp;$C1006&amp;"|"&amp;$F1006&amp;"|"&amp;$N1006&amp;"|"&amp;$R1006)</f>
        <v/>
      </c>
    </row>
    <row r="1007" ht="11.55" customHeight="1">
      <c r="A1007" s="10" t="n">
        <v>46079</v>
      </c>
      <c r="B1007" s="7" t="inlineStr">
        <is>
          <t>Quinta</t>
        </is>
      </c>
      <c r="C1007" s="7" t="n"/>
      <c r="D1007" s="7" t="n"/>
      <c r="E1007" s="7" t="inlineStr">
        <is>
          <t>Edivando</t>
        </is>
      </c>
      <c r="F1007" s="13" t="inlineStr">
        <is>
          <t>Acabamento PV 40</t>
        </is>
      </c>
      <c r="G1007" s="7" t="inlineStr">
        <is>
          <t>40</t>
        </is>
      </c>
      <c r="H1007" s="7" t="n"/>
      <c r="I1007" s="7" t="inlineStr">
        <is>
          <t>40</t>
        </is>
      </c>
      <c r="J1007" s="7" t="inlineStr">
        <is>
          <t>Acabamento</t>
        </is>
      </c>
      <c r="K1007" s="7" t="inlineStr">
        <is>
          <t>Planejamento</t>
        </is>
      </c>
      <c r="L1007" s="16" t="inlineStr">
        <is>
          <t>PDS-Fevereiro(1).docx</t>
        </is>
      </c>
      <c r="M1007">
        <f>IF($A1007="","",TEXT($A1007,"mmmm/yyyy"))</f>
        <v/>
      </c>
      <c r="P1007">
        <f>IFERROR(_xludf.XLOOKUP($N1007,Base_Enderecos!$A:$A,Base_Enderecos!$B:$B,""),"")</f>
        <v/>
      </c>
      <c r="Q1007">
        <f>IFERROR(_xludf.XLOOKUP($N1007,Base_Enderecos!$A:$A,Base_Enderecos!$C:$C,""),"")</f>
        <v/>
      </c>
      <c r="R1007">
        <f>IF(OR(ISNUMBER(SEARCH("HDD",$F1007)),ISNUMBER(SEARCH("MND",$F1007)),ISNUMBER(SEARCH("PEAD",$F1007)),ISNUMBER(SEARCH("Puxe",$J1007)),ISNUMBER(SEARCH("Apoio HDD",$F1007))),"MND",IF(OR(ISNUMBER(SEARCH("VCA",$F1007)),ISNUMBER(SEARCH("PVC",$F1007)),ISNUMBER(SEARCH("vca",$J1007)),ISNUMBER(SEARCH("Transformação",$J1007))),"VCA",IF(OR(ISNUMBER(SEARCH("crava",$F1007)),ISNUMBER(SEARCH("tubo cravado",$F1007)),ISNUMBER(SEARCH("shaft",$J1007)),ISNUMBER(SEARCH("concreto",$F1007))),"TUBO CRAVADO","")))</f>
        <v/>
      </c>
      <c r="T1007">
        <f>IF($A1007="","",TEXT($A1007,"yyyymm")&amp;"|"&amp;$C1007&amp;"|"&amp;$F1007&amp;"|"&amp;$N1007&amp;"|"&amp;$R1007)</f>
        <v/>
      </c>
    </row>
    <row r="1008" ht="11.55" customHeight="1">
      <c r="A1008" s="10" t="n">
        <v>46079</v>
      </c>
      <c r="B1008" s="7" t="inlineStr">
        <is>
          <t>Quinta</t>
        </is>
      </c>
      <c r="C1008" s="7" t="n"/>
      <c r="D1008" s="7" t="n"/>
      <c r="E1008" s="7" t="inlineStr">
        <is>
          <t>Ricardo</t>
        </is>
      </c>
      <c r="F1008" s="13" t="inlineStr">
        <is>
          <t>Transformação PV 44</t>
        </is>
      </c>
      <c r="G1008" s="7" t="inlineStr">
        <is>
          <t>44</t>
        </is>
      </c>
      <c r="H1008" s="7" t="n"/>
      <c r="I1008" s="7" t="inlineStr">
        <is>
          <t>44</t>
        </is>
      </c>
      <c r="J1008" s="7" t="inlineStr">
        <is>
          <t>Transformação</t>
        </is>
      </c>
      <c r="K1008" s="7" t="inlineStr">
        <is>
          <t>Planejamento</t>
        </is>
      </c>
      <c r="L1008" s="16" t="inlineStr">
        <is>
          <t>PDS-Fevereiro(1).docx</t>
        </is>
      </c>
      <c r="M1008">
        <f>IF($A1008="","",TEXT($A1008,"mmmm/yyyy"))</f>
        <v/>
      </c>
      <c r="P1008">
        <f>IFERROR(_xludf.XLOOKUP($N1008,Base_Enderecos!$A:$A,Base_Enderecos!$B:$B,""),"")</f>
        <v/>
      </c>
      <c r="Q1008">
        <f>IFERROR(_xludf.XLOOKUP($N1008,Base_Enderecos!$A:$A,Base_Enderecos!$C:$C,""),"")</f>
        <v/>
      </c>
      <c r="R1008">
        <f>IF(OR(ISNUMBER(SEARCH("HDD",$F1008)),ISNUMBER(SEARCH("MND",$F1008)),ISNUMBER(SEARCH("PEAD",$F1008)),ISNUMBER(SEARCH("Puxe",$J1008)),ISNUMBER(SEARCH("Apoio HDD",$F1008))),"MND",IF(OR(ISNUMBER(SEARCH("VCA",$F1008)),ISNUMBER(SEARCH("PVC",$F1008)),ISNUMBER(SEARCH("vca",$J1008)),ISNUMBER(SEARCH("Transformação",$J1008))),"VCA",IF(OR(ISNUMBER(SEARCH("crava",$F1008)),ISNUMBER(SEARCH("tubo cravado",$F1008)),ISNUMBER(SEARCH("shaft",$J1008)),ISNUMBER(SEARCH("concreto",$F1008))),"TUBO CRAVADO","")))</f>
        <v/>
      </c>
      <c r="T1008">
        <f>IF($A1008="","",TEXT($A1008,"yyyymm")&amp;"|"&amp;$C1008&amp;"|"&amp;$F1008&amp;"|"&amp;$N1008&amp;"|"&amp;$R1008)</f>
        <v/>
      </c>
    </row>
    <row r="1009" ht="11.55" customHeight="1">
      <c r="A1009" s="10" t="n">
        <v>46079</v>
      </c>
      <c r="B1009" s="7" t="inlineStr">
        <is>
          <t>Quinta</t>
        </is>
      </c>
      <c r="C1009" s="7" t="n"/>
      <c r="D1009" s="7" t="n"/>
      <c r="E1009" s="7" t="inlineStr">
        <is>
          <t>Paulo</t>
        </is>
      </c>
      <c r="F1009" s="13" t="inlineStr">
        <is>
          <t>Transformação PV 41</t>
        </is>
      </c>
      <c r="G1009" s="7" t="inlineStr">
        <is>
          <t>41</t>
        </is>
      </c>
      <c r="H1009" s="7" t="n"/>
      <c r="I1009" s="7" t="inlineStr">
        <is>
          <t>41</t>
        </is>
      </c>
      <c r="J1009" s="7" t="inlineStr">
        <is>
          <t>Transformação</t>
        </is>
      </c>
      <c r="K1009" s="7" t="inlineStr">
        <is>
          <t>Planejamento</t>
        </is>
      </c>
      <c r="L1009" s="16" t="inlineStr">
        <is>
          <t>PDS-Fevereiro(1).docx</t>
        </is>
      </c>
      <c r="M1009">
        <f>IF($A1009="","",TEXT($A1009,"mmmm/yyyy"))</f>
        <v/>
      </c>
      <c r="P1009">
        <f>IFERROR(_xludf.XLOOKUP($N1009,Base_Enderecos!$A:$A,Base_Enderecos!$B:$B,""),"")</f>
        <v/>
      </c>
      <c r="Q1009">
        <f>IFERROR(_xludf.XLOOKUP($N1009,Base_Enderecos!$A:$A,Base_Enderecos!$C:$C,""),"")</f>
        <v/>
      </c>
      <c r="R1009">
        <f>IF(OR(ISNUMBER(SEARCH("HDD",$F1009)),ISNUMBER(SEARCH("MND",$F1009)),ISNUMBER(SEARCH("PEAD",$F1009)),ISNUMBER(SEARCH("Puxe",$J1009)),ISNUMBER(SEARCH("Apoio HDD",$F1009))),"MND",IF(OR(ISNUMBER(SEARCH("VCA",$F1009)),ISNUMBER(SEARCH("PVC",$F1009)),ISNUMBER(SEARCH("vca",$J1009)),ISNUMBER(SEARCH("Transformação",$J1009))),"VCA",IF(OR(ISNUMBER(SEARCH("crava",$F1009)),ISNUMBER(SEARCH("tubo cravado",$F1009)),ISNUMBER(SEARCH("shaft",$J1009)),ISNUMBER(SEARCH("concreto",$F1009))),"TUBO CRAVADO","")))</f>
        <v/>
      </c>
      <c r="T1009">
        <f>IF($A1009="","",TEXT($A1009,"yyyymm")&amp;"|"&amp;$C1009&amp;"|"&amp;$F1009&amp;"|"&amp;$N1009&amp;"|"&amp;$R1009)</f>
        <v/>
      </c>
    </row>
    <row r="1010" ht="11.55" customHeight="1">
      <c r="A1010" s="10" t="n">
        <v>46079</v>
      </c>
      <c r="B1010" s="7" t="inlineStr">
        <is>
          <t>Quinta</t>
        </is>
      </c>
      <c r="C1010" s="7" t="n"/>
      <c r="D1010" s="7" t="n"/>
      <c r="E1010" s="7" t="inlineStr">
        <is>
          <t>Sergio</t>
        </is>
      </c>
      <c r="F1010" s="13" t="inlineStr">
        <is>
          <t>Transformação PV 43</t>
        </is>
      </c>
      <c r="G1010" s="7" t="inlineStr">
        <is>
          <t>43</t>
        </is>
      </c>
      <c r="H1010" s="7" t="n"/>
      <c r="I1010" s="7" t="inlineStr">
        <is>
          <t>43</t>
        </is>
      </c>
      <c r="J1010" s="7" t="inlineStr">
        <is>
          <t>Transformação</t>
        </is>
      </c>
      <c r="K1010" s="7" t="inlineStr">
        <is>
          <t>Planejamento</t>
        </is>
      </c>
      <c r="L1010" s="16" t="inlineStr">
        <is>
          <t>PDS-Fevereiro(1).docx</t>
        </is>
      </c>
      <c r="M1010">
        <f>IF($A1010="","",TEXT($A1010,"mmmm/yyyy"))</f>
        <v/>
      </c>
      <c r="P1010">
        <f>IFERROR(_xludf.XLOOKUP($N1010,Base_Enderecos!$A:$A,Base_Enderecos!$B:$B,""),"")</f>
        <v/>
      </c>
      <c r="Q1010">
        <f>IFERROR(_xludf.XLOOKUP($N1010,Base_Enderecos!$A:$A,Base_Enderecos!$C:$C,""),"")</f>
        <v/>
      </c>
      <c r="R1010">
        <f>IF(OR(ISNUMBER(SEARCH("HDD",$F1010)),ISNUMBER(SEARCH("MND",$F1010)),ISNUMBER(SEARCH("PEAD",$F1010)),ISNUMBER(SEARCH("Puxe",$J1010)),ISNUMBER(SEARCH("Apoio HDD",$F1010))),"MND",IF(OR(ISNUMBER(SEARCH("VCA",$F1010)),ISNUMBER(SEARCH("PVC",$F1010)),ISNUMBER(SEARCH("vca",$J1010)),ISNUMBER(SEARCH("Transformação",$J1010))),"VCA",IF(OR(ISNUMBER(SEARCH("crava",$F1010)),ISNUMBER(SEARCH("tubo cravado",$F1010)),ISNUMBER(SEARCH("shaft",$J1010)),ISNUMBER(SEARCH("concreto",$F1010))),"TUBO CRAVADO","")))</f>
        <v/>
      </c>
      <c r="T1010">
        <f>IF($A1010="","",TEXT($A1010,"yyyymm")&amp;"|"&amp;$C1010&amp;"|"&amp;$F1010&amp;"|"&amp;$N1010&amp;"|"&amp;$R1010)</f>
        <v/>
      </c>
    </row>
    <row r="1011" ht="11.55" customHeight="1">
      <c r="A1011" s="10" t="n">
        <v>46079</v>
      </c>
      <c r="B1011" s="7" t="inlineStr">
        <is>
          <t>Quinta</t>
        </is>
      </c>
      <c r="C1011" s="7" t="n"/>
      <c r="D1011" s="7" t="n"/>
      <c r="E1011" s="7" t="inlineStr">
        <is>
          <t>Adilson</t>
        </is>
      </c>
      <c r="F1011" s="13" t="inlineStr">
        <is>
          <t>Transformação PV 42</t>
        </is>
      </c>
      <c r="G1011" s="7" t="inlineStr">
        <is>
          <t>42</t>
        </is>
      </c>
      <c r="H1011" s="7" t="n"/>
      <c r="I1011" s="7" t="inlineStr">
        <is>
          <t>42</t>
        </is>
      </c>
      <c r="J1011" s="7" t="inlineStr">
        <is>
          <t>Transformação</t>
        </is>
      </c>
      <c r="K1011" s="7" t="inlineStr">
        <is>
          <t>Planejamento</t>
        </is>
      </c>
      <c r="L1011" s="16" t="inlineStr">
        <is>
          <t>PDS-Fevereiro(1).docx</t>
        </is>
      </c>
      <c r="M1011">
        <f>IF($A1011="","",TEXT($A1011,"mmmm/yyyy"))</f>
        <v/>
      </c>
      <c r="P1011">
        <f>IFERROR(_xludf.XLOOKUP($N1011,Base_Enderecos!$A:$A,Base_Enderecos!$B:$B,""),"")</f>
        <v/>
      </c>
      <c r="Q1011">
        <f>IFERROR(_xludf.XLOOKUP($N1011,Base_Enderecos!$A:$A,Base_Enderecos!$C:$C,""),"")</f>
        <v/>
      </c>
      <c r="R1011">
        <f>IF(OR(ISNUMBER(SEARCH("HDD",$F1011)),ISNUMBER(SEARCH("MND",$F1011)),ISNUMBER(SEARCH("PEAD",$F1011)),ISNUMBER(SEARCH("Puxe",$J1011)),ISNUMBER(SEARCH("Apoio HDD",$F1011))),"MND",IF(OR(ISNUMBER(SEARCH("VCA",$F1011)),ISNUMBER(SEARCH("PVC",$F1011)),ISNUMBER(SEARCH("vca",$J1011)),ISNUMBER(SEARCH("Transformação",$J1011))),"VCA",IF(OR(ISNUMBER(SEARCH("crava",$F1011)),ISNUMBER(SEARCH("tubo cravado",$F1011)),ISNUMBER(SEARCH("shaft",$J1011)),ISNUMBER(SEARCH("concreto",$F1011))),"TUBO CRAVADO","")))</f>
        <v/>
      </c>
      <c r="T1011">
        <f>IF($A1011="","",TEXT($A1011,"yyyymm")&amp;"|"&amp;$C1011&amp;"|"&amp;$F1011&amp;"|"&amp;$N1011&amp;"|"&amp;$R1011)</f>
        <v/>
      </c>
    </row>
    <row r="1012" ht="11.55" customHeight="1">
      <c r="A1012" s="10" t="n">
        <v>46079</v>
      </c>
      <c r="B1012" s="7" t="inlineStr">
        <is>
          <t>Quinta</t>
        </is>
      </c>
      <c r="C1012" s="7" t="n"/>
      <c r="D1012" s="7" t="n"/>
      <c r="E1012" s="7" t="inlineStr">
        <is>
          <t>Goiania Drill</t>
        </is>
      </c>
      <c r="F1012" s="13" t="inlineStr">
        <is>
          <t>Piloto e Puxe PV 41 ao 01</t>
        </is>
      </c>
      <c r="G1012" s="7" t="inlineStr">
        <is>
          <t>41</t>
        </is>
      </c>
      <c r="H1012" s="7" t="n"/>
      <c r="I1012" s="7" t="inlineStr">
        <is>
          <t>41</t>
        </is>
      </c>
      <c r="J1012" s="7" t="inlineStr">
        <is>
          <t>Piloto e puxe</t>
        </is>
      </c>
      <c r="K1012" s="7" t="inlineStr">
        <is>
          <t>Planejamento</t>
        </is>
      </c>
      <c r="L1012" s="16" t="inlineStr">
        <is>
          <t>PDS-Fevereiro(1).docx</t>
        </is>
      </c>
      <c r="M1012">
        <f>IF($A1012="","",TEXT($A1012,"mmmm/yyyy"))</f>
        <v/>
      </c>
      <c r="P1012">
        <f>IFERROR(_xludf.XLOOKUP($N1012,Base_Enderecos!$A:$A,Base_Enderecos!$B:$B,""),"")</f>
        <v/>
      </c>
      <c r="Q1012">
        <f>IFERROR(_xludf.XLOOKUP($N1012,Base_Enderecos!$A:$A,Base_Enderecos!$C:$C,""),"")</f>
        <v/>
      </c>
      <c r="R1012">
        <f>IF(OR(ISNUMBER(SEARCH("HDD",$F1012)),ISNUMBER(SEARCH("MND",$F1012)),ISNUMBER(SEARCH("PEAD",$F1012)),ISNUMBER(SEARCH("Puxe",$J1012)),ISNUMBER(SEARCH("Apoio HDD",$F1012))),"MND",IF(OR(ISNUMBER(SEARCH("VCA",$F1012)),ISNUMBER(SEARCH("PVC",$F1012)),ISNUMBER(SEARCH("vca",$J1012)),ISNUMBER(SEARCH("Transformação",$J1012))),"VCA",IF(OR(ISNUMBER(SEARCH("crava",$F1012)),ISNUMBER(SEARCH("tubo cravado",$F1012)),ISNUMBER(SEARCH("shaft",$J1012)),ISNUMBER(SEARCH("concreto",$F1012))),"TUBO CRAVADO","")))</f>
        <v/>
      </c>
      <c r="T1012">
        <f>IF($A1012="","",TEXT($A1012,"yyyymm")&amp;"|"&amp;$C1012&amp;"|"&amp;$F1012&amp;"|"&amp;$N1012&amp;"|"&amp;$R1012)</f>
        <v/>
      </c>
    </row>
    <row r="1013" ht="11.55" customHeight="1">
      <c r="A1013" s="10" t="n">
        <v>46079</v>
      </c>
      <c r="B1013" s="7" t="inlineStr">
        <is>
          <t>Quinta</t>
        </is>
      </c>
      <c r="C1013" s="7" t="n"/>
      <c r="D1013" s="7" t="n"/>
      <c r="E1013" s="7" t="inlineStr">
        <is>
          <t>Medeiros</t>
        </is>
      </c>
      <c r="F1013" s="13" t="inlineStr">
        <is>
          <t>Apoio HDD PV 41 ao 01</t>
        </is>
      </c>
      <c r="G1013" s="7" t="inlineStr">
        <is>
          <t>41</t>
        </is>
      </c>
      <c r="H1013" s="7" t="n"/>
      <c r="I1013" s="7" t="inlineStr">
        <is>
          <t>41</t>
        </is>
      </c>
      <c r="J1013" s="7" t="inlineStr">
        <is>
          <t>Apoio HDD</t>
        </is>
      </c>
      <c r="K1013" s="7" t="inlineStr">
        <is>
          <t>Planejamento</t>
        </is>
      </c>
      <c r="L1013" s="16" t="inlineStr">
        <is>
          <t>PDS-Fevereiro(1).docx</t>
        </is>
      </c>
      <c r="M1013">
        <f>IF($A1013="","",TEXT($A1013,"mmmm/yyyy"))</f>
        <v/>
      </c>
      <c r="P1013">
        <f>IFERROR(_xludf.XLOOKUP($N1013,Base_Enderecos!$A:$A,Base_Enderecos!$B:$B,""),"")</f>
        <v/>
      </c>
      <c r="Q1013">
        <f>IFERROR(_xludf.XLOOKUP($N1013,Base_Enderecos!$A:$A,Base_Enderecos!$C:$C,""),"")</f>
        <v/>
      </c>
      <c r="R1013">
        <f>IF(OR(ISNUMBER(SEARCH("HDD",$F1013)),ISNUMBER(SEARCH("MND",$F1013)),ISNUMBER(SEARCH("PEAD",$F1013)),ISNUMBER(SEARCH("Puxe",$J1013)),ISNUMBER(SEARCH("Apoio HDD",$F1013))),"MND",IF(OR(ISNUMBER(SEARCH("VCA",$F1013)),ISNUMBER(SEARCH("PVC",$F1013)),ISNUMBER(SEARCH("vca",$J1013)),ISNUMBER(SEARCH("Transformação",$J1013))),"VCA",IF(OR(ISNUMBER(SEARCH("crava",$F1013)),ISNUMBER(SEARCH("tubo cravado",$F1013)),ISNUMBER(SEARCH("shaft",$J1013)),ISNUMBER(SEARCH("concreto",$F1013))),"TUBO CRAVADO","")))</f>
        <v/>
      </c>
      <c r="T1013">
        <f>IF($A1013="","",TEXT($A1013,"yyyymm")&amp;"|"&amp;$C1013&amp;"|"&amp;$F1013&amp;"|"&amp;$N1013&amp;"|"&amp;$R1013)</f>
        <v/>
      </c>
    </row>
    <row r="1014" ht="11.55" customHeight="1">
      <c r="A1014" s="10" t="n">
        <v>46079</v>
      </c>
      <c r="B1014" s="7" t="inlineStr">
        <is>
          <t>Quinta</t>
        </is>
      </c>
      <c r="C1014" s="7" t="inlineStr">
        <is>
          <t>CT ÁGUA VERMELHA M.D</t>
        </is>
      </c>
      <c r="D1014" s="7" t="inlineStr">
        <is>
          <t>CAROLINE e FÁBIO</t>
        </is>
      </c>
      <c r="E1014" s="7" t="inlineStr">
        <is>
          <t>Jonathan</t>
        </is>
      </c>
      <c r="F1014" s="13" t="inlineStr">
        <is>
          <t>Apoio HDD entre PVD 13 e PV 16</t>
        </is>
      </c>
      <c r="G1014" s="7" t="inlineStr">
        <is>
          <t>13</t>
        </is>
      </c>
      <c r="H1014" s="7" t="inlineStr">
        <is>
          <t>16</t>
        </is>
      </c>
      <c r="I1014" s="7" t="inlineStr">
        <is>
          <t>13, 16</t>
        </is>
      </c>
      <c r="J1014" s="7" t="inlineStr">
        <is>
          <t>Apoio HDD</t>
        </is>
      </c>
      <c r="K1014" s="7" t="inlineStr">
        <is>
          <t>Planejamento</t>
        </is>
      </c>
      <c r="L1014" s="16" t="inlineStr">
        <is>
          <t>PDS-Fevereiro(1).docx</t>
        </is>
      </c>
      <c r="M1014">
        <f>IF($A1014="","",TEXT($A1014,"mmmm/yyyy"))</f>
        <v/>
      </c>
      <c r="P1014">
        <f>IFERROR(_xludf.XLOOKUP($N1014,Base_Enderecos!$A:$A,Base_Enderecos!$B:$B,""),"")</f>
        <v/>
      </c>
      <c r="Q1014">
        <f>IFERROR(_xludf.XLOOKUP($N1014,Base_Enderecos!$A:$A,Base_Enderecos!$C:$C,""),"")</f>
        <v/>
      </c>
      <c r="R1014">
        <f>IF(OR(ISNUMBER(SEARCH("HDD",$F1014)),ISNUMBER(SEARCH("MND",$F1014)),ISNUMBER(SEARCH("PEAD",$F1014)),ISNUMBER(SEARCH("Puxe",$J1014)),ISNUMBER(SEARCH("Apoio HDD",$F1014))),"MND",IF(OR(ISNUMBER(SEARCH("VCA",$F1014)),ISNUMBER(SEARCH("PVC",$F1014)),ISNUMBER(SEARCH("vca",$J1014)),ISNUMBER(SEARCH("Transformação",$J1014))),"VCA",IF(OR(ISNUMBER(SEARCH("crava",$F1014)),ISNUMBER(SEARCH("tubo cravado",$F1014)),ISNUMBER(SEARCH("shaft",$J1014)),ISNUMBER(SEARCH("concreto",$F1014))),"TUBO CRAVADO","")))</f>
        <v/>
      </c>
      <c r="T1014">
        <f>IF($A1014="","",TEXT($A1014,"yyyymm")&amp;"|"&amp;$C1014&amp;"|"&amp;$F1014&amp;"|"&amp;$N1014&amp;"|"&amp;$R1014)</f>
        <v/>
      </c>
    </row>
    <row r="1015" ht="11.55" customHeight="1">
      <c r="A1015" s="10" t="n">
        <v>46079</v>
      </c>
      <c r="B1015" s="7" t="inlineStr">
        <is>
          <t>Quinta</t>
        </is>
      </c>
      <c r="C1015" s="7" t="inlineStr">
        <is>
          <t>CT ÁGUA VERMELHA M.D</t>
        </is>
      </c>
      <c r="D1015" s="7" t="inlineStr">
        <is>
          <t>CAROLINE e FÁBIO</t>
        </is>
      </c>
      <c r="E1015" s="7" t="inlineStr">
        <is>
          <t>WJ 02</t>
        </is>
      </c>
      <c r="F1015" s="13" t="inlineStr">
        <is>
          <t>Piloto e Puxe PVD 13 e PVD 16</t>
        </is>
      </c>
      <c r="G1015" s="7" t="inlineStr">
        <is>
          <t>13</t>
        </is>
      </c>
      <c r="H1015" s="7" t="inlineStr">
        <is>
          <t>16</t>
        </is>
      </c>
      <c r="I1015" s="7" t="inlineStr">
        <is>
          <t>13, 16</t>
        </is>
      </c>
      <c r="J1015" s="7" t="inlineStr">
        <is>
          <t>Piloto e puxe</t>
        </is>
      </c>
      <c r="K1015" s="7" t="inlineStr">
        <is>
          <t>Planejamento</t>
        </is>
      </c>
      <c r="L1015" s="16" t="inlineStr">
        <is>
          <t>PDS-Fevereiro(1).docx</t>
        </is>
      </c>
      <c r="M1015">
        <f>IF($A1015="","",TEXT($A1015,"mmmm/yyyy"))</f>
        <v/>
      </c>
      <c r="P1015">
        <f>IFERROR(_xludf.XLOOKUP($N1015,Base_Enderecos!$A:$A,Base_Enderecos!$B:$B,""),"")</f>
        <v/>
      </c>
      <c r="Q1015">
        <f>IFERROR(_xludf.XLOOKUP($N1015,Base_Enderecos!$A:$A,Base_Enderecos!$C:$C,""),"")</f>
        <v/>
      </c>
      <c r="R1015">
        <f>IF(OR(ISNUMBER(SEARCH("HDD",$F1015)),ISNUMBER(SEARCH("MND",$F1015)),ISNUMBER(SEARCH("PEAD",$F1015)),ISNUMBER(SEARCH("Puxe",$J1015)),ISNUMBER(SEARCH("Apoio HDD",$F1015))),"MND",IF(OR(ISNUMBER(SEARCH("VCA",$F1015)),ISNUMBER(SEARCH("PVC",$F1015)),ISNUMBER(SEARCH("vca",$J1015)),ISNUMBER(SEARCH("Transformação",$J1015))),"VCA",IF(OR(ISNUMBER(SEARCH("crava",$F1015)),ISNUMBER(SEARCH("tubo cravado",$F1015)),ISNUMBER(SEARCH("shaft",$J1015)),ISNUMBER(SEARCH("concreto",$F1015))),"TUBO CRAVADO","")))</f>
        <v/>
      </c>
      <c r="T1015">
        <f>IF($A1015="","",TEXT($A1015,"yyyymm")&amp;"|"&amp;$C1015&amp;"|"&amp;$F1015&amp;"|"&amp;$N1015&amp;"|"&amp;$R1015)</f>
        <v/>
      </c>
    </row>
    <row r="1016" ht="11.55" customHeight="1">
      <c r="A1016" s="10" t="n">
        <v>46079</v>
      </c>
      <c r="B1016" s="7" t="inlineStr">
        <is>
          <t>Quinta</t>
        </is>
      </c>
      <c r="C1016" s="7" t="inlineStr">
        <is>
          <t>CT ÁGUA VERMELHA M.D</t>
        </is>
      </c>
      <c r="D1016" s="7" t="inlineStr">
        <is>
          <t>CAROLINE e FÁBIO</t>
        </is>
      </c>
      <c r="E1016" s="7" t="inlineStr">
        <is>
          <t>Marcelo</t>
        </is>
      </c>
      <c r="F1016" s="13" t="inlineStr">
        <is>
          <t>Shaft PVD 19</t>
        </is>
      </c>
      <c r="G1016" s="7" t="inlineStr">
        <is>
          <t>19</t>
        </is>
      </c>
      <c r="H1016" s="7" t="n"/>
      <c r="I1016" s="7" t="inlineStr">
        <is>
          <t>19</t>
        </is>
      </c>
      <c r="J1016" s="7" t="inlineStr">
        <is>
          <t>Shaft</t>
        </is>
      </c>
      <c r="K1016" s="7" t="inlineStr">
        <is>
          <t>Planejamento</t>
        </is>
      </c>
      <c r="L1016" s="16" t="inlineStr">
        <is>
          <t>PDS-Fevereiro(1).docx</t>
        </is>
      </c>
      <c r="M1016">
        <f>IF($A1016="","",TEXT($A1016,"mmmm/yyyy"))</f>
        <v/>
      </c>
      <c r="P1016">
        <f>IFERROR(_xludf.XLOOKUP($N1016,Base_Enderecos!$A:$A,Base_Enderecos!$B:$B,""),"")</f>
        <v/>
      </c>
      <c r="Q1016">
        <f>IFERROR(_xludf.XLOOKUP($N1016,Base_Enderecos!$A:$A,Base_Enderecos!$C:$C,""),"")</f>
        <v/>
      </c>
      <c r="R1016">
        <f>IF(OR(ISNUMBER(SEARCH("HDD",$F1016)),ISNUMBER(SEARCH("MND",$F1016)),ISNUMBER(SEARCH("PEAD",$F1016)),ISNUMBER(SEARCH("Puxe",$J1016)),ISNUMBER(SEARCH("Apoio HDD",$F1016))),"MND",IF(OR(ISNUMBER(SEARCH("VCA",$F1016)),ISNUMBER(SEARCH("PVC",$F1016)),ISNUMBER(SEARCH("vca",$J1016)),ISNUMBER(SEARCH("Transformação",$J1016))),"VCA",IF(OR(ISNUMBER(SEARCH("crava",$F1016)),ISNUMBER(SEARCH("tubo cravado",$F1016)),ISNUMBER(SEARCH("shaft",$J1016)),ISNUMBER(SEARCH("concreto",$F1016))),"TUBO CRAVADO","")))</f>
        <v/>
      </c>
      <c r="T1016">
        <f>IF($A1016="","",TEXT($A1016,"yyyymm")&amp;"|"&amp;$C1016&amp;"|"&amp;$F1016&amp;"|"&amp;$N1016&amp;"|"&amp;$R1016)</f>
        <v/>
      </c>
    </row>
    <row r="1017" ht="11.55" customHeight="1">
      <c r="A1017" s="10" t="n">
        <v>46079</v>
      </c>
      <c r="B1017" s="7" t="inlineStr">
        <is>
          <t>Quinta</t>
        </is>
      </c>
      <c r="C1017" s="7" t="inlineStr">
        <is>
          <t>CT ÁGUA VERMELHA M.D</t>
        </is>
      </c>
      <c r="D1017" s="7" t="inlineStr">
        <is>
          <t>CAROLINE e FÁBIO</t>
        </is>
      </c>
      <c r="E1017" s="7" t="inlineStr">
        <is>
          <t>Cesar</t>
        </is>
      </c>
      <c r="F1017" s="13" t="inlineStr">
        <is>
          <t>Transformação PVD 03</t>
        </is>
      </c>
      <c r="G1017" s="7" t="inlineStr">
        <is>
          <t>03</t>
        </is>
      </c>
      <c r="H1017" s="7" t="n"/>
      <c r="I1017" s="7" t="inlineStr">
        <is>
          <t>03</t>
        </is>
      </c>
      <c r="J1017" s="7" t="inlineStr">
        <is>
          <t>Transformação</t>
        </is>
      </c>
      <c r="K1017" s="7" t="inlineStr">
        <is>
          <t>Planejamento</t>
        </is>
      </c>
      <c r="L1017" s="16" t="inlineStr">
        <is>
          <t>PDS-Fevereiro(1).docx</t>
        </is>
      </c>
      <c r="M1017">
        <f>IF($A1017="","",TEXT($A1017,"mmmm/yyyy"))</f>
        <v/>
      </c>
      <c r="P1017">
        <f>IFERROR(_xludf.XLOOKUP($N1017,Base_Enderecos!$A:$A,Base_Enderecos!$B:$B,""),"")</f>
        <v/>
      </c>
      <c r="Q1017">
        <f>IFERROR(_xludf.XLOOKUP($N1017,Base_Enderecos!$A:$A,Base_Enderecos!$C:$C,""),"")</f>
        <v/>
      </c>
      <c r="R1017">
        <f>IF(OR(ISNUMBER(SEARCH("HDD",$F1017)),ISNUMBER(SEARCH("MND",$F1017)),ISNUMBER(SEARCH("PEAD",$F1017)),ISNUMBER(SEARCH("Puxe",$J1017)),ISNUMBER(SEARCH("Apoio HDD",$F1017))),"MND",IF(OR(ISNUMBER(SEARCH("VCA",$F1017)),ISNUMBER(SEARCH("PVC",$F1017)),ISNUMBER(SEARCH("vca",$J1017)),ISNUMBER(SEARCH("Transformação",$J1017))),"VCA",IF(OR(ISNUMBER(SEARCH("crava",$F1017)),ISNUMBER(SEARCH("tubo cravado",$F1017)),ISNUMBER(SEARCH("shaft",$J1017)),ISNUMBER(SEARCH("concreto",$F1017))),"TUBO CRAVADO","")))</f>
        <v/>
      </c>
      <c r="T1017">
        <f>IF($A1017="","",TEXT($A1017,"yyyymm")&amp;"|"&amp;$C1017&amp;"|"&amp;$F1017&amp;"|"&amp;$N1017&amp;"|"&amp;$R1017)</f>
        <v/>
      </c>
    </row>
    <row r="1018" ht="11.55" customHeight="1">
      <c r="A1018" s="10" t="n">
        <v>46079</v>
      </c>
      <c r="B1018" s="7" t="inlineStr">
        <is>
          <t>Quinta</t>
        </is>
      </c>
      <c r="C1018" s="7" t="inlineStr">
        <is>
          <t>CT ÁGUA VERMELHA M.D</t>
        </is>
      </c>
      <c r="D1018" s="7" t="inlineStr">
        <is>
          <t>CAROLINE e FÁBIO</t>
        </is>
      </c>
      <c r="E1018" s="7" t="inlineStr">
        <is>
          <t>Antônio</t>
        </is>
      </c>
      <c r="F1018" s="13" t="inlineStr">
        <is>
          <t>Apoio equipes</t>
        </is>
      </c>
      <c r="G1018" s="7" t="n"/>
      <c r="H1018" s="7" t="n"/>
      <c r="I1018" s="7" t="n"/>
      <c r="J1018" s="7" t="n"/>
      <c r="K1018" s="7" t="inlineStr">
        <is>
          <t>Planejamento</t>
        </is>
      </c>
      <c r="L1018" s="16" t="inlineStr">
        <is>
          <t>PDS-Fevereiro(1).docx</t>
        </is>
      </c>
      <c r="M1018">
        <f>IF($A1018="","",TEXT($A1018,"mmmm/yyyy"))</f>
        <v/>
      </c>
      <c r="P1018">
        <f>IFERROR(_xludf.XLOOKUP($N1018,Base_Enderecos!$A:$A,Base_Enderecos!$B:$B,""),"")</f>
        <v/>
      </c>
      <c r="Q1018">
        <f>IFERROR(_xludf.XLOOKUP($N1018,Base_Enderecos!$A:$A,Base_Enderecos!$C:$C,""),"")</f>
        <v/>
      </c>
      <c r="R1018">
        <f>IF(OR(ISNUMBER(SEARCH("HDD",$F1018)),ISNUMBER(SEARCH("MND",$F1018)),ISNUMBER(SEARCH("PEAD",$F1018)),ISNUMBER(SEARCH("Puxe",$J1018)),ISNUMBER(SEARCH("Apoio HDD",$F1018))),"MND",IF(OR(ISNUMBER(SEARCH("VCA",$F1018)),ISNUMBER(SEARCH("PVC",$F1018)),ISNUMBER(SEARCH("vca",$J1018)),ISNUMBER(SEARCH("Transformação",$J1018))),"VCA",IF(OR(ISNUMBER(SEARCH("crava",$F1018)),ISNUMBER(SEARCH("tubo cravado",$F1018)),ISNUMBER(SEARCH("shaft",$J1018)),ISNUMBER(SEARCH("concreto",$F1018))),"TUBO CRAVADO","")))</f>
        <v/>
      </c>
      <c r="T1018">
        <f>IF($A1018="","",TEXT($A1018,"yyyymm")&amp;"|"&amp;$C1018&amp;"|"&amp;$F1018&amp;"|"&amp;$N1018&amp;"|"&amp;$R1018)</f>
        <v/>
      </c>
    </row>
    <row r="1019" ht="11.55" customHeight="1">
      <c r="A1019" s="10" t="n">
        <v>46079</v>
      </c>
      <c r="B1019" s="7" t="inlineStr">
        <is>
          <t>Quinta</t>
        </is>
      </c>
      <c r="C1019" s="7" t="inlineStr">
        <is>
          <t>CT ÁGUA VERMELHA M.E– Valmir</t>
        </is>
      </c>
      <c r="D1019" s="7" t="n"/>
      <c r="E1019" s="7" t="inlineStr">
        <is>
          <t>WJ 01</t>
        </is>
      </c>
      <c r="F1019" s="13" t="inlineStr">
        <is>
          <t>Piloto e Puxe PVE 15 ao PVE 18</t>
        </is>
      </c>
      <c r="G1019" s="7" t="inlineStr">
        <is>
          <t>15</t>
        </is>
      </c>
      <c r="H1019" s="7" t="inlineStr">
        <is>
          <t>18</t>
        </is>
      </c>
      <c r="I1019" s="7" t="inlineStr">
        <is>
          <t>15, 18</t>
        </is>
      </c>
      <c r="J1019" s="7" t="inlineStr">
        <is>
          <t>Piloto e puxe</t>
        </is>
      </c>
      <c r="K1019" s="7" t="inlineStr">
        <is>
          <t>Planejamento</t>
        </is>
      </c>
      <c r="L1019" s="16" t="inlineStr">
        <is>
          <t>PDS-Fevereiro(1).docx</t>
        </is>
      </c>
      <c r="M1019">
        <f>IF($A1019="","",TEXT($A1019,"mmmm/yyyy"))</f>
        <v/>
      </c>
      <c r="P1019">
        <f>IFERROR(_xludf.XLOOKUP($N1019,Base_Enderecos!$A:$A,Base_Enderecos!$B:$B,""),"")</f>
        <v/>
      </c>
      <c r="Q1019">
        <f>IFERROR(_xludf.XLOOKUP($N1019,Base_Enderecos!$A:$A,Base_Enderecos!$C:$C,""),"")</f>
        <v/>
      </c>
      <c r="R1019">
        <f>IF(OR(ISNUMBER(SEARCH("HDD",$F1019)),ISNUMBER(SEARCH("MND",$F1019)),ISNUMBER(SEARCH("PEAD",$F1019)),ISNUMBER(SEARCH("Puxe",$J1019)),ISNUMBER(SEARCH("Apoio HDD",$F1019))),"MND",IF(OR(ISNUMBER(SEARCH("VCA",$F1019)),ISNUMBER(SEARCH("PVC",$F1019)),ISNUMBER(SEARCH("vca",$J1019)),ISNUMBER(SEARCH("Transformação",$J1019))),"VCA",IF(OR(ISNUMBER(SEARCH("crava",$F1019)),ISNUMBER(SEARCH("tubo cravado",$F1019)),ISNUMBER(SEARCH("shaft",$J1019)),ISNUMBER(SEARCH("concreto",$F1019))),"TUBO CRAVADO","")))</f>
        <v/>
      </c>
      <c r="T1019">
        <f>IF($A1019="","",TEXT($A1019,"yyyymm")&amp;"|"&amp;$C1019&amp;"|"&amp;$F1019&amp;"|"&amp;$N1019&amp;"|"&amp;$R1019)</f>
        <v/>
      </c>
    </row>
    <row r="1020" ht="11.55" customHeight="1">
      <c r="A1020" s="10" t="n">
        <v>46079</v>
      </c>
      <c r="B1020" s="7" t="inlineStr">
        <is>
          <t>Quinta</t>
        </is>
      </c>
      <c r="C1020" s="7" t="inlineStr">
        <is>
          <t>CT ÁGUA VERMELHA M.E– Valmir</t>
        </is>
      </c>
      <c r="D1020" s="7" t="n"/>
      <c r="E1020" s="7" t="inlineStr">
        <is>
          <t>Marcio</t>
        </is>
      </c>
      <c r="F1020" s="13" t="inlineStr">
        <is>
          <t>Apoio HDD PVE 15 ao 18</t>
        </is>
      </c>
      <c r="G1020" s="7" t="inlineStr">
        <is>
          <t>15</t>
        </is>
      </c>
      <c r="H1020" s="7" t="n"/>
      <c r="I1020" s="7" t="inlineStr">
        <is>
          <t>15</t>
        </is>
      </c>
      <c r="J1020" s="7" t="inlineStr">
        <is>
          <t>Apoio HDD</t>
        </is>
      </c>
      <c r="K1020" s="7" t="inlineStr">
        <is>
          <t>Planejamento</t>
        </is>
      </c>
      <c r="L1020" s="16" t="inlineStr">
        <is>
          <t>PDS-Fevereiro(1).docx</t>
        </is>
      </c>
      <c r="M1020">
        <f>IF($A1020="","",TEXT($A1020,"mmmm/yyyy"))</f>
        <v/>
      </c>
      <c r="P1020">
        <f>IFERROR(_xludf.XLOOKUP($N1020,Base_Enderecos!$A:$A,Base_Enderecos!$B:$B,""),"")</f>
        <v/>
      </c>
      <c r="Q1020">
        <f>IFERROR(_xludf.XLOOKUP($N1020,Base_Enderecos!$A:$A,Base_Enderecos!$C:$C,""),"")</f>
        <v/>
      </c>
      <c r="R1020">
        <f>IF(OR(ISNUMBER(SEARCH("HDD",$F1020)),ISNUMBER(SEARCH("MND",$F1020)),ISNUMBER(SEARCH("PEAD",$F1020)),ISNUMBER(SEARCH("Puxe",$J1020)),ISNUMBER(SEARCH("Apoio HDD",$F1020))),"MND",IF(OR(ISNUMBER(SEARCH("VCA",$F1020)),ISNUMBER(SEARCH("PVC",$F1020)),ISNUMBER(SEARCH("vca",$J1020)),ISNUMBER(SEARCH("Transformação",$J1020))),"VCA",IF(OR(ISNUMBER(SEARCH("crava",$F1020)),ISNUMBER(SEARCH("tubo cravado",$F1020)),ISNUMBER(SEARCH("shaft",$J1020)),ISNUMBER(SEARCH("concreto",$F1020))),"TUBO CRAVADO","")))</f>
        <v/>
      </c>
      <c r="T1020">
        <f>IF($A1020="","",TEXT($A1020,"yyyymm")&amp;"|"&amp;$C1020&amp;"|"&amp;$F1020&amp;"|"&amp;$N1020&amp;"|"&amp;$R1020)</f>
        <v/>
      </c>
    </row>
    <row r="1021" ht="11.55" customHeight="1">
      <c r="A1021" s="10" t="n">
        <v>46079</v>
      </c>
      <c r="B1021" s="7" t="inlineStr">
        <is>
          <t>Quinta</t>
        </is>
      </c>
      <c r="C1021" s="7" t="inlineStr">
        <is>
          <t>CT ÁGUA VERMELHA M.E– Valmir</t>
        </is>
      </c>
      <c r="D1021" s="7" t="n"/>
      <c r="E1021" s="7" t="inlineStr">
        <is>
          <t>Cidão</t>
        </is>
      </c>
      <c r="F1021" s="13" t="inlineStr">
        <is>
          <t>Shaft PVE 23</t>
        </is>
      </c>
      <c r="G1021" s="7" t="inlineStr">
        <is>
          <t>23</t>
        </is>
      </c>
      <c r="H1021" s="7" t="n"/>
      <c r="I1021" s="7" t="inlineStr">
        <is>
          <t>23</t>
        </is>
      </c>
      <c r="J1021" s="7" t="inlineStr">
        <is>
          <t>Shaft</t>
        </is>
      </c>
      <c r="K1021" s="7" t="inlineStr">
        <is>
          <t>Planejamento</t>
        </is>
      </c>
      <c r="L1021" s="16" t="inlineStr">
        <is>
          <t>PDS-Fevereiro(1).docx</t>
        </is>
      </c>
      <c r="M1021">
        <f>IF($A1021="","",TEXT($A1021,"mmmm/yyyy"))</f>
        <v/>
      </c>
      <c r="P1021">
        <f>IFERROR(_xludf.XLOOKUP($N1021,Base_Enderecos!$A:$A,Base_Enderecos!$B:$B,""),"")</f>
        <v/>
      </c>
      <c r="Q1021">
        <f>IFERROR(_xludf.XLOOKUP($N1021,Base_Enderecos!$A:$A,Base_Enderecos!$C:$C,""),"")</f>
        <v/>
      </c>
      <c r="R1021">
        <f>IF(OR(ISNUMBER(SEARCH("HDD",$F1021)),ISNUMBER(SEARCH("MND",$F1021)),ISNUMBER(SEARCH("PEAD",$F1021)),ISNUMBER(SEARCH("Puxe",$J1021)),ISNUMBER(SEARCH("Apoio HDD",$F1021))),"MND",IF(OR(ISNUMBER(SEARCH("VCA",$F1021)),ISNUMBER(SEARCH("PVC",$F1021)),ISNUMBER(SEARCH("vca",$J1021)),ISNUMBER(SEARCH("Transformação",$J1021))),"VCA",IF(OR(ISNUMBER(SEARCH("crava",$F1021)),ISNUMBER(SEARCH("tubo cravado",$F1021)),ISNUMBER(SEARCH("shaft",$J1021)),ISNUMBER(SEARCH("concreto",$F1021))),"TUBO CRAVADO","")))</f>
        <v/>
      </c>
      <c r="T1021">
        <f>IF($A1021="","",TEXT($A1021,"yyyymm")&amp;"|"&amp;$C1021&amp;"|"&amp;$F1021&amp;"|"&amp;$N1021&amp;"|"&amp;$R1021)</f>
        <v/>
      </c>
    </row>
    <row r="1022" ht="11.55" customHeight="1">
      <c r="A1022" s="10" t="n">
        <v>46079</v>
      </c>
      <c r="B1022" s="7" t="inlineStr">
        <is>
          <t>Quinta</t>
        </is>
      </c>
      <c r="C1022" s="7" t="inlineStr">
        <is>
          <t>CT ÁGUA VERMELHA M.E– Valmir</t>
        </is>
      </c>
      <c r="D1022" s="7" t="n"/>
      <c r="E1022" s="7" t="inlineStr">
        <is>
          <t>Higor</t>
        </is>
      </c>
      <c r="F1022" s="13" t="inlineStr">
        <is>
          <t>Transformação PVE 05</t>
        </is>
      </c>
      <c r="G1022" s="7" t="inlineStr">
        <is>
          <t>05</t>
        </is>
      </c>
      <c r="H1022" s="7" t="n"/>
      <c r="I1022" s="7" t="inlineStr">
        <is>
          <t>05</t>
        </is>
      </c>
      <c r="J1022" s="7" t="inlineStr">
        <is>
          <t>Transformação</t>
        </is>
      </c>
      <c r="K1022" s="7" t="inlineStr">
        <is>
          <t>Planejamento</t>
        </is>
      </c>
      <c r="L1022" s="16" t="inlineStr">
        <is>
          <t>PDS-Fevereiro(1).docx</t>
        </is>
      </c>
      <c r="M1022">
        <f>IF($A1022="","",TEXT($A1022,"mmmm/yyyy"))</f>
        <v/>
      </c>
      <c r="P1022">
        <f>IFERROR(_xludf.XLOOKUP($N1022,Base_Enderecos!$A:$A,Base_Enderecos!$B:$B,""),"")</f>
        <v/>
      </c>
      <c r="Q1022">
        <f>IFERROR(_xludf.XLOOKUP($N1022,Base_Enderecos!$A:$A,Base_Enderecos!$C:$C,""),"")</f>
        <v/>
      </c>
      <c r="R1022">
        <f>IF(OR(ISNUMBER(SEARCH("HDD",$F1022)),ISNUMBER(SEARCH("MND",$F1022)),ISNUMBER(SEARCH("PEAD",$F1022)),ISNUMBER(SEARCH("Puxe",$J1022)),ISNUMBER(SEARCH("Apoio HDD",$F1022))),"MND",IF(OR(ISNUMBER(SEARCH("VCA",$F1022)),ISNUMBER(SEARCH("PVC",$F1022)),ISNUMBER(SEARCH("vca",$J1022)),ISNUMBER(SEARCH("Transformação",$J1022))),"VCA",IF(OR(ISNUMBER(SEARCH("crava",$F1022)),ISNUMBER(SEARCH("tubo cravado",$F1022)),ISNUMBER(SEARCH("shaft",$J1022)),ISNUMBER(SEARCH("concreto",$F1022))),"TUBO CRAVADO","")))</f>
        <v/>
      </c>
      <c r="T1022">
        <f>IF($A1022="","",TEXT($A1022,"yyyymm")&amp;"|"&amp;$C1022&amp;"|"&amp;$F1022&amp;"|"&amp;$N1022&amp;"|"&amp;$R1022)</f>
        <v/>
      </c>
    </row>
    <row r="1023" ht="11.55" customHeight="1">
      <c r="A1023" s="10" t="n">
        <v>46079</v>
      </c>
      <c r="B1023" s="7" t="inlineStr">
        <is>
          <t>Quinta</t>
        </is>
      </c>
      <c r="C1023" s="7" t="inlineStr">
        <is>
          <t>CT ÁGUA VERMELHA M.E– Valmir</t>
        </is>
      </c>
      <c r="D1023" s="7" t="n"/>
      <c r="E1023" s="7" t="inlineStr">
        <is>
          <t>Carlos</t>
        </is>
      </c>
      <c r="F1023" s="13" t="inlineStr">
        <is>
          <t>Transformação PVE 07</t>
        </is>
      </c>
      <c r="G1023" s="7" t="inlineStr">
        <is>
          <t>07</t>
        </is>
      </c>
      <c r="H1023" s="7" t="n"/>
      <c r="I1023" s="7" t="inlineStr">
        <is>
          <t>07</t>
        </is>
      </c>
      <c r="J1023" s="7" t="inlineStr">
        <is>
          <t>Transformação</t>
        </is>
      </c>
      <c r="K1023" s="7" t="inlineStr">
        <is>
          <t>Planejamento</t>
        </is>
      </c>
      <c r="L1023" s="16" t="inlineStr">
        <is>
          <t>PDS-Fevereiro(1).docx</t>
        </is>
      </c>
      <c r="M1023">
        <f>IF($A1023="","",TEXT($A1023,"mmmm/yyyy"))</f>
        <v/>
      </c>
      <c r="P1023">
        <f>IFERROR(_xludf.XLOOKUP($N1023,Base_Enderecos!$A:$A,Base_Enderecos!$B:$B,""),"")</f>
        <v/>
      </c>
      <c r="Q1023">
        <f>IFERROR(_xludf.XLOOKUP($N1023,Base_Enderecos!$A:$A,Base_Enderecos!$C:$C,""),"")</f>
        <v/>
      </c>
      <c r="R1023">
        <f>IF(OR(ISNUMBER(SEARCH("HDD",$F1023)),ISNUMBER(SEARCH("MND",$F1023)),ISNUMBER(SEARCH("PEAD",$F1023)),ISNUMBER(SEARCH("Puxe",$J1023)),ISNUMBER(SEARCH("Apoio HDD",$F1023))),"MND",IF(OR(ISNUMBER(SEARCH("VCA",$F1023)),ISNUMBER(SEARCH("PVC",$F1023)),ISNUMBER(SEARCH("vca",$J1023)),ISNUMBER(SEARCH("Transformação",$J1023))),"VCA",IF(OR(ISNUMBER(SEARCH("crava",$F1023)),ISNUMBER(SEARCH("tubo cravado",$F1023)),ISNUMBER(SEARCH("shaft",$J1023)),ISNUMBER(SEARCH("concreto",$F1023))),"TUBO CRAVADO","")))</f>
        <v/>
      </c>
      <c r="T1023">
        <f>IF($A1023="","",TEXT($A1023,"yyyymm")&amp;"|"&amp;$C1023&amp;"|"&amp;$F1023&amp;"|"&amp;$N1023&amp;"|"&amp;$R1023)</f>
        <v/>
      </c>
    </row>
    <row r="1024" ht="11.55" customHeight="1">
      <c r="A1024" s="10" t="n">
        <v>46079</v>
      </c>
      <c r="B1024" s="7" t="inlineStr">
        <is>
          <t>Quinta</t>
        </is>
      </c>
      <c r="C1024" s="7" t="inlineStr">
        <is>
          <t>Vacal</t>
        </is>
      </c>
      <c r="D1024" s="7" t="n"/>
      <c r="E1024" s="7" t="inlineStr">
        <is>
          <t>Água Vermelha</t>
        </is>
      </c>
      <c r="F1024" s="13" t="inlineStr">
        <is>
          <t>Apoio Vacal</t>
        </is>
      </c>
      <c r="G1024" s="7" t="n"/>
      <c r="H1024" s="7" t="n"/>
      <c r="I1024" s="7" t="n"/>
      <c r="J1024" s="7" t="inlineStr">
        <is>
          <t>Vacal</t>
        </is>
      </c>
      <c r="K1024" s="7" t="inlineStr">
        <is>
          <t>Apoio</t>
        </is>
      </c>
      <c r="L1024" s="16" t="inlineStr">
        <is>
          <t>PDS-Fevereiro(1).docx</t>
        </is>
      </c>
      <c r="M1024">
        <f>IF($A1024="","",TEXT($A1024,"mmmm/yyyy"))</f>
        <v/>
      </c>
      <c r="P1024">
        <f>IFERROR(_xludf.XLOOKUP($N1024,Base_Enderecos!$A:$A,Base_Enderecos!$B:$B,""),"")</f>
        <v/>
      </c>
      <c r="Q1024">
        <f>IFERROR(_xludf.XLOOKUP($N1024,Base_Enderecos!$A:$A,Base_Enderecos!$C:$C,""),"")</f>
        <v/>
      </c>
      <c r="R1024">
        <f>IF(OR(ISNUMBER(SEARCH("HDD",$F1024)),ISNUMBER(SEARCH("MND",$F1024)),ISNUMBER(SEARCH("PEAD",$F1024)),ISNUMBER(SEARCH("Puxe",$J1024)),ISNUMBER(SEARCH("Apoio HDD",$F1024))),"MND",IF(OR(ISNUMBER(SEARCH("VCA",$F1024)),ISNUMBER(SEARCH("PVC",$F1024)),ISNUMBER(SEARCH("vca",$J1024)),ISNUMBER(SEARCH("Transformação",$J1024))),"VCA",IF(OR(ISNUMBER(SEARCH("crava",$F1024)),ISNUMBER(SEARCH("tubo cravado",$F1024)),ISNUMBER(SEARCH("shaft",$J1024)),ISNUMBER(SEARCH("concreto",$F1024))),"TUBO CRAVADO","")))</f>
        <v/>
      </c>
      <c r="T1024">
        <f>IF($A1024="","",TEXT($A1024,"yyyymm")&amp;"|"&amp;$C1024&amp;"|"&amp;$F1024&amp;"|"&amp;$N1024&amp;"|"&amp;$R1024)</f>
        <v/>
      </c>
    </row>
    <row r="1025" ht="11.55" customHeight="1">
      <c r="A1025" s="10" t="n">
        <v>46079</v>
      </c>
      <c r="B1025" s="7" t="inlineStr">
        <is>
          <t>Quinta</t>
        </is>
      </c>
      <c r="C1025" s="7" t="inlineStr">
        <is>
          <t>Vacal</t>
        </is>
      </c>
      <c r="D1025" s="7" t="n"/>
      <c r="E1025" s="7" t="inlineStr">
        <is>
          <t>Água Vermelha</t>
        </is>
      </c>
      <c r="F1025" s="13" t="inlineStr">
        <is>
          <t>Apoio Vacal</t>
        </is>
      </c>
      <c r="G1025" s="7" t="n"/>
      <c r="H1025" s="7" t="n"/>
      <c r="I1025" s="7" t="n"/>
      <c r="J1025" s="7" t="inlineStr">
        <is>
          <t>Vacal</t>
        </is>
      </c>
      <c r="K1025" s="7" t="inlineStr">
        <is>
          <t>Apoio</t>
        </is>
      </c>
      <c r="L1025" s="16" t="inlineStr">
        <is>
          <t>PDS-Fevereiro(1).docx</t>
        </is>
      </c>
      <c r="M1025">
        <f>IF($A1025="","",TEXT($A1025,"mmmm/yyyy"))</f>
        <v/>
      </c>
      <c r="P1025">
        <f>IFERROR(_xludf.XLOOKUP($N1025,Base_Enderecos!$A:$A,Base_Enderecos!$B:$B,""),"")</f>
        <v/>
      </c>
      <c r="Q1025">
        <f>IFERROR(_xludf.XLOOKUP($N1025,Base_Enderecos!$A:$A,Base_Enderecos!$C:$C,""),"")</f>
        <v/>
      </c>
      <c r="R1025">
        <f>IF(OR(ISNUMBER(SEARCH("HDD",$F1025)),ISNUMBER(SEARCH("MND",$F1025)),ISNUMBER(SEARCH("PEAD",$F1025)),ISNUMBER(SEARCH("Puxe",$J1025)),ISNUMBER(SEARCH("Apoio HDD",$F1025))),"MND",IF(OR(ISNUMBER(SEARCH("VCA",$F1025)),ISNUMBER(SEARCH("PVC",$F1025)),ISNUMBER(SEARCH("vca",$J1025)),ISNUMBER(SEARCH("Transformação",$J1025))),"VCA",IF(OR(ISNUMBER(SEARCH("crava",$F1025)),ISNUMBER(SEARCH("tubo cravado",$F1025)),ISNUMBER(SEARCH("shaft",$J1025)),ISNUMBER(SEARCH("concreto",$F1025))),"TUBO CRAVADO","")))</f>
        <v/>
      </c>
      <c r="T1025">
        <f>IF($A1025="","",TEXT($A1025,"yyyymm")&amp;"|"&amp;$C1025&amp;"|"&amp;$F1025&amp;"|"&amp;$N1025&amp;"|"&amp;$R1025)</f>
        <v/>
      </c>
    </row>
    <row r="1026" ht="11.55" customHeight="1">
      <c r="A1026" s="10" t="n">
        <v>46079</v>
      </c>
      <c r="B1026" s="7" t="inlineStr">
        <is>
          <t>Quinta</t>
        </is>
      </c>
      <c r="C1026" s="7" t="inlineStr">
        <is>
          <t>Vacal</t>
        </is>
      </c>
      <c r="D1026" s="7" t="n"/>
      <c r="E1026" s="7" t="inlineStr">
        <is>
          <t>Água Vermelha</t>
        </is>
      </c>
      <c r="F1026" s="13" t="inlineStr">
        <is>
          <t>Apoio Vacal</t>
        </is>
      </c>
      <c r="G1026" s="7" t="n"/>
      <c r="H1026" s="7" t="n"/>
      <c r="I1026" s="7" t="n"/>
      <c r="J1026" s="7" t="inlineStr">
        <is>
          <t>Vacal</t>
        </is>
      </c>
      <c r="K1026" s="7" t="inlineStr">
        <is>
          <t>Apoio</t>
        </is>
      </c>
      <c r="L1026" s="16" t="inlineStr">
        <is>
          <t>PDS-Fevereiro(1).docx</t>
        </is>
      </c>
      <c r="M1026">
        <f>IF($A1026="","",TEXT($A1026,"mmmm/yyyy"))</f>
        <v/>
      </c>
      <c r="P1026">
        <f>IFERROR(_xludf.XLOOKUP($N1026,Base_Enderecos!$A:$A,Base_Enderecos!$B:$B,""),"")</f>
        <v/>
      </c>
      <c r="Q1026">
        <f>IFERROR(_xludf.XLOOKUP($N1026,Base_Enderecos!$A:$A,Base_Enderecos!$C:$C,""),"")</f>
        <v/>
      </c>
      <c r="R1026">
        <f>IF(OR(ISNUMBER(SEARCH("HDD",$F1026)),ISNUMBER(SEARCH("MND",$F1026)),ISNUMBER(SEARCH("PEAD",$F1026)),ISNUMBER(SEARCH("Puxe",$J1026)),ISNUMBER(SEARCH("Apoio HDD",$F1026))),"MND",IF(OR(ISNUMBER(SEARCH("VCA",$F1026)),ISNUMBER(SEARCH("PVC",$F1026)),ISNUMBER(SEARCH("vca",$J1026)),ISNUMBER(SEARCH("Transformação",$J1026))),"VCA",IF(OR(ISNUMBER(SEARCH("crava",$F1026)),ISNUMBER(SEARCH("tubo cravado",$F1026)),ISNUMBER(SEARCH("shaft",$J1026)),ISNUMBER(SEARCH("concreto",$F1026))),"TUBO CRAVADO","")))</f>
        <v/>
      </c>
      <c r="T1026">
        <f>IF($A1026="","",TEXT($A1026,"yyyymm")&amp;"|"&amp;$C1026&amp;"|"&amp;$F1026&amp;"|"&amp;$N1026&amp;"|"&amp;$R1026)</f>
        <v/>
      </c>
    </row>
    <row r="1027" ht="11.55" customHeight="1">
      <c r="A1027" s="10" t="n">
        <v>46079</v>
      </c>
      <c r="B1027" s="7" t="inlineStr">
        <is>
          <t>Quinta</t>
        </is>
      </c>
      <c r="C1027" s="7" t="inlineStr">
        <is>
          <t>Vacal</t>
        </is>
      </c>
      <c r="D1027" s="7" t="n"/>
      <c r="E1027" s="7" t="inlineStr">
        <is>
          <t>Mar de Coral</t>
        </is>
      </c>
      <c r="F1027" s="13" t="inlineStr">
        <is>
          <t>Apoio Vacal</t>
        </is>
      </c>
      <c r="G1027" s="7" t="n"/>
      <c r="H1027" s="7" t="n"/>
      <c r="I1027" s="7" t="n"/>
      <c r="J1027" s="7" t="inlineStr">
        <is>
          <t>Vacal</t>
        </is>
      </c>
      <c r="K1027" s="7" t="inlineStr">
        <is>
          <t>Apoio</t>
        </is>
      </c>
      <c r="L1027" s="16" t="inlineStr">
        <is>
          <t>PDS-Fevereiro(1).docx</t>
        </is>
      </c>
      <c r="M1027">
        <f>IF($A1027="","",TEXT($A1027,"mmmm/yyyy"))</f>
        <v/>
      </c>
      <c r="P1027">
        <f>IFERROR(_xludf.XLOOKUP($N1027,Base_Enderecos!$A:$A,Base_Enderecos!$B:$B,""),"")</f>
        <v/>
      </c>
      <c r="Q1027">
        <f>IFERROR(_xludf.XLOOKUP($N1027,Base_Enderecos!$A:$A,Base_Enderecos!$C:$C,""),"")</f>
        <v/>
      </c>
      <c r="R1027">
        <f>IF(OR(ISNUMBER(SEARCH("HDD",$F1027)),ISNUMBER(SEARCH("MND",$F1027)),ISNUMBER(SEARCH("PEAD",$F1027)),ISNUMBER(SEARCH("Puxe",$J1027)),ISNUMBER(SEARCH("Apoio HDD",$F1027))),"MND",IF(OR(ISNUMBER(SEARCH("VCA",$F1027)),ISNUMBER(SEARCH("PVC",$F1027)),ISNUMBER(SEARCH("vca",$J1027)),ISNUMBER(SEARCH("Transformação",$J1027))),"VCA",IF(OR(ISNUMBER(SEARCH("crava",$F1027)),ISNUMBER(SEARCH("tubo cravado",$F1027)),ISNUMBER(SEARCH("shaft",$J1027)),ISNUMBER(SEARCH("concreto",$F1027))),"TUBO CRAVADO","")))</f>
        <v/>
      </c>
      <c r="T1027">
        <f>IF($A1027="","",TEXT($A1027,"yyyymm")&amp;"|"&amp;$C1027&amp;"|"&amp;$F1027&amp;"|"&amp;$N1027&amp;"|"&amp;$R1027)</f>
        <v/>
      </c>
    </row>
    <row r="1028" ht="11.55" customHeight="1">
      <c r="A1028" s="10" t="n">
        <v>46079</v>
      </c>
      <c r="B1028" s="7" t="inlineStr">
        <is>
          <t>Quinta</t>
        </is>
      </c>
      <c r="C1028" s="7" t="inlineStr">
        <is>
          <t>Guindauto</t>
        </is>
      </c>
      <c r="D1028" s="7" t="n"/>
      <c r="E1028" s="7" t="inlineStr">
        <is>
          <t>Rodrigo</t>
        </is>
      </c>
      <c r="F1028" s="13" t="inlineStr">
        <is>
          <t>Rodrigo - Apoio as equipes</t>
        </is>
      </c>
      <c r="G1028" s="7" t="n"/>
      <c r="H1028" s="7" t="n"/>
      <c r="I1028" s="7" t="n"/>
      <c r="J1028" s="7" t="inlineStr">
        <is>
          <t>Guindauto</t>
        </is>
      </c>
      <c r="K1028" s="7" t="inlineStr">
        <is>
          <t>Apoio</t>
        </is>
      </c>
      <c r="L1028" s="16" t="inlineStr">
        <is>
          <t>PDS-Fevereiro(1).docx</t>
        </is>
      </c>
      <c r="M1028">
        <f>IF($A1028="","",TEXT($A1028,"mmmm/yyyy"))</f>
        <v/>
      </c>
      <c r="P1028">
        <f>IFERROR(_xludf.XLOOKUP($N1028,Base_Enderecos!$A:$A,Base_Enderecos!$B:$B,""),"")</f>
        <v/>
      </c>
      <c r="Q1028">
        <f>IFERROR(_xludf.XLOOKUP($N1028,Base_Enderecos!$A:$A,Base_Enderecos!$C:$C,""),"")</f>
        <v/>
      </c>
      <c r="R1028">
        <f>IF(OR(ISNUMBER(SEARCH("HDD",$F1028)),ISNUMBER(SEARCH("MND",$F1028)),ISNUMBER(SEARCH("PEAD",$F1028)),ISNUMBER(SEARCH("Puxe",$J1028)),ISNUMBER(SEARCH("Apoio HDD",$F1028))),"MND",IF(OR(ISNUMBER(SEARCH("VCA",$F1028)),ISNUMBER(SEARCH("PVC",$F1028)),ISNUMBER(SEARCH("vca",$J1028)),ISNUMBER(SEARCH("Transformação",$J1028))),"VCA",IF(OR(ISNUMBER(SEARCH("crava",$F1028)),ISNUMBER(SEARCH("tubo cravado",$F1028)),ISNUMBER(SEARCH("shaft",$J1028)),ISNUMBER(SEARCH("concreto",$F1028))),"TUBO CRAVADO","")))</f>
        <v/>
      </c>
      <c r="T1028">
        <f>IF($A1028="","",TEXT($A1028,"yyyymm")&amp;"|"&amp;$C1028&amp;"|"&amp;$F1028&amp;"|"&amp;$N1028&amp;"|"&amp;$R1028)</f>
        <v/>
      </c>
    </row>
    <row r="1029" ht="11.55" customHeight="1">
      <c r="A1029" s="10" t="n">
        <v>46079</v>
      </c>
      <c r="B1029" s="7" t="inlineStr">
        <is>
          <t>Quinta</t>
        </is>
      </c>
      <c r="C1029" s="7" t="inlineStr">
        <is>
          <t>Guindauto</t>
        </is>
      </c>
      <c r="D1029" s="7" t="n"/>
      <c r="E1029" s="7" t="inlineStr">
        <is>
          <t>Marcio</t>
        </is>
      </c>
      <c r="F1029" s="13" t="inlineStr">
        <is>
          <t>Marcio - Apoio as equipes</t>
        </is>
      </c>
      <c r="G1029" s="7" t="n"/>
      <c r="H1029" s="7" t="n"/>
      <c r="I1029" s="7" t="n"/>
      <c r="J1029" s="7" t="inlineStr">
        <is>
          <t>Guindauto</t>
        </is>
      </c>
      <c r="K1029" s="7" t="inlineStr">
        <is>
          <t>Apoio</t>
        </is>
      </c>
      <c r="L1029" s="16" t="inlineStr">
        <is>
          <t>PDS-Fevereiro(1).docx</t>
        </is>
      </c>
      <c r="M1029">
        <f>IF($A1029="","",TEXT($A1029,"mmmm/yyyy"))</f>
        <v/>
      </c>
      <c r="P1029">
        <f>IFERROR(_xludf.XLOOKUP($N1029,Base_Enderecos!$A:$A,Base_Enderecos!$B:$B,""),"")</f>
        <v/>
      </c>
      <c r="Q1029">
        <f>IFERROR(_xludf.XLOOKUP($N1029,Base_Enderecos!$A:$A,Base_Enderecos!$C:$C,""),"")</f>
        <v/>
      </c>
      <c r="R1029">
        <f>IF(OR(ISNUMBER(SEARCH("HDD",$F1029)),ISNUMBER(SEARCH("MND",$F1029)),ISNUMBER(SEARCH("PEAD",$F1029)),ISNUMBER(SEARCH("Puxe",$J1029)),ISNUMBER(SEARCH("Apoio HDD",$F1029))),"MND",IF(OR(ISNUMBER(SEARCH("VCA",$F1029)),ISNUMBER(SEARCH("PVC",$F1029)),ISNUMBER(SEARCH("vca",$J1029)),ISNUMBER(SEARCH("Transformação",$J1029))),"VCA",IF(OR(ISNUMBER(SEARCH("crava",$F1029)),ISNUMBER(SEARCH("tubo cravado",$F1029)),ISNUMBER(SEARCH("shaft",$J1029)),ISNUMBER(SEARCH("concreto",$F1029))),"TUBO CRAVADO","")))</f>
        <v/>
      </c>
      <c r="T1029">
        <f>IF($A1029="","",TEXT($A1029,"yyyymm")&amp;"|"&amp;$C1029&amp;"|"&amp;$F1029&amp;"|"&amp;$N1029&amp;"|"&amp;$R1029)</f>
        <v/>
      </c>
    </row>
    <row r="1030" ht="11.55" customHeight="1">
      <c r="A1030" s="10" t="n">
        <v>46080</v>
      </c>
      <c r="B1030" s="7" t="inlineStr">
        <is>
          <t>Sexta</t>
        </is>
      </c>
      <c r="C1030" s="7" t="inlineStr">
        <is>
          <t>CTS CONCEIÇÃO</t>
        </is>
      </c>
      <c r="D1030" s="7" t="inlineStr">
        <is>
          <t>SILVESTRE</t>
        </is>
      </c>
      <c r="E1030" s="7" t="inlineStr">
        <is>
          <t>Adilson</t>
        </is>
      </c>
      <c r="F1030" s="13" t="inlineStr">
        <is>
          <t>Shaft PV 01</t>
        </is>
      </c>
      <c r="G1030" s="7" t="inlineStr">
        <is>
          <t>01</t>
        </is>
      </c>
      <c r="H1030" s="7" t="n"/>
      <c r="I1030" s="7" t="inlineStr">
        <is>
          <t>01</t>
        </is>
      </c>
      <c r="J1030" s="7" t="inlineStr">
        <is>
          <t>Shaft</t>
        </is>
      </c>
      <c r="K1030" s="7" t="inlineStr">
        <is>
          <t>Planejamento</t>
        </is>
      </c>
      <c r="L1030" s="16" t="inlineStr">
        <is>
          <t>PDS-Fevereiro(1).docx</t>
        </is>
      </c>
      <c r="M1030">
        <f>IF($A1030="","",TEXT($A1030,"mmmm/yyyy"))</f>
        <v/>
      </c>
      <c r="P1030">
        <f>IFERROR(_xludf.XLOOKUP($N1030,Base_Enderecos!$A:$A,Base_Enderecos!$B:$B,""),"")</f>
        <v/>
      </c>
      <c r="Q1030">
        <f>IFERROR(_xludf.XLOOKUP($N1030,Base_Enderecos!$A:$A,Base_Enderecos!$C:$C,""),"")</f>
        <v/>
      </c>
      <c r="R1030">
        <f>IF(OR(ISNUMBER(SEARCH("HDD",$F1030)),ISNUMBER(SEARCH("MND",$F1030)),ISNUMBER(SEARCH("PEAD",$F1030)),ISNUMBER(SEARCH("Puxe",$J1030)),ISNUMBER(SEARCH("Apoio HDD",$F1030))),"MND",IF(OR(ISNUMBER(SEARCH("VCA",$F1030)),ISNUMBER(SEARCH("PVC",$F1030)),ISNUMBER(SEARCH("vca",$J1030)),ISNUMBER(SEARCH("Transformação",$J1030))),"VCA",IF(OR(ISNUMBER(SEARCH("crava",$F1030)),ISNUMBER(SEARCH("tubo cravado",$F1030)),ISNUMBER(SEARCH("shaft",$J1030)),ISNUMBER(SEARCH("concreto",$F1030))),"TUBO CRAVADO","")))</f>
        <v/>
      </c>
      <c r="T1030">
        <f>IF($A1030="","",TEXT($A1030,"yyyymm")&amp;"|"&amp;$C1030&amp;"|"&amp;$F1030&amp;"|"&amp;$N1030&amp;"|"&amp;$R1030)</f>
        <v/>
      </c>
    </row>
    <row r="1031" ht="11.55" customHeight="1">
      <c r="A1031" s="10" t="n">
        <v>46080</v>
      </c>
      <c r="B1031" s="7" t="inlineStr">
        <is>
          <t>Sexta</t>
        </is>
      </c>
      <c r="C1031" s="7" t="inlineStr">
        <is>
          <t>CTS CONCEIÇÃO</t>
        </is>
      </c>
      <c r="D1031" s="7" t="inlineStr">
        <is>
          <t>SILVESTRE</t>
        </is>
      </c>
      <c r="E1031" s="7" t="inlineStr">
        <is>
          <t>Marcelo</t>
        </is>
      </c>
      <c r="F1031" s="13" t="inlineStr">
        <is>
          <t>Shaft PV 02</t>
        </is>
      </c>
      <c r="G1031" s="7" t="inlineStr">
        <is>
          <t>02</t>
        </is>
      </c>
      <c r="H1031" s="7" t="n"/>
      <c r="I1031" s="7" t="inlineStr">
        <is>
          <t>02</t>
        </is>
      </c>
      <c r="J1031" s="7" t="inlineStr">
        <is>
          <t>Shaft</t>
        </is>
      </c>
      <c r="K1031" s="7" t="inlineStr">
        <is>
          <t>Planejamento</t>
        </is>
      </c>
      <c r="L1031" s="16" t="inlineStr">
        <is>
          <t>PDS-Fevereiro(1).docx</t>
        </is>
      </c>
      <c r="M1031">
        <f>IF($A1031="","",TEXT($A1031,"mmmm/yyyy"))</f>
        <v/>
      </c>
      <c r="P1031">
        <f>IFERROR(_xludf.XLOOKUP($N1031,Base_Enderecos!$A:$A,Base_Enderecos!$B:$B,""),"")</f>
        <v/>
      </c>
      <c r="Q1031">
        <f>IFERROR(_xludf.XLOOKUP($N1031,Base_Enderecos!$A:$A,Base_Enderecos!$C:$C,""),"")</f>
        <v/>
      </c>
      <c r="R1031">
        <f>IF(OR(ISNUMBER(SEARCH("HDD",$F1031)),ISNUMBER(SEARCH("MND",$F1031)),ISNUMBER(SEARCH("PEAD",$F1031)),ISNUMBER(SEARCH("Puxe",$J1031)),ISNUMBER(SEARCH("Apoio HDD",$F1031))),"MND",IF(OR(ISNUMBER(SEARCH("VCA",$F1031)),ISNUMBER(SEARCH("PVC",$F1031)),ISNUMBER(SEARCH("vca",$J1031)),ISNUMBER(SEARCH("Transformação",$J1031))),"VCA",IF(OR(ISNUMBER(SEARCH("crava",$F1031)),ISNUMBER(SEARCH("tubo cravado",$F1031)),ISNUMBER(SEARCH("shaft",$J1031)),ISNUMBER(SEARCH("concreto",$F1031))),"TUBO CRAVADO","")))</f>
        <v/>
      </c>
      <c r="T1031">
        <f>IF($A1031="","",TEXT($A1031,"yyyymm")&amp;"|"&amp;$C1031&amp;"|"&amp;$F1031&amp;"|"&amp;$N1031&amp;"|"&amp;$R1031)</f>
        <v/>
      </c>
    </row>
    <row r="1032" ht="11.55" customHeight="1">
      <c r="A1032" s="10" t="n">
        <v>46080</v>
      </c>
      <c r="B1032" s="7" t="inlineStr">
        <is>
          <t>Sexta</t>
        </is>
      </c>
      <c r="C1032" s="7" t="inlineStr">
        <is>
          <t>CTS CONCEIÇÃO</t>
        </is>
      </c>
      <c r="D1032" s="7" t="inlineStr">
        <is>
          <t>SILVESTRE</t>
        </is>
      </c>
      <c r="E1032" s="7" t="inlineStr">
        <is>
          <t>Ricardo</t>
        </is>
      </c>
      <c r="F1032" s="13" t="inlineStr">
        <is>
          <t>Transformação PV 42</t>
        </is>
      </c>
      <c r="G1032" s="7" t="inlineStr">
        <is>
          <t>42</t>
        </is>
      </c>
      <c r="H1032" s="7" t="n"/>
      <c r="I1032" s="7" t="inlineStr">
        <is>
          <t>42</t>
        </is>
      </c>
      <c r="J1032" s="7" t="inlineStr">
        <is>
          <t>Transformação</t>
        </is>
      </c>
      <c r="K1032" s="7" t="inlineStr">
        <is>
          <t>Planejamento</t>
        </is>
      </c>
      <c r="L1032" s="16" t="inlineStr">
        <is>
          <t>PDS-Fevereiro(1).docx</t>
        </is>
      </c>
      <c r="M1032">
        <f>IF($A1032="","",TEXT($A1032,"mmmm/yyyy"))</f>
        <v/>
      </c>
      <c r="P1032">
        <f>IFERROR(_xludf.XLOOKUP($N1032,Base_Enderecos!$A:$A,Base_Enderecos!$B:$B,""),"")</f>
        <v/>
      </c>
      <c r="Q1032">
        <f>IFERROR(_xludf.XLOOKUP($N1032,Base_Enderecos!$A:$A,Base_Enderecos!$C:$C,""),"")</f>
        <v/>
      </c>
      <c r="R1032">
        <f>IF(OR(ISNUMBER(SEARCH("HDD",$F1032)),ISNUMBER(SEARCH("MND",$F1032)),ISNUMBER(SEARCH("PEAD",$F1032)),ISNUMBER(SEARCH("Puxe",$J1032)),ISNUMBER(SEARCH("Apoio HDD",$F1032))),"MND",IF(OR(ISNUMBER(SEARCH("VCA",$F1032)),ISNUMBER(SEARCH("PVC",$F1032)),ISNUMBER(SEARCH("vca",$J1032)),ISNUMBER(SEARCH("Transformação",$J1032))),"VCA",IF(OR(ISNUMBER(SEARCH("crava",$F1032)),ISNUMBER(SEARCH("tubo cravado",$F1032)),ISNUMBER(SEARCH("shaft",$J1032)),ISNUMBER(SEARCH("concreto",$F1032))),"TUBO CRAVADO","")))</f>
        <v/>
      </c>
      <c r="T1032">
        <f>IF($A1032="","",TEXT($A1032,"yyyymm")&amp;"|"&amp;$C1032&amp;"|"&amp;$F1032&amp;"|"&amp;$N1032&amp;"|"&amp;$R1032)</f>
        <v/>
      </c>
    </row>
    <row r="1033" ht="11.55" customHeight="1">
      <c r="A1033" s="10" t="n">
        <v>46080</v>
      </c>
      <c r="B1033" s="7" t="inlineStr">
        <is>
          <t>Sexta</t>
        </is>
      </c>
      <c r="C1033" s="7" t="inlineStr">
        <is>
          <t>CTS CONCEIÇÃO</t>
        </is>
      </c>
      <c r="D1033" s="7" t="inlineStr">
        <is>
          <t>SILVESTRE</t>
        </is>
      </c>
      <c r="E1033" s="7" t="inlineStr">
        <is>
          <t>Paulo</t>
        </is>
      </c>
      <c r="F1033" s="13" t="inlineStr">
        <is>
          <t>Transformação PV 41</t>
        </is>
      </c>
      <c r="G1033" s="7" t="inlineStr">
        <is>
          <t>41</t>
        </is>
      </c>
      <c r="H1033" s="7" t="n"/>
      <c r="I1033" s="7" t="inlineStr">
        <is>
          <t>41</t>
        </is>
      </c>
      <c r="J1033" s="7" t="inlineStr">
        <is>
          <t>Transformação</t>
        </is>
      </c>
      <c r="K1033" s="7" t="inlineStr">
        <is>
          <t>Planejamento</t>
        </is>
      </c>
      <c r="L1033" s="16" t="inlineStr">
        <is>
          <t>PDS-Fevereiro(1).docx</t>
        </is>
      </c>
      <c r="M1033">
        <f>IF($A1033="","",TEXT($A1033,"mmmm/yyyy"))</f>
        <v/>
      </c>
      <c r="P1033">
        <f>IFERROR(_xludf.XLOOKUP($N1033,Base_Enderecos!$A:$A,Base_Enderecos!$B:$B,""),"")</f>
        <v/>
      </c>
      <c r="Q1033">
        <f>IFERROR(_xludf.XLOOKUP($N1033,Base_Enderecos!$A:$A,Base_Enderecos!$C:$C,""),"")</f>
        <v/>
      </c>
      <c r="R1033">
        <f>IF(OR(ISNUMBER(SEARCH("HDD",$F1033)),ISNUMBER(SEARCH("MND",$F1033)),ISNUMBER(SEARCH("PEAD",$F1033)),ISNUMBER(SEARCH("Puxe",$J1033)),ISNUMBER(SEARCH("Apoio HDD",$F1033))),"MND",IF(OR(ISNUMBER(SEARCH("VCA",$F1033)),ISNUMBER(SEARCH("PVC",$F1033)),ISNUMBER(SEARCH("vca",$J1033)),ISNUMBER(SEARCH("Transformação",$J1033))),"VCA",IF(OR(ISNUMBER(SEARCH("crava",$F1033)),ISNUMBER(SEARCH("tubo cravado",$F1033)),ISNUMBER(SEARCH("shaft",$J1033)),ISNUMBER(SEARCH("concreto",$F1033))),"TUBO CRAVADO","")))</f>
        <v/>
      </c>
      <c r="T1033">
        <f>IF($A1033="","",TEXT($A1033,"yyyymm")&amp;"|"&amp;$C1033&amp;"|"&amp;$F1033&amp;"|"&amp;$N1033&amp;"|"&amp;$R1033)</f>
        <v/>
      </c>
    </row>
    <row r="1034" ht="11.55" customHeight="1">
      <c r="A1034" s="10" t="n">
        <v>46080</v>
      </c>
      <c r="B1034" s="7" t="inlineStr">
        <is>
          <t>Sexta</t>
        </is>
      </c>
      <c r="C1034" s="7" t="inlineStr">
        <is>
          <t>CTS CONCEIÇÃO</t>
        </is>
      </c>
      <c r="D1034" s="7" t="inlineStr">
        <is>
          <t>SILVESTRE</t>
        </is>
      </c>
      <c r="E1034" s="7" t="inlineStr">
        <is>
          <t>Sergio</t>
        </is>
      </c>
      <c r="F1034" s="13" t="inlineStr">
        <is>
          <t>Transformação PV 43</t>
        </is>
      </c>
      <c r="G1034" s="7" t="inlineStr">
        <is>
          <t>43</t>
        </is>
      </c>
      <c r="H1034" s="7" t="n"/>
      <c r="I1034" s="7" t="inlineStr">
        <is>
          <t>43</t>
        </is>
      </c>
      <c r="J1034" s="7" t="inlineStr">
        <is>
          <t>Transformação</t>
        </is>
      </c>
      <c r="K1034" s="7" t="inlineStr">
        <is>
          <t>Planejamento</t>
        </is>
      </c>
      <c r="L1034" s="16" t="inlineStr">
        <is>
          <t>PDS-Fevereiro(1).docx</t>
        </is>
      </c>
      <c r="M1034">
        <f>IF($A1034="","",TEXT($A1034,"mmmm/yyyy"))</f>
        <v/>
      </c>
      <c r="P1034">
        <f>IFERROR(_xludf.XLOOKUP($N1034,Base_Enderecos!$A:$A,Base_Enderecos!$B:$B,""),"")</f>
        <v/>
      </c>
      <c r="Q1034">
        <f>IFERROR(_xludf.XLOOKUP($N1034,Base_Enderecos!$A:$A,Base_Enderecos!$C:$C,""),"")</f>
        <v/>
      </c>
      <c r="R1034">
        <f>IF(OR(ISNUMBER(SEARCH("HDD",$F1034)),ISNUMBER(SEARCH("MND",$F1034)),ISNUMBER(SEARCH("PEAD",$F1034)),ISNUMBER(SEARCH("Puxe",$J1034)),ISNUMBER(SEARCH("Apoio HDD",$F1034))),"MND",IF(OR(ISNUMBER(SEARCH("VCA",$F1034)),ISNUMBER(SEARCH("PVC",$F1034)),ISNUMBER(SEARCH("vca",$J1034)),ISNUMBER(SEARCH("Transformação",$J1034))),"VCA",IF(OR(ISNUMBER(SEARCH("crava",$F1034)),ISNUMBER(SEARCH("tubo cravado",$F1034)),ISNUMBER(SEARCH("shaft",$J1034)),ISNUMBER(SEARCH("concreto",$F1034))),"TUBO CRAVADO","")))</f>
        <v/>
      </c>
      <c r="T1034">
        <f>IF($A1034="","",TEXT($A1034,"yyyymm")&amp;"|"&amp;$C1034&amp;"|"&amp;$F1034&amp;"|"&amp;$N1034&amp;"|"&amp;$R1034)</f>
        <v/>
      </c>
    </row>
    <row r="1035" ht="11.55" customHeight="1">
      <c r="A1035" s="10" t="n">
        <v>46080</v>
      </c>
      <c r="B1035" s="7" t="inlineStr">
        <is>
          <t>Sexta</t>
        </is>
      </c>
      <c r="C1035" s="7" t="inlineStr">
        <is>
          <t>CTS CONCEIÇÃO</t>
        </is>
      </c>
      <c r="D1035" s="7" t="inlineStr">
        <is>
          <t>SILVESTRE</t>
        </is>
      </c>
      <c r="E1035" s="7" t="inlineStr">
        <is>
          <t>Goiania Drill</t>
        </is>
      </c>
      <c r="F1035" s="13" t="inlineStr">
        <is>
          <t>Piloto e Puxe PV 41 ao 01</t>
        </is>
      </c>
      <c r="G1035" s="7" t="inlineStr">
        <is>
          <t>41</t>
        </is>
      </c>
      <c r="H1035" s="7" t="n"/>
      <c r="I1035" s="7" t="inlineStr">
        <is>
          <t>41</t>
        </is>
      </c>
      <c r="J1035" s="7" t="inlineStr">
        <is>
          <t>Piloto e puxe</t>
        </is>
      </c>
      <c r="K1035" s="7" t="inlineStr">
        <is>
          <t>Planejamento</t>
        </is>
      </c>
      <c r="L1035" s="16" t="inlineStr">
        <is>
          <t>PDS-Fevereiro(1).docx</t>
        </is>
      </c>
      <c r="M1035">
        <f>IF($A1035="","",TEXT($A1035,"mmmm/yyyy"))</f>
        <v/>
      </c>
      <c r="P1035">
        <f>IFERROR(_xludf.XLOOKUP($N1035,Base_Enderecos!$A:$A,Base_Enderecos!$B:$B,""),"")</f>
        <v/>
      </c>
      <c r="Q1035">
        <f>IFERROR(_xludf.XLOOKUP($N1035,Base_Enderecos!$A:$A,Base_Enderecos!$C:$C,""),"")</f>
        <v/>
      </c>
      <c r="R1035">
        <f>IF(OR(ISNUMBER(SEARCH("HDD",$F1035)),ISNUMBER(SEARCH("MND",$F1035)),ISNUMBER(SEARCH("PEAD",$F1035)),ISNUMBER(SEARCH("Puxe",$J1035)),ISNUMBER(SEARCH("Apoio HDD",$F1035))),"MND",IF(OR(ISNUMBER(SEARCH("VCA",$F1035)),ISNUMBER(SEARCH("PVC",$F1035)),ISNUMBER(SEARCH("vca",$J1035)),ISNUMBER(SEARCH("Transformação",$J1035))),"VCA",IF(OR(ISNUMBER(SEARCH("crava",$F1035)),ISNUMBER(SEARCH("tubo cravado",$F1035)),ISNUMBER(SEARCH("shaft",$J1035)),ISNUMBER(SEARCH("concreto",$F1035))),"TUBO CRAVADO","")))</f>
        <v/>
      </c>
      <c r="T1035">
        <f>IF($A1035="","",TEXT($A1035,"yyyymm")&amp;"|"&amp;$C1035&amp;"|"&amp;$F1035&amp;"|"&amp;$N1035&amp;"|"&amp;$R1035)</f>
        <v/>
      </c>
    </row>
    <row r="1036" ht="11.55" customHeight="1">
      <c r="A1036" s="10" t="n">
        <v>46080</v>
      </c>
      <c r="B1036" s="7" t="inlineStr">
        <is>
          <t>Sexta</t>
        </is>
      </c>
      <c r="C1036" s="7" t="inlineStr">
        <is>
          <t>CTS CONCEIÇÃO</t>
        </is>
      </c>
      <c r="D1036" s="7" t="inlineStr">
        <is>
          <t>SILVESTRE</t>
        </is>
      </c>
      <c r="E1036" s="7" t="inlineStr">
        <is>
          <t>Medeiros</t>
        </is>
      </c>
      <c r="F1036" s="13" t="inlineStr">
        <is>
          <t>Apoio HDD PV 41 ao 01</t>
        </is>
      </c>
      <c r="G1036" s="7" t="inlineStr">
        <is>
          <t>41</t>
        </is>
      </c>
      <c r="H1036" s="7" t="n"/>
      <c r="I1036" s="7" t="inlineStr">
        <is>
          <t>41</t>
        </is>
      </c>
      <c r="J1036" s="7" t="inlineStr">
        <is>
          <t>Apoio HDD</t>
        </is>
      </c>
      <c r="K1036" s="7" t="inlineStr">
        <is>
          <t>Planejamento</t>
        </is>
      </c>
      <c r="L1036" s="16" t="inlineStr">
        <is>
          <t>PDS-Fevereiro(1).docx</t>
        </is>
      </c>
      <c r="M1036">
        <f>IF($A1036="","",TEXT($A1036,"mmmm/yyyy"))</f>
        <v/>
      </c>
      <c r="P1036">
        <f>IFERROR(_xludf.XLOOKUP($N1036,Base_Enderecos!$A:$A,Base_Enderecos!$B:$B,""),"")</f>
        <v/>
      </c>
      <c r="Q1036">
        <f>IFERROR(_xludf.XLOOKUP($N1036,Base_Enderecos!$A:$A,Base_Enderecos!$C:$C,""),"")</f>
        <v/>
      </c>
      <c r="R1036">
        <f>IF(OR(ISNUMBER(SEARCH("HDD",$F1036)),ISNUMBER(SEARCH("MND",$F1036)),ISNUMBER(SEARCH("PEAD",$F1036)),ISNUMBER(SEARCH("Puxe",$J1036)),ISNUMBER(SEARCH("Apoio HDD",$F1036))),"MND",IF(OR(ISNUMBER(SEARCH("VCA",$F1036)),ISNUMBER(SEARCH("PVC",$F1036)),ISNUMBER(SEARCH("vca",$J1036)),ISNUMBER(SEARCH("Transformação",$J1036))),"VCA",IF(OR(ISNUMBER(SEARCH("crava",$F1036)),ISNUMBER(SEARCH("tubo cravado",$F1036)),ISNUMBER(SEARCH("shaft",$J1036)),ISNUMBER(SEARCH("concreto",$F1036))),"TUBO CRAVADO","")))</f>
        <v/>
      </c>
      <c r="T1036">
        <f>IF($A1036="","",TEXT($A1036,"yyyymm")&amp;"|"&amp;$C1036&amp;"|"&amp;$F1036&amp;"|"&amp;$N1036&amp;"|"&amp;$R1036)</f>
        <v/>
      </c>
    </row>
    <row r="1037" ht="11.55" customHeight="1">
      <c r="A1037" s="10" t="n">
        <v>46080</v>
      </c>
      <c r="B1037" s="7" t="inlineStr">
        <is>
          <t>Sexta</t>
        </is>
      </c>
      <c r="C1037" s="7" t="inlineStr">
        <is>
          <t>CTS CONCEIÇÃO</t>
        </is>
      </c>
      <c r="D1037" s="7" t="inlineStr">
        <is>
          <t>SILVESTRE</t>
        </is>
      </c>
      <c r="E1037" s="7" t="inlineStr">
        <is>
          <t>Valter</t>
        </is>
      </c>
      <c r="F1037" s="13" t="inlineStr">
        <is>
          <t>Transformação PV 43.1</t>
        </is>
      </c>
      <c r="G1037" s="7" t="inlineStr">
        <is>
          <t>43.1</t>
        </is>
      </c>
      <c r="H1037" s="7" t="n"/>
      <c r="I1037" s="7" t="inlineStr">
        <is>
          <t>43.1</t>
        </is>
      </c>
      <c r="J1037" s="7" t="inlineStr">
        <is>
          <t>Transformação</t>
        </is>
      </c>
      <c r="K1037" s="7" t="inlineStr">
        <is>
          <t>Planejamento</t>
        </is>
      </c>
      <c r="L1037" s="16" t="inlineStr">
        <is>
          <t>PDS-Fevereiro(1).docx</t>
        </is>
      </c>
      <c r="M1037">
        <f>IF($A1037="","",TEXT($A1037,"mmmm/yyyy"))</f>
        <v/>
      </c>
      <c r="P1037">
        <f>IFERROR(_xludf.XLOOKUP($N1037,Base_Enderecos!$A:$A,Base_Enderecos!$B:$B,""),"")</f>
        <v/>
      </c>
      <c r="Q1037">
        <f>IFERROR(_xludf.XLOOKUP($N1037,Base_Enderecos!$A:$A,Base_Enderecos!$C:$C,""),"")</f>
        <v/>
      </c>
      <c r="R1037">
        <f>IF(OR(ISNUMBER(SEARCH("HDD",$F1037)),ISNUMBER(SEARCH("MND",$F1037)),ISNUMBER(SEARCH("PEAD",$F1037)),ISNUMBER(SEARCH("Puxe",$J1037)),ISNUMBER(SEARCH("Apoio HDD",$F1037))),"MND",IF(OR(ISNUMBER(SEARCH("VCA",$F1037)),ISNUMBER(SEARCH("PVC",$F1037)),ISNUMBER(SEARCH("vca",$J1037)),ISNUMBER(SEARCH("Transformação",$J1037))),"VCA",IF(OR(ISNUMBER(SEARCH("crava",$F1037)),ISNUMBER(SEARCH("tubo cravado",$F1037)),ISNUMBER(SEARCH("shaft",$J1037)),ISNUMBER(SEARCH("concreto",$F1037))),"TUBO CRAVADO","")))</f>
        <v/>
      </c>
      <c r="T1037">
        <f>IF($A1037="","",TEXT($A1037,"yyyymm")&amp;"|"&amp;$C1037&amp;"|"&amp;$F1037&amp;"|"&amp;$N1037&amp;"|"&amp;$R1037)</f>
        <v/>
      </c>
    </row>
    <row r="1038" ht="11.55" customHeight="1">
      <c r="A1038" s="10" t="n">
        <v>46080</v>
      </c>
      <c r="B1038" s="7" t="inlineStr">
        <is>
          <t>Sexta</t>
        </is>
      </c>
      <c r="C1038" s="7" t="inlineStr">
        <is>
          <t>CTS CONCEIÇÃO</t>
        </is>
      </c>
      <c r="D1038" s="7" t="inlineStr">
        <is>
          <t>SILVESTRE</t>
        </is>
      </c>
      <c r="E1038" s="7" t="inlineStr">
        <is>
          <t>Edivando</t>
        </is>
      </c>
      <c r="F1038" s="13" t="inlineStr">
        <is>
          <t>Interligação 40</t>
        </is>
      </c>
      <c r="G1038" s="7" t="n"/>
      <c r="H1038" s="7" t="n"/>
      <c r="I1038" s="7" t="n"/>
      <c r="J1038" s="7" t="inlineStr">
        <is>
          <t>Interligação</t>
        </is>
      </c>
      <c r="K1038" s="7" t="inlineStr">
        <is>
          <t>Planejamento</t>
        </is>
      </c>
      <c r="L1038" s="16" t="inlineStr">
        <is>
          <t>PDS-Fevereiro(1).docx</t>
        </is>
      </c>
      <c r="M1038">
        <f>IF($A1038="","",TEXT($A1038,"mmmm/yyyy"))</f>
        <v/>
      </c>
      <c r="P1038">
        <f>IFERROR(_xludf.XLOOKUP($N1038,Base_Enderecos!$A:$A,Base_Enderecos!$B:$B,""),"")</f>
        <v/>
      </c>
      <c r="Q1038">
        <f>IFERROR(_xludf.XLOOKUP($N1038,Base_Enderecos!$A:$A,Base_Enderecos!$C:$C,""),"")</f>
        <v/>
      </c>
      <c r="R1038">
        <f>IF(OR(ISNUMBER(SEARCH("HDD",$F1038)),ISNUMBER(SEARCH("MND",$F1038)),ISNUMBER(SEARCH("PEAD",$F1038)),ISNUMBER(SEARCH("Puxe",$J1038)),ISNUMBER(SEARCH("Apoio HDD",$F1038))),"MND",IF(OR(ISNUMBER(SEARCH("VCA",$F1038)),ISNUMBER(SEARCH("PVC",$F1038)),ISNUMBER(SEARCH("vca",$J1038)),ISNUMBER(SEARCH("Transformação",$J1038))),"VCA",IF(OR(ISNUMBER(SEARCH("crava",$F1038)),ISNUMBER(SEARCH("tubo cravado",$F1038)),ISNUMBER(SEARCH("shaft",$J1038)),ISNUMBER(SEARCH("concreto",$F1038))),"TUBO CRAVADO","")))</f>
        <v/>
      </c>
      <c r="T1038">
        <f>IF($A1038="","",TEXT($A1038,"yyyymm")&amp;"|"&amp;$C1038&amp;"|"&amp;$F1038&amp;"|"&amp;$N1038&amp;"|"&amp;$R1038)</f>
        <v/>
      </c>
    </row>
    <row r="1039" ht="11.55" customHeight="1">
      <c r="A1039" s="10" t="n">
        <v>46080</v>
      </c>
      <c r="B1039" s="7" t="inlineStr">
        <is>
          <t>Sexta</t>
        </is>
      </c>
      <c r="C1039" s="7" t="inlineStr">
        <is>
          <t>CT AGUA VERMELHA M.D</t>
        </is>
      </c>
      <c r="D1039" s="7" t="inlineStr">
        <is>
          <t>CAROLINE e FÁBIO</t>
        </is>
      </c>
      <c r="E1039" s="7" t="inlineStr">
        <is>
          <t>Jonathan</t>
        </is>
      </c>
      <c r="F1039" s="13" t="inlineStr">
        <is>
          <t>Apoio HDD entre PVD 16 ao PV 19</t>
        </is>
      </c>
      <c r="G1039" s="7" t="inlineStr">
        <is>
          <t>16</t>
        </is>
      </c>
      <c r="H1039" s="7" t="inlineStr">
        <is>
          <t>19</t>
        </is>
      </c>
      <c r="I1039" s="7" t="inlineStr">
        <is>
          <t>16, 19</t>
        </is>
      </c>
      <c r="J1039" s="7" t="inlineStr">
        <is>
          <t>Apoio HDD</t>
        </is>
      </c>
      <c r="K1039" s="7" t="inlineStr">
        <is>
          <t>Planejamento</t>
        </is>
      </c>
      <c r="L1039" s="16" t="inlineStr">
        <is>
          <t>PDS-Fevereiro(1).docx</t>
        </is>
      </c>
      <c r="M1039">
        <f>IF($A1039="","",TEXT($A1039,"mmmm/yyyy"))</f>
        <v/>
      </c>
      <c r="P1039">
        <f>IFERROR(_xludf.XLOOKUP($N1039,Base_Enderecos!$A:$A,Base_Enderecos!$B:$B,""),"")</f>
        <v/>
      </c>
      <c r="Q1039">
        <f>IFERROR(_xludf.XLOOKUP($N1039,Base_Enderecos!$A:$A,Base_Enderecos!$C:$C,""),"")</f>
        <v/>
      </c>
      <c r="R1039">
        <f>IF(OR(ISNUMBER(SEARCH("HDD",$F1039)),ISNUMBER(SEARCH("MND",$F1039)),ISNUMBER(SEARCH("PEAD",$F1039)),ISNUMBER(SEARCH("Puxe",$J1039)),ISNUMBER(SEARCH("Apoio HDD",$F1039))),"MND",IF(OR(ISNUMBER(SEARCH("VCA",$F1039)),ISNUMBER(SEARCH("PVC",$F1039)),ISNUMBER(SEARCH("vca",$J1039)),ISNUMBER(SEARCH("Transformação",$J1039))),"VCA",IF(OR(ISNUMBER(SEARCH("crava",$F1039)),ISNUMBER(SEARCH("tubo cravado",$F1039)),ISNUMBER(SEARCH("shaft",$J1039)),ISNUMBER(SEARCH("concreto",$F1039))),"TUBO CRAVADO","")))</f>
        <v/>
      </c>
      <c r="T1039">
        <f>IF($A1039="","",TEXT($A1039,"yyyymm")&amp;"|"&amp;$C1039&amp;"|"&amp;$F1039&amp;"|"&amp;$N1039&amp;"|"&amp;$R1039)</f>
        <v/>
      </c>
    </row>
    <row r="1040" ht="11.55" customHeight="1">
      <c r="A1040" s="10" t="n">
        <v>46080</v>
      </c>
      <c r="B1040" s="7" t="inlineStr">
        <is>
          <t>Sexta</t>
        </is>
      </c>
      <c r="C1040" s="7" t="inlineStr">
        <is>
          <t>CT AGUA VERMELHA M.D</t>
        </is>
      </c>
      <c r="D1040" s="7" t="inlineStr">
        <is>
          <t>CAROLINE e FÁBIO</t>
        </is>
      </c>
      <c r="E1040" s="7" t="inlineStr">
        <is>
          <t>WJ 02</t>
        </is>
      </c>
      <c r="F1040" s="13" t="inlineStr">
        <is>
          <t>Piloto e Puxe PVD 16 ao PVD 19</t>
        </is>
      </c>
      <c r="G1040" s="7" t="inlineStr">
        <is>
          <t>16</t>
        </is>
      </c>
      <c r="H1040" s="7" t="inlineStr">
        <is>
          <t>19</t>
        </is>
      </c>
      <c r="I1040" s="7" t="inlineStr">
        <is>
          <t>16, 19</t>
        </is>
      </c>
      <c r="J1040" s="7" t="inlineStr">
        <is>
          <t>Piloto e puxe</t>
        </is>
      </c>
      <c r="K1040" s="7" t="inlineStr">
        <is>
          <t>Planejamento</t>
        </is>
      </c>
      <c r="L1040" s="16" t="inlineStr">
        <is>
          <t>PDS-Fevereiro(1).docx</t>
        </is>
      </c>
      <c r="M1040">
        <f>IF($A1040="","",TEXT($A1040,"mmmm/yyyy"))</f>
        <v/>
      </c>
      <c r="P1040">
        <f>IFERROR(_xludf.XLOOKUP($N1040,Base_Enderecos!$A:$A,Base_Enderecos!$B:$B,""),"")</f>
        <v/>
      </c>
      <c r="Q1040">
        <f>IFERROR(_xludf.XLOOKUP($N1040,Base_Enderecos!$A:$A,Base_Enderecos!$C:$C,""),"")</f>
        <v/>
      </c>
      <c r="R1040">
        <f>IF(OR(ISNUMBER(SEARCH("HDD",$F1040)),ISNUMBER(SEARCH("MND",$F1040)),ISNUMBER(SEARCH("PEAD",$F1040)),ISNUMBER(SEARCH("Puxe",$J1040)),ISNUMBER(SEARCH("Apoio HDD",$F1040))),"MND",IF(OR(ISNUMBER(SEARCH("VCA",$F1040)),ISNUMBER(SEARCH("PVC",$F1040)),ISNUMBER(SEARCH("vca",$J1040)),ISNUMBER(SEARCH("Transformação",$J1040))),"VCA",IF(OR(ISNUMBER(SEARCH("crava",$F1040)),ISNUMBER(SEARCH("tubo cravado",$F1040)),ISNUMBER(SEARCH("shaft",$J1040)),ISNUMBER(SEARCH("concreto",$F1040))),"TUBO CRAVADO","")))</f>
        <v/>
      </c>
      <c r="T1040">
        <f>IF($A1040="","",TEXT($A1040,"yyyymm")&amp;"|"&amp;$C1040&amp;"|"&amp;$F1040&amp;"|"&amp;$N1040&amp;"|"&amp;$R1040)</f>
        <v/>
      </c>
    </row>
    <row r="1041" ht="11.55" customHeight="1">
      <c r="A1041" s="10" t="n">
        <v>46080</v>
      </c>
      <c r="B1041" s="7" t="inlineStr">
        <is>
          <t>Sexta</t>
        </is>
      </c>
      <c r="C1041" s="7" t="inlineStr">
        <is>
          <t>CT AGUA VERMELHA M.D</t>
        </is>
      </c>
      <c r="D1041" s="7" t="inlineStr">
        <is>
          <t>CAROLINE e FÁBIO</t>
        </is>
      </c>
      <c r="E1041" s="7" t="inlineStr">
        <is>
          <t>Cesar</t>
        </is>
      </c>
      <c r="F1041" s="13" t="inlineStr">
        <is>
          <t>Transformação PVD 03</t>
        </is>
      </c>
      <c r="G1041" s="7" t="inlineStr">
        <is>
          <t>03</t>
        </is>
      </c>
      <c r="H1041" s="7" t="n"/>
      <c r="I1041" s="7" t="inlineStr">
        <is>
          <t>03</t>
        </is>
      </c>
      <c r="J1041" s="7" t="inlineStr">
        <is>
          <t>Transformação</t>
        </is>
      </c>
      <c r="K1041" s="7" t="inlineStr">
        <is>
          <t>Planejamento</t>
        </is>
      </c>
      <c r="L1041" s="16" t="inlineStr">
        <is>
          <t>PDS-Fevereiro(1).docx</t>
        </is>
      </c>
      <c r="M1041">
        <f>IF($A1041="","",TEXT($A1041,"mmmm/yyyy"))</f>
        <v/>
      </c>
      <c r="P1041">
        <f>IFERROR(_xludf.XLOOKUP($N1041,Base_Enderecos!$A:$A,Base_Enderecos!$B:$B,""),"")</f>
        <v/>
      </c>
      <c r="Q1041">
        <f>IFERROR(_xludf.XLOOKUP($N1041,Base_Enderecos!$A:$A,Base_Enderecos!$C:$C,""),"")</f>
        <v/>
      </c>
      <c r="R1041">
        <f>IF(OR(ISNUMBER(SEARCH("HDD",$F1041)),ISNUMBER(SEARCH("MND",$F1041)),ISNUMBER(SEARCH("PEAD",$F1041)),ISNUMBER(SEARCH("Puxe",$J1041)),ISNUMBER(SEARCH("Apoio HDD",$F1041))),"MND",IF(OR(ISNUMBER(SEARCH("VCA",$F1041)),ISNUMBER(SEARCH("PVC",$F1041)),ISNUMBER(SEARCH("vca",$J1041)),ISNUMBER(SEARCH("Transformação",$J1041))),"VCA",IF(OR(ISNUMBER(SEARCH("crava",$F1041)),ISNUMBER(SEARCH("tubo cravado",$F1041)),ISNUMBER(SEARCH("shaft",$J1041)),ISNUMBER(SEARCH("concreto",$F1041))),"TUBO CRAVADO","")))</f>
        <v/>
      </c>
      <c r="T1041">
        <f>IF($A1041="","",TEXT($A1041,"yyyymm")&amp;"|"&amp;$C1041&amp;"|"&amp;$F1041&amp;"|"&amp;$N1041&amp;"|"&amp;$R1041)</f>
        <v/>
      </c>
    </row>
    <row r="1042" ht="11.55" customHeight="1">
      <c r="A1042" s="10" t="n">
        <v>46080</v>
      </c>
      <c r="B1042" s="7" t="inlineStr">
        <is>
          <t>Sexta</t>
        </is>
      </c>
      <c r="C1042" s="7" t="inlineStr">
        <is>
          <t>CT AGUA VERMELHA M.D</t>
        </is>
      </c>
      <c r="D1042" s="7" t="inlineStr">
        <is>
          <t>CAROLINE e FÁBIO</t>
        </is>
      </c>
      <c r="E1042" s="7" t="inlineStr">
        <is>
          <t>WJ 01</t>
        </is>
      </c>
      <c r="F1042" s="13" t="inlineStr">
        <is>
          <t>Interligação PVD 07</t>
        </is>
      </c>
      <c r="G1042" s="7" t="inlineStr">
        <is>
          <t>07</t>
        </is>
      </c>
      <c r="H1042" s="7" t="n"/>
      <c r="I1042" s="7" t="inlineStr">
        <is>
          <t>07</t>
        </is>
      </c>
      <c r="J1042" s="7" t="inlineStr">
        <is>
          <t>Interligação</t>
        </is>
      </c>
      <c r="K1042" s="7" t="inlineStr">
        <is>
          <t>Planejamento</t>
        </is>
      </c>
      <c r="L1042" s="16" t="inlineStr">
        <is>
          <t>PDS-Fevereiro(1).docx</t>
        </is>
      </c>
      <c r="M1042">
        <f>IF($A1042="","",TEXT($A1042,"mmmm/yyyy"))</f>
        <v/>
      </c>
      <c r="P1042">
        <f>IFERROR(_xludf.XLOOKUP($N1042,Base_Enderecos!$A:$A,Base_Enderecos!$B:$B,""),"")</f>
        <v/>
      </c>
      <c r="Q1042">
        <f>IFERROR(_xludf.XLOOKUP($N1042,Base_Enderecos!$A:$A,Base_Enderecos!$C:$C,""),"")</f>
        <v/>
      </c>
      <c r="R1042">
        <f>IF(OR(ISNUMBER(SEARCH("HDD",$F1042)),ISNUMBER(SEARCH("MND",$F1042)),ISNUMBER(SEARCH("PEAD",$F1042)),ISNUMBER(SEARCH("Puxe",$J1042)),ISNUMBER(SEARCH("Apoio HDD",$F1042))),"MND",IF(OR(ISNUMBER(SEARCH("VCA",$F1042)),ISNUMBER(SEARCH("PVC",$F1042)),ISNUMBER(SEARCH("vca",$J1042)),ISNUMBER(SEARCH("Transformação",$J1042))),"VCA",IF(OR(ISNUMBER(SEARCH("crava",$F1042)),ISNUMBER(SEARCH("tubo cravado",$F1042)),ISNUMBER(SEARCH("shaft",$J1042)),ISNUMBER(SEARCH("concreto",$F1042))),"TUBO CRAVADO","")))</f>
        <v/>
      </c>
      <c r="T1042">
        <f>IF($A1042="","",TEXT($A1042,"yyyymm")&amp;"|"&amp;$C1042&amp;"|"&amp;$F1042&amp;"|"&amp;$N1042&amp;"|"&amp;$R1042)</f>
        <v/>
      </c>
    </row>
    <row r="1043" ht="11.55" customHeight="1">
      <c r="A1043" s="10" t="n">
        <v>46080</v>
      </c>
      <c r="B1043" s="7" t="inlineStr">
        <is>
          <t>Sexta</t>
        </is>
      </c>
      <c r="C1043" s="7" t="inlineStr">
        <is>
          <t>CT AGUA VERMELHA M.D</t>
        </is>
      </c>
      <c r="D1043" s="7" t="inlineStr">
        <is>
          <t>CAROLINE e FÁBIO</t>
        </is>
      </c>
      <c r="E1043" s="7" t="inlineStr">
        <is>
          <t>Antônio</t>
        </is>
      </c>
      <c r="F1043" s="13" t="inlineStr">
        <is>
          <t>Apoio HDD PVD 07</t>
        </is>
      </c>
      <c r="G1043" s="7" t="inlineStr">
        <is>
          <t>07</t>
        </is>
      </c>
      <c r="H1043" s="7" t="n"/>
      <c r="I1043" s="7" t="inlineStr">
        <is>
          <t>07</t>
        </is>
      </c>
      <c r="J1043" s="7" t="inlineStr">
        <is>
          <t>Apoio HDD</t>
        </is>
      </c>
      <c r="K1043" s="7" t="inlineStr">
        <is>
          <t>Planejamento</t>
        </is>
      </c>
      <c r="L1043" s="16" t="inlineStr">
        <is>
          <t>PDS-Fevereiro(1).docx</t>
        </is>
      </c>
      <c r="M1043">
        <f>IF($A1043="","",TEXT($A1043,"mmmm/yyyy"))</f>
        <v/>
      </c>
      <c r="P1043">
        <f>IFERROR(_xludf.XLOOKUP($N1043,Base_Enderecos!$A:$A,Base_Enderecos!$B:$B,""),"")</f>
        <v/>
      </c>
      <c r="Q1043">
        <f>IFERROR(_xludf.XLOOKUP($N1043,Base_Enderecos!$A:$A,Base_Enderecos!$C:$C,""),"")</f>
        <v/>
      </c>
      <c r="R1043">
        <f>IF(OR(ISNUMBER(SEARCH("HDD",$F1043)),ISNUMBER(SEARCH("MND",$F1043)),ISNUMBER(SEARCH("PEAD",$F1043)),ISNUMBER(SEARCH("Puxe",$J1043)),ISNUMBER(SEARCH("Apoio HDD",$F1043))),"MND",IF(OR(ISNUMBER(SEARCH("VCA",$F1043)),ISNUMBER(SEARCH("PVC",$F1043)),ISNUMBER(SEARCH("vca",$J1043)),ISNUMBER(SEARCH("Transformação",$J1043))),"VCA",IF(OR(ISNUMBER(SEARCH("crava",$F1043)),ISNUMBER(SEARCH("tubo cravado",$F1043)),ISNUMBER(SEARCH("shaft",$J1043)),ISNUMBER(SEARCH("concreto",$F1043))),"TUBO CRAVADO","")))</f>
        <v/>
      </c>
      <c r="T1043">
        <f>IF($A1043="","",TEXT($A1043,"yyyymm")&amp;"|"&amp;$C1043&amp;"|"&amp;$F1043&amp;"|"&amp;$N1043&amp;"|"&amp;$R1043)</f>
        <v/>
      </c>
    </row>
    <row r="1044" ht="11.55" customHeight="1">
      <c r="A1044" s="10" t="n">
        <v>46080</v>
      </c>
      <c r="B1044" s="7" t="inlineStr">
        <is>
          <t>Sexta</t>
        </is>
      </c>
      <c r="C1044" s="7" t="inlineStr">
        <is>
          <t>CT AGUA VERMELHA M.D</t>
        </is>
      </c>
      <c r="D1044" s="7" t="inlineStr">
        <is>
          <t>CAROLINE e FÁBIO</t>
        </is>
      </c>
      <c r="E1044" s="7" t="inlineStr">
        <is>
          <t>GR DRILL</t>
        </is>
      </c>
      <c r="F1044" s="13" t="inlineStr">
        <is>
          <t>Piloto e Puxe PVE 18 ao PVE 21</t>
        </is>
      </c>
      <c r="G1044" s="7" t="inlineStr">
        <is>
          <t>18</t>
        </is>
      </c>
      <c r="H1044" s="7" t="inlineStr">
        <is>
          <t>21</t>
        </is>
      </c>
      <c r="I1044" s="7" t="inlineStr">
        <is>
          <t>18, 21</t>
        </is>
      </c>
      <c r="J1044" s="7" t="inlineStr">
        <is>
          <t>Piloto e puxe</t>
        </is>
      </c>
      <c r="K1044" s="7" t="inlineStr">
        <is>
          <t>Planejamento</t>
        </is>
      </c>
      <c r="L1044" s="16" t="inlineStr">
        <is>
          <t>PDS-Fevereiro(1).docx</t>
        </is>
      </c>
      <c r="M1044">
        <f>IF($A1044="","",TEXT($A1044,"mmmm/yyyy"))</f>
        <v/>
      </c>
      <c r="P1044">
        <f>IFERROR(_xludf.XLOOKUP($N1044,Base_Enderecos!$A:$A,Base_Enderecos!$B:$B,""),"")</f>
        <v/>
      </c>
      <c r="Q1044">
        <f>IFERROR(_xludf.XLOOKUP($N1044,Base_Enderecos!$A:$A,Base_Enderecos!$C:$C,""),"")</f>
        <v/>
      </c>
      <c r="R1044">
        <f>IF(OR(ISNUMBER(SEARCH("HDD",$F1044)),ISNUMBER(SEARCH("MND",$F1044)),ISNUMBER(SEARCH("PEAD",$F1044)),ISNUMBER(SEARCH("Puxe",$J1044)),ISNUMBER(SEARCH("Apoio HDD",$F1044))),"MND",IF(OR(ISNUMBER(SEARCH("VCA",$F1044)),ISNUMBER(SEARCH("PVC",$F1044)),ISNUMBER(SEARCH("vca",$J1044)),ISNUMBER(SEARCH("Transformação",$J1044))),"VCA",IF(OR(ISNUMBER(SEARCH("crava",$F1044)),ISNUMBER(SEARCH("tubo cravado",$F1044)),ISNUMBER(SEARCH("shaft",$J1044)),ISNUMBER(SEARCH("concreto",$F1044))),"TUBO CRAVADO","")))</f>
        <v/>
      </c>
      <c r="T1044">
        <f>IF($A1044="","",TEXT($A1044,"yyyymm")&amp;"|"&amp;$C1044&amp;"|"&amp;$F1044&amp;"|"&amp;$N1044&amp;"|"&amp;$R1044)</f>
        <v/>
      </c>
    </row>
    <row r="1045" ht="11.55" customHeight="1">
      <c r="A1045" s="10" t="n">
        <v>46080</v>
      </c>
      <c r="B1045" s="7" t="inlineStr">
        <is>
          <t>Sexta</t>
        </is>
      </c>
      <c r="C1045" s="7" t="inlineStr">
        <is>
          <t>CT AGUA VERMELHA M.D</t>
        </is>
      </c>
      <c r="D1045" s="7" t="inlineStr">
        <is>
          <t>CAROLINE e FÁBIO</t>
        </is>
      </c>
      <c r="E1045" s="7" t="inlineStr">
        <is>
          <t>Marcio</t>
        </is>
      </c>
      <c r="F1045" s="13" t="inlineStr">
        <is>
          <t>Apoio HDD PVE 18 ao 21</t>
        </is>
      </c>
      <c r="G1045" s="7" t="inlineStr">
        <is>
          <t>18</t>
        </is>
      </c>
      <c r="H1045" s="7" t="n"/>
      <c r="I1045" s="7" t="inlineStr">
        <is>
          <t>18</t>
        </is>
      </c>
      <c r="J1045" s="7" t="inlineStr">
        <is>
          <t>Apoio HDD</t>
        </is>
      </c>
      <c r="K1045" s="7" t="inlineStr">
        <is>
          <t>Planejamento</t>
        </is>
      </c>
      <c r="L1045" s="16" t="inlineStr">
        <is>
          <t>PDS-Fevereiro(1).docx</t>
        </is>
      </c>
      <c r="M1045">
        <f>IF($A1045="","",TEXT($A1045,"mmmm/yyyy"))</f>
        <v/>
      </c>
      <c r="P1045">
        <f>IFERROR(_xludf.XLOOKUP($N1045,Base_Enderecos!$A:$A,Base_Enderecos!$B:$B,""),"")</f>
        <v/>
      </c>
      <c r="Q1045">
        <f>IFERROR(_xludf.XLOOKUP($N1045,Base_Enderecos!$A:$A,Base_Enderecos!$C:$C,""),"")</f>
        <v/>
      </c>
      <c r="R1045">
        <f>IF(OR(ISNUMBER(SEARCH("HDD",$F1045)),ISNUMBER(SEARCH("MND",$F1045)),ISNUMBER(SEARCH("PEAD",$F1045)),ISNUMBER(SEARCH("Puxe",$J1045)),ISNUMBER(SEARCH("Apoio HDD",$F1045))),"MND",IF(OR(ISNUMBER(SEARCH("VCA",$F1045)),ISNUMBER(SEARCH("PVC",$F1045)),ISNUMBER(SEARCH("vca",$J1045)),ISNUMBER(SEARCH("Transformação",$J1045))),"VCA",IF(OR(ISNUMBER(SEARCH("crava",$F1045)),ISNUMBER(SEARCH("tubo cravado",$F1045)),ISNUMBER(SEARCH("shaft",$J1045)),ISNUMBER(SEARCH("concreto",$F1045))),"TUBO CRAVADO","")))</f>
        <v/>
      </c>
      <c r="T1045">
        <f>IF($A1045="","",TEXT($A1045,"yyyymm")&amp;"|"&amp;$C1045&amp;"|"&amp;$F1045&amp;"|"&amp;$N1045&amp;"|"&amp;$R1045)</f>
        <v/>
      </c>
    </row>
    <row r="1046" ht="11.55" customHeight="1">
      <c r="A1046" s="10" t="n">
        <v>46080</v>
      </c>
      <c r="B1046" s="7" t="inlineStr">
        <is>
          <t>Sexta</t>
        </is>
      </c>
      <c r="C1046" s="7" t="inlineStr">
        <is>
          <t>CT AGUA VERMELHA M.D</t>
        </is>
      </c>
      <c r="D1046" s="7" t="inlineStr">
        <is>
          <t>CAROLINE e FÁBIO</t>
        </is>
      </c>
      <c r="E1046" s="7" t="inlineStr">
        <is>
          <t>Cidão</t>
        </is>
      </c>
      <c r="F1046" s="13" t="inlineStr">
        <is>
          <t>Shaft PVE 25</t>
        </is>
      </c>
      <c r="G1046" s="7" t="inlineStr">
        <is>
          <t>25</t>
        </is>
      </c>
      <c r="H1046" s="7" t="n"/>
      <c r="I1046" s="7" t="inlineStr">
        <is>
          <t>25</t>
        </is>
      </c>
      <c r="J1046" s="7" t="inlineStr">
        <is>
          <t>Shaft</t>
        </is>
      </c>
      <c r="K1046" s="7" t="inlineStr">
        <is>
          <t>Planejamento</t>
        </is>
      </c>
      <c r="L1046" s="16" t="inlineStr">
        <is>
          <t>PDS-Fevereiro(1).docx</t>
        </is>
      </c>
      <c r="M1046">
        <f>IF($A1046="","",TEXT($A1046,"mmmm/yyyy"))</f>
        <v/>
      </c>
      <c r="P1046">
        <f>IFERROR(_xludf.XLOOKUP($N1046,Base_Enderecos!$A:$A,Base_Enderecos!$B:$B,""),"")</f>
        <v/>
      </c>
      <c r="Q1046">
        <f>IFERROR(_xludf.XLOOKUP($N1046,Base_Enderecos!$A:$A,Base_Enderecos!$C:$C,""),"")</f>
        <v/>
      </c>
      <c r="R1046">
        <f>IF(OR(ISNUMBER(SEARCH("HDD",$F1046)),ISNUMBER(SEARCH("MND",$F1046)),ISNUMBER(SEARCH("PEAD",$F1046)),ISNUMBER(SEARCH("Puxe",$J1046)),ISNUMBER(SEARCH("Apoio HDD",$F1046))),"MND",IF(OR(ISNUMBER(SEARCH("VCA",$F1046)),ISNUMBER(SEARCH("PVC",$F1046)),ISNUMBER(SEARCH("vca",$J1046)),ISNUMBER(SEARCH("Transformação",$J1046))),"VCA",IF(OR(ISNUMBER(SEARCH("crava",$F1046)),ISNUMBER(SEARCH("tubo cravado",$F1046)),ISNUMBER(SEARCH("shaft",$J1046)),ISNUMBER(SEARCH("concreto",$F1046))),"TUBO CRAVADO","")))</f>
        <v/>
      </c>
      <c r="T1046">
        <f>IF($A1046="","",TEXT($A1046,"yyyymm")&amp;"|"&amp;$C1046&amp;"|"&amp;$F1046&amp;"|"&amp;$N1046&amp;"|"&amp;$R1046)</f>
        <v/>
      </c>
    </row>
    <row r="1047" ht="11.55" customHeight="1">
      <c r="A1047" s="10" t="n">
        <v>46080</v>
      </c>
      <c r="B1047" s="7" t="inlineStr">
        <is>
          <t>Sexta</t>
        </is>
      </c>
      <c r="C1047" s="7" t="inlineStr">
        <is>
          <t>CT AGUA VERMELHA M.D</t>
        </is>
      </c>
      <c r="D1047" s="7" t="inlineStr">
        <is>
          <t>CAROLINE e FÁBIO</t>
        </is>
      </c>
      <c r="E1047" s="7" t="inlineStr">
        <is>
          <t>Carlos</t>
        </is>
      </c>
      <c r="F1047" s="13" t="inlineStr">
        <is>
          <t>Transformação PVE 11</t>
        </is>
      </c>
      <c r="G1047" s="7" t="inlineStr">
        <is>
          <t>11</t>
        </is>
      </c>
      <c r="H1047" s="7" t="n"/>
      <c r="I1047" s="7" t="inlineStr">
        <is>
          <t>11</t>
        </is>
      </c>
      <c r="J1047" s="7" t="inlineStr">
        <is>
          <t>Transformação</t>
        </is>
      </c>
      <c r="K1047" s="7" t="inlineStr">
        <is>
          <t>Planejamento</t>
        </is>
      </c>
      <c r="L1047" s="16" t="inlineStr">
        <is>
          <t>PDS-Fevereiro(1).docx</t>
        </is>
      </c>
      <c r="M1047">
        <f>IF($A1047="","",TEXT($A1047,"mmmm/yyyy"))</f>
        <v/>
      </c>
      <c r="P1047">
        <f>IFERROR(_xludf.XLOOKUP($N1047,Base_Enderecos!$A:$A,Base_Enderecos!$B:$B,""),"")</f>
        <v/>
      </c>
      <c r="Q1047">
        <f>IFERROR(_xludf.XLOOKUP($N1047,Base_Enderecos!$A:$A,Base_Enderecos!$C:$C,""),"")</f>
        <v/>
      </c>
      <c r="R1047">
        <f>IF(OR(ISNUMBER(SEARCH("HDD",$F1047)),ISNUMBER(SEARCH("MND",$F1047)),ISNUMBER(SEARCH("PEAD",$F1047)),ISNUMBER(SEARCH("Puxe",$J1047)),ISNUMBER(SEARCH("Apoio HDD",$F1047))),"MND",IF(OR(ISNUMBER(SEARCH("VCA",$F1047)),ISNUMBER(SEARCH("PVC",$F1047)),ISNUMBER(SEARCH("vca",$J1047)),ISNUMBER(SEARCH("Transformação",$J1047))),"VCA",IF(OR(ISNUMBER(SEARCH("crava",$F1047)),ISNUMBER(SEARCH("tubo cravado",$F1047)),ISNUMBER(SEARCH("shaft",$J1047)),ISNUMBER(SEARCH("concreto",$F1047))),"TUBO CRAVADO","")))</f>
        <v/>
      </c>
      <c r="T1047">
        <f>IF($A1047="","",TEXT($A1047,"yyyymm")&amp;"|"&amp;$C1047&amp;"|"&amp;$F1047&amp;"|"&amp;$N1047&amp;"|"&amp;$R1047)</f>
        <v/>
      </c>
    </row>
    <row r="1048" ht="11.55" customHeight="1">
      <c r="A1048" s="10" t="n">
        <v>46080</v>
      </c>
      <c r="B1048" s="7" t="inlineStr">
        <is>
          <t>Sexta</t>
        </is>
      </c>
      <c r="C1048" s="7" t="inlineStr">
        <is>
          <t>Vacal</t>
        </is>
      </c>
      <c r="D1048" s="7" t="n"/>
      <c r="E1048" s="7" t="inlineStr">
        <is>
          <t>Agua Vermelha</t>
        </is>
      </c>
      <c r="F1048" s="13" t="inlineStr">
        <is>
          <t>Apoio Vacal</t>
        </is>
      </c>
      <c r="G1048" s="7" t="n"/>
      <c r="H1048" s="7" t="n"/>
      <c r="I1048" s="7" t="n"/>
      <c r="J1048" s="7" t="inlineStr">
        <is>
          <t>Vacal</t>
        </is>
      </c>
      <c r="K1048" s="7" t="inlineStr">
        <is>
          <t>Apoio</t>
        </is>
      </c>
      <c r="L1048" s="16" t="inlineStr">
        <is>
          <t>PDS-Fevereiro(1).docx</t>
        </is>
      </c>
      <c r="M1048">
        <f>IF($A1048="","",TEXT($A1048,"mmmm/yyyy"))</f>
        <v/>
      </c>
      <c r="P1048">
        <f>IFERROR(_xludf.XLOOKUP($N1048,Base_Enderecos!$A:$A,Base_Enderecos!$B:$B,""),"")</f>
        <v/>
      </c>
      <c r="Q1048">
        <f>IFERROR(_xludf.XLOOKUP($N1048,Base_Enderecos!$A:$A,Base_Enderecos!$C:$C,""),"")</f>
        <v/>
      </c>
      <c r="R1048">
        <f>IF(OR(ISNUMBER(SEARCH("HDD",$F1048)),ISNUMBER(SEARCH("MND",$F1048)),ISNUMBER(SEARCH("PEAD",$F1048)),ISNUMBER(SEARCH("Puxe",$J1048)),ISNUMBER(SEARCH("Apoio HDD",$F1048))),"MND",IF(OR(ISNUMBER(SEARCH("VCA",$F1048)),ISNUMBER(SEARCH("PVC",$F1048)),ISNUMBER(SEARCH("vca",$J1048)),ISNUMBER(SEARCH("Transformação",$J1048))),"VCA",IF(OR(ISNUMBER(SEARCH("crava",$F1048)),ISNUMBER(SEARCH("tubo cravado",$F1048)),ISNUMBER(SEARCH("shaft",$J1048)),ISNUMBER(SEARCH("concreto",$F1048))),"TUBO CRAVADO","")))</f>
        <v/>
      </c>
      <c r="T1048">
        <f>IF($A1048="","",TEXT($A1048,"yyyymm")&amp;"|"&amp;$C1048&amp;"|"&amp;$F1048&amp;"|"&amp;$N1048&amp;"|"&amp;$R1048)</f>
        <v/>
      </c>
    </row>
    <row r="1049" ht="11.55" customHeight="1">
      <c r="A1049" s="10" t="n">
        <v>46080</v>
      </c>
      <c r="B1049" s="7" t="inlineStr">
        <is>
          <t>Sexta</t>
        </is>
      </c>
      <c r="C1049" s="7" t="inlineStr">
        <is>
          <t>Vacal</t>
        </is>
      </c>
      <c r="D1049" s="7" t="n"/>
      <c r="E1049" s="7" t="inlineStr">
        <is>
          <t>Agua Vermelha</t>
        </is>
      </c>
      <c r="F1049" s="13" t="inlineStr">
        <is>
          <t>Apoio Vacal</t>
        </is>
      </c>
      <c r="G1049" s="7" t="n"/>
      <c r="H1049" s="7" t="n"/>
      <c r="I1049" s="7" t="n"/>
      <c r="J1049" s="7" t="inlineStr">
        <is>
          <t>Vacal</t>
        </is>
      </c>
      <c r="K1049" s="7" t="inlineStr">
        <is>
          <t>Apoio</t>
        </is>
      </c>
      <c r="L1049" s="16" t="inlineStr">
        <is>
          <t>PDS-Fevereiro(1).docx</t>
        </is>
      </c>
      <c r="M1049">
        <f>IF($A1049="","",TEXT($A1049,"mmmm/yyyy"))</f>
        <v/>
      </c>
      <c r="P1049">
        <f>IFERROR(_xludf.XLOOKUP($N1049,Base_Enderecos!$A:$A,Base_Enderecos!$B:$B,""),"")</f>
        <v/>
      </c>
      <c r="Q1049">
        <f>IFERROR(_xludf.XLOOKUP($N1049,Base_Enderecos!$A:$A,Base_Enderecos!$C:$C,""),"")</f>
        <v/>
      </c>
      <c r="R1049">
        <f>IF(OR(ISNUMBER(SEARCH("HDD",$F1049)),ISNUMBER(SEARCH("MND",$F1049)),ISNUMBER(SEARCH("PEAD",$F1049)),ISNUMBER(SEARCH("Puxe",$J1049)),ISNUMBER(SEARCH("Apoio HDD",$F1049))),"MND",IF(OR(ISNUMBER(SEARCH("VCA",$F1049)),ISNUMBER(SEARCH("PVC",$F1049)),ISNUMBER(SEARCH("vca",$J1049)),ISNUMBER(SEARCH("Transformação",$J1049))),"VCA",IF(OR(ISNUMBER(SEARCH("crava",$F1049)),ISNUMBER(SEARCH("tubo cravado",$F1049)),ISNUMBER(SEARCH("shaft",$J1049)),ISNUMBER(SEARCH("concreto",$F1049))),"TUBO CRAVADO","")))</f>
        <v/>
      </c>
      <c r="T1049">
        <f>IF($A1049="","",TEXT($A1049,"yyyymm")&amp;"|"&amp;$C1049&amp;"|"&amp;$F1049&amp;"|"&amp;$N1049&amp;"|"&amp;$R1049)</f>
        <v/>
      </c>
    </row>
    <row r="1050" ht="11.55" customHeight="1">
      <c r="A1050" s="10" t="n">
        <v>46080</v>
      </c>
      <c r="B1050" s="7" t="inlineStr">
        <is>
          <t>Sexta</t>
        </is>
      </c>
      <c r="C1050" s="7" t="inlineStr">
        <is>
          <t>Vacal</t>
        </is>
      </c>
      <c r="D1050" s="7" t="n"/>
      <c r="E1050" s="7" t="inlineStr">
        <is>
          <t>Mar de Coral</t>
        </is>
      </c>
      <c r="F1050" s="13" t="inlineStr">
        <is>
          <t>Apoio Vacal</t>
        </is>
      </c>
      <c r="G1050" s="7" t="n"/>
      <c r="H1050" s="7" t="n"/>
      <c r="I1050" s="7" t="n"/>
      <c r="J1050" s="7" t="inlineStr">
        <is>
          <t>Vacal</t>
        </is>
      </c>
      <c r="K1050" s="7" t="inlineStr">
        <is>
          <t>Apoio</t>
        </is>
      </c>
      <c r="L1050" s="16" t="inlineStr">
        <is>
          <t>PDS-Fevereiro(1).docx</t>
        </is>
      </c>
      <c r="M1050">
        <f>IF($A1050="","",TEXT($A1050,"mmmm/yyyy"))</f>
        <v/>
      </c>
      <c r="P1050">
        <f>IFERROR(_xludf.XLOOKUP($N1050,Base_Enderecos!$A:$A,Base_Enderecos!$B:$B,""),"")</f>
        <v/>
      </c>
      <c r="Q1050">
        <f>IFERROR(_xludf.XLOOKUP($N1050,Base_Enderecos!$A:$A,Base_Enderecos!$C:$C,""),"")</f>
        <v/>
      </c>
      <c r="R1050">
        <f>IF(OR(ISNUMBER(SEARCH("HDD",$F1050)),ISNUMBER(SEARCH("MND",$F1050)),ISNUMBER(SEARCH("PEAD",$F1050)),ISNUMBER(SEARCH("Puxe",$J1050)),ISNUMBER(SEARCH("Apoio HDD",$F1050))),"MND",IF(OR(ISNUMBER(SEARCH("VCA",$F1050)),ISNUMBER(SEARCH("PVC",$F1050)),ISNUMBER(SEARCH("vca",$J1050)),ISNUMBER(SEARCH("Transformação",$J1050))),"VCA",IF(OR(ISNUMBER(SEARCH("crava",$F1050)),ISNUMBER(SEARCH("tubo cravado",$F1050)),ISNUMBER(SEARCH("shaft",$J1050)),ISNUMBER(SEARCH("concreto",$F1050))),"TUBO CRAVADO","")))</f>
        <v/>
      </c>
      <c r="T1050">
        <f>IF($A1050="","",TEXT($A1050,"yyyymm")&amp;"|"&amp;$C1050&amp;"|"&amp;$F1050&amp;"|"&amp;$N1050&amp;"|"&amp;$R1050)</f>
        <v/>
      </c>
    </row>
    <row r="1051" ht="11.55" customHeight="1">
      <c r="A1051" s="10" t="n">
        <v>46080</v>
      </c>
      <c r="B1051" s="7" t="inlineStr">
        <is>
          <t>Sexta</t>
        </is>
      </c>
      <c r="C1051" s="7" t="inlineStr">
        <is>
          <t>Vacal</t>
        </is>
      </c>
      <c r="D1051" s="7" t="n"/>
      <c r="E1051" s="7" t="inlineStr">
        <is>
          <t>Mar de Coral</t>
        </is>
      </c>
      <c r="F1051" s="13" t="inlineStr">
        <is>
          <t>Apoio Vacal</t>
        </is>
      </c>
      <c r="G1051" s="7" t="n"/>
      <c r="H1051" s="7" t="n"/>
      <c r="I1051" s="7" t="n"/>
      <c r="J1051" s="7" t="inlineStr">
        <is>
          <t>Vacal</t>
        </is>
      </c>
      <c r="K1051" s="7" t="inlineStr">
        <is>
          <t>Apoio</t>
        </is>
      </c>
      <c r="L1051" s="16" t="inlineStr">
        <is>
          <t>PDS-Fevereiro(1).docx</t>
        </is>
      </c>
      <c r="M1051">
        <f>IF($A1051="","",TEXT($A1051,"mmmm/yyyy"))</f>
        <v/>
      </c>
      <c r="P1051">
        <f>IFERROR(_xludf.XLOOKUP($N1051,Base_Enderecos!$A:$A,Base_Enderecos!$B:$B,""),"")</f>
        <v/>
      </c>
      <c r="Q1051">
        <f>IFERROR(_xludf.XLOOKUP($N1051,Base_Enderecos!$A:$A,Base_Enderecos!$C:$C,""),"")</f>
        <v/>
      </c>
      <c r="R1051">
        <f>IF(OR(ISNUMBER(SEARCH("HDD",$F1051)),ISNUMBER(SEARCH("MND",$F1051)),ISNUMBER(SEARCH("PEAD",$F1051)),ISNUMBER(SEARCH("Puxe",$J1051)),ISNUMBER(SEARCH("Apoio HDD",$F1051))),"MND",IF(OR(ISNUMBER(SEARCH("VCA",$F1051)),ISNUMBER(SEARCH("PVC",$F1051)),ISNUMBER(SEARCH("vca",$J1051)),ISNUMBER(SEARCH("Transformação",$J1051))),"VCA",IF(OR(ISNUMBER(SEARCH("crava",$F1051)),ISNUMBER(SEARCH("tubo cravado",$F1051)),ISNUMBER(SEARCH("shaft",$J1051)),ISNUMBER(SEARCH("concreto",$F1051))),"TUBO CRAVADO","")))</f>
        <v/>
      </c>
      <c r="T1051">
        <f>IF($A1051="","",TEXT($A1051,"yyyymm")&amp;"|"&amp;$C1051&amp;"|"&amp;$F1051&amp;"|"&amp;$N1051&amp;"|"&amp;$R1051)</f>
        <v/>
      </c>
    </row>
    <row r="1052" ht="11.55" customHeight="1">
      <c r="A1052" s="10" t="n">
        <v>46080</v>
      </c>
      <c r="B1052" s="7" t="inlineStr">
        <is>
          <t>Sexta</t>
        </is>
      </c>
      <c r="C1052" s="7" t="inlineStr">
        <is>
          <t>Guindauto</t>
        </is>
      </c>
      <c r="D1052" s="7" t="n"/>
      <c r="E1052" s="7" t="inlineStr">
        <is>
          <t>Rodrigo</t>
        </is>
      </c>
      <c r="F1052" s="13" t="inlineStr">
        <is>
          <t>Rodrigo - Apoio as equipes</t>
        </is>
      </c>
      <c r="G1052" s="7" t="n"/>
      <c r="H1052" s="7" t="n"/>
      <c r="I1052" s="7" t="n"/>
      <c r="J1052" s="7" t="inlineStr">
        <is>
          <t>Guindauto</t>
        </is>
      </c>
      <c r="K1052" s="7" t="inlineStr">
        <is>
          <t>Apoio</t>
        </is>
      </c>
      <c r="L1052" s="16" t="inlineStr">
        <is>
          <t>PDS-Fevereiro(1).docx</t>
        </is>
      </c>
      <c r="M1052">
        <f>IF($A1052="","",TEXT($A1052,"mmmm/yyyy"))</f>
        <v/>
      </c>
      <c r="P1052">
        <f>IFERROR(_xludf.XLOOKUP($N1052,Base_Enderecos!$A:$A,Base_Enderecos!$B:$B,""),"")</f>
        <v/>
      </c>
      <c r="Q1052">
        <f>IFERROR(_xludf.XLOOKUP($N1052,Base_Enderecos!$A:$A,Base_Enderecos!$C:$C,""),"")</f>
        <v/>
      </c>
      <c r="R1052">
        <f>IF(OR(ISNUMBER(SEARCH("HDD",$F1052)),ISNUMBER(SEARCH("MND",$F1052)),ISNUMBER(SEARCH("PEAD",$F1052)),ISNUMBER(SEARCH("Puxe",$J1052)),ISNUMBER(SEARCH("Apoio HDD",$F1052))),"MND",IF(OR(ISNUMBER(SEARCH("VCA",$F1052)),ISNUMBER(SEARCH("PVC",$F1052)),ISNUMBER(SEARCH("vca",$J1052)),ISNUMBER(SEARCH("Transformação",$J1052))),"VCA",IF(OR(ISNUMBER(SEARCH("crava",$F1052)),ISNUMBER(SEARCH("tubo cravado",$F1052)),ISNUMBER(SEARCH("shaft",$J1052)),ISNUMBER(SEARCH("concreto",$F1052))),"TUBO CRAVADO","")))</f>
        <v/>
      </c>
      <c r="T1052">
        <f>IF($A1052="","",TEXT($A1052,"yyyymm")&amp;"|"&amp;$C1052&amp;"|"&amp;$F1052&amp;"|"&amp;$N1052&amp;"|"&amp;$R1052)</f>
        <v/>
      </c>
    </row>
    <row r="1053" ht="11.55" customHeight="1">
      <c r="A1053" s="10" t="n">
        <v>46080</v>
      </c>
      <c r="B1053" s="7" t="inlineStr">
        <is>
          <t>Sexta</t>
        </is>
      </c>
      <c r="C1053" s="7" t="inlineStr">
        <is>
          <t>Guindauto</t>
        </is>
      </c>
      <c r="D1053" s="7" t="n"/>
      <c r="E1053" s="7" t="inlineStr">
        <is>
          <t>Marcio</t>
        </is>
      </c>
      <c r="F1053" s="13" t="inlineStr">
        <is>
          <t>Marcio - Apoio as equipes</t>
        </is>
      </c>
      <c r="G1053" s="7" t="n"/>
      <c r="H1053" s="7" t="n"/>
      <c r="I1053" s="7" t="n"/>
      <c r="J1053" s="7" t="inlineStr">
        <is>
          <t>Guindauto</t>
        </is>
      </c>
      <c r="K1053" s="7" t="inlineStr">
        <is>
          <t>Apoio</t>
        </is>
      </c>
      <c r="L1053" s="16" t="inlineStr">
        <is>
          <t>PDS-Fevereiro(1).docx</t>
        </is>
      </c>
      <c r="M1053">
        <f>IF($A1053="","",TEXT($A1053,"mmmm/yyyy"))</f>
        <v/>
      </c>
      <c r="P1053">
        <f>IFERROR(_xludf.XLOOKUP($N1053,Base_Enderecos!$A:$A,Base_Enderecos!$B:$B,""),"")</f>
        <v/>
      </c>
      <c r="Q1053">
        <f>IFERROR(_xludf.XLOOKUP($N1053,Base_Enderecos!$A:$A,Base_Enderecos!$C:$C,""),"")</f>
        <v/>
      </c>
      <c r="R1053">
        <f>IF(OR(ISNUMBER(SEARCH("HDD",$F1053)),ISNUMBER(SEARCH("MND",$F1053)),ISNUMBER(SEARCH("PEAD",$F1053)),ISNUMBER(SEARCH("Puxe",$J1053)),ISNUMBER(SEARCH("Apoio HDD",$F1053))),"MND",IF(OR(ISNUMBER(SEARCH("VCA",$F1053)),ISNUMBER(SEARCH("PVC",$F1053)),ISNUMBER(SEARCH("vca",$J1053)),ISNUMBER(SEARCH("Transformação",$J1053))),"VCA",IF(OR(ISNUMBER(SEARCH("crava",$F1053)),ISNUMBER(SEARCH("tubo cravado",$F1053)),ISNUMBER(SEARCH("shaft",$J1053)),ISNUMBER(SEARCH("concreto",$F1053))),"TUBO CRAVADO","")))</f>
        <v/>
      </c>
      <c r="T1053">
        <f>IF($A1053="","",TEXT($A1053,"yyyymm")&amp;"|"&amp;$C1053&amp;"|"&amp;$F1053&amp;"|"&amp;$N1053&amp;"|"&amp;$R1053)</f>
        <v/>
      </c>
    </row>
    <row r="1054" ht="11.55" customHeight="1">
      <c r="A1054" s="10" t="n">
        <v>46081</v>
      </c>
      <c r="B1054" s="7" t="n"/>
      <c r="C1054" s="7" t="inlineStr">
        <is>
          <t>CT MAR DE CORAL</t>
        </is>
      </c>
      <c r="D1054" s="7" t="inlineStr">
        <is>
          <t>LEANDRO</t>
        </is>
      </c>
      <c r="E1054" s="7" t="inlineStr">
        <is>
          <t>Ricardo</t>
        </is>
      </c>
      <c r="F1054" s="13" t="inlineStr">
        <is>
          <t>Recomposição Pavimento</t>
        </is>
      </c>
      <c r="G1054" s="7" t="n"/>
      <c r="H1054" s="7" t="n"/>
      <c r="I1054" s="7" t="n"/>
      <c r="J1054" s="7" t="inlineStr">
        <is>
          <t>Recomposição</t>
        </is>
      </c>
      <c r="K1054" s="7" t="inlineStr">
        <is>
          <t>Planejamento</t>
        </is>
      </c>
      <c r="L1054" s="16" t="inlineStr">
        <is>
          <t>PDS-Fevereiro(1).docx</t>
        </is>
      </c>
      <c r="M1054">
        <f>IF($A1054="","",TEXT($A1054,"mmmm/yyyy"))</f>
        <v/>
      </c>
      <c r="P1054">
        <f>IFERROR(_xludf.XLOOKUP($N1054,Base_Enderecos!$A:$A,Base_Enderecos!$B:$B,""),"")</f>
        <v/>
      </c>
      <c r="Q1054">
        <f>IFERROR(_xludf.XLOOKUP($N1054,Base_Enderecos!$A:$A,Base_Enderecos!$C:$C,""),"")</f>
        <v/>
      </c>
      <c r="R1054">
        <f>IF(OR(ISNUMBER(SEARCH("HDD",$F1054)),ISNUMBER(SEARCH("MND",$F1054)),ISNUMBER(SEARCH("PEAD",$F1054)),ISNUMBER(SEARCH("Puxe",$J1054)),ISNUMBER(SEARCH("Apoio HDD",$F1054))),"MND",IF(OR(ISNUMBER(SEARCH("VCA",$F1054)),ISNUMBER(SEARCH("PVC",$F1054)),ISNUMBER(SEARCH("vca",$J1054)),ISNUMBER(SEARCH("Transformação",$J1054))),"VCA",IF(OR(ISNUMBER(SEARCH("crava",$F1054)),ISNUMBER(SEARCH("tubo cravado",$F1054)),ISNUMBER(SEARCH("shaft",$J1054)),ISNUMBER(SEARCH("concreto",$F1054))),"TUBO CRAVADO","")))</f>
        <v/>
      </c>
      <c r="T1054">
        <f>IF($A1054="","",TEXT($A1054,"yyyymm")&amp;"|"&amp;$C1054&amp;"|"&amp;$F1054&amp;"|"&amp;$N1054&amp;"|"&amp;$R1054)</f>
        <v/>
      </c>
    </row>
    <row r="1055" ht="11.55" customHeight="1">
      <c r="A1055" s="10" t="n">
        <v>46081</v>
      </c>
      <c r="B1055" s="7" t="n"/>
      <c r="C1055" s="7" t="inlineStr">
        <is>
          <t>CT MAR DE CORAL</t>
        </is>
      </c>
      <c r="D1055" s="7" t="inlineStr">
        <is>
          <t>LEANDRO</t>
        </is>
      </c>
      <c r="E1055" s="7" t="inlineStr">
        <is>
          <t>Paulo</t>
        </is>
      </c>
      <c r="F1055" s="13" t="inlineStr">
        <is>
          <t>Transformação PV 41</t>
        </is>
      </c>
      <c r="G1055" s="7" t="inlineStr">
        <is>
          <t>41</t>
        </is>
      </c>
      <c r="H1055" s="7" t="n"/>
      <c r="I1055" s="7" t="inlineStr">
        <is>
          <t>41</t>
        </is>
      </c>
      <c r="J1055" s="7" t="inlineStr">
        <is>
          <t>Transformação</t>
        </is>
      </c>
      <c r="K1055" s="7" t="inlineStr">
        <is>
          <t>Planejamento</t>
        </is>
      </c>
      <c r="L1055" s="16" t="inlineStr">
        <is>
          <t>PDS-Fevereiro(1).docx</t>
        </is>
      </c>
      <c r="M1055">
        <f>IF($A1055="","",TEXT($A1055,"mmmm/yyyy"))</f>
        <v/>
      </c>
      <c r="P1055">
        <f>IFERROR(_xludf.XLOOKUP($N1055,Base_Enderecos!$A:$A,Base_Enderecos!$B:$B,""),"")</f>
        <v/>
      </c>
      <c r="Q1055">
        <f>IFERROR(_xludf.XLOOKUP($N1055,Base_Enderecos!$A:$A,Base_Enderecos!$C:$C,""),"")</f>
        <v/>
      </c>
      <c r="R1055">
        <f>IF(OR(ISNUMBER(SEARCH("HDD",$F1055)),ISNUMBER(SEARCH("MND",$F1055)),ISNUMBER(SEARCH("PEAD",$F1055)),ISNUMBER(SEARCH("Puxe",$J1055)),ISNUMBER(SEARCH("Apoio HDD",$F1055))),"MND",IF(OR(ISNUMBER(SEARCH("VCA",$F1055)),ISNUMBER(SEARCH("PVC",$F1055)),ISNUMBER(SEARCH("vca",$J1055)),ISNUMBER(SEARCH("Transformação",$J1055))),"VCA",IF(OR(ISNUMBER(SEARCH("crava",$F1055)),ISNUMBER(SEARCH("tubo cravado",$F1055)),ISNUMBER(SEARCH("shaft",$J1055)),ISNUMBER(SEARCH("concreto",$F1055))),"TUBO CRAVADO","")))</f>
        <v/>
      </c>
      <c r="T1055">
        <f>IF($A1055="","",TEXT($A1055,"yyyymm")&amp;"|"&amp;$C1055&amp;"|"&amp;$F1055&amp;"|"&amp;$N1055&amp;"|"&amp;$R1055)</f>
        <v/>
      </c>
    </row>
    <row r="1056" ht="11.55" customHeight="1">
      <c r="A1056" s="10" t="n">
        <v>46081</v>
      </c>
      <c r="B1056" s="7" t="n"/>
      <c r="C1056" s="7" t="inlineStr">
        <is>
          <t>CT MAR DE CORAL</t>
        </is>
      </c>
      <c r="D1056" s="7" t="inlineStr">
        <is>
          <t>LEANDRO</t>
        </is>
      </c>
      <c r="E1056" s="7" t="inlineStr">
        <is>
          <t>Sergio</t>
        </is>
      </c>
      <c r="F1056" s="13" t="inlineStr">
        <is>
          <t>Transformação PV 42</t>
        </is>
      </c>
      <c r="G1056" s="7" t="inlineStr">
        <is>
          <t>42</t>
        </is>
      </c>
      <c r="H1056" s="7" t="n"/>
      <c r="I1056" s="7" t="inlineStr">
        <is>
          <t>42</t>
        </is>
      </c>
      <c r="J1056" s="7" t="inlineStr">
        <is>
          <t>Transformação</t>
        </is>
      </c>
      <c r="K1056" s="7" t="inlineStr">
        <is>
          <t>Planejamento</t>
        </is>
      </c>
      <c r="L1056" s="16" t="inlineStr">
        <is>
          <t>PDS-Fevereiro(1).docx</t>
        </is>
      </c>
      <c r="M1056">
        <f>IF($A1056="","",TEXT($A1056,"mmmm/yyyy"))</f>
        <v/>
      </c>
      <c r="P1056">
        <f>IFERROR(_xludf.XLOOKUP($N1056,Base_Enderecos!$A:$A,Base_Enderecos!$B:$B,""),"")</f>
        <v/>
      </c>
      <c r="Q1056">
        <f>IFERROR(_xludf.XLOOKUP($N1056,Base_Enderecos!$A:$A,Base_Enderecos!$C:$C,""),"")</f>
        <v/>
      </c>
      <c r="R1056">
        <f>IF(OR(ISNUMBER(SEARCH("HDD",$F1056)),ISNUMBER(SEARCH("MND",$F1056)),ISNUMBER(SEARCH("PEAD",$F1056)),ISNUMBER(SEARCH("Puxe",$J1056)),ISNUMBER(SEARCH("Apoio HDD",$F1056))),"MND",IF(OR(ISNUMBER(SEARCH("VCA",$F1056)),ISNUMBER(SEARCH("PVC",$F1056)),ISNUMBER(SEARCH("vca",$J1056)),ISNUMBER(SEARCH("Transformação",$J1056))),"VCA",IF(OR(ISNUMBER(SEARCH("crava",$F1056)),ISNUMBER(SEARCH("tubo cravado",$F1056)),ISNUMBER(SEARCH("shaft",$J1056)),ISNUMBER(SEARCH("concreto",$F1056))),"TUBO CRAVADO","")))</f>
        <v/>
      </c>
      <c r="T1056">
        <f>IF($A1056="","",TEXT($A1056,"yyyymm")&amp;"|"&amp;$C1056&amp;"|"&amp;$F1056&amp;"|"&amp;$N1056&amp;"|"&amp;$R1056)</f>
        <v/>
      </c>
    </row>
    <row r="1057" ht="11.55" customHeight="1">
      <c r="A1057" s="10" t="n">
        <v>46081</v>
      </c>
      <c r="B1057" s="7" t="n"/>
      <c r="C1057" s="7" t="inlineStr">
        <is>
          <t>CT MAR DE CORAL</t>
        </is>
      </c>
      <c r="D1057" s="7" t="inlineStr">
        <is>
          <t>LEANDRO</t>
        </is>
      </c>
      <c r="E1057" s="7" t="inlineStr">
        <is>
          <t>Goiania Drill</t>
        </is>
      </c>
      <c r="F1057" s="13" t="inlineStr">
        <is>
          <t>Piloto e Puxe PV 41 ao 01</t>
        </is>
      </c>
      <c r="G1057" s="7" t="inlineStr">
        <is>
          <t>41</t>
        </is>
      </c>
      <c r="H1057" s="7" t="n"/>
      <c r="I1057" s="7" t="inlineStr">
        <is>
          <t>41</t>
        </is>
      </c>
      <c r="J1057" s="7" t="inlineStr">
        <is>
          <t>Piloto e puxe</t>
        </is>
      </c>
      <c r="K1057" s="7" t="inlineStr">
        <is>
          <t>Planejamento</t>
        </is>
      </c>
      <c r="L1057" s="16" t="inlineStr">
        <is>
          <t>PDS-Fevereiro(1).docx</t>
        </is>
      </c>
      <c r="M1057">
        <f>IF($A1057="","",TEXT($A1057,"mmmm/yyyy"))</f>
        <v/>
      </c>
      <c r="P1057">
        <f>IFERROR(_xludf.XLOOKUP($N1057,Base_Enderecos!$A:$A,Base_Enderecos!$B:$B,""),"")</f>
        <v/>
      </c>
      <c r="Q1057">
        <f>IFERROR(_xludf.XLOOKUP($N1057,Base_Enderecos!$A:$A,Base_Enderecos!$C:$C,""),"")</f>
        <v/>
      </c>
      <c r="R1057">
        <f>IF(OR(ISNUMBER(SEARCH("HDD",$F1057)),ISNUMBER(SEARCH("MND",$F1057)),ISNUMBER(SEARCH("PEAD",$F1057)),ISNUMBER(SEARCH("Puxe",$J1057)),ISNUMBER(SEARCH("Apoio HDD",$F1057))),"MND",IF(OR(ISNUMBER(SEARCH("VCA",$F1057)),ISNUMBER(SEARCH("PVC",$F1057)),ISNUMBER(SEARCH("vca",$J1057)),ISNUMBER(SEARCH("Transformação",$J1057))),"VCA",IF(OR(ISNUMBER(SEARCH("crava",$F1057)),ISNUMBER(SEARCH("tubo cravado",$F1057)),ISNUMBER(SEARCH("shaft",$J1057)),ISNUMBER(SEARCH("concreto",$F1057))),"TUBO CRAVADO","")))</f>
        <v/>
      </c>
      <c r="T1057">
        <f>IF($A1057="","",TEXT($A1057,"yyyymm")&amp;"|"&amp;$C1057&amp;"|"&amp;$F1057&amp;"|"&amp;$N1057&amp;"|"&amp;$R1057)</f>
        <v/>
      </c>
    </row>
    <row r="1058" ht="11.55" customHeight="1">
      <c r="A1058" s="10" t="n">
        <v>46081</v>
      </c>
      <c r="B1058" s="7" t="n"/>
      <c r="C1058" s="7" t="inlineStr">
        <is>
          <t>CT MAR DE CORAL</t>
        </is>
      </c>
      <c r="D1058" s="7" t="inlineStr">
        <is>
          <t>LEANDRO</t>
        </is>
      </c>
      <c r="E1058" s="7" t="inlineStr">
        <is>
          <t>Medeiros</t>
        </is>
      </c>
      <c r="F1058" s="13" t="inlineStr">
        <is>
          <t>Apoio HDD PV 41 ao 01</t>
        </is>
      </c>
      <c r="G1058" s="7" t="inlineStr">
        <is>
          <t>41</t>
        </is>
      </c>
      <c r="H1058" s="7" t="n"/>
      <c r="I1058" s="7" t="inlineStr">
        <is>
          <t>41</t>
        </is>
      </c>
      <c r="J1058" s="7" t="inlineStr">
        <is>
          <t>Apoio HDD</t>
        </is>
      </c>
      <c r="K1058" s="7" t="inlineStr">
        <is>
          <t>Planejamento</t>
        </is>
      </c>
      <c r="L1058" s="16" t="inlineStr">
        <is>
          <t>PDS-Fevereiro(1).docx</t>
        </is>
      </c>
      <c r="M1058">
        <f>IF($A1058="","",TEXT($A1058,"mmmm/yyyy"))</f>
        <v/>
      </c>
      <c r="P1058">
        <f>IFERROR(_xludf.XLOOKUP($N1058,Base_Enderecos!$A:$A,Base_Enderecos!$B:$B,""),"")</f>
        <v/>
      </c>
      <c r="Q1058">
        <f>IFERROR(_xludf.XLOOKUP($N1058,Base_Enderecos!$A:$A,Base_Enderecos!$C:$C,""),"")</f>
        <v/>
      </c>
      <c r="R1058">
        <f>IF(OR(ISNUMBER(SEARCH("HDD",$F1058)),ISNUMBER(SEARCH("MND",$F1058)),ISNUMBER(SEARCH("PEAD",$F1058)),ISNUMBER(SEARCH("Puxe",$J1058)),ISNUMBER(SEARCH("Apoio HDD",$F1058))),"MND",IF(OR(ISNUMBER(SEARCH("VCA",$F1058)),ISNUMBER(SEARCH("PVC",$F1058)),ISNUMBER(SEARCH("vca",$J1058)),ISNUMBER(SEARCH("Transformação",$J1058))),"VCA",IF(OR(ISNUMBER(SEARCH("crava",$F1058)),ISNUMBER(SEARCH("tubo cravado",$F1058)),ISNUMBER(SEARCH("shaft",$J1058)),ISNUMBER(SEARCH("concreto",$F1058))),"TUBO CRAVADO","")))</f>
        <v/>
      </c>
      <c r="T1058">
        <f>IF($A1058="","",TEXT($A1058,"yyyymm")&amp;"|"&amp;$C1058&amp;"|"&amp;$F1058&amp;"|"&amp;$N1058&amp;"|"&amp;$R1058)</f>
        <v/>
      </c>
    </row>
    <row r="1059" ht="11.55" customHeight="1">
      <c r="A1059" s="10" t="n">
        <v>46081</v>
      </c>
      <c r="B1059" s="7" t="n"/>
      <c r="C1059" s="7" t="inlineStr">
        <is>
          <t>CT MAR DE CORAL</t>
        </is>
      </c>
      <c r="D1059" s="7" t="inlineStr">
        <is>
          <t>LEANDRO</t>
        </is>
      </c>
      <c r="E1059" s="7" t="inlineStr">
        <is>
          <t>Valter</t>
        </is>
      </c>
      <c r="F1059" s="13" t="inlineStr">
        <is>
          <t>Transformação PV 43.1</t>
        </is>
      </c>
      <c r="G1059" s="7" t="inlineStr">
        <is>
          <t>43.1</t>
        </is>
      </c>
      <c r="H1059" s="7" t="n"/>
      <c r="I1059" s="7" t="inlineStr">
        <is>
          <t>43.1</t>
        </is>
      </c>
      <c r="J1059" s="7" t="inlineStr">
        <is>
          <t>Transformação</t>
        </is>
      </c>
      <c r="K1059" s="7" t="inlineStr">
        <is>
          <t>Planejamento</t>
        </is>
      </c>
      <c r="L1059" s="16" t="inlineStr">
        <is>
          <t>PDS-Fevereiro(1).docx</t>
        </is>
      </c>
      <c r="M1059">
        <f>IF($A1059="","",TEXT($A1059,"mmmm/yyyy"))</f>
        <v/>
      </c>
      <c r="P1059">
        <f>IFERROR(_xludf.XLOOKUP($N1059,Base_Enderecos!$A:$A,Base_Enderecos!$B:$B,""),"")</f>
        <v/>
      </c>
      <c r="Q1059">
        <f>IFERROR(_xludf.XLOOKUP($N1059,Base_Enderecos!$A:$A,Base_Enderecos!$C:$C,""),"")</f>
        <v/>
      </c>
      <c r="R1059">
        <f>IF(OR(ISNUMBER(SEARCH("HDD",$F1059)),ISNUMBER(SEARCH("MND",$F1059)),ISNUMBER(SEARCH("PEAD",$F1059)),ISNUMBER(SEARCH("Puxe",$J1059)),ISNUMBER(SEARCH("Apoio HDD",$F1059))),"MND",IF(OR(ISNUMBER(SEARCH("VCA",$F1059)),ISNUMBER(SEARCH("PVC",$F1059)),ISNUMBER(SEARCH("vca",$J1059)),ISNUMBER(SEARCH("Transformação",$J1059))),"VCA",IF(OR(ISNUMBER(SEARCH("crava",$F1059)),ISNUMBER(SEARCH("tubo cravado",$F1059)),ISNUMBER(SEARCH("shaft",$J1059)),ISNUMBER(SEARCH("concreto",$F1059))),"TUBO CRAVADO","")))</f>
        <v/>
      </c>
      <c r="T1059">
        <f>IF($A1059="","",TEXT($A1059,"yyyymm")&amp;"|"&amp;$C1059&amp;"|"&amp;$F1059&amp;"|"&amp;$N1059&amp;"|"&amp;$R1059)</f>
        <v/>
      </c>
    </row>
    <row r="1060" ht="11.55" customHeight="1">
      <c r="A1060" s="10" t="n">
        <v>46081</v>
      </c>
      <c r="B1060" s="7" t="n"/>
      <c r="C1060" s="7" t="inlineStr">
        <is>
          <t>CT AGUA VERMELHA M.D</t>
        </is>
      </c>
      <c r="D1060" s="7" t="inlineStr">
        <is>
          <t>CAROLINE e ROBSON</t>
        </is>
      </c>
      <c r="E1060" s="7" t="inlineStr">
        <is>
          <t>WJ 02</t>
        </is>
      </c>
      <c r="F1060" s="13" t="inlineStr">
        <is>
          <t>Piloto e Puxe PVD 16 ao PVD 19</t>
        </is>
      </c>
      <c r="G1060" s="7" t="inlineStr">
        <is>
          <t>16</t>
        </is>
      </c>
      <c r="H1060" s="7" t="inlineStr">
        <is>
          <t>19</t>
        </is>
      </c>
      <c r="I1060" s="7" t="inlineStr">
        <is>
          <t>16, 19</t>
        </is>
      </c>
      <c r="J1060" s="7" t="inlineStr">
        <is>
          <t>Piloto e puxe</t>
        </is>
      </c>
      <c r="K1060" s="7" t="inlineStr">
        <is>
          <t>Planejamento</t>
        </is>
      </c>
      <c r="L1060" s="16" t="inlineStr">
        <is>
          <t>PDS-Fevereiro(1).docx</t>
        </is>
      </c>
      <c r="M1060">
        <f>IF($A1060="","",TEXT($A1060,"mmmm/yyyy"))</f>
        <v/>
      </c>
      <c r="P1060">
        <f>IFERROR(_xludf.XLOOKUP($N1060,Base_Enderecos!$A:$A,Base_Enderecos!$B:$B,""),"")</f>
        <v/>
      </c>
      <c r="Q1060">
        <f>IFERROR(_xludf.XLOOKUP($N1060,Base_Enderecos!$A:$A,Base_Enderecos!$C:$C,""),"")</f>
        <v/>
      </c>
      <c r="R1060">
        <f>IF(OR(ISNUMBER(SEARCH("HDD",$F1060)),ISNUMBER(SEARCH("MND",$F1060)),ISNUMBER(SEARCH("PEAD",$F1060)),ISNUMBER(SEARCH("Puxe",$J1060)),ISNUMBER(SEARCH("Apoio HDD",$F1060))),"MND",IF(OR(ISNUMBER(SEARCH("VCA",$F1060)),ISNUMBER(SEARCH("PVC",$F1060)),ISNUMBER(SEARCH("vca",$J1060)),ISNUMBER(SEARCH("Transformação",$J1060))),"VCA",IF(OR(ISNUMBER(SEARCH("crava",$F1060)),ISNUMBER(SEARCH("tubo cravado",$F1060)),ISNUMBER(SEARCH("shaft",$J1060)),ISNUMBER(SEARCH("concreto",$F1060))),"TUBO CRAVADO","")))</f>
        <v/>
      </c>
      <c r="T1060">
        <f>IF($A1060="","",TEXT($A1060,"yyyymm")&amp;"|"&amp;$C1060&amp;"|"&amp;$F1060&amp;"|"&amp;$N1060&amp;"|"&amp;$R1060)</f>
        <v/>
      </c>
    </row>
    <row r="1061" ht="11.55" customHeight="1">
      <c r="A1061" s="10" t="n">
        <v>46081</v>
      </c>
      <c r="B1061" s="7" t="n"/>
      <c r="C1061" s="7" t="inlineStr">
        <is>
          <t>CT AGUA VERMELHA M.D</t>
        </is>
      </c>
      <c r="D1061" s="7" t="inlineStr">
        <is>
          <t>CAROLINE e ROBSON</t>
        </is>
      </c>
      <c r="E1061" s="7" t="inlineStr">
        <is>
          <t>Carlos</t>
        </is>
      </c>
      <c r="F1061" s="13" t="inlineStr">
        <is>
          <t>Apoio HDD entre PVD 16 ao PV 19</t>
        </is>
      </c>
      <c r="G1061" s="7" t="inlineStr">
        <is>
          <t>16</t>
        </is>
      </c>
      <c r="H1061" s="7" t="inlineStr">
        <is>
          <t>19</t>
        </is>
      </c>
      <c r="I1061" s="7" t="inlineStr">
        <is>
          <t>16, 19</t>
        </is>
      </c>
      <c r="J1061" s="7" t="inlineStr">
        <is>
          <t>Apoio HDD</t>
        </is>
      </c>
      <c r="K1061" s="7" t="inlineStr">
        <is>
          <t>Planejamento</t>
        </is>
      </c>
      <c r="L1061" s="16" t="inlineStr">
        <is>
          <t>PDS-Fevereiro(1).docx</t>
        </is>
      </c>
      <c r="M1061">
        <f>IF($A1061="","",TEXT($A1061,"mmmm/yyyy"))</f>
        <v/>
      </c>
      <c r="P1061">
        <f>IFERROR(_xludf.XLOOKUP($N1061,Base_Enderecos!$A:$A,Base_Enderecos!$B:$B,""),"")</f>
        <v/>
      </c>
      <c r="Q1061">
        <f>IFERROR(_xludf.XLOOKUP($N1061,Base_Enderecos!$A:$A,Base_Enderecos!$C:$C,""),"")</f>
        <v/>
      </c>
      <c r="R1061">
        <f>IF(OR(ISNUMBER(SEARCH("HDD",$F1061)),ISNUMBER(SEARCH("MND",$F1061)),ISNUMBER(SEARCH("PEAD",$F1061)),ISNUMBER(SEARCH("Puxe",$J1061)),ISNUMBER(SEARCH("Apoio HDD",$F1061))),"MND",IF(OR(ISNUMBER(SEARCH("VCA",$F1061)),ISNUMBER(SEARCH("PVC",$F1061)),ISNUMBER(SEARCH("vca",$J1061)),ISNUMBER(SEARCH("Transformação",$J1061))),"VCA",IF(OR(ISNUMBER(SEARCH("crava",$F1061)),ISNUMBER(SEARCH("tubo cravado",$F1061)),ISNUMBER(SEARCH("shaft",$J1061)),ISNUMBER(SEARCH("concreto",$F1061))),"TUBO CRAVADO","")))</f>
        <v/>
      </c>
      <c r="T1061">
        <f>IF($A1061="","",TEXT($A1061,"yyyymm")&amp;"|"&amp;$C1061&amp;"|"&amp;$F1061&amp;"|"&amp;$N1061&amp;"|"&amp;$R1061)</f>
        <v/>
      </c>
    </row>
    <row r="1062" ht="11.55" customHeight="1">
      <c r="A1062" s="10" t="n">
        <v>46081</v>
      </c>
      <c r="B1062" s="7" t="n"/>
      <c r="C1062" s="7" t="inlineStr">
        <is>
          <t>CT AGUA VERMELHA M.D</t>
        </is>
      </c>
      <c r="D1062" s="7" t="inlineStr">
        <is>
          <t>CAROLINE e ROBSON</t>
        </is>
      </c>
      <c r="E1062" s="7" t="inlineStr">
        <is>
          <t>WJ 01</t>
        </is>
      </c>
      <c r="F1062" s="13" t="inlineStr">
        <is>
          <t>Interligação PVD 07 ao PVD7.3</t>
        </is>
      </c>
      <c r="G1062" s="7" t="inlineStr">
        <is>
          <t>07</t>
        </is>
      </c>
      <c r="H1062" s="7" t="inlineStr">
        <is>
          <t>7.3</t>
        </is>
      </c>
      <c r="I1062" s="7" t="inlineStr">
        <is>
          <t>07, 7.3</t>
        </is>
      </c>
      <c r="J1062" s="7" t="inlineStr">
        <is>
          <t>Interligação</t>
        </is>
      </c>
      <c r="K1062" s="7" t="inlineStr">
        <is>
          <t>Planejamento</t>
        </is>
      </c>
      <c r="L1062" s="16" t="inlineStr">
        <is>
          <t>PDS-Fevereiro(1).docx</t>
        </is>
      </c>
      <c r="M1062">
        <f>IF($A1062="","",TEXT($A1062,"mmmm/yyyy"))</f>
        <v/>
      </c>
      <c r="P1062">
        <f>IFERROR(_xludf.XLOOKUP($N1062,Base_Enderecos!$A:$A,Base_Enderecos!$B:$B,""),"")</f>
        <v/>
      </c>
      <c r="Q1062">
        <f>IFERROR(_xludf.XLOOKUP($N1062,Base_Enderecos!$A:$A,Base_Enderecos!$C:$C,""),"")</f>
        <v/>
      </c>
      <c r="R1062">
        <f>IF(OR(ISNUMBER(SEARCH("HDD",$F1062)),ISNUMBER(SEARCH("MND",$F1062)),ISNUMBER(SEARCH("PEAD",$F1062)),ISNUMBER(SEARCH("Puxe",$J1062)),ISNUMBER(SEARCH("Apoio HDD",$F1062))),"MND",IF(OR(ISNUMBER(SEARCH("VCA",$F1062)),ISNUMBER(SEARCH("PVC",$F1062)),ISNUMBER(SEARCH("vca",$J1062)),ISNUMBER(SEARCH("Transformação",$J1062))),"VCA",IF(OR(ISNUMBER(SEARCH("crava",$F1062)),ISNUMBER(SEARCH("tubo cravado",$F1062)),ISNUMBER(SEARCH("shaft",$J1062)),ISNUMBER(SEARCH("concreto",$F1062))),"TUBO CRAVADO","")))</f>
        <v/>
      </c>
      <c r="T1062">
        <f>IF($A1062="","",TEXT($A1062,"yyyymm")&amp;"|"&amp;$C1062&amp;"|"&amp;$F1062&amp;"|"&amp;$N1062&amp;"|"&amp;$R1062)</f>
        <v/>
      </c>
    </row>
    <row r="1063" ht="11.55" customHeight="1">
      <c r="A1063" s="10" t="n">
        <v>46081</v>
      </c>
      <c r="B1063" s="7" t="n"/>
      <c r="C1063" s="7" t="inlineStr">
        <is>
          <t>CT AGUA VERMELHA M.D</t>
        </is>
      </c>
      <c r="D1063" s="7" t="inlineStr">
        <is>
          <t>CAROLINE e ROBSON</t>
        </is>
      </c>
      <c r="E1063" s="7" t="inlineStr">
        <is>
          <t>Edivando</t>
        </is>
      </c>
      <c r="F1063" s="13" t="inlineStr">
        <is>
          <t>Apoio HDD PVD 07 ao PVD7.3</t>
        </is>
      </c>
      <c r="G1063" s="7" t="inlineStr">
        <is>
          <t>07</t>
        </is>
      </c>
      <c r="H1063" s="7" t="inlineStr">
        <is>
          <t>7.3</t>
        </is>
      </c>
      <c r="I1063" s="7" t="inlineStr">
        <is>
          <t>07, 7.3</t>
        </is>
      </c>
      <c r="J1063" s="7" t="inlineStr">
        <is>
          <t>Apoio HDD</t>
        </is>
      </c>
      <c r="K1063" s="7" t="inlineStr">
        <is>
          <t>Planejamento</t>
        </is>
      </c>
      <c r="L1063" s="16" t="inlineStr">
        <is>
          <t>PDS-Fevereiro(1).docx</t>
        </is>
      </c>
      <c r="M1063">
        <f>IF($A1063="","",TEXT($A1063,"mmmm/yyyy"))</f>
        <v/>
      </c>
      <c r="P1063">
        <f>IFERROR(_xludf.XLOOKUP($N1063,Base_Enderecos!$A:$A,Base_Enderecos!$B:$B,""),"")</f>
        <v/>
      </c>
      <c r="Q1063">
        <f>IFERROR(_xludf.XLOOKUP($N1063,Base_Enderecos!$A:$A,Base_Enderecos!$C:$C,""),"")</f>
        <v/>
      </c>
      <c r="R1063">
        <f>IF(OR(ISNUMBER(SEARCH("HDD",$F1063)),ISNUMBER(SEARCH("MND",$F1063)),ISNUMBER(SEARCH("PEAD",$F1063)),ISNUMBER(SEARCH("Puxe",$J1063)),ISNUMBER(SEARCH("Apoio HDD",$F1063))),"MND",IF(OR(ISNUMBER(SEARCH("VCA",$F1063)),ISNUMBER(SEARCH("PVC",$F1063)),ISNUMBER(SEARCH("vca",$J1063)),ISNUMBER(SEARCH("Transformação",$J1063))),"VCA",IF(OR(ISNUMBER(SEARCH("crava",$F1063)),ISNUMBER(SEARCH("tubo cravado",$F1063)),ISNUMBER(SEARCH("shaft",$J1063)),ISNUMBER(SEARCH("concreto",$F1063))),"TUBO CRAVADO","")))</f>
        <v/>
      </c>
      <c r="T1063">
        <f>IF($A1063="","",TEXT($A1063,"yyyymm")&amp;"|"&amp;$C1063&amp;"|"&amp;$F1063&amp;"|"&amp;$N1063&amp;"|"&amp;$R1063)</f>
        <v/>
      </c>
    </row>
    <row r="1064" ht="11.55" customHeight="1">
      <c r="A1064" s="10" t="n">
        <v>46081</v>
      </c>
      <c r="B1064" s="7" t="n"/>
      <c r="C1064" s="7" t="inlineStr">
        <is>
          <t>CT AGUA VERMELHA M.D</t>
        </is>
      </c>
      <c r="D1064" s="7" t="inlineStr">
        <is>
          <t>CAROLINE e ROBSON</t>
        </is>
      </c>
      <c r="E1064" s="7" t="inlineStr">
        <is>
          <t>Cidão</t>
        </is>
      </c>
      <c r="F1064" s="13" t="inlineStr">
        <is>
          <t>Shaft PVE 25</t>
        </is>
      </c>
      <c r="G1064" s="7" t="inlineStr">
        <is>
          <t>25</t>
        </is>
      </c>
      <c r="H1064" s="7" t="n"/>
      <c r="I1064" s="7" t="inlineStr">
        <is>
          <t>25</t>
        </is>
      </c>
      <c r="J1064" s="7" t="inlineStr">
        <is>
          <t>Shaft</t>
        </is>
      </c>
      <c r="K1064" s="7" t="inlineStr">
        <is>
          <t>Planejamento</t>
        </is>
      </c>
      <c r="L1064" s="16" t="inlineStr">
        <is>
          <t>PDS-Fevereiro(1).docx</t>
        </is>
      </c>
      <c r="M1064">
        <f>IF($A1064="","",TEXT($A1064,"mmmm/yyyy"))</f>
        <v/>
      </c>
      <c r="P1064">
        <f>IFERROR(_xludf.XLOOKUP($N1064,Base_Enderecos!$A:$A,Base_Enderecos!$B:$B,""),"")</f>
        <v/>
      </c>
      <c r="Q1064">
        <f>IFERROR(_xludf.XLOOKUP($N1064,Base_Enderecos!$A:$A,Base_Enderecos!$C:$C,""),"")</f>
        <v/>
      </c>
      <c r="R1064">
        <f>IF(OR(ISNUMBER(SEARCH("HDD",$F1064)),ISNUMBER(SEARCH("MND",$F1064)),ISNUMBER(SEARCH("PEAD",$F1064)),ISNUMBER(SEARCH("Puxe",$J1064)),ISNUMBER(SEARCH("Apoio HDD",$F1064))),"MND",IF(OR(ISNUMBER(SEARCH("VCA",$F1064)),ISNUMBER(SEARCH("PVC",$F1064)),ISNUMBER(SEARCH("vca",$J1064)),ISNUMBER(SEARCH("Transformação",$J1064))),"VCA",IF(OR(ISNUMBER(SEARCH("crava",$F1064)),ISNUMBER(SEARCH("tubo cravado",$F1064)),ISNUMBER(SEARCH("shaft",$J1064)),ISNUMBER(SEARCH("concreto",$F1064))),"TUBO CRAVADO","")))</f>
        <v/>
      </c>
      <c r="T1064">
        <f>IF($A1064="","",TEXT($A1064,"yyyymm")&amp;"|"&amp;$C1064&amp;"|"&amp;$F1064&amp;"|"&amp;$N1064&amp;"|"&amp;$R1064)</f>
        <v/>
      </c>
    </row>
    <row r="1065" ht="11.55" customHeight="1">
      <c r="A1065" s="10" t="n">
        <v>46081</v>
      </c>
      <c r="B1065" s="7" t="n"/>
      <c r="C1065" s="7" t="inlineStr">
        <is>
          <t>Vacal</t>
        </is>
      </c>
      <c r="D1065" s="7" t="n"/>
      <c r="E1065" s="7" t="inlineStr">
        <is>
          <t>Agua Vermelha</t>
        </is>
      </c>
      <c r="F1065" s="13" t="inlineStr">
        <is>
          <t>Apoio Vacal</t>
        </is>
      </c>
      <c r="G1065" s="7" t="n"/>
      <c r="H1065" s="7" t="n"/>
      <c r="I1065" s="7" t="n"/>
      <c r="J1065" s="7" t="inlineStr">
        <is>
          <t>Vacal</t>
        </is>
      </c>
      <c r="K1065" s="7" t="inlineStr">
        <is>
          <t>Apoio</t>
        </is>
      </c>
      <c r="L1065" s="16" t="inlineStr">
        <is>
          <t>PDS-Fevereiro(1).docx</t>
        </is>
      </c>
      <c r="M1065">
        <f>IF($A1065="","",TEXT($A1065,"mmmm/yyyy"))</f>
        <v/>
      </c>
      <c r="P1065">
        <f>IFERROR(_xludf.XLOOKUP($N1065,Base_Enderecos!$A:$A,Base_Enderecos!$B:$B,""),"")</f>
        <v/>
      </c>
      <c r="Q1065">
        <f>IFERROR(_xludf.XLOOKUP($N1065,Base_Enderecos!$A:$A,Base_Enderecos!$C:$C,""),"")</f>
        <v/>
      </c>
      <c r="R1065">
        <f>IF(OR(ISNUMBER(SEARCH("HDD",$F1065)),ISNUMBER(SEARCH("MND",$F1065)),ISNUMBER(SEARCH("PEAD",$F1065)),ISNUMBER(SEARCH("Puxe",$J1065)),ISNUMBER(SEARCH("Apoio HDD",$F1065))),"MND",IF(OR(ISNUMBER(SEARCH("VCA",$F1065)),ISNUMBER(SEARCH("PVC",$F1065)),ISNUMBER(SEARCH("vca",$J1065)),ISNUMBER(SEARCH("Transformação",$J1065))),"VCA",IF(OR(ISNUMBER(SEARCH("crava",$F1065)),ISNUMBER(SEARCH("tubo cravado",$F1065)),ISNUMBER(SEARCH("shaft",$J1065)),ISNUMBER(SEARCH("concreto",$F1065))),"TUBO CRAVADO","")))</f>
        <v/>
      </c>
      <c r="T1065">
        <f>IF($A1065="","",TEXT($A1065,"yyyymm")&amp;"|"&amp;$C1065&amp;"|"&amp;$F1065&amp;"|"&amp;$N1065&amp;"|"&amp;$R1065)</f>
        <v/>
      </c>
    </row>
    <row r="1066" ht="11.55" customHeight="1">
      <c r="A1066" s="10" t="n">
        <v>46081</v>
      </c>
      <c r="B1066" s="7" t="n"/>
      <c r="C1066" s="7" t="inlineStr">
        <is>
          <t>Vacal</t>
        </is>
      </c>
      <c r="D1066" s="7" t="n"/>
      <c r="E1066" s="7" t="inlineStr">
        <is>
          <t>Agua Vermelha</t>
        </is>
      </c>
      <c r="F1066" s="13" t="inlineStr">
        <is>
          <t>Apoio Vacal</t>
        </is>
      </c>
      <c r="G1066" s="7" t="n"/>
      <c r="H1066" s="7" t="n"/>
      <c r="I1066" s="7" t="n"/>
      <c r="J1066" s="7" t="inlineStr">
        <is>
          <t>Vacal</t>
        </is>
      </c>
      <c r="K1066" s="7" t="inlineStr">
        <is>
          <t>Apoio</t>
        </is>
      </c>
      <c r="L1066" s="16" t="inlineStr">
        <is>
          <t>PDS-Fevereiro(1).docx</t>
        </is>
      </c>
      <c r="M1066">
        <f>IF($A1066="","",TEXT($A1066,"mmmm/yyyy"))</f>
        <v/>
      </c>
      <c r="P1066">
        <f>IFERROR(_xludf.XLOOKUP($N1066,Base_Enderecos!$A:$A,Base_Enderecos!$B:$B,""),"")</f>
        <v/>
      </c>
      <c r="Q1066">
        <f>IFERROR(_xludf.XLOOKUP($N1066,Base_Enderecos!$A:$A,Base_Enderecos!$C:$C,""),"")</f>
        <v/>
      </c>
      <c r="R1066">
        <f>IF(OR(ISNUMBER(SEARCH("HDD",$F1066)),ISNUMBER(SEARCH("MND",$F1066)),ISNUMBER(SEARCH("PEAD",$F1066)),ISNUMBER(SEARCH("Puxe",$J1066)),ISNUMBER(SEARCH("Apoio HDD",$F1066))),"MND",IF(OR(ISNUMBER(SEARCH("VCA",$F1066)),ISNUMBER(SEARCH("PVC",$F1066)),ISNUMBER(SEARCH("vca",$J1066)),ISNUMBER(SEARCH("Transformação",$J1066))),"VCA",IF(OR(ISNUMBER(SEARCH("crava",$F1066)),ISNUMBER(SEARCH("tubo cravado",$F1066)),ISNUMBER(SEARCH("shaft",$J1066)),ISNUMBER(SEARCH("concreto",$F1066))),"TUBO CRAVADO","")))</f>
        <v/>
      </c>
      <c r="T1066">
        <f>IF($A1066="","",TEXT($A1066,"yyyymm")&amp;"|"&amp;$C1066&amp;"|"&amp;$F1066&amp;"|"&amp;$N1066&amp;"|"&amp;$R1066)</f>
        <v/>
      </c>
    </row>
    <row r="1067" ht="11.55" customHeight="1">
      <c r="A1067" s="10" t="n">
        <v>46081</v>
      </c>
      <c r="B1067" s="7" t="n"/>
      <c r="C1067" s="7" t="inlineStr">
        <is>
          <t>Vacal</t>
        </is>
      </c>
      <c r="D1067" s="7" t="n"/>
      <c r="E1067" s="7" t="inlineStr">
        <is>
          <t>Agua Vermelha</t>
        </is>
      </c>
      <c r="F1067" s="13" t="inlineStr">
        <is>
          <t>Apoio Vacal</t>
        </is>
      </c>
      <c r="G1067" s="7" t="n"/>
      <c r="H1067" s="7" t="n"/>
      <c r="I1067" s="7" t="n"/>
      <c r="J1067" s="7" t="inlineStr">
        <is>
          <t>Vacal</t>
        </is>
      </c>
      <c r="K1067" s="7" t="inlineStr">
        <is>
          <t>Apoio</t>
        </is>
      </c>
      <c r="L1067" s="16" t="inlineStr">
        <is>
          <t>PDS-Fevereiro(1).docx</t>
        </is>
      </c>
      <c r="M1067">
        <f>IF($A1067="","",TEXT($A1067,"mmmm/yyyy"))</f>
        <v/>
      </c>
      <c r="P1067">
        <f>IFERROR(_xludf.XLOOKUP($N1067,Base_Enderecos!$A:$A,Base_Enderecos!$B:$B,""),"")</f>
        <v/>
      </c>
      <c r="Q1067">
        <f>IFERROR(_xludf.XLOOKUP($N1067,Base_Enderecos!$A:$A,Base_Enderecos!$C:$C,""),"")</f>
        <v/>
      </c>
      <c r="R1067">
        <f>IF(OR(ISNUMBER(SEARCH("HDD",$F1067)),ISNUMBER(SEARCH("MND",$F1067)),ISNUMBER(SEARCH("PEAD",$F1067)),ISNUMBER(SEARCH("Puxe",$J1067)),ISNUMBER(SEARCH("Apoio HDD",$F1067))),"MND",IF(OR(ISNUMBER(SEARCH("VCA",$F1067)),ISNUMBER(SEARCH("PVC",$F1067)),ISNUMBER(SEARCH("vca",$J1067)),ISNUMBER(SEARCH("Transformação",$J1067))),"VCA",IF(OR(ISNUMBER(SEARCH("crava",$F1067)),ISNUMBER(SEARCH("tubo cravado",$F1067)),ISNUMBER(SEARCH("shaft",$J1067)),ISNUMBER(SEARCH("concreto",$F1067))),"TUBO CRAVADO","")))</f>
        <v/>
      </c>
      <c r="T1067">
        <f>IF($A1067="","",TEXT($A1067,"yyyymm")&amp;"|"&amp;$C1067&amp;"|"&amp;$F1067&amp;"|"&amp;$N1067&amp;"|"&amp;$R1067)</f>
        <v/>
      </c>
    </row>
    <row r="1068" ht="11.55" customHeight="1">
      <c r="A1068" s="10" t="n">
        <v>46083</v>
      </c>
      <c r="B1068" s="7" t="inlineStr">
        <is>
          <t>Segunda</t>
        </is>
      </c>
      <c r="C1068" s="7" t="inlineStr">
        <is>
          <t>CT MAR DE CORAL</t>
        </is>
      </c>
      <c r="D1068" s="7" t="inlineStr">
        <is>
          <t>LEANDRO</t>
        </is>
      </c>
      <c r="E1068" s="7" t="inlineStr">
        <is>
          <t>Paulo</t>
        </is>
      </c>
      <c r="F1068" s="13" t="inlineStr">
        <is>
          <t>Interligação PV 42</t>
        </is>
      </c>
      <c r="G1068" s="7" t="inlineStr">
        <is>
          <t>42</t>
        </is>
      </c>
      <c r="H1068" s="7" t="n"/>
      <c r="I1068" s="7" t="inlineStr">
        <is>
          <t>42</t>
        </is>
      </c>
      <c r="J1068" s="7" t="inlineStr">
        <is>
          <t>Interligação</t>
        </is>
      </c>
      <c r="K1068" s="7" t="inlineStr">
        <is>
          <t>Planejamento</t>
        </is>
      </c>
      <c r="L1068" s="16" t="inlineStr">
        <is>
          <t>PDS-Março(1).docx</t>
        </is>
      </c>
      <c r="M1068">
        <f>IF($A1068="","",TEXT($A1068,"mmmm/yyyy"))</f>
        <v/>
      </c>
      <c r="P1068">
        <f>IFERROR(_xludf.XLOOKUP($N1068,Base_Enderecos!$A:$A,Base_Enderecos!$B:$B,""),"")</f>
        <v/>
      </c>
      <c r="Q1068">
        <f>IFERROR(_xludf.XLOOKUP($N1068,Base_Enderecos!$A:$A,Base_Enderecos!$C:$C,""),"")</f>
        <v/>
      </c>
      <c r="R1068">
        <f>IF(OR(ISNUMBER(SEARCH("HDD",$F1068)),ISNUMBER(SEARCH("MND",$F1068)),ISNUMBER(SEARCH("PEAD",$F1068)),ISNUMBER(SEARCH("Puxe",$J1068)),ISNUMBER(SEARCH("Apoio HDD",$F1068))),"MND",IF(OR(ISNUMBER(SEARCH("VCA",$F1068)),ISNUMBER(SEARCH("PVC",$F1068)),ISNUMBER(SEARCH("vca",$J1068)),ISNUMBER(SEARCH("Transformação",$J1068))),"VCA",IF(OR(ISNUMBER(SEARCH("crava",$F1068)),ISNUMBER(SEARCH("tubo cravado",$F1068)),ISNUMBER(SEARCH("shaft",$J1068)),ISNUMBER(SEARCH("concreto",$F1068))),"TUBO CRAVADO","")))</f>
        <v/>
      </c>
      <c r="T1068">
        <f>IF($A1068="","",TEXT($A1068,"yyyymm")&amp;"|"&amp;$C1068&amp;"|"&amp;$F1068&amp;"|"&amp;$N1068&amp;"|"&amp;$R1068)</f>
        <v/>
      </c>
    </row>
    <row r="1069" ht="11.55" customHeight="1">
      <c r="A1069" s="10" t="n">
        <v>46083</v>
      </c>
      <c r="B1069" s="7" t="inlineStr">
        <is>
          <t>Segunda</t>
        </is>
      </c>
      <c r="C1069" s="7" t="inlineStr">
        <is>
          <t>CT MAR DE CORAL</t>
        </is>
      </c>
      <c r="D1069" s="7" t="inlineStr">
        <is>
          <t>LEANDRO</t>
        </is>
      </c>
      <c r="E1069" s="7" t="inlineStr">
        <is>
          <t>Sergio</t>
        </is>
      </c>
      <c r="F1069" s="13" t="inlineStr">
        <is>
          <t>Interlição PV 18 e 22</t>
        </is>
      </c>
      <c r="G1069" s="7" t="inlineStr">
        <is>
          <t>18</t>
        </is>
      </c>
      <c r="H1069" s="7" t="n"/>
      <c r="I1069" s="7" t="inlineStr">
        <is>
          <t>18</t>
        </is>
      </c>
      <c r="J1069" s="7" t="n"/>
      <c r="K1069" s="7" t="inlineStr">
        <is>
          <t>Planejamento</t>
        </is>
      </c>
      <c r="L1069" s="16" t="inlineStr">
        <is>
          <t>PDS-Março(1).docx</t>
        </is>
      </c>
      <c r="M1069">
        <f>IF($A1069="","",TEXT($A1069,"mmmm/yyyy"))</f>
        <v/>
      </c>
      <c r="P1069">
        <f>IFERROR(_xludf.XLOOKUP($N1069,Base_Enderecos!$A:$A,Base_Enderecos!$B:$B,""),"")</f>
        <v/>
      </c>
      <c r="Q1069">
        <f>IFERROR(_xludf.XLOOKUP($N1069,Base_Enderecos!$A:$A,Base_Enderecos!$C:$C,""),"")</f>
        <v/>
      </c>
      <c r="R1069">
        <f>IF(OR(ISNUMBER(SEARCH("HDD",$F1069)),ISNUMBER(SEARCH("MND",$F1069)),ISNUMBER(SEARCH("PEAD",$F1069)),ISNUMBER(SEARCH("Puxe",$J1069)),ISNUMBER(SEARCH("Apoio HDD",$F1069))),"MND",IF(OR(ISNUMBER(SEARCH("VCA",$F1069)),ISNUMBER(SEARCH("PVC",$F1069)),ISNUMBER(SEARCH("vca",$J1069)),ISNUMBER(SEARCH("Transformação",$J1069))),"VCA",IF(OR(ISNUMBER(SEARCH("crava",$F1069)),ISNUMBER(SEARCH("tubo cravado",$F1069)),ISNUMBER(SEARCH("shaft",$J1069)),ISNUMBER(SEARCH("concreto",$F1069))),"TUBO CRAVADO","")))</f>
        <v/>
      </c>
      <c r="T1069">
        <f>IF($A1069="","",TEXT($A1069,"yyyymm")&amp;"|"&amp;$C1069&amp;"|"&amp;$F1069&amp;"|"&amp;$N1069&amp;"|"&amp;$R1069)</f>
        <v/>
      </c>
    </row>
    <row r="1070" ht="11.55" customHeight="1">
      <c r="A1070" s="10" t="n">
        <v>46083</v>
      </c>
      <c r="B1070" s="7" t="inlineStr">
        <is>
          <t>Segunda</t>
        </is>
      </c>
      <c r="C1070" s="7" t="inlineStr">
        <is>
          <t>CT MAR DE CORAL</t>
        </is>
      </c>
      <c r="D1070" s="7" t="inlineStr">
        <is>
          <t>LEANDRO</t>
        </is>
      </c>
      <c r="E1070" s="7" t="inlineStr">
        <is>
          <t>Goiania Drill</t>
        </is>
      </c>
      <c r="F1070" s="13" t="inlineStr">
        <is>
          <t>Piloto e Puxe PV 41 ao 01</t>
        </is>
      </c>
      <c r="G1070" s="7" t="inlineStr">
        <is>
          <t>41</t>
        </is>
      </c>
      <c r="H1070" s="7" t="n"/>
      <c r="I1070" s="7" t="inlineStr">
        <is>
          <t>41</t>
        </is>
      </c>
      <c r="J1070" s="7" t="inlineStr">
        <is>
          <t>Piloto e puxe</t>
        </is>
      </c>
      <c r="K1070" s="7" t="inlineStr">
        <is>
          <t>Planejamento</t>
        </is>
      </c>
      <c r="L1070" s="16" t="inlineStr">
        <is>
          <t>PDS-Março(1).docx</t>
        </is>
      </c>
      <c r="M1070">
        <f>IF($A1070="","",TEXT($A1070,"mmmm/yyyy"))</f>
        <v/>
      </c>
      <c r="P1070">
        <f>IFERROR(_xludf.XLOOKUP($N1070,Base_Enderecos!$A:$A,Base_Enderecos!$B:$B,""),"")</f>
        <v/>
      </c>
      <c r="Q1070">
        <f>IFERROR(_xludf.XLOOKUP($N1070,Base_Enderecos!$A:$A,Base_Enderecos!$C:$C,""),"")</f>
        <v/>
      </c>
      <c r="R1070">
        <f>IF(OR(ISNUMBER(SEARCH("HDD",$F1070)),ISNUMBER(SEARCH("MND",$F1070)),ISNUMBER(SEARCH("PEAD",$F1070)),ISNUMBER(SEARCH("Puxe",$J1070)),ISNUMBER(SEARCH("Apoio HDD",$F1070))),"MND",IF(OR(ISNUMBER(SEARCH("VCA",$F1070)),ISNUMBER(SEARCH("PVC",$F1070)),ISNUMBER(SEARCH("vca",$J1070)),ISNUMBER(SEARCH("Transformação",$J1070))),"VCA",IF(OR(ISNUMBER(SEARCH("crava",$F1070)),ISNUMBER(SEARCH("tubo cravado",$F1070)),ISNUMBER(SEARCH("shaft",$J1070)),ISNUMBER(SEARCH("concreto",$F1070))),"TUBO CRAVADO","")))</f>
        <v/>
      </c>
      <c r="T1070">
        <f>IF($A1070="","",TEXT($A1070,"yyyymm")&amp;"|"&amp;$C1070&amp;"|"&amp;$F1070&amp;"|"&amp;$N1070&amp;"|"&amp;$R1070)</f>
        <v/>
      </c>
    </row>
    <row r="1071" ht="11.55" customHeight="1">
      <c r="A1071" s="10" t="n">
        <v>46083</v>
      </c>
      <c r="B1071" s="7" t="inlineStr">
        <is>
          <t>Segunda</t>
        </is>
      </c>
      <c r="C1071" s="7" t="inlineStr">
        <is>
          <t>CT MAR DE CORAL</t>
        </is>
      </c>
      <c r="D1071" s="7" t="inlineStr">
        <is>
          <t>LEANDRO</t>
        </is>
      </c>
      <c r="E1071" s="7" t="inlineStr">
        <is>
          <t>Medeiros</t>
        </is>
      </c>
      <c r="F1071" s="13" t="inlineStr">
        <is>
          <t>Apoio HDD PV 41 ao 01</t>
        </is>
      </c>
      <c r="G1071" s="7" t="inlineStr">
        <is>
          <t>41</t>
        </is>
      </c>
      <c r="H1071" s="7" t="n"/>
      <c r="I1071" s="7" t="inlineStr">
        <is>
          <t>41</t>
        </is>
      </c>
      <c r="J1071" s="7" t="inlineStr">
        <is>
          <t>Apoio HDD</t>
        </is>
      </c>
      <c r="K1071" s="7" t="inlineStr">
        <is>
          <t>Planejamento</t>
        </is>
      </c>
      <c r="L1071" s="16" t="inlineStr">
        <is>
          <t>PDS-Março(1).docx</t>
        </is>
      </c>
      <c r="M1071">
        <f>IF($A1071="","",TEXT($A1071,"mmmm/yyyy"))</f>
        <v/>
      </c>
      <c r="P1071">
        <f>IFERROR(_xludf.XLOOKUP($N1071,Base_Enderecos!$A:$A,Base_Enderecos!$B:$B,""),"")</f>
        <v/>
      </c>
      <c r="Q1071">
        <f>IFERROR(_xludf.XLOOKUP($N1071,Base_Enderecos!$A:$A,Base_Enderecos!$C:$C,""),"")</f>
        <v/>
      </c>
      <c r="R1071">
        <f>IF(OR(ISNUMBER(SEARCH("HDD",$F1071)),ISNUMBER(SEARCH("MND",$F1071)),ISNUMBER(SEARCH("PEAD",$F1071)),ISNUMBER(SEARCH("Puxe",$J1071)),ISNUMBER(SEARCH("Apoio HDD",$F1071))),"MND",IF(OR(ISNUMBER(SEARCH("VCA",$F1071)),ISNUMBER(SEARCH("PVC",$F1071)),ISNUMBER(SEARCH("vca",$J1071)),ISNUMBER(SEARCH("Transformação",$J1071))),"VCA",IF(OR(ISNUMBER(SEARCH("crava",$F1071)),ISNUMBER(SEARCH("tubo cravado",$F1071)),ISNUMBER(SEARCH("shaft",$J1071)),ISNUMBER(SEARCH("concreto",$F1071))),"TUBO CRAVADO","")))</f>
        <v/>
      </c>
      <c r="T1071">
        <f>IF($A1071="","",TEXT($A1071,"yyyymm")&amp;"|"&amp;$C1071&amp;"|"&amp;$F1071&amp;"|"&amp;$N1071&amp;"|"&amp;$R1071)</f>
        <v/>
      </c>
    </row>
    <row r="1072" ht="11.55" customHeight="1">
      <c r="A1072" s="10" t="n">
        <v>46083</v>
      </c>
      <c r="B1072" s="7" t="inlineStr">
        <is>
          <t>Segunda</t>
        </is>
      </c>
      <c r="C1072" s="7" t="inlineStr">
        <is>
          <t>CT MAR DE CORAL</t>
        </is>
      </c>
      <c r="D1072" s="7" t="inlineStr">
        <is>
          <t>LEANDRO</t>
        </is>
      </c>
      <c r="E1072" s="7" t="inlineStr">
        <is>
          <t>Valter</t>
        </is>
      </c>
      <c r="F1072" s="13" t="inlineStr">
        <is>
          <t>Interligação PV 45</t>
        </is>
      </c>
      <c r="G1072" s="7" t="inlineStr">
        <is>
          <t>45</t>
        </is>
      </c>
      <c r="H1072" s="7" t="n"/>
      <c r="I1072" s="7" t="inlineStr">
        <is>
          <t>45</t>
        </is>
      </c>
      <c r="J1072" s="7" t="inlineStr">
        <is>
          <t>Interligação</t>
        </is>
      </c>
      <c r="K1072" s="7" t="inlineStr">
        <is>
          <t>Planejamento</t>
        </is>
      </c>
      <c r="L1072" s="16" t="inlineStr">
        <is>
          <t>PDS-Março(1).docx</t>
        </is>
      </c>
      <c r="M1072">
        <f>IF($A1072="","",TEXT($A1072,"mmmm/yyyy"))</f>
        <v/>
      </c>
      <c r="P1072">
        <f>IFERROR(_xludf.XLOOKUP($N1072,Base_Enderecos!$A:$A,Base_Enderecos!$B:$B,""),"")</f>
        <v/>
      </c>
      <c r="Q1072">
        <f>IFERROR(_xludf.XLOOKUP($N1072,Base_Enderecos!$A:$A,Base_Enderecos!$C:$C,""),"")</f>
        <v/>
      </c>
      <c r="R1072">
        <f>IF(OR(ISNUMBER(SEARCH("HDD",$F1072)),ISNUMBER(SEARCH("MND",$F1072)),ISNUMBER(SEARCH("PEAD",$F1072)),ISNUMBER(SEARCH("Puxe",$J1072)),ISNUMBER(SEARCH("Apoio HDD",$F1072))),"MND",IF(OR(ISNUMBER(SEARCH("VCA",$F1072)),ISNUMBER(SEARCH("PVC",$F1072)),ISNUMBER(SEARCH("vca",$J1072)),ISNUMBER(SEARCH("Transformação",$J1072))),"VCA",IF(OR(ISNUMBER(SEARCH("crava",$F1072)),ISNUMBER(SEARCH("tubo cravado",$F1072)),ISNUMBER(SEARCH("shaft",$J1072)),ISNUMBER(SEARCH("concreto",$F1072))),"TUBO CRAVADO","")))</f>
        <v/>
      </c>
      <c r="T1072">
        <f>IF($A1072="","",TEXT($A1072,"yyyymm")&amp;"|"&amp;$C1072&amp;"|"&amp;$F1072&amp;"|"&amp;$N1072&amp;"|"&amp;$R1072)</f>
        <v/>
      </c>
    </row>
    <row r="1073" ht="11.55" customHeight="1">
      <c r="A1073" s="10" t="n">
        <v>46083</v>
      </c>
      <c r="B1073" s="7" t="inlineStr">
        <is>
          <t>Segunda</t>
        </is>
      </c>
      <c r="C1073" s="7" t="inlineStr">
        <is>
          <t>CT AGUA VERMELHA M.D</t>
        </is>
      </c>
      <c r="D1073" s="7" t="inlineStr">
        <is>
          <t>ROBSON</t>
        </is>
      </c>
      <c r="E1073" s="7" t="inlineStr">
        <is>
          <t>Edivando</t>
        </is>
      </c>
      <c r="F1073" s="13" t="inlineStr">
        <is>
          <t>Reparo rede de esgoto</t>
        </is>
      </c>
      <c r="G1073" s="7" t="n"/>
      <c r="H1073" s="7" t="n"/>
      <c r="I1073" s="7" t="n"/>
      <c r="J1073" s="7" t="inlineStr">
        <is>
          <t>Reparo</t>
        </is>
      </c>
      <c r="K1073" s="7" t="inlineStr">
        <is>
          <t>Planejamento</t>
        </is>
      </c>
      <c r="L1073" s="16" t="inlineStr">
        <is>
          <t>PDS-Março(1).docx</t>
        </is>
      </c>
      <c r="M1073">
        <f>IF($A1073="","",TEXT($A1073,"mmmm/yyyy"))</f>
        <v/>
      </c>
      <c r="P1073">
        <f>IFERROR(_xludf.XLOOKUP($N1073,Base_Enderecos!$A:$A,Base_Enderecos!$B:$B,""),"")</f>
        <v/>
      </c>
      <c r="Q1073">
        <f>IFERROR(_xludf.XLOOKUP($N1073,Base_Enderecos!$A:$A,Base_Enderecos!$C:$C,""),"")</f>
        <v/>
      </c>
      <c r="R1073">
        <f>IF(OR(ISNUMBER(SEARCH("HDD",$F1073)),ISNUMBER(SEARCH("MND",$F1073)),ISNUMBER(SEARCH("PEAD",$F1073)),ISNUMBER(SEARCH("Puxe",$J1073)),ISNUMBER(SEARCH("Apoio HDD",$F1073))),"MND",IF(OR(ISNUMBER(SEARCH("VCA",$F1073)),ISNUMBER(SEARCH("PVC",$F1073)),ISNUMBER(SEARCH("vca",$J1073)),ISNUMBER(SEARCH("Transformação",$J1073))),"VCA",IF(OR(ISNUMBER(SEARCH("crava",$F1073)),ISNUMBER(SEARCH("tubo cravado",$F1073)),ISNUMBER(SEARCH("shaft",$J1073)),ISNUMBER(SEARCH("concreto",$F1073))),"TUBO CRAVADO","")))</f>
        <v/>
      </c>
      <c r="T1073">
        <f>IF($A1073="","",TEXT($A1073,"yyyymm")&amp;"|"&amp;$C1073&amp;"|"&amp;$F1073&amp;"|"&amp;$N1073&amp;"|"&amp;$R1073)</f>
        <v/>
      </c>
    </row>
    <row r="1074" ht="11.55" customHeight="1">
      <c r="A1074" s="10" t="n">
        <v>46083</v>
      </c>
      <c r="B1074" s="7" t="inlineStr">
        <is>
          <t>Segunda</t>
        </is>
      </c>
      <c r="C1074" s="7" t="inlineStr">
        <is>
          <t>CT AGUA VERMELHA M.D</t>
        </is>
      </c>
      <c r="D1074" s="7" t="inlineStr">
        <is>
          <t>ROBSON</t>
        </is>
      </c>
      <c r="E1074" s="7" t="inlineStr">
        <is>
          <t>Ricardo</t>
        </is>
      </c>
      <c r="F1074" s="13" t="inlineStr">
        <is>
          <t>Resgate cabeça de puxe PV 19</t>
        </is>
      </c>
      <c r="G1074" s="7" t="inlineStr">
        <is>
          <t>19</t>
        </is>
      </c>
      <c r="H1074" s="7" t="n"/>
      <c r="I1074" s="7" t="inlineStr">
        <is>
          <t>19</t>
        </is>
      </c>
      <c r="J1074" s="7" t="inlineStr">
        <is>
          <t>Puxe</t>
        </is>
      </c>
      <c r="K1074" s="7" t="inlineStr">
        <is>
          <t>Planejamento</t>
        </is>
      </c>
      <c r="L1074" s="16" t="inlineStr">
        <is>
          <t>PDS-Março(1).docx</t>
        </is>
      </c>
      <c r="M1074">
        <f>IF($A1074="","",TEXT($A1074,"mmmm/yyyy"))</f>
        <v/>
      </c>
      <c r="P1074">
        <f>IFERROR(_xludf.XLOOKUP($N1074,Base_Enderecos!$A:$A,Base_Enderecos!$B:$B,""),"")</f>
        <v/>
      </c>
      <c r="Q1074">
        <f>IFERROR(_xludf.XLOOKUP($N1074,Base_Enderecos!$A:$A,Base_Enderecos!$C:$C,""),"")</f>
        <v/>
      </c>
      <c r="R1074">
        <f>IF(OR(ISNUMBER(SEARCH("HDD",$F1074)),ISNUMBER(SEARCH("MND",$F1074)),ISNUMBER(SEARCH("PEAD",$F1074)),ISNUMBER(SEARCH("Puxe",$J1074)),ISNUMBER(SEARCH("Apoio HDD",$F1074))),"MND",IF(OR(ISNUMBER(SEARCH("VCA",$F1074)),ISNUMBER(SEARCH("PVC",$F1074)),ISNUMBER(SEARCH("vca",$J1074)),ISNUMBER(SEARCH("Transformação",$J1074))),"VCA",IF(OR(ISNUMBER(SEARCH("crava",$F1074)),ISNUMBER(SEARCH("tubo cravado",$F1074)),ISNUMBER(SEARCH("shaft",$J1074)),ISNUMBER(SEARCH("concreto",$F1074))),"TUBO CRAVADO","")))</f>
        <v/>
      </c>
      <c r="T1074">
        <f>IF($A1074="","",TEXT($A1074,"yyyymm")&amp;"|"&amp;$C1074&amp;"|"&amp;$F1074&amp;"|"&amp;$N1074&amp;"|"&amp;$R1074)</f>
        <v/>
      </c>
    </row>
    <row r="1075" ht="11.55" customHeight="1">
      <c r="A1075" s="10" t="n">
        <v>46083</v>
      </c>
      <c r="B1075" s="7" t="inlineStr">
        <is>
          <t>Segunda</t>
        </is>
      </c>
      <c r="C1075" s="7" t="inlineStr">
        <is>
          <t>CT AGUA VERMELHA M.D</t>
        </is>
      </c>
      <c r="D1075" s="7" t="inlineStr">
        <is>
          <t>ROBSON</t>
        </is>
      </c>
      <c r="E1075" s="7" t="inlineStr">
        <is>
          <t>WJ 02</t>
        </is>
      </c>
      <c r="F1075" s="13" t="inlineStr">
        <is>
          <t>Furo piloto e puxe entre PVs 10 ao 10.1</t>
        </is>
      </c>
      <c r="G1075" s="7" t="inlineStr">
        <is>
          <t>10</t>
        </is>
      </c>
      <c r="H1075" s="7" t="n"/>
      <c r="I1075" s="7" t="inlineStr">
        <is>
          <t>10</t>
        </is>
      </c>
      <c r="J1075" s="7" t="inlineStr">
        <is>
          <t>Furo piloto</t>
        </is>
      </c>
      <c r="K1075" s="7" t="inlineStr">
        <is>
          <t>Planejamento</t>
        </is>
      </c>
      <c r="L1075" s="16" t="inlineStr">
        <is>
          <t>PDS-Março(1).docx</t>
        </is>
      </c>
      <c r="M1075">
        <f>IF($A1075="","",TEXT($A1075,"mmmm/yyyy"))</f>
        <v/>
      </c>
      <c r="P1075">
        <f>IFERROR(_xludf.XLOOKUP($N1075,Base_Enderecos!$A:$A,Base_Enderecos!$B:$B,""),"")</f>
        <v/>
      </c>
      <c r="Q1075">
        <f>IFERROR(_xludf.XLOOKUP($N1075,Base_Enderecos!$A:$A,Base_Enderecos!$C:$C,""),"")</f>
        <v/>
      </c>
      <c r="R1075">
        <f>IF(OR(ISNUMBER(SEARCH("HDD",$F1075)),ISNUMBER(SEARCH("MND",$F1075)),ISNUMBER(SEARCH("PEAD",$F1075)),ISNUMBER(SEARCH("Puxe",$J1075)),ISNUMBER(SEARCH("Apoio HDD",$F1075))),"MND",IF(OR(ISNUMBER(SEARCH("VCA",$F1075)),ISNUMBER(SEARCH("PVC",$F1075)),ISNUMBER(SEARCH("vca",$J1075)),ISNUMBER(SEARCH("Transformação",$J1075))),"VCA",IF(OR(ISNUMBER(SEARCH("crava",$F1075)),ISNUMBER(SEARCH("tubo cravado",$F1075)),ISNUMBER(SEARCH("shaft",$J1075)),ISNUMBER(SEARCH("concreto",$F1075))),"TUBO CRAVADO","")))</f>
        <v/>
      </c>
      <c r="T1075">
        <f>IF($A1075="","",TEXT($A1075,"yyyymm")&amp;"|"&amp;$C1075&amp;"|"&amp;$F1075&amp;"|"&amp;$N1075&amp;"|"&amp;$R1075)</f>
        <v/>
      </c>
    </row>
    <row r="1076" ht="11.55" customHeight="1">
      <c r="A1076" s="10" t="n">
        <v>46083</v>
      </c>
      <c r="B1076" s="7" t="inlineStr">
        <is>
          <t>Segunda</t>
        </is>
      </c>
      <c r="C1076" s="7" t="inlineStr">
        <is>
          <t>CT AGUA VERMELHA M.D</t>
        </is>
      </c>
      <c r="D1076" s="7" t="inlineStr">
        <is>
          <t>ROBSON</t>
        </is>
      </c>
      <c r="E1076" s="7" t="inlineStr">
        <is>
          <t>Antônio</t>
        </is>
      </c>
      <c r="F1076" s="13" t="inlineStr">
        <is>
          <t>Apoio HDD PVD 07 ao PVD7.3</t>
        </is>
      </c>
      <c r="G1076" s="7" t="inlineStr">
        <is>
          <t>07</t>
        </is>
      </c>
      <c r="H1076" s="7" t="inlineStr">
        <is>
          <t>7.3</t>
        </is>
      </c>
      <c r="I1076" s="7" t="inlineStr">
        <is>
          <t>07, 7.3</t>
        </is>
      </c>
      <c r="J1076" s="7" t="inlineStr">
        <is>
          <t>Apoio HDD</t>
        </is>
      </c>
      <c r="K1076" s="7" t="inlineStr">
        <is>
          <t>Planejamento</t>
        </is>
      </c>
      <c r="L1076" s="16" t="inlineStr">
        <is>
          <t>PDS-Março(1).docx</t>
        </is>
      </c>
      <c r="M1076">
        <f>IF($A1076="","",TEXT($A1076,"mmmm/yyyy"))</f>
        <v/>
      </c>
      <c r="P1076">
        <f>IFERROR(_xludf.XLOOKUP($N1076,Base_Enderecos!$A:$A,Base_Enderecos!$B:$B,""),"")</f>
        <v/>
      </c>
      <c r="Q1076">
        <f>IFERROR(_xludf.XLOOKUP($N1076,Base_Enderecos!$A:$A,Base_Enderecos!$C:$C,""),"")</f>
        <v/>
      </c>
      <c r="R1076">
        <f>IF(OR(ISNUMBER(SEARCH("HDD",$F1076)),ISNUMBER(SEARCH("MND",$F1076)),ISNUMBER(SEARCH("PEAD",$F1076)),ISNUMBER(SEARCH("Puxe",$J1076)),ISNUMBER(SEARCH("Apoio HDD",$F1076))),"MND",IF(OR(ISNUMBER(SEARCH("VCA",$F1076)),ISNUMBER(SEARCH("PVC",$F1076)),ISNUMBER(SEARCH("vca",$J1076)),ISNUMBER(SEARCH("Transformação",$J1076))),"VCA",IF(OR(ISNUMBER(SEARCH("crava",$F1076)),ISNUMBER(SEARCH("tubo cravado",$F1076)),ISNUMBER(SEARCH("shaft",$J1076)),ISNUMBER(SEARCH("concreto",$F1076))),"TUBO CRAVADO","")))</f>
        <v/>
      </c>
      <c r="T1076">
        <f>IF($A1076="","",TEXT($A1076,"yyyymm")&amp;"|"&amp;$C1076&amp;"|"&amp;$F1076&amp;"|"&amp;$N1076&amp;"|"&amp;$R1076)</f>
        <v/>
      </c>
    </row>
    <row r="1077" ht="11.55" customHeight="1">
      <c r="A1077" s="10" t="n">
        <v>46083</v>
      </c>
      <c r="B1077" s="7" t="inlineStr">
        <is>
          <t>Segunda</t>
        </is>
      </c>
      <c r="C1077" s="7" t="inlineStr">
        <is>
          <t>CT AGUA VERMELHA M.E</t>
        </is>
      </c>
      <c r="D1077" s="7" t="inlineStr">
        <is>
          <t>Valmir e Eloizio</t>
        </is>
      </c>
      <c r="E1077" s="7" t="inlineStr">
        <is>
          <t>Cidão</t>
        </is>
      </c>
      <c r="F1077" s="13" t="inlineStr">
        <is>
          <t>Transformação PV 15</t>
        </is>
      </c>
      <c r="G1077" s="7" t="inlineStr">
        <is>
          <t>15</t>
        </is>
      </c>
      <c r="H1077" s="7" t="n"/>
      <c r="I1077" s="7" t="inlineStr">
        <is>
          <t>15</t>
        </is>
      </c>
      <c r="J1077" s="7" t="inlineStr">
        <is>
          <t>Transformação</t>
        </is>
      </c>
      <c r="K1077" s="7" t="inlineStr">
        <is>
          <t>Planejamento</t>
        </is>
      </c>
      <c r="L1077" s="16" t="inlineStr">
        <is>
          <t>PDS-Março(1).docx</t>
        </is>
      </c>
      <c r="M1077">
        <f>IF($A1077="","",TEXT($A1077,"mmmm/yyyy"))</f>
        <v/>
      </c>
      <c r="P1077">
        <f>IFERROR(_xludf.XLOOKUP($N1077,Base_Enderecos!$A:$A,Base_Enderecos!$B:$B,""),"")</f>
        <v/>
      </c>
      <c r="Q1077">
        <f>IFERROR(_xludf.XLOOKUP($N1077,Base_Enderecos!$A:$A,Base_Enderecos!$C:$C,""),"")</f>
        <v/>
      </c>
      <c r="R1077">
        <f>IF(OR(ISNUMBER(SEARCH("HDD",$F1077)),ISNUMBER(SEARCH("MND",$F1077)),ISNUMBER(SEARCH("PEAD",$F1077)),ISNUMBER(SEARCH("Puxe",$J1077)),ISNUMBER(SEARCH("Apoio HDD",$F1077))),"MND",IF(OR(ISNUMBER(SEARCH("VCA",$F1077)),ISNUMBER(SEARCH("PVC",$F1077)),ISNUMBER(SEARCH("vca",$J1077)),ISNUMBER(SEARCH("Transformação",$J1077))),"VCA",IF(OR(ISNUMBER(SEARCH("crava",$F1077)),ISNUMBER(SEARCH("tubo cravado",$F1077)),ISNUMBER(SEARCH("shaft",$J1077)),ISNUMBER(SEARCH("concreto",$F1077))),"TUBO CRAVADO","")))</f>
        <v/>
      </c>
      <c r="T1077">
        <f>IF($A1077="","",TEXT($A1077,"yyyymm")&amp;"|"&amp;$C1077&amp;"|"&amp;$F1077&amp;"|"&amp;$N1077&amp;"|"&amp;$R1077)</f>
        <v/>
      </c>
    </row>
    <row r="1078" ht="11.55" customHeight="1">
      <c r="A1078" s="10" t="n">
        <v>46083</v>
      </c>
      <c r="B1078" s="7" t="inlineStr">
        <is>
          <t>Segunda</t>
        </is>
      </c>
      <c r="C1078" s="7" t="inlineStr">
        <is>
          <t>CT AGUA VERMELHA M.E</t>
        </is>
      </c>
      <c r="D1078" s="7" t="inlineStr">
        <is>
          <t>Valmir e Eloizio</t>
        </is>
      </c>
      <c r="E1078" s="7" t="inlineStr">
        <is>
          <t>Higor</t>
        </is>
      </c>
      <c r="F1078" s="13" t="inlineStr">
        <is>
          <t>Transformação PV 11</t>
        </is>
      </c>
      <c r="G1078" s="7" t="inlineStr">
        <is>
          <t>11</t>
        </is>
      </c>
      <c r="H1078" s="7" t="n"/>
      <c r="I1078" s="7" t="inlineStr">
        <is>
          <t>11</t>
        </is>
      </c>
      <c r="J1078" s="7" t="inlineStr">
        <is>
          <t>Transformação</t>
        </is>
      </c>
      <c r="K1078" s="7" t="inlineStr">
        <is>
          <t>Planejamento</t>
        </is>
      </c>
      <c r="L1078" s="16" t="inlineStr">
        <is>
          <t>PDS-Março(1).docx</t>
        </is>
      </c>
      <c r="M1078">
        <f>IF($A1078="","",TEXT($A1078,"mmmm/yyyy"))</f>
        <v/>
      </c>
      <c r="P1078">
        <f>IFERROR(_xludf.XLOOKUP($N1078,Base_Enderecos!$A:$A,Base_Enderecos!$B:$B,""),"")</f>
        <v/>
      </c>
      <c r="Q1078">
        <f>IFERROR(_xludf.XLOOKUP($N1078,Base_Enderecos!$A:$A,Base_Enderecos!$C:$C,""),"")</f>
        <v/>
      </c>
      <c r="R1078">
        <f>IF(OR(ISNUMBER(SEARCH("HDD",$F1078)),ISNUMBER(SEARCH("MND",$F1078)),ISNUMBER(SEARCH("PEAD",$F1078)),ISNUMBER(SEARCH("Puxe",$J1078)),ISNUMBER(SEARCH("Apoio HDD",$F1078))),"MND",IF(OR(ISNUMBER(SEARCH("VCA",$F1078)),ISNUMBER(SEARCH("PVC",$F1078)),ISNUMBER(SEARCH("vca",$J1078)),ISNUMBER(SEARCH("Transformação",$J1078))),"VCA",IF(OR(ISNUMBER(SEARCH("crava",$F1078)),ISNUMBER(SEARCH("tubo cravado",$F1078)),ISNUMBER(SEARCH("shaft",$J1078)),ISNUMBER(SEARCH("concreto",$F1078))),"TUBO CRAVADO","")))</f>
        <v/>
      </c>
      <c r="T1078">
        <f>IF($A1078="","",TEXT($A1078,"yyyymm")&amp;"|"&amp;$C1078&amp;"|"&amp;$F1078&amp;"|"&amp;$N1078&amp;"|"&amp;$R1078)</f>
        <v/>
      </c>
    </row>
    <row r="1079" ht="11.55" customHeight="1">
      <c r="A1079" s="10" t="n">
        <v>46083</v>
      </c>
      <c r="B1079" s="7" t="inlineStr">
        <is>
          <t>Segunda</t>
        </is>
      </c>
      <c r="C1079" s="7" t="inlineStr">
        <is>
          <t>CT AGUA VERMELHA M.E</t>
        </is>
      </c>
      <c r="D1079" s="7" t="inlineStr">
        <is>
          <t>Valmir e Eloizio</t>
        </is>
      </c>
      <c r="E1079" s="7" t="inlineStr">
        <is>
          <t>Carlos</t>
        </is>
      </c>
      <c r="F1079" s="13" t="inlineStr">
        <is>
          <t>Transformação PV 18</t>
        </is>
      </c>
      <c r="G1079" s="7" t="inlineStr">
        <is>
          <t>18</t>
        </is>
      </c>
      <c r="H1079" s="7" t="n"/>
      <c r="I1079" s="7" t="inlineStr">
        <is>
          <t>18</t>
        </is>
      </c>
      <c r="J1079" s="7" t="inlineStr">
        <is>
          <t>Transformação</t>
        </is>
      </c>
      <c r="K1079" s="7" t="inlineStr">
        <is>
          <t>Planejamento</t>
        </is>
      </c>
      <c r="L1079" s="16" t="inlineStr">
        <is>
          <t>PDS-Março(1).docx</t>
        </is>
      </c>
      <c r="M1079">
        <f>IF($A1079="","",TEXT($A1079,"mmmm/yyyy"))</f>
        <v/>
      </c>
      <c r="P1079">
        <f>IFERROR(_xludf.XLOOKUP($N1079,Base_Enderecos!$A:$A,Base_Enderecos!$B:$B,""),"")</f>
        <v/>
      </c>
      <c r="Q1079">
        <f>IFERROR(_xludf.XLOOKUP($N1079,Base_Enderecos!$A:$A,Base_Enderecos!$C:$C,""),"")</f>
        <v/>
      </c>
      <c r="R1079">
        <f>IF(OR(ISNUMBER(SEARCH("HDD",$F1079)),ISNUMBER(SEARCH("MND",$F1079)),ISNUMBER(SEARCH("PEAD",$F1079)),ISNUMBER(SEARCH("Puxe",$J1079)),ISNUMBER(SEARCH("Apoio HDD",$F1079))),"MND",IF(OR(ISNUMBER(SEARCH("VCA",$F1079)),ISNUMBER(SEARCH("PVC",$F1079)),ISNUMBER(SEARCH("vca",$J1079)),ISNUMBER(SEARCH("Transformação",$J1079))),"VCA",IF(OR(ISNUMBER(SEARCH("crava",$F1079)),ISNUMBER(SEARCH("tubo cravado",$F1079)),ISNUMBER(SEARCH("shaft",$J1079)),ISNUMBER(SEARCH("concreto",$F1079))),"TUBO CRAVADO","")))</f>
        <v/>
      </c>
      <c r="T1079">
        <f>IF($A1079="","",TEXT($A1079,"yyyymm")&amp;"|"&amp;$C1079&amp;"|"&amp;$F1079&amp;"|"&amp;$N1079&amp;"|"&amp;$R1079)</f>
        <v/>
      </c>
    </row>
    <row r="1080" ht="11.55" customHeight="1">
      <c r="A1080" s="10" t="n">
        <v>46083</v>
      </c>
      <c r="B1080" s="7" t="inlineStr">
        <is>
          <t>Segunda</t>
        </is>
      </c>
      <c r="C1080" s="7" t="inlineStr">
        <is>
          <t>CT AGUA VERMELHA M.E</t>
        </is>
      </c>
      <c r="D1080" s="7" t="inlineStr">
        <is>
          <t>Valmir e Eloizio</t>
        </is>
      </c>
      <c r="E1080" s="7" t="inlineStr">
        <is>
          <t>Goiânia Drill</t>
        </is>
      </c>
      <c r="F1080" s="13" t="inlineStr">
        <is>
          <t>Furo piloto entre PVs 21 ao 23</t>
        </is>
      </c>
      <c r="G1080" s="7" t="inlineStr">
        <is>
          <t>21</t>
        </is>
      </c>
      <c r="H1080" s="7" t="n"/>
      <c r="I1080" s="7" t="inlineStr">
        <is>
          <t>21</t>
        </is>
      </c>
      <c r="J1080" s="7" t="inlineStr">
        <is>
          <t>Furo piloto</t>
        </is>
      </c>
      <c r="K1080" s="7" t="inlineStr">
        <is>
          <t>Planejamento</t>
        </is>
      </c>
      <c r="L1080" s="16" t="inlineStr">
        <is>
          <t>PDS-Março(1).docx</t>
        </is>
      </c>
      <c r="M1080">
        <f>IF($A1080="","",TEXT($A1080,"mmmm/yyyy"))</f>
        <v/>
      </c>
      <c r="P1080">
        <f>IFERROR(_xludf.XLOOKUP($N1080,Base_Enderecos!$A:$A,Base_Enderecos!$B:$B,""),"")</f>
        <v/>
      </c>
      <c r="Q1080">
        <f>IFERROR(_xludf.XLOOKUP($N1080,Base_Enderecos!$A:$A,Base_Enderecos!$C:$C,""),"")</f>
        <v/>
      </c>
      <c r="R1080">
        <f>IF(OR(ISNUMBER(SEARCH("HDD",$F1080)),ISNUMBER(SEARCH("MND",$F1080)),ISNUMBER(SEARCH("PEAD",$F1080)),ISNUMBER(SEARCH("Puxe",$J1080)),ISNUMBER(SEARCH("Apoio HDD",$F1080))),"MND",IF(OR(ISNUMBER(SEARCH("VCA",$F1080)),ISNUMBER(SEARCH("PVC",$F1080)),ISNUMBER(SEARCH("vca",$J1080)),ISNUMBER(SEARCH("Transformação",$J1080))),"VCA",IF(OR(ISNUMBER(SEARCH("crava",$F1080)),ISNUMBER(SEARCH("tubo cravado",$F1080)),ISNUMBER(SEARCH("shaft",$J1080)),ISNUMBER(SEARCH("concreto",$F1080))),"TUBO CRAVADO","")))</f>
        <v/>
      </c>
      <c r="T1080">
        <f>IF($A1080="","",TEXT($A1080,"yyyymm")&amp;"|"&amp;$C1080&amp;"|"&amp;$F1080&amp;"|"&amp;$N1080&amp;"|"&amp;$R1080)</f>
        <v/>
      </c>
    </row>
    <row r="1081" ht="11.55" customHeight="1">
      <c r="A1081" s="10" t="n">
        <v>46083</v>
      </c>
      <c r="B1081" s="7" t="inlineStr">
        <is>
          <t>Segunda</t>
        </is>
      </c>
      <c r="C1081" s="7" t="inlineStr">
        <is>
          <t>CT AGUA VERMELHA M.E</t>
        </is>
      </c>
      <c r="D1081" s="7" t="inlineStr">
        <is>
          <t>Valmir e Eloizio</t>
        </is>
      </c>
      <c r="E1081" s="7" t="inlineStr">
        <is>
          <t>Marcio</t>
        </is>
      </c>
      <c r="F1081" s="13" t="inlineStr">
        <is>
          <t>Apoio HDD entre PVs 21 ao 23</t>
        </is>
      </c>
      <c r="G1081" s="7" t="inlineStr">
        <is>
          <t>21</t>
        </is>
      </c>
      <c r="H1081" s="7" t="n"/>
      <c r="I1081" s="7" t="inlineStr">
        <is>
          <t>21</t>
        </is>
      </c>
      <c r="J1081" s="7" t="inlineStr">
        <is>
          <t>Apoio HDD</t>
        </is>
      </c>
      <c r="K1081" s="7" t="inlineStr">
        <is>
          <t>Planejamento</t>
        </is>
      </c>
      <c r="L1081" s="16" t="inlineStr">
        <is>
          <t>PDS-Março(1).docx</t>
        </is>
      </c>
      <c r="M1081">
        <f>IF($A1081="","",TEXT($A1081,"mmmm/yyyy"))</f>
        <v/>
      </c>
      <c r="P1081">
        <f>IFERROR(_xludf.XLOOKUP($N1081,Base_Enderecos!$A:$A,Base_Enderecos!$B:$B,""),"")</f>
        <v/>
      </c>
      <c r="Q1081">
        <f>IFERROR(_xludf.XLOOKUP($N1081,Base_Enderecos!$A:$A,Base_Enderecos!$C:$C,""),"")</f>
        <v/>
      </c>
      <c r="R1081">
        <f>IF(OR(ISNUMBER(SEARCH("HDD",$F1081)),ISNUMBER(SEARCH("MND",$F1081)),ISNUMBER(SEARCH("PEAD",$F1081)),ISNUMBER(SEARCH("Puxe",$J1081)),ISNUMBER(SEARCH("Apoio HDD",$F1081))),"MND",IF(OR(ISNUMBER(SEARCH("VCA",$F1081)),ISNUMBER(SEARCH("PVC",$F1081)),ISNUMBER(SEARCH("vca",$J1081)),ISNUMBER(SEARCH("Transformação",$J1081))),"VCA",IF(OR(ISNUMBER(SEARCH("crava",$F1081)),ISNUMBER(SEARCH("tubo cravado",$F1081)),ISNUMBER(SEARCH("shaft",$J1081)),ISNUMBER(SEARCH("concreto",$F1081))),"TUBO CRAVADO","")))</f>
        <v/>
      </c>
      <c r="T1081">
        <f>IF($A1081="","",TEXT($A1081,"yyyymm")&amp;"|"&amp;$C1081&amp;"|"&amp;$F1081&amp;"|"&amp;$N1081&amp;"|"&amp;$R1081)</f>
        <v/>
      </c>
    </row>
    <row r="1082" ht="11.55" customHeight="1">
      <c r="A1082" s="10" t="n">
        <v>46083</v>
      </c>
      <c r="B1082" s="7" t="inlineStr">
        <is>
          <t>Segunda</t>
        </is>
      </c>
      <c r="C1082" s="7" t="inlineStr">
        <is>
          <t>CT AGUA VERMELHA M.E</t>
        </is>
      </c>
      <c r="D1082" s="7" t="inlineStr">
        <is>
          <t>Valmir e Eloizio</t>
        </is>
      </c>
      <c r="E1082" s="7" t="inlineStr">
        <is>
          <t>Work Drill</t>
        </is>
      </c>
      <c r="F1082" s="13" t="inlineStr">
        <is>
          <t>Furo piloto e puxe entre PVs 17 ao 17.1</t>
        </is>
      </c>
      <c r="G1082" s="7" t="inlineStr">
        <is>
          <t>17</t>
        </is>
      </c>
      <c r="H1082" s="7" t="n"/>
      <c r="I1082" s="7" t="inlineStr">
        <is>
          <t>17</t>
        </is>
      </c>
      <c r="J1082" s="7" t="inlineStr">
        <is>
          <t>Furo piloto</t>
        </is>
      </c>
      <c r="K1082" s="7" t="inlineStr">
        <is>
          <t>Planejamento</t>
        </is>
      </c>
      <c r="L1082" s="16" t="inlineStr">
        <is>
          <t>PDS-Março(1).docx</t>
        </is>
      </c>
      <c r="M1082">
        <f>IF($A1082="","",TEXT($A1082,"mmmm/yyyy"))</f>
        <v/>
      </c>
      <c r="P1082">
        <f>IFERROR(_xludf.XLOOKUP($N1082,Base_Enderecos!$A:$A,Base_Enderecos!$B:$B,""),"")</f>
        <v/>
      </c>
      <c r="Q1082">
        <f>IFERROR(_xludf.XLOOKUP($N1082,Base_Enderecos!$A:$A,Base_Enderecos!$C:$C,""),"")</f>
        <v/>
      </c>
      <c r="R1082">
        <f>IF(OR(ISNUMBER(SEARCH("HDD",$F1082)),ISNUMBER(SEARCH("MND",$F1082)),ISNUMBER(SEARCH("PEAD",$F1082)),ISNUMBER(SEARCH("Puxe",$J1082)),ISNUMBER(SEARCH("Apoio HDD",$F1082))),"MND",IF(OR(ISNUMBER(SEARCH("VCA",$F1082)),ISNUMBER(SEARCH("PVC",$F1082)),ISNUMBER(SEARCH("vca",$J1082)),ISNUMBER(SEARCH("Transformação",$J1082))),"VCA",IF(OR(ISNUMBER(SEARCH("crava",$F1082)),ISNUMBER(SEARCH("tubo cravado",$F1082)),ISNUMBER(SEARCH("shaft",$J1082)),ISNUMBER(SEARCH("concreto",$F1082))),"TUBO CRAVADO","")))</f>
        <v/>
      </c>
      <c r="T1082">
        <f>IF($A1082="","",TEXT($A1082,"yyyymm")&amp;"|"&amp;$C1082&amp;"|"&amp;$F1082&amp;"|"&amp;$N1082&amp;"|"&amp;$R1082)</f>
        <v/>
      </c>
    </row>
    <row r="1083" ht="11.55" customHeight="1">
      <c r="A1083" s="10" t="n">
        <v>46083</v>
      </c>
      <c r="B1083" s="7" t="inlineStr">
        <is>
          <t>Segunda</t>
        </is>
      </c>
      <c r="C1083" s="7" t="inlineStr">
        <is>
          <t>CT AGUA VERMELHA M.E</t>
        </is>
      </c>
      <c r="D1083" s="7" t="inlineStr">
        <is>
          <t>Valmir e Eloizio</t>
        </is>
      </c>
      <c r="E1083" s="7" t="inlineStr">
        <is>
          <t>Adilson</t>
        </is>
      </c>
      <c r="F1083" s="13" t="inlineStr">
        <is>
          <t>Apoio HDD entre PVs 16 ao 17.1</t>
        </is>
      </c>
      <c r="G1083" s="7" t="inlineStr">
        <is>
          <t>16</t>
        </is>
      </c>
      <c r="H1083" s="7" t="n"/>
      <c r="I1083" s="7" t="inlineStr">
        <is>
          <t>16</t>
        </is>
      </c>
      <c r="J1083" s="7" t="inlineStr">
        <is>
          <t>Apoio HDD</t>
        </is>
      </c>
      <c r="K1083" s="7" t="inlineStr">
        <is>
          <t>Planejamento</t>
        </is>
      </c>
      <c r="L1083" s="16" t="inlineStr">
        <is>
          <t>PDS-Março(1).docx</t>
        </is>
      </c>
      <c r="M1083">
        <f>IF($A1083="","",TEXT($A1083,"mmmm/yyyy"))</f>
        <v/>
      </c>
      <c r="P1083">
        <f>IFERROR(_xludf.XLOOKUP($N1083,Base_Enderecos!$A:$A,Base_Enderecos!$B:$B,""),"")</f>
        <v/>
      </c>
      <c r="Q1083">
        <f>IFERROR(_xludf.XLOOKUP($N1083,Base_Enderecos!$A:$A,Base_Enderecos!$C:$C,""),"")</f>
        <v/>
      </c>
      <c r="R1083">
        <f>IF(OR(ISNUMBER(SEARCH("HDD",$F1083)),ISNUMBER(SEARCH("MND",$F1083)),ISNUMBER(SEARCH("PEAD",$F1083)),ISNUMBER(SEARCH("Puxe",$J1083)),ISNUMBER(SEARCH("Apoio HDD",$F1083))),"MND",IF(OR(ISNUMBER(SEARCH("VCA",$F1083)),ISNUMBER(SEARCH("PVC",$F1083)),ISNUMBER(SEARCH("vca",$J1083)),ISNUMBER(SEARCH("Transformação",$J1083))),"VCA",IF(OR(ISNUMBER(SEARCH("crava",$F1083)),ISNUMBER(SEARCH("tubo cravado",$F1083)),ISNUMBER(SEARCH("shaft",$J1083)),ISNUMBER(SEARCH("concreto",$F1083))),"TUBO CRAVADO","")))</f>
        <v/>
      </c>
      <c r="T1083">
        <f>IF($A1083="","",TEXT($A1083,"yyyymm")&amp;"|"&amp;$C1083&amp;"|"&amp;$F1083&amp;"|"&amp;$N1083&amp;"|"&amp;$R1083)</f>
        <v/>
      </c>
    </row>
    <row r="1084" ht="11.55" customHeight="1">
      <c r="A1084" s="10" t="n">
        <v>46083</v>
      </c>
      <c r="B1084" s="7" t="inlineStr">
        <is>
          <t>Segunda</t>
        </is>
      </c>
      <c r="C1084" s="7" t="inlineStr">
        <is>
          <t>Vacal</t>
        </is>
      </c>
      <c r="D1084" s="7" t="n"/>
      <c r="E1084" s="7" t="inlineStr">
        <is>
          <t>Agua Vermelha</t>
        </is>
      </c>
      <c r="F1084" s="13" t="inlineStr">
        <is>
          <t>Apoio Vacal</t>
        </is>
      </c>
      <c r="G1084" s="7" t="n"/>
      <c r="H1084" s="7" t="n"/>
      <c r="I1084" s="7" t="n"/>
      <c r="J1084" s="7" t="inlineStr">
        <is>
          <t>Vacal</t>
        </is>
      </c>
      <c r="K1084" s="7" t="inlineStr">
        <is>
          <t>Apoio</t>
        </is>
      </c>
      <c r="L1084" s="16" t="inlineStr">
        <is>
          <t>PDS-Março(1).docx</t>
        </is>
      </c>
      <c r="M1084">
        <f>IF($A1084="","",TEXT($A1084,"mmmm/yyyy"))</f>
        <v/>
      </c>
      <c r="P1084">
        <f>IFERROR(_xludf.XLOOKUP($N1084,Base_Enderecos!$A:$A,Base_Enderecos!$B:$B,""),"")</f>
        <v/>
      </c>
      <c r="Q1084">
        <f>IFERROR(_xludf.XLOOKUP($N1084,Base_Enderecos!$A:$A,Base_Enderecos!$C:$C,""),"")</f>
        <v/>
      </c>
      <c r="R1084">
        <f>IF(OR(ISNUMBER(SEARCH("HDD",$F1084)),ISNUMBER(SEARCH("MND",$F1084)),ISNUMBER(SEARCH("PEAD",$F1084)),ISNUMBER(SEARCH("Puxe",$J1084)),ISNUMBER(SEARCH("Apoio HDD",$F1084))),"MND",IF(OR(ISNUMBER(SEARCH("VCA",$F1084)),ISNUMBER(SEARCH("PVC",$F1084)),ISNUMBER(SEARCH("vca",$J1084)),ISNUMBER(SEARCH("Transformação",$J1084))),"VCA",IF(OR(ISNUMBER(SEARCH("crava",$F1084)),ISNUMBER(SEARCH("tubo cravado",$F1084)),ISNUMBER(SEARCH("shaft",$J1084)),ISNUMBER(SEARCH("concreto",$F1084))),"TUBO CRAVADO","")))</f>
        <v/>
      </c>
      <c r="T1084">
        <f>IF($A1084="","",TEXT($A1084,"yyyymm")&amp;"|"&amp;$C1084&amp;"|"&amp;$F1084&amp;"|"&amp;$N1084&amp;"|"&amp;$R1084)</f>
        <v/>
      </c>
    </row>
    <row r="1085" ht="11.55" customHeight="1">
      <c r="A1085" s="10" t="n">
        <v>46083</v>
      </c>
      <c r="B1085" s="7" t="inlineStr">
        <is>
          <t>Segunda</t>
        </is>
      </c>
      <c r="C1085" s="7" t="inlineStr">
        <is>
          <t>Vacal</t>
        </is>
      </c>
      <c r="D1085" s="7" t="n"/>
      <c r="E1085" s="7" t="inlineStr">
        <is>
          <t>Agua Vermelha</t>
        </is>
      </c>
      <c r="F1085" s="13" t="inlineStr">
        <is>
          <t>Apoio Vacal</t>
        </is>
      </c>
      <c r="G1085" s="7" t="n"/>
      <c r="H1085" s="7" t="n"/>
      <c r="I1085" s="7" t="n"/>
      <c r="J1085" s="7" t="inlineStr">
        <is>
          <t>Vacal</t>
        </is>
      </c>
      <c r="K1085" s="7" t="inlineStr">
        <is>
          <t>Apoio</t>
        </is>
      </c>
      <c r="L1085" s="16" t="inlineStr">
        <is>
          <t>PDS-Março(1).docx</t>
        </is>
      </c>
      <c r="M1085">
        <f>IF($A1085="","",TEXT($A1085,"mmmm/yyyy"))</f>
        <v/>
      </c>
      <c r="P1085">
        <f>IFERROR(_xludf.XLOOKUP($N1085,Base_Enderecos!$A:$A,Base_Enderecos!$B:$B,""),"")</f>
        <v/>
      </c>
      <c r="Q1085">
        <f>IFERROR(_xludf.XLOOKUP($N1085,Base_Enderecos!$A:$A,Base_Enderecos!$C:$C,""),"")</f>
        <v/>
      </c>
      <c r="R1085">
        <f>IF(OR(ISNUMBER(SEARCH("HDD",$F1085)),ISNUMBER(SEARCH("MND",$F1085)),ISNUMBER(SEARCH("PEAD",$F1085)),ISNUMBER(SEARCH("Puxe",$J1085)),ISNUMBER(SEARCH("Apoio HDD",$F1085))),"MND",IF(OR(ISNUMBER(SEARCH("VCA",$F1085)),ISNUMBER(SEARCH("PVC",$F1085)),ISNUMBER(SEARCH("vca",$J1085)),ISNUMBER(SEARCH("Transformação",$J1085))),"VCA",IF(OR(ISNUMBER(SEARCH("crava",$F1085)),ISNUMBER(SEARCH("tubo cravado",$F1085)),ISNUMBER(SEARCH("shaft",$J1085)),ISNUMBER(SEARCH("concreto",$F1085))),"TUBO CRAVADO","")))</f>
        <v/>
      </c>
      <c r="T1085">
        <f>IF($A1085="","",TEXT($A1085,"yyyymm")&amp;"|"&amp;$C1085&amp;"|"&amp;$F1085&amp;"|"&amp;$N1085&amp;"|"&amp;$R1085)</f>
        <v/>
      </c>
    </row>
    <row r="1086" ht="11.55" customHeight="1">
      <c r="A1086" s="10" t="n">
        <v>46083</v>
      </c>
      <c r="B1086" s="7" t="inlineStr">
        <is>
          <t>Segunda</t>
        </is>
      </c>
      <c r="C1086" s="7" t="inlineStr">
        <is>
          <t>Vacal</t>
        </is>
      </c>
      <c r="D1086" s="7" t="n"/>
      <c r="E1086" s="7" t="inlineStr">
        <is>
          <t>Agua Vermelha</t>
        </is>
      </c>
      <c r="F1086" s="13" t="inlineStr">
        <is>
          <t>Apoio Vacal</t>
        </is>
      </c>
      <c r="G1086" s="7" t="n"/>
      <c r="H1086" s="7" t="n"/>
      <c r="I1086" s="7" t="n"/>
      <c r="J1086" s="7" t="inlineStr">
        <is>
          <t>Vacal</t>
        </is>
      </c>
      <c r="K1086" s="7" t="inlineStr">
        <is>
          <t>Apoio</t>
        </is>
      </c>
      <c r="L1086" s="16" t="inlineStr">
        <is>
          <t>PDS-Março(1).docx</t>
        </is>
      </c>
      <c r="M1086">
        <f>IF($A1086="","",TEXT($A1086,"mmmm/yyyy"))</f>
        <v/>
      </c>
      <c r="P1086">
        <f>IFERROR(_xludf.XLOOKUP($N1086,Base_Enderecos!$A:$A,Base_Enderecos!$B:$B,""),"")</f>
        <v/>
      </c>
      <c r="Q1086">
        <f>IFERROR(_xludf.XLOOKUP($N1086,Base_Enderecos!$A:$A,Base_Enderecos!$C:$C,""),"")</f>
        <v/>
      </c>
      <c r="R1086">
        <f>IF(OR(ISNUMBER(SEARCH("HDD",$F1086)),ISNUMBER(SEARCH("MND",$F1086)),ISNUMBER(SEARCH("PEAD",$F1086)),ISNUMBER(SEARCH("Puxe",$J1086)),ISNUMBER(SEARCH("Apoio HDD",$F1086))),"MND",IF(OR(ISNUMBER(SEARCH("VCA",$F1086)),ISNUMBER(SEARCH("PVC",$F1086)),ISNUMBER(SEARCH("vca",$J1086)),ISNUMBER(SEARCH("Transformação",$J1086))),"VCA",IF(OR(ISNUMBER(SEARCH("crava",$F1086)),ISNUMBER(SEARCH("tubo cravado",$F1086)),ISNUMBER(SEARCH("shaft",$J1086)),ISNUMBER(SEARCH("concreto",$F1086))),"TUBO CRAVADO","")))</f>
        <v/>
      </c>
      <c r="T1086">
        <f>IF($A1086="","",TEXT($A1086,"yyyymm")&amp;"|"&amp;$C1086&amp;"|"&amp;$F1086&amp;"|"&amp;$N1086&amp;"|"&amp;$R1086)</f>
        <v/>
      </c>
    </row>
    <row r="1087" ht="11.55" customHeight="1">
      <c r="A1087" s="10" t="n">
        <v>46083</v>
      </c>
      <c r="B1087" s="7" t="inlineStr">
        <is>
          <t>Segunda</t>
        </is>
      </c>
      <c r="C1087" s="7" t="inlineStr">
        <is>
          <t>Vacal</t>
        </is>
      </c>
      <c r="D1087" s="7" t="n"/>
      <c r="E1087" s="7" t="inlineStr">
        <is>
          <t>Agua Vermelha</t>
        </is>
      </c>
      <c r="F1087" s="13" t="inlineStr">
        <is>
          <t>Apoio Vacal</t>
        </is>
      </c>
      <c r="G1087" s="7" t="n"/>
      <c r="H1087" s="7" t="n"/>
      <c r="I1087" s="7" t="n"/>
      <c r="J1087" s="7" t="inlineStr">
        <is>
          <t>Vacal</t>
        </is>
      </c>
      <c r="K1087" s="7" t="inlineStr">
        <is>
          <t>Apoio</t>
        </is>
      </c>
      <c r="L1087" s="16" t="inlineStr">
        <is>
          <t>PDS-Março(1).docx</t>
        </is>
      </c>
      <c r="M1087">
        <f>IF($A1087="","",TEXT($A1087,"mmmm/yyyy"))</f>
        <v/>
      </c>
      <c r="P1087">
        <f>IFERROR(_xludf.XLOOKUP($N1087,Base_Enderecos!$A:$A,Base_Enderecos!$B:$B,""),"")</f>
        <v/>
      </c>
      <c r="Q1087">
        <f>IFERROR(_xludf.XLOOKUP($N1087,Base_Enderecos!$A:$A,Base_Enderecos!$C:$C,""),"")</f>
        <v/>
      </c>
      <c r="R1087">
        <f>IF(OR(ISNUMBER(SEARCH("HDD",$F1087)),ISNUMBER(SEARCH("MND",$F1087)),ISNUMBER(SEARCH("PEAD",$F1087)),ISNUMBER(SEARCH("Puxe",$J1087)),ISNUMBER(SEARCH("Apoio HDD",$F1087))),"MND",IF(OR(ISNUMBER(SEARCH("VCA",$F1087)),ISNUMBER(SEARCH("PVC",$F1087)),ISNUMBER(SEARCH("vca",$J1087)),ISNUMBER(SEARCH("Transformação",$J1087))),"VCA",IF(OR(ISNUMBER(SEARCH("crava",$F1087)),ISNUMBER(SEARCH("tubo cravado",$F1087)),ISNUMBER(SEARCH("shaft",$J1087)),ISNUMBER(SEARCH("concreto",$F1087))),"TUBO CRAVADO","")))</f>
        <v/>
      </c>
      <c r="T1087">
        <f>IF($A1087="","",TEXT($A1087,"yyyymm")&amp;"|"&amp;$C1087&amp;"|"&amp;$F1087&amp;"|"&amp;$N1087&amp;"|"&amp;$R1087)</f>
        <v/>
      </c>
    </row>
    <row r="1088" ht="11.55" customHeight="1">
      <c r="A1088" s="10" t="n">
        <v>46084</v>
      </c>
      <c r="B1088" s="7" t="inlineStr">
        <is>
          <t>Terça</t>
        </is>
      </c>
      <c r="C1088" s="7" t="inlineStr">
        <is>
          <t>CTS CONCEIÇÃO</t>
        </is>
      </c>
      <c r="D1088" s="7" t="inlineStr">
        <is>
          <t>SILVESTRE</t>
        </is>
      </c>
      <c r="E1088" s="7" t="inlineStr">
        <is>
          <t>Valter</t>
        </is>
      </c>
      <c r="F1088" s="13" t="inlineStr">
        <is>
          <t>Shaft PV 02</t>
        </is>
      </c>
      <c r="G1088" s="7" t="inlineStr">
        <is>
          <t>02</t>
        </is>
      </c>
      <c r="H1088" s="7" t="n"/>
      <c r="I1088" s="7" t="inlineStr">
        <is>
          <t>02</t>
        </is>
      </c>
      <c r="J1088" s="7" t="inlineStr">
        <is>
          <t>Shaft</t>
        </is>
      </c>
      <c r="K1088" s="7" t="inlineStr">
        <is>
          <t>Planejamento</t>
        </is>
      </c>
      <c r="L1088" s="16" t="inlineStr">
        <is>
          <t>PDS-Março(1).docx</t>
        </is>
      </c>
      <c r="M1088">
        <f>IF($A1088="","",TEXT($A1088,"mmmm/yyyy"))</f>
        <v/>
      </c>
      <c r="P1088">
        <f>IFERROR(_xludf.XLOOKUP($N1088,Base_Enderecos!$A:$A,Base_Enderecos!$B:$B,""),"")</f>
        <v/>
      </c>
      <c r="Q1088">
        <f>IFERROR(_xludf.XLOOKUP($N1088,Base_Enderecos!$A:$A,Base_Enderecos!$C:$C,""),"")</f>
        <v/>
      </c>
      <c r="R1088">
        <f>IF(OR(ISNUMBER(SEARCH("HDD",$F1088)),ISNUMBER(SEARCH("MND",$F1088)),ISNUMBER(SEARCH("PEAD",$F1088)),ISNUMBER(SEARCH("Puxe",$J1088)),ISNUMBER(SEARCH("Apoio HDD",$F1088))),"MND",IF(OR(ISNUMBER(SEARCH("VCA",$F1088)),ISNUMBER(SEARCH("PVC",$F1088)),ISNUMBER(SEARCH("vca",$J1088)),ISNUMBER(SEARCH("Transformação",$J1088))),"VCA",IF(OR(ISNUMBER(SEARCH("crava",$F1088)),ISNUMBER(SEARCH("tubo cravado",$F1088)),ISNUMBER(SEARCH("shaft",$J1088)),ISNUMBER(SEARCH("concreto",$F1088))),"TUBO CRAVADO","")))</f>
        <v/>
      </c>
      <c r="T1088">
        <f>IF($A1088="","",TEXT($A1088,"yyyymm")&amp;"|"&amp;$C1088&amp;"|"&amp;$F1088&amp;"|"&amp;$N1088&amp;"|"&amp;$R1088)</f>
        <v/>
      </c>
    </row>
    <row r="1089" ht="11.55" customHeight="1">
      <c r="A1089" s="10" t="n">
        <v>46084</v>
      </c>
      <c r="B1089" s="7" t="inlineStr">
        <is>
          <t>Terça</t>
        </is>
      </c>
      <c r="C1089" s="7" t="inlineStr">
        <is>
          <t>CTS CONCEIÇÃO</t>
        </is>
      </c>
      <c r="D1089" s="7" t="inlineStr">
        <is>
          <t>SILVESTRE</t>
        </is>
      </c>
      <c r="E1089" s="7" t="inlineStr">
        <is>
          <t>Ricardo</t>
        </is>
      </c>
      <c r="F1089" s="13" t="inlineStr">
        <is>
          <t>Shaft PV 06</t>
        </is>
      </c>
      <c r="G1089" s="7" t="inlineStr">
        <is>
          <t>06</t>
        </is>
      </c>
      <c r="H1089" s="7" t="n"/>
      <c r="I1089" s="7" t="inlineStr">
        <is>
          <t>06</t>
        </is>
      </c>
      <c r="J1089" s="7" t="inlineStr">
        <is>
          <t>Shaft</t>
        </is>
      </c>
      <c r="K1089" s="7" t="inlineStr">
        <is>
          <t>Planejamento</t>
        </is>
      </c>
      <c r="L1089" s="16" t="inlineStr">
        <is>
          <t>PDS-Março(1).docx</t>
        </is>
      </c>
      <c r="M1089">
        <f>IF($A1089="","",TEXT($A1089,"mmmm/yyyy"))</f>
        <v/>
      </c>
      <c r="P1089">
        <f>IFERROR(_xludf.XLOOKUP($N1089,Base_Enderecos!$A:$A,Base_Enderecos!$B:$B,""),"")</f>
        <v/>
      </c>
      <c r="Q1089">
        <f>IFERROR(_xludf.XLOOKUP($N1089,Base_Enderecos!$A:$A,Base_Enderecos!$C:$C,""),"")</f>
        <v/>
      </c>
      <c r="R1089">
        <f>IF(OR(ISNUMBER(SEARCH("HDD",$F1089)),ISNUMBER(SEARCH("MND",$F1089)),ISNUMBER(SEARCH("PEAD",$F1089)),ISNUMBER(SEARCH("Puxe",$J1089)),ISNUMBER(SEARCH("Apoio HDD",$F1089))),"MND",IF(OR(ISNUMBER(SEARCH("VCA",$F1089)),ISNUMBER(SEARCH("PVC",$F1089)),ISNUMBER(SEARCH("vca",$J1089)),ISNUMBER(SEARCH("Transformação",$J1089))),"VCA",IF(OR(ISNUMBER(SEARCH("crava",$F1089)),ISNUMBER(SEARCH("tubo cravado",$F1089)),ISNUMBER(SEARCH("shaft",$J1089)),ISNUMBER(SEARCH("concreto",$F1089))),"TUBO CRAVADO","")))</f>
        <v/>
      </c>
      <c r="T1089">
        <f>IF($A1089="","",TEXT($A1089,"yyyymm")&amp;"|"&amp;$C1089&amp;"|"&amp;$F1089&amp;"|"&amp;$N1089&amp;"|"&amp;$R1089)</f>
        <v/>
      </c>
    </row>
    <row r="1090" ht="11.55" customHeight="1">
      <c r="A1090" s="10" t="n">
        <v>46084</v>
      </c>
      <c r="B1090" s="7" t="inlineStr">
        <is>
          <t>Terça</t>
        </is>
      </c>
      <c r="C1090" s="7" t="inlineStr">
        <is>
          <t>CT MAR DE CORAL</t>
        </is>
      </c>
      <c r="D1090" s="7" t="inlineStr">
        <is>
          <t>ROBSON</t>
        </is>
      </c>
      <c r="E1090" s="7" t="inlineStr">
        <is>
          <t>Goiania Drill</t>
        </is>
      </c>
      <c r="F1090" s="13" t="inlineStr">
        <is>
          <t>Piloto e Puxe PV 41 ao 01</t>
        </is>
      </c>
      <c r="G1090" s="7" t="inlineStr">
        <is>
          <t>41</t>
        </is>
      </c>
      <c r="H1090" s="7" t="n"/>
      <c r="I1090" s="7" t="inlineStr">
        <is>
          <t>41</t>
        </is>
      </c>
      <c r="J1090" s="7" t="inlineStr">
        <is>
          <t>Piloto e puxe</t>
        </is>
      </c>
      <c r="K1090" s="7" t="inlineStr">
        <is>
          <t>Planejamento</t>
        </is>
      </c>
      <c r="L1090" s="16" t="inlineStr">
        <is>
          <t>PDS-Março(1).docx</t>
        </is>
      </c>
      <c r="M1090">
        <f>IF($A1090="","",TEXT($A1090,"mmmm/yyyy"))</f>
        <v/>
      </c>
      <c r="P1090">
        <f>IFERROR(_xludf.XLOOKUP($N1090,Base_Enderecos!$A:$A,Base_Enderecos!$B:$B,""),"")</f>
        <v/>
      </c>
      <c r="Q1090">
        <f>IFERROR(_xludf.XLOOKUP($N1090,Base_Enderecos!$A:$A,Base_Enderecos!$C:$C,""),"")</f>
        <v/>
      </c>
      <c r="R1090">
        <f>IF(OR(ISNUMBER(SEARCH("HDD",$F1090)),ISNUMBER(SEARCH("MND",$F1090)),ISNUMBER(SEARCH("PEAD",$F1090)),ISNUMBER(SEARCH("Puxe",$J1090)),ISNUMBER(SEARCH("Apoio HDD",$F1090))),"MND",IF(OR(ISNUMBER(SEARCH("VCA",$F1090)),ISNUMBER(SEARCH("PVC",$F1090)),ISNUMBER(SEARCH("vca",$J1090)),ISNUMBER(SEARCH("Transformação",$J1090))),"VCA",IF(OR(ISNUMBER(SEARCH("crava",$F1090)),ISNUMBER(SEARCH("tubo cravado",$F1090)),ISNUMBER(SEARCH("shaft",$J1090)),ISNUMBER(SEARCH("concreto",$F1090))),"TUBO CRAVADO","")))</f>
        <v/>
      </c>
      <c r="T1090">
        <f>IF($A1090="","",TEXT($A1090,"yyyymm")&amp;"|"&amp;$C1090&amp;"|"&amp;$F1090&amp;"|"&amp;$N1090&amp;"|"&amp;$R1090)</f>
        <v/>
      </c>
    </row>
    <row r="1091" ht="11.55" customHeight="1">
      <c r="A1091" s="10" t="n">
        <v>46084</v>
      </c>
      <c r="B1091" s="7" t="inlineStr">
        <is>
          <t>Terça</t>
        </is>
      </c>
      <c r="C1091" s="7" t="inlineStr">
        <is>
          <t>CT MAR DE CORAL</t>
        </is>
      </c>
      <c r="D1091" s="7" t="inlineStr">
        <is>
          <t>ROBSON</t>
        </is>
      </c>
      <c r="E1091" s="7" t="inlineStr">
        <is>
          <t>Medeiros</t>
        </is>
      </c>
      <c r="F1091" s="13" t="inlineStr">
        <is>
          <t>Apoio HDD PV 41 ao 01</t>
        </is>
      </c>
      <c r="G1091" s="7" t="inlineStr">
        <is>
          <t>41</t>
        </is>
      </c>
      <c r="H1091" s="7" t="n"/>
      <c r="I1091" s="7" t="inlineStr">
        <is>
          <t>41</t>
        </is>
      </c>
      <c r="J1091" s="7" t="inlineStr">
        <is>
          <t>Apoio HDD</t>
        </is>
      </c>
      <c r="K1091" s="7" t="inlineStr">
        <is>
          <t>Planejamento</t>
        </is>
      </c>
      <c r="L1091" s="16" t="inlineStr">
        <is>
          <t>PDS-Março(1).docx</t>
        </is>
      </c>
      <c r="M1091">
        <f>IF($A1091="","",TEXT($A1091,"mmmm/yyyy"))</f>
        <v/>
      </c>
      <c r="P1091">
        <f>IFERROR(_xludf.XLOOKUP($N1091,Base_Enderecos!$A:$A,Base_Enderecos!$B:$B,""),"")</f>
        <v/>
      </c>
      <c r="Q1091">
        <f>IFERROR(_xludf.XLOOKUP($N1091,Base_Enderecos!$A:$A,Base_Enderecos!$C:$C,""),"")</f>
        <v/>
      </c>
      <c r="R1091">
        <f>IF(OR(ISNUMBER(SEARCH("HDD",$F1091)),ISNUMBER(SEARCH("MND",$F1091)),ISNUMBER(SEARCH("PEAD",$F1091)),ISNUMBER(SEARCH("Puxe",$J1091)),ISNUMBER(SEARCH("Apoio HDD",$F1091))),"MND",IF(OR(ISNUMBER(SEARCH("VCA",$F1091)),ISNUMBER(SEARCH("PVC",$F1091)),ISNUMBER(SEARCH("vca",$J1091)),ISNUMBER(SEARCH("Transformação",$J1091))),"VCA",IF(OR(ISNUMBER(SEARCH("crava",$F1091)),ISNUMBER(SEARCH("tubo cravado",$F1091)),ISNUMBER(SEARCH("shaft",$J1091)),ISNUMBER(SEARCH("concreto",$F1091))),"TUBO CRAVADO","")))</f>
        <v/>
      </c>
      <c r="T1091">
        <f>IF($A1091="","",TEXT($A1091,"yyyymm")&amp;"|"&amp;$C1091&amp;"|"&amp;$F1091&amp;"|"&amp;$N1091&amp;"|"&amp;$R1091)</f>
        <v/>
      </c>
    </row>
    <row r="1092" ht="11.55" customHeight="1">
      <c r="A1092" s="10" t="n">
        <v>46084</v>
      </c>
      <c r="B1092" s="7" t="inlineStr">
        <is>
          <t>Terça</t>
        </is>
      </c>
      <c r="C1092" s="7" t="inlineStr">
        <is>
          <t>CT AGUA VERMELHA M.D</t>
        </is>
      </c>
      <c r="D1092" s="7" t="inlineStr">
        <is>
          <t>CAROLINE e FABIO</t>
        </is>
      </c>
      <c r="E1092" s="7" t="inlineStr">
        <is>
          <t>WJ 02</t>
        </is>
      </c>
      <c r="F1092" s="13" t="inlineStr">
        <is>
          <t>Piloto e Puxe PVD 10 ao PVD 10.1</t>
        </is>
      </c>
      <c r="G1092" s="7" t="inlineStr">
        <is>
          <t>10</t>
        </is>
      </c>
      <c r="H1092" s="7" t="inlineStr">
        <is>
          <t>10.1</t>
        </is>
      </c>
      <c r="I1092" s="7" t="inlineStr">
        <is>
          <t>10, 10.1</t>
        </is>
      </c>
      <c r="J1092" s="7" t="inlineStr">
        <is>
          <t>Piloto e puxe</t>
        </is>
      </c>
      <c r="K1092" s="7" t="inlineStr">
        <is>
          <t>Planejamento</t>
        </is>
      </c>
      <c r="L1092" s="16" t="inlineStr">
        <is>
          <t>PDS-Março(1).docx</t>
        </is>
      </c>
      <c r="M1092">
        <f>IF($A1092="","",TEXT($A1092,"mmmm/yyyy"))</f>
        <v/>
      </c>
      <c r="P1092">
        <f>IFERROR(_xludf.XLOOKUP($N1092,Base_Enderecos!$A:$A,Base_Enderecos!$B:$B,""),"")</f>
        <v/>
      </c>
      <c r="Q1092">
        <f>IFERROR(_xludf.XLOOKUP($N1092,Base_Enderecos!$A:$A,Base_Enderecos!$C:$C,""),"")</f>
        <v/>
      </c>
      <c r="R1092">
        <f>IF(OR(ISNUMBER(SEARCH("HDD",$F1092)),ISNUMBER(SEARCH("MND",$F1092)),ISNUMBER(SEARCH("PEAD",$F1092)),ISNUMBER(SEARCH("Puxe",$J1092)),ISNUMBER(SEARCH("Apoio HDD",$F1092))),"MND",IF(OR(ISNUMBER(SEARCH("VCA",$F1092)),ISNUMBER(SEARCH("PVC",$F1092)),ISNUMBER(SEARCH("vca",$J1092)),ISNUMBER(SEARCH("Transformação",$J1092))),"VCA",IF(OR(ISNUMBER(SEARCH("crava",$F1092)),ISNUMBER(SEARCH("tubo cravado",$F1092)),ISNUMBER(SEARCH("shaft",$J1092)),ISNUMBER(SEARCH("concreto",$F1092))),"TUBO CRAVADO","")))</f>
        <v/>
      </c>
      <c r="T1092">
        <f>IF($A1092="","",TEXT($A1092,"yyyymm")&amp;"|"&amp;$C1092&amp;"|"&amp;$F1092&amp;"|"&amp;$N1092&amp;"|"&amp;$R1092)</f>
        <v/>
      </c>
    </row>
    <row r="1093" ht="11.55" customHeight="1">
      <c r="A1093" s="10" t="n">
        <v>46084</v>
      </c>
      <c r="B1093" s="7" t="inlineStr">
        <is>
          <t>Terça</t>
        </is>
      </c>
      <c r="C1093" s="7" t="inlineStr">
        <is>
          <t>CT AGUA VERMELHA M.D</t>
        </is>
      </c>
      <c r="D1093" s="7" t="inlineStr">
        <is>
          <t>CAROLINE e FABIO</t>
        </is>
      </c>
      <c r="E1093" s="7" t="inlineStr">
        <is>
          <t>Johnatam</t>
        </is>
      </c>
      <c r="F1093" s="13" t="inlineStr">
        <is>
          <t>Apoio HDD PVD 10 ao PV 10.1</t>
        </is>
      </c>
      <c r="G1093" s="7" t="inlineStr">
        <is>
          <t>10</t>
        </is>
      </c>
      <c r="H1093" s="7" t="inlineStr">
        <is>
          <t>10.1</t>
        </is>
      </c>
      <c r="I1093" s="7" t="inlineStr">
        <is>
          <t>10, 10.1</t>
        </is>
      </c>
      <c r="J1093" s="7" t="inlineStr">
        <is>
          <t>Apoio HDD</t>
        </is>
      </c>
      <c r="K1093" s="7" t="inlineStr">
        <is>
          <t>Planejamento</t>
        </is>
      </c>
      <c r="L1093" s="16" t="inlineStr">
        <is>
          <t>PDS-Março(1).docx</t>
        </is>
      </c>
      <c r="M1093">
        <f>IF($A1093="","",TEXT($A1093,"mmmm/yyyy"))</f>
        <v/>
      </c>
      <c r="P1093">
        <f>IFERROR(_xludf.XLOOKUP($N1093,Base_Enderecos!$A:$A,Base_Enderecos!$B:$B,""),"")</f>
        <v/>
      </c>
      <c r="Q1093">
        <f>IFERROR(_xludf.XLOOKUP($N1093,Base_Enderecos!$A:$A,Base_Enderecos!$C:$C,""),"")</f>
        <v/>
      </c>
      <c r="R1093">
        <f>IF(OR(ISNUMBER(SEARCH("HDD",$F1093)),ISNUMBER(SEARCH("MND",$F1093)),ISNUMBER(SEARCH("PEAD",$F1093)),ISNUMBER(SEARCH("Puxe",$J1093)),ISNUMBER(SEARCH("Apoio HDD",$F1093))),"MND",IF(OR(ISNUMBER(SEARCH("VCA",$F1093)),ISNUMBER(SEARCH("PVC",$F1093)),ISNUMBER(SEARCH("vca",$J1093)),ISNUMBER(SEARCH("Transformação",$J1093))),"VCA",IF(OR(ISNUMBER(SEARCH("crava",$F1093)),ISNUMBER(SEARCH("tubo cravado",$F1093)),ISNUMBER(SEARCH("shaft",$J1093)),ISNUMBER(SEARCH("concreto",$F1093))),"TUBO CRAVADO","")))</f>
        <v/>
      </c>
      <c r="T1093">
        <f>IF($A1093="","",TEXT($A1093,"yyyymm")&amp;"|"&amp;$C1093&amp;"|"&amp;$F1093&amp;"|"&amp;$N1093&amp;"|"&amp;$R1093)</f>
        <v/>
      </c>
    </row>
    <row r="1094" ht="11.55" customHeight="1">
      <c r="A1094" s="10" t="n">
        <v>46084</v>
      </c>
      <c r="B1094" s="7" t="inlineStr">
        <is>
          <t>Terça</t>
        </is>
      </c>
      <c r="C1094" s="7" t="inlineStr">
        <is>
          <t>CT AGUA VERMELHA M.D</t>
        </is>
      </c>
      <c r="D1094" s="7" t="inlineStr">
        <is>
          <t>CAROLINE e FABIO</t>
        </is>
      </c>
      <c r="E1094" s="7" t="inlineStr">
        <is>
          <t>Edivando</t>
        </is>
      </c>
      <c r="F1094" s="13" t="inlineStr">
        <is>
          <t>Transformação PVD 07</t>
        </is>
      </c>
      <c r="G1094" s="7" t="inlineStr">
        <is>
          <t>07</t>
        </is>
      </c>
      <c r="H1094" s="7" t="n"/>
      <c r="I1094" s="7" t="inlineStr">
        <is>
          <t>07</t>
        </is>
      </c>
      <c r="J1094" s="7" t="inlineStr">
        <is>
          <t>Transformação</t>
        </is>
      </c>
      <c r="K1094" s="7" t="inlineStr">
        <is>
          <t>Planejamento</t>
        </is>
      </c>
      <c r="L1094" s="16" t="inlineStr">
        <is>
          <t>PDS-Março(1).docx</t>
        </is>
      </c>
      <c r="M1094">
        <f>IF($A1094="","",TEXT($A1094,"mmmm/yyyy"))</f>
        <v/>
      </c>
      <c r="P1094">
        <f>IFERROR(_xludf.XLOOKUP($N1094,Base_Enderecos!$A:$A,Base_Enderecos!$B:$B,""),"")</f>
        <v/>
      </c>
      <c r="Q1094">
        <f>IFERROR(_xludf.XLOOKUP($N1094,Base_Enderecos!$A:$A,Base_Enderecos!$C:$C,""),"")</f>
        <v/>
      </c>
      <c r="R1094">
        <f>IF(OR(ISNUMBER(SEARCH("HDD",$F1094)),ISNUMBER(SEARCH("MND",$F1094)),ISNUMBER(SEARCH("PEAD",$F1094)),ISNUMBER(SEARCH("Puxe",$J1094)),ISNUMBER(SEARCH("Apoio HDD",$F1094))),"MND",IF(OR(ISNUMBER(SEARCH("VCA",$F1094)),ISNUMBER(SEARCH("PVC",$F1094)),ISNUMBER(SEARCH("vca",$J1094)),ISNUMBER(SEARCH("Transformação",$J1094))),"VCA",IF(OR(ISNUMBER(SEARCH("crava",$F1094)),ISNUMBER(SEARCH("tubo cravado",$F1094)),ISNUMBER(SEARCH("shaft",$J1094)),ISNUMBER(SEARCH("concreto",$F1094))),"TUBO CRAVADO","")))</f>
        <v/>
      </c>
      <c r="T1094">
        <f>IF($A1094="","",TEXT($A1094,"yyyymm")&amp;"|"&amp;$C1094&amp;"|"&amp;$F1094&amp;"|"&amp;$N1094&amp;"|"&amp;$R1094)</f>
        <v/>
      </c>
    </row>
    <row r="1095" ht="11.55" customHeight="1">
      <c r="A1095" s="10" t="n">
        <v>46084</v>
      </c>
      <c r="B1095" s="7" t="inlineStr">
        <is>
          <t>Terça</t>
        </is>
      </c>
      <c r="C1095" s="7" t="inlineStr">
        <is>
          <t>CT AGUA VERMELHA M.D</t>
        </is>
      </c>
      <c r="D1095" s="7" t="inlineStr">
        <is>
          <t>CAROLINE e FABIO</t>
        </is>
      </c>
      <c r="E1095" s="7" t="inlineStr">
        <is>
          <t>Marcelo</t>
        </is>
      </c>
      <c r="F1095" s="13" t="inlineStr">
        <is>
          <t>Transformação PVD 06</t>
        </is>
      </c>
      <c r="G1095" s="7" t="inlineStr">
        <is>
          <t>06</t>
        </is>
      </c>
      <c r="H1095" s="7" t="n"/>
      <c r="I1095" s="7" t="inlineStr">
        <is>
          <t>06</t>
        </is>
      </c>
      <c r="J1095" s="7" t="inlineStr">
        <is>
          <t>Transformação</t>
        </is>
      </c>
      <c r="K1095" s="7" t="inlineStr">
        <is>
          <t>Planejamento</t>
        </is>
      </c>
      <c r="L1095" s="16" t="inlineStr">
        <is>
          <t>PDS-Março(1).docx</t>
        </is>
      </c>
      <c r="M1095">
        <f>IF($A1095="","",TEXT($A1095,"mmmm/yyyy"))</f>
        <v/>
      </c>
      <c r="P1095">
        <f>IFERROR(_xludf.XLOOKUP($N1095,Base_Enderecos!$A:$A,Base_Enderecos!$B:$B,""),"")</f>
        <v/>
      </c>
      <c r="Q1095">
        <f>IFERROR(_xludf.XLOOKUP($N1095,Base_Enderecos!$A:$A,Base_Enderecos!$C:$C,""),"")</f>
        <v/>
      </c>
      <c r="R1095">
        <f>IF(OR(ISNUMBER(SEARCH("HDD",$F1095)),ISNUMBER(SEARCH("MND",$F1095)),ISNUMBER(SEARCH("PEAD",$F1095)),ISNUMBER(SEARCH("Puxe",$J1095)),ISNUMBER(SEARCH("Apoio HDD",$F1095))),"MND",IF(OR(ISNUMBER(SEARCH("VCA",$F1095)),ISNUMBER(SEARCH("PVC",$F1095)),ISNUMBER(SEARCH("vca",$J1095)),ISNUMBER(SEARCH("Transformação",$J1095))),"VCA",IF(OR(ISNUMBER(SEARCH("crava",$F1095)),ISNUMBER(SEARCH("tubo cravado",$F1095)),ISNUMBER(SEARCH("shaft",$J1095)),ISNUMBER(SEARCH("concreto",$F1095))),"TUBO CRAVADO","")))</f>
        <v/>
      </c>
      <c r="T1095">
        <f>IF($A1095="","",TEXT($A1095,"yyyymm")&amp;"|"&amp;$C1095&amp;"|"&amp;$F1095&amp;"|"&amp;$N1095&amp;"|"&amp;$R1095)</f>
        <v/>
      </c>
    </row>
    <row r="1096" ht="11.55" customHeight="1">
      <c r="A1096" s="10" t="n">
        <v>46084</v>
      </c>
      <c r="B1096" s="7" t="inlineStr">
        <is>
          <t>Terça</t>
        </is>
      </c>
      <c r="C1096" s="7" t="inlineStr">
        <is>
          <t>CT AGUA VERMELHA M.D</t>
        </is>
      </c>
      <c r="D1096" s="7" t="inlineStr">
        <is>
          <t>CAROLINE e FABIO</t>
        </is>
      </c>
      <c r="E1096" s="7" t="inlineStr">
        <is>
          <t>Antonio</t>
        </is>
      </c>
      <c r="F1096" s="13" t="inlineStr">
        <is>
          <t>Aterro reparo esgoto</t>
        </is>
      </c>
      <c r="G1096" s="7" t="n"/>
      <c r="H1096" s="7" t="n"/>
      <c r="I1096" s="7" t="n"/>
      <c r="J1096" s="7" t="inlineStr">
        <is>
          <t>Reparo</t>
        </is>
      </c>
      <c r="K1096" s="7" t="inlineStr">
        <is>
          <t>Planejamento</t>
        </is>
      </c>
      <c r="L1096" s="16" t="inlineStr">
        <is>
          <t>PDS-Março(1).docx</t>
        </is>
      </c>
      <c r="M1096">
        <f>IF($A1096="","",TEXT($A1096,"mmmm/yyyy"))</f>
        <v/>
      </c>
      <c r="P1096">
        <f>IFERROR(_xludf.XLOOKUP($N1096,Base_Enderecos!$A:$A,Base_Enderecos!$B:$B,""),"")</f>
        <v/>
      </c>
      <c r="Q1096">
        <f>IFERROR(_xludf.XLOOKUP($N1096,Base_Enderecos!$A:$A,Base_Enderecos!$C:$C,""),"")</f>
        <v/>
      </c>
      <c r="R1096">
        <f>IF(OR(ISNUMBER(SEARCH("HDD",$F1096)),ISNUMBER(SEARCH("MND",$F1096)),ISNUMBER(SEARCH("PEAD",$F1096)),ISNUMBER(SEARCH("Puxe",$J1096)),ISNUMBER(SEARCH("Apoio HDD",$F1096))),"MND",IF(OR(ISNUMBER(SEARCH("VCA",$F1096)),ISNUMBER(SEARCH("PVC",$F1096)),ISNUMBER(SEARCH("vca",$J1096)),ISNUMBER(SEARCH("Transformação",$J1096))),"VCA",IF(OR(ISNUMBER(SEARCH("crava",$F1096)),ISNUMBER(SEARCH("tubo cravado",$F1096)),ISNUMBER(SEARCH("shaft",$J1096)),ISNUMBER(SEARCH("concreto",$F1096))),"TUBO CRAVADO","")))</f>
        <v/>
      </c>
      <c r="T1096">
        <f>IF($A1096="","",TEXT($A1096,"yyyymm")&amp;"|"&amp;$C1096&amp;"|"&amp;$F1096&amp;"|"&amp;$N1096&amp;"|"&amp;$R1096)</f>
        <v/>
      </c>
    </row>
    <row r="1097" ht="11.55" customHeight="1">
      <c r="A1097" s="10" t="n">
        <v>46084</v>
      </c>
      <c r="B1097" s="7" t="inlineStr">
        <is>
          <t>Terça</t>
        </is>
      </c>
      <c r="C1097" s="7" t="inlineStr">
        <is>
          <t>CT AGUA VERMELHA M.E</t>
        </is>
      </c>
      <c r="D1097" s="7" t="inlineStr">
        <is>
          <t>Valmir e Eloízio</t>
        </is>
      </c>
      <c r="E1097" s="7" t="inlineStr">
        <is>
          <t>Cidão</t>
        </is>
      </c>
      <c r="F1097" s="13" t="inlineStr">
        <is>
          <t>Transformação PVE 15</t>
        </is>
      </c>
      <c r="G1097" s="7" t="inlineStr">
        <is>
          <t>15</t>
        </is>
      </c>
      <c r="H1097" s="7" t="n"/>
      <c r="I1097" s="7" t="inlineStr">
        <is>
          <t>15</t>
        </is>
      </c>
      <c r="J1097" s="7" t="inlineStr">
        <is>
          <t>Transformação</t>
        </is>
      </c>
      <c r="K1097" s="7" t="inlineStr">
        <is>
          <t>Planejamento</t>
        </is>
      </c>
      <c r="L1097" s="16" t="inlineStr">
        <is>
          <t>PDS-Março(1).docx</t>
        </is>
      </c>
      <c r="M1097">
        <f>IF($A1097="","",TEXT($A1097,"mmmm/yyyy"))</f>
        <v/>
      </c>
      <c r="P1097">
        <f>IFERROR(_xludf.XLOOKUP($N1097,Base_Enderecos!$A:$A,Base_Enderecos!$B:$B,""),"")</f>
        <v/>
      </c>
      <c r="Q1097">
        <f>IFERROR(_xludf.XLOOKUP($N1097,Base_Enderecos!$A:$A,Base_Enderecos!$C:$C,""),"")</f>
        <v/>
      </c>
      <c r="R1097">
        <f>IF(OR(ISNUMBER(SEARCH("HDD",$F1097)),ISNUMBER(SEARCH("MND",$F1097)),ISNUMBER(SEARCH("PEAD",$F1097)),ISNUMBER(SEARCH("Puxe",$J1097)),ISNUMBER(SEARCH("Apoio HDD",$F1097))),"MND",IF(OR(ISNUMBER(SEARCH("VCA",$F1097)),ISNUMBER(SEARCH("PVC",$F1097)),ISNUMBER(SEARCH("vca",$J1097)),ISNUMBER(SEARCH("Transformação",$J1097))),"VCA",IF(OR(ISNUMBER(SEARCH("crava",$F1097)),ISNUMBER(SEARCH("tubo cravado",$F1097)),ISNUMBER(SEARCH("shaft",$J1097)),ISNUMBER(SEARCH("concreto",$F1097))),"TUBO CRAVADO","")))</f>
        <v/>
      </c>
      <c r="T1097">
        <f>IF($A1097="","",TEXT($A1097,"yyyymm")&amp;"|"&amp;$C1097&amp;"|"&amp;$F1097&amp;"|"&amp;$N1097&amp;"|"&amp;$R1097)</f>
        <v/>
      </c>
    </row>
    <row r="1098" ht="11.55" customHeight="1">
      <c r="A1098" s="10" t="n">
        <v>46084</v>
      </c>
      <c r="B1098" s="7" t="inlineStr">
        <is>
          <t>Terça</t>
        </is>
      </c>
      <c r="C1098" s="7" t="inlineStr">
        <is>
          <t>CT AGUA VERMELHA M.E</t>
        </is>
      </c>
      <c r="D1098" s="7" t="inlineStr">
        <is>
          <t>Valmir e Eloízio</t>
        </is>
      </c>
      <c r="E1098" s="7" t="inlineStr">
        <is>
          <t>Carlos</t>
        </is>
      </c>
      <c r="F1098" s="13" t="inlineStr">
        <is>
          <t>Transformação PVE 03</t>
        </is>
      </c>
      <c r="G1098" s="7" t="inlineStr">
        <is>
          <t>03</t>
        </is>
      </c>
      <c r="H1098" s="7" t="n"/>
      <c r="I1098" s="7" t="inlineStr">
        <is>
          <t>03</t>
        </is>
      </c>
      <c r="J1098" s="7" t="inlineStr">
        <is>
          <t>Transformação</t>
        </is>
      </c>
      <c r="K1098" s="7" t="inlineStr">
        <is>
          <t>Planejamento</t>
        </is>
      </c>
      <c r="L1098" s="16" t="inlineStr">
        <is>
          <t>PDS-Março(1).docx</t>
        </is>
      </c>
      <c r="M1098">
        <f>IF($A1098="","",TEXT($A1098,"mmmm/yyyy"))</f>
        <v/>
      </c>
      <c r="P1098">
        <f>IFERROR(_xludf.XLOOKUP($N1098,Base_Enderecos!$A:$A,Base_Enderecos!$B:$B,""),"")</f>
        <v/>
      </c>
      <c r="Q1098">
        <f>IFERROR(_xludf.XLOOKUP($N1098,Base_Enderecos!$A:$A,Base_Enderecos!$C:$C,""),"")</f>
        <v/>
      </c>
      <c r="R1098">
        <f>IF(OR(ISNUMBER(SEARCH("HDD",$F1098)),ISNUMBER(SEARCH("MND",$F1098)),ISNUMBER(SEARCH("PEAD",$F1098)),ISNUMBER(SEARCH("Puxe",$J1098)),ISNUMBER(SEARCH("Apoio HDD",$F1098))),"MND",IF(OR(ISNUMBER(SEARCH("VCA",$F1098)),ISNUMBER(SEARCH("PVC",$F1098)),ISNUMBER(SEARCH("vca",$J1098)),ISNUMBER(SEARCH("Transformação",$J1098))),"VCA",IF(OR(ISNUMBER(SEARCH("crava",$F1098)),ISNUMBER(SEARCH("tubo cravado",$F1098)),ISNUMBER(SEARCH("shaft",$J1098)),ISNUMBER(SEARCH("concreto",$F1098))),"TUBO CRAVADO","")))</f>
        <v/>
      </c>
      <c r="T1098">
        <f>IF($A1098="","",TEXT($A1098,"yyyymm")&amp;"|"&amp;$C1098&amp;"|"&amp;$F1098&amp;"|"&amp;$N1098&amp;"|"&amp;$R1098)</f>
        <v/>
      </c>
    </row>
    <row r="1099" ht="11.55" customHeight="1">
      <c r="A1099" s="10" t="n">
        <v>46084</v>
      </c>
      <c r="B1099" s="7" t="inlineStr">
        <is>
          <t>Terça</t>
        </is>
      </c>
      <c r="C1099" s="7" t="inlineStr">
        <is>
          <t>CT AGUA VERMELHA M.E</t>
        </is>
      </c>
      <c r="D1099" s="7" t="inlineStr">
        <is>
          <t>Valmir e Eloízio</t>
        </is>
      </c>
      <c r="E1099" s="7" t="inlineStr">
        <is>
          <t>Higor</t>
        </is>
      </c>
      <c r="F1099" s="13" t="inlineStr">
        <is>
          <t>Transformação PVE 11</t>
        </is>
      </c>
      <c r="G1099" s="7" t="inlineStr">
        <is>
          <t>11</t>
        </is>
      </c>
      <c r="H1099" s="7" t="n"/>
      <c r="I1099" s="7" t="inlineStr">
        <is>
          <t>11</t>
        </is>
      </c>
      <c r="J1099" s="7" t="inlineStr">
        <is>
          <t>Transformação</t>
        </is>
      </c>
      <c r="K1099" s="7" t="inlineStr">
        <is>
          <t>Planejamento</t>
        </is>
      </c>
      <c r="L1099" s="16" t="inlineStr">
        <is>
          <t>PDS-Março(1).docx</t>
        </is>
      </c>
      <c r="M1099">
        <f>IF($A1099="","",TEXT($A1099,"mmmm/yyyy"))</f>
        <v/>
      </c>
      <c r="P1099">
        <f>IFERROR(_xludf.XLOOKUP($N1099,Base_Enderecos!$A:$A,Base_Enderecos!$B:$B,""),"")</f>
        <v/>
      </c>
      <c r="Q1099">
        <f>IFERROR(_xludf.XLOOKUP($N1099,Base_Enderecos!$A:$A,Base_Enderecos!$C:$C,""),"")</f>
        <v/>
      </c>
      <c r="R1099">
        <f>IF(OR(ISNUMBER(SEARCH("HDD",$F1099)),ISNUMBER(SEARCH("MND",$F1099)),ISNUMBER(SEARCH("PEAD",$F1099)),ISNUMBER(SEARCH("Puxe",$J1099)),ISNUMBER(SEARCH("Apoio HDD",$F1099))),"MND",IF(OR(ISNUMBER(SEARCH("VCA",$F1099)),ISNUMBER(SEARCH("PVC",$F1099)),ISNUMBER(SEARCH("vca",$J1099)),ISNUMBER(SEARCH("Transformação",$J1099))),"VCA",IF(OR(ISNUMBER(SEARCH("crava",$F1099)),ISNUMBER(SEARCH("tubo cravado",$F1099)),ISNUMBER(SEARCH("shaft",$J1099)),ISNUMBER(SEARCH("concreto",$F1099))),"TUBO CRAVADO","")))</f>
        <v/>
      </c>
      <c r="T1099">
        <f>IF($A1099="","",TEXT($A1099,"yyyymm")&amp;"|"&amp;$C1099&amp;"|"&amp;$F1099&amp;"|"&amp;$N1099&amp;"|"&amp;$R1099)</f>
        <v/>
      </c>
    </row>
    <row r="1100" ht="11.55" customHeight="1">
      <c r="A1100" s="10" t="n">
        <v>46084</v>
      </c>
      <c r="B1100" s="7" t="inlineStr">
        <is>
          <t>Terça</t>
        </is>
      </c>
      <c r="C1100" s="7" t="inlineStr">
        <is>
          <t>CT AGUA VERMELHA M.E</t>
        </is>
      </c>
      <c r="D1100" s="7" t="inlineStr">
        <is>
          <t>Valmir e Eloízio</t>
        </is>
      </c>
      <c r="E1100" s="7" t="inlineStr">
        <is>
          <t>Marcio</t>
        </is>
      </c>
      <c r="F1100" s="13" t="inlineStr">
        <is>
          <t>Apoio HDD PVE 21 ao 23</t>
        </is>
      </c>
      <c r="G1100" s="7" t="inlineStr">
        <is>
          <t>21</t>
        </is>
      </c>
      <c r="H1100" s="7" t="n"/>
      <c r="I1100" s="7" t="inlineStr">
        <is>
          <t>21</t>
        </is>
      </c>
      <c r="J1100" s="7" t="inlineStr">
        <is>
          <t>Apoio HDD</t>
        </is>
      </c>
      <c r="K1100" s="7" t="inlineStr">
        <is>
          <t>Planejamento</t>
        </is>
      </c>
      <c r="L1100" s="16" t="inlineStr">
        <is>
          <t>PDS-Março(1).docx</t>
        </is>
      </c>
      <c r="M1100">
        <f>IF($A1100="","",TEXT($A1100,"mmmm/yyyy"))</f>
        <v/>
      </c>
      <c r="P1100">
        <f>IFERROR(_xludf.XLOOKUP($N1100,Base_Enderecos!$A:$A,Base_Enderecos!$B:$B,""),"")</f>
        <v/>
      </c>
      <c r="Q1100">
        <f>IFERROR(_xludf.XLOOKUP($N1100,Base_Enderecos!$A:$A,Base_Enderecos!$C:$C,""),"")</f>
        <v/>
      </c>
      <c r="R1100">
        <f>IF(OR(ISNUMBER(SEARCH("HDD",$F1100)),ISNUMBER(SEARCH("MND",$F1100)),ISNUMBER(SEARCH("PEAD",$F1100)),ISNUMBER(SEARCH("Puxe",$J1100)),ISNUMBER(SEARCH("Apoio HDD",$F1100))),"MND",IF(OR(ISNUMBER(SEARCH("VCA",$F1100)),ISNUMBER(SEARCH("PVC",$F1100)),ISNUMBER(SEARCH("vca",$J1100)),ISNUMBER(SEARCH("Transformação",$J1100))),"VCA",IF(OR(ISNUMBER(SEARCH("crava",$F1100)),ISNUMBER(SEARCH("tubo cravado",$F1100)),ISNUMBER(SEARCH("shaft",$J1100)),ISNUMBER(SEARCH("concreto",$F1100))),"TUBO CRAVADO","")))</f>
        <v/>
      </c>
      <c r="T1100">
        <f>IF($A1100="","",TEXT($A1100,"yyyymm")&amp;"|"&amp;$C1100&amp;"|"&amp;$F1100&amp;"|"&amp;$N1100&amp;"|"&amp;$R1100)</f>
        <v/>
      </c>
    </row>
    <row r="1101" ht="11.55" customHeight="1">
      <c r="A1101" s="10" t="n">
        <v>46084</v>
      </c>
      <c r="B1101" s="7" t="inlineStr">
        <is>
          <t>Terça</t>
        </is>
      </c>
      <c r="C1101" s="7" t="inlineStr">
        <is>
          <t>CT AGUA VERMELHA M.E</t>
        </is>
      </c>
      <c r="D1101" s="7" t="inlineStr">
        <is>
          <t>Valmir e Eloízio</t>
        </is>
      </c>
      <c r="E1101" s="7" t="inlineStr">
        <is>
          <t>GR DRILL</t>
        </is>
      </c>
      <c r="F1101" s="13" t="inlineStr">
        <is>
          <t>Piloto e Puxe PVE 21 ao 23</t>
        </is>
      </c>
      <c r="G1101" s="7" t="inlineStr">
        <is>
          <t>21</t>
        </is>
      </c>
      <c r="H1101" s="7" t="n"/>
      <c r="I1101" s="7" t="inlineStr">
        <is>
          <t>21</t>
        </is>
      </c>
      <c r="J1101" s="7" t="inlineStr">
        <is>
          <t>Piloto e puxe</t>
        </is>
      </c>
      <c r="K1101" s="7" t="inlineStr">
        <is>
          <t>Planejamento</t>
        </is>
      </c>
      <c r="L1101" s="16" t="inlineStr">
        <is>
          <t>PDS-Março(1).docx</t>
        </is>
      </c>
      <c r="M1101">
        <f>IF($A1101="","",TEXT($A1101,"mmmm/yyyy"))</f>
        <v/>
      </c>
      <c r="P1101">
        <f>IFERROR(_xludf.XLOOKUP($N1101,Base_Enderecos!$A:$A,Base_Enderecos!$B:$B,""),"")</f>
        <v/>
      </c>
      <c r="Q1101">
        <f>IFERROR(_xludf.XLOOKUP($N1101,Base_Enderecos!$A:$A,Base_Enderecos!$C:$C,""),"")</f>
        <v/>
      </c>
      <c r="R1101">
        <f>IF(OR(ISNUMBER(SEARCH("HDD",$F1101)),ISNUMBER(SEARCH("MND",$F1101)),ISNUMBER(SEARCH("PEAD",$F1101)),ISNUMBER(SEARCH("Puxe",$J1101)),ISNUMBER(SEARCH("Apoio HDD",$F1101))),"MND",IF(OR(ISNUMBER(SEARCH("VCA",$F1101)),ISNUMBER(SEARCH("PVC",$F1101)),ISNUMBER(SEARCH("vca",$J1101)),ISNUMBER(SEARCH("Transformação",$J1101))),"VCA",IF(OR(ISNUMBER(SEARCH("crava",$F1101)),ISNUMBER(SEARCH("tubo cravado",$F1101)),ISNUMBER(SEARCH("shaft",$J1101)),ISNUMBER(SEARCH("concreto",$F1101))),"TUBO CRAVADO","")))</f>
        <v/>
      </c>
      <c r="T1101">
        <f>IF($A1101="","",TEXT($A1101,"yyyymm")&amp;"|"&amp;$C1101&amp;"|"&amp;$F1101&amp;"|"&amp;$N1101&amp;"|"&amp;$R1101)</f>
        <v/>
      </c>
    </row>
    <row r="1102" ht="11.55" customHeight="1">
      <c r="A1102" s="10" t="n">
        <v>46084</v>
      </c>
      <c r="B1102" s="7" t="inlineStr">
        <is>
          <t>Terça</t>
        </is>
      </c>
      <c r="C1102" s="7" t="inlineStr">
        <is>
          <t>CT AGUA VERMELHA M.E</t>
        </is>
      </c>
      <c r="D1102" s="7" t="inlineStr">
        <is>
          <t>Valmir e Eloízio</t>
        </is>
      </c>
      <c r="E1102" s="7" t="inlineStr">
        <is>
          <t>Work Drill</t>
        </is>
      </c>
      <c r="F1102" s="13" t="inlineStr">
        <is>
          <t>Piloto e Puxe PV 17 ao 17.1</t>
        </is>
      </c>
      <c r="G1102" s="7" t="inlineStr">
        <is>
          <t>17</t>
        </is>
      </c>
      <c r="H1102" s="7" t="n"/>
      <c r="I1102" s="7" t="inlineStr">
        <is>
          <t>17</t>
        </is>
      </c>
      <c r="J1102" s="7" t="inlineStr">
        <is>
          <t>Piloto e puxe</t>
        </is>
      </c>
      <c r="K1102" s="7" t="inlineStr">
        <is>
          <t>Planejamento</t>
        </is>
      </c>
      <c r="L1102" s="16" t="inlineStr">
        <is>
          <t>PDS-Março(1).docx</t>
        </is>
      </c>
      <c r="M1102">
        <f>IF($A1102="","",TEXT($A1102,"mmmm/yyyy"))</f>
        <v/>
      </c>
      <c r="P1102">
        <f>IFERROR(_xludf.XLOOKUP($N1102,Base_Enderecos!$A:$A,Base_Enderecos!$B:$B,""),"")</f>
        <v/>
      </c>
      <c r="Q1102">
        <f>IFERROR(_xludf.XLOOKUP($N1102,Base_Enderecos!$A:$A,Base_Enderecos!$C:$C,""),"")</f>
        <v/>
      </c>
      <c r="R1102">
        <f>IF(OR(ISNUMBER(SEARCH("HDD",$F1102)),ISNUMBER(SEARCH("MND",$F1102)),ISNUMBER(SEARCH("PEAD",$F1102)),ISNUMBER(SEARCH("Puxe",$J1102)),ISNUMBER(SEARCH("Apoio HDD",$F1102))),"MND",IF(OR(ISNUMBER(SEARCH("VCA",$F1102)),ISNUMBER(SEARCH("PVC",$F1102)),ISNUMBER(SEARCH("vca",$J1102)),ISNUMBER(SEARCH("Transformação",$J1102))),"VCA",IF(OR(ISNUMBER(SEARCH("crava",$F1102)),ISNUMBER(SEARCH("tubo cravado",$F1102)),ISNUMBER(SEARCH("shaft",$J1102)),ISNUMBER(SEARCH("concreto",$F1102))),"TUBO CRAVADO","")))</f>
        <v/>
      </c>
      <c r="T1102">
        <f>IF($A1102="","",TEXT($A1102,"yyyymm")&amp;"|"&amp;$C1102&amp;"|"&amp;$F1102&amp;"|"&amp;$N1102&amp;"|"&amp;$R1102)</f>
        <v/>
      </c>
    </row>
    <row r="1103" ht="11.55" customHeight="1">
      <c r="A1103" s="10" t="n">
        <v>46084</v>
      </c>
      <c r="B1103" s="7" t="inlineStr">
        <is>
          <t>Terça</t>
        </is>
      </c>
      <c r="C1103" s="7" t="inlineStr">
        <is>
          <t>CT AGUA VERMELHA M.E</t>
        </is>
      </c>
      <c r="D1103" s="7" t="inlineStr">
        <is>
          <t>Valmir e Eloízio</t>
        </is>
      </c>
      <c r="E1103" s="7" t="inlineStr">
        <is>
          <t>Adilson</t>
        </is>
      </c>
      <c r="F1103" s="13" t="inlineStr">
        <is>
          <t>Apoio HDD PV 17 ao 17.1</t>
        </is>
      </c>
      <c r="G1103" s="7" t="inlineStr">
        <is>
          <t>17</t>
        </is>
      </c>
      <c r="H1103" s="7" t="n"/>
      <c r="I1103" s="7" t="inlineStr">
        <is>
          <t>17</t>
        </is>
      </c>
      <c r="J1103" s="7" t="inlineStr">
        <is>
          <t>Apoio HDD</t>
        </is>
      </c>
      <c r="K1103" s="7" t="inlineStr">
        <is>
          <t>Planejamento</t>
        </is>
      </c>
      <c r="L1103" s="16" t="inlineStr">
        <is>
          <t>PDS-Março(1).docx</t>
        </is>
      </c>
      <c r="M1103">
        <f>IF($A1103="","",TEXT($A1103,"mmmm/yyyy"))</f>
        <v/>
      </c>
      <c r="P1103">
        <f>IFERROR(_xludf.XLOOKUP($N1103,Base_Enderecos!$A:$A,Base_Enderecos!$B:$B,""),"")</f>
        <v/>
      </c>
      <c r="Q1103">
        <f>IFERROR(_xludf.XLOOKUP($N1103,Base_Enderecos!$A:$A,Base_Enderecos!$C:$C,""),"")</f>
        <v/>
      </c>
      <c r="R1103">
        <f>IF(OR(ISNUMBER(SEARCH("HDD",$F1103)),ISNUMBER(SEARCH("MND",$F1103)),ISNUMBER(SEARCH("PEAD",$F1103)),ISNUMBER(SEARCH("Puxe",$J1103)),ISNUMBER(SEARCH("Apoio HDD",$F1103))),"MND",IF(OR(ISNUMBER(SEARCH("VCA",$F1103)),ISNUMBER(SEARCH("PVC",$F1103)),ISNUMBER(SEARCH("vca",$J1103)),ISNUMBER(SEARCH("Transformação",$J1103))),"VCA",IF(OR(ISNUMBER(SEARCH("crava",$F1103)),ISNUMBER(SEARCH("tubo cravado",$F1103)),ISNUMBER(SEARCH("shaft",$J1103)),ISNUMBER(SEARCH("concreto",$F1103))),"TUBO CRAVADO","")))</f>
        <v/>
      </c>
      <c r="T1103">
        <f>IF($A1103="","",TEXT($A1103,"yyyymm")&amp;"|"&amp;$C1103&amp;"|"&amp;$F1103&amp;"|"&amp;$N1103&amp;"|"&amp;$R1103)</f>
        <v/>
      </c>
    </row>
    <row r="1104" ht="11.55" customHeight="1">
      <c r="A1104" s="10" t="n">
        <v>46084</v>
      </c>
      <c r="B1104" s="7" t="inlineStr">
        <is>
          <t>Terça</t>
        </is>
      </c>
      <c r="C1104" s="7" t="inlineStr">
        <is>
          <t>Vacal</t>
        </is>
      </c>
      <c r="D1104" s="7" t="n"/>
      <c r="E1104" s="7" t="inlineStr">
        <is>
          <t>Água Vermelha</t>
        </is>
      </c>
      <c r="F1104" s="13" t="inlineStr">
        <is>
          <t>Apoio Vacal</t>
        </is>
      </c>
      <c r="G1104" s="7" t="n"/>
      <c r="H1104" s="7" t="n"/>
      <c r="I1104" s="7" t="n"/>
      <c r="J1104" s="7" t="inlineStr">
        <is>
          <t>Vacal</t>
        </is>
      </c>
      <c r="K1104" s="7" t="inlineStr">
        <is>
          <t>Apoio</t>
        </is>
      </c>
      <c r="L1104" s="16" t="inlineStr">
        <is>
          <t>PDS-Março(1).docx</t>
        </is>
      </c>
      <c r="M1104">
        <f>IF($A1104="","",TEXT($A1104,"mmmm/yyyy"))</f>
        <v/>
      </c>
      <c r="P1104">
        <f>IFERROR(_xludf.XLOOKUP($N1104,Base_Enderecos!$A:$A,Base_Enderecos!$B:$B,""),"")</f>
        <v/>
      </c>
      <c r="Q1104">
        <f>IFERROR(_xludf.XLOOKUP($N1104,Base_Enderecos!$A:$A,Base_Enderecos!$C:$C,""),"")</f>
        <v/>
      </c>
      <c r="R1104">
        <f>IF(OR(ISNUMBER(SEARCH("HDD",$F1104)),ISNUMBER(SEARCH("MND",$F1104)),ISNUMBER(SEARCH("PEAD",$F1104)),ISNUMBER(SEARCH("Puxe",$J1104)),ISNUMBER(SEARCH("Apoio HDD",$F1104))),"MND",IF(OR(ISNUMBER(SEARCH("VCA",$F1104)),ISNUMBER(SEARCH("PVC",$F1104)),ISNUMBER(SEARCH("vca",$J1104)),ISNUMBER(SEARCH("Transformação",$J1104))),"VCA",IF(OR(ISNUMBER(SEARCH("crava",$F1104)),ISNUMBER(SEARCH("tubo cravado",$F1104)),ISNUMBER(SEARCH("shaft",$J1104)),ISNUMBER(SEARCH("concreto",$F1104))),"TUBO CRAVADO","")))</f>
        <v/>
      </c>
      <c r="T1104">
        <f>IF($A1104="","",TEXT($A1104,"yyyymm")&amp;"|"&amp;$C1104&amp;"|"&amp;$F1104&amp;"|"&amp;$N1104&amp;"|"&amp;$R1104)</f>
        <v/>
      </c>
    </row>
    <row r="1105" ht="11.55" customHeight="1">
      <c r="A1105" s="10" t="n">
        <v>46084</v>
      </c>
      <c r="B1105" s="7" t="inlineStr">
        <is>
          <t>Terça</t>
        </is>
      </c>
      <c r="C1105" s="7" t="inlineStr">
        <is>
          <t>Vacal</t>
        </is>
      </c>
      <c r="D1105" s="7" t="n"/>
      <c r="E1105" s="7" t="inlineStr">
        <is>
          <t>Água Vermelha</t>
        </is>
      </c>
      <c r="F1105" s="13" t="inlineStr">
        <is>
          <t>Apoio Vacal</t>
        </is>
      </c>
      <c r="G1105" s="7" t="n"/>
      <c r="H1105" s="7" t="n"/>
      <c r="I1105" s="7" t="n"/>
      <c r="J1105" s="7" t="inlineStr">
        <is>
          <t>Vacal</t>
        </is>
      </c>
      <c r="K1105" s="7" t="inlineStr">
        <is>
          <t>Apoio</t>
        </is>
      </c>
      <c r="L1105" s="16" t="inlineStr">
        <is>
          <t>PDS-Março(1).docx</t>
        </is>
      </c>
      <c r="M1105">
        <f>IF($A1105="","",TEXT($A1105,"mmmm/yyyy"))</f>
        <v/>
      </c>
      <c r="P1105">
        <f>IFERROR(_xludf.XLOOKUP($N1105,Base_Enderecos!$A:$A,Base_Enderecos!$B:$B,""),"")</f>
        <v/>
      </c>
      <c r="Q1105">
        <f>IFERROR(_xludf.XLOOKUP($N1105,Base_Enderecos!$A:$A,Base_Enderecos!$C:$C,""),"")</f>
        <v/>
      </c>
      <c r="R1105">
        <f>IF(OR(ISNUMBER(SEARCH("HDD",$F1105)),ISNUMBER(SEARCH("MND",$F1105)),ISNUMBER(SEARCH("PEAD",$F1105)),ISNUMBER(SEARCH("Puxe",$J1105)),ISNUMBER(SEARCH("Apoio HDD",$F1105))),"MND",IF(OR(ISNUMBER(SEARCH("VCA",$F1105)),ISNUMBER(SEARCH("PVC",$F1105)),ISNUMBER(SEARCH("vca",$J1105)),ISNUMBER(SEARCH("Transformação",$J1105))),"VCA",IF(OR(ISNUMBER(SEARCH("crava",$F1105)),ISNUMBER(SEARCH("tubo cravado",$F1105)),ISNUMBER(SEARCH("shaft",$J1105)),ISNUMBER(SEARCH("concreto",$F1105))),"TUBO CRAVADO","")))</f>
        <v/>
      </c>
      <c r="T1105">
        <f>IF($A1105="","",TEXT($A1105,"yyyymm")&amp;"|"&amp;$C1105&amp;"|"&amp;$F1105&amp;"|"&amp;$N1105&amp;"|"&amp;$R1105)</f>
        <v/>
      </c>
    </row>
    <row r="1106" ht="11.55" customHeight="1">
      <c r="A1106" s="10" t="n">
        <v>46084</v>
      </c>
      <c r="B1106" s="7" t="inlineStr">
        <is>
          <t>Terça</t>
        </is>
      </c>
      <c r="C1106" s="7" t="inlineStr">
        <is>
          <t>Vacal</t>
        </is>
      </c>
      <c r="D1106" s="7" t="n"/>
      <c r="E1106" s="7" t="inlineStr">
        <is>
          <t>Água Vermelha</t>
        </is>
      </c>
      <c r="F1106" s="13" t="inlineStr">
        <is>
          <t>Apoio Vacal</t>
        </is>
      </c>
      <c r="G1106" s="7" t="n"/>
      <c r="H1106" s="7" t="n"/>
      <c r="I1106" s="7" t="n"/>
      <c r="J1106" s="7" t="inlineStr">
        <is>
          <t>Vacal</t>
        </is>
      </c>
      <c r="K1106" s="7" t="inlineStr">
        <is>
          <t>Apoio</t>
        </is>
      </c>
      <c r="L1106" s="16" t="inlineStr">
        <is>
          <t>PDS-Março(1).docx</t>
        </is>
      </c>
      <c r="M1106">
        <f>IF($A1106="","",TEXT($A1106,"mmmm/yyyy"))</f>
        <v/>
      </c>
      <c r="P1106">
        <f>IFERROR(_xludf.XLOOKUP($N1106,Base_Enderecos!$A:$A,Base_Enderecos!$B:$B,""),"")</f>
        <v/>
      </c>
      <c r="Q1106">
        <f>IFERROR(_xludf.XLOOKUP($N1106,Base_Enderecos!$A:$A,Base_Enderecos!$C:$C,""),"")</f>
        <v/>
      </c>
      <c r="R1106">
        <f>IF(OR(ISNUMBER(SEARCH("HDD",$F1106)),ISNUMBER(SEARCH("MND",$F1106)),ISNUMBER(SEARCH("PEAD",$F1106)),ISNUMBER(SEARCH("Puxe",$J1106)),ISNUMBER(SEARCH("Apoio HDD",$F1106))),"MND",IF(OR(ISNUMBER(SEARCH("VCA",$F1106)),ISNUMBER(SEARCH("PVC",$F1106)),ISNUMBER(SEARCH("vca",$J1106)),ISNUMBER(SEARCH("Transformação",$J1106))),"VCA",IF(OR(ISNUMBER(SEARCH("crava",$F1106)),ISNUMBER(SEARCH("tubo cravado",$F1106)),ISNUMBER(SEARCH("shaft",$J1106)),ISNUMBER(SEARCH("concreto",$F1106))),"TUBO CRAVADO","")))</f>
        <v/>
      </c>
      <c r="T1106">
        <f>IF($A1106="","",TEXT($A1106,"yyyymm")&amp;"|"&amp;$C1106&amp;"|"&amp;$F1106&amp;"|"&amp;$N1106&amp;"|"&amp;$R1106)</f>
        <v/>
      </c>
    </row>
    <row r="1107" ht="11.55" customHeight="1">
      <c r="A1107" s="10" t="n">
        <v>46084</v>
      </c>
      <c r="B1107" s="7" t="inlineStr">
        <is>
          <t>Terça</t>
        </is>
      </c>
      <c r="C1107" s="7" t="inlineStr">
        <is>
          <t>Guindauto</t>
        </is>
      </c>
      <c r="D1107" s="7" t="n"/>
      <c r="E1107" s="7" t="inlineStr">
        <is>
          <t>Rodrigo</t>
        </is>
      </c>
      <c r="F1107" s="13" t="inlineStr">
        <is>
          <t>Rodrigo - Apoio as equipes</t>
        </is>
      </c>
      <c r="G1107" s="7" t="n"/>
      <c r="H1107" s="7" t="n"/>
      <c r="I1107" s="7" t="n"/>
      <c r="J1107" s="7" t="inlineStr">
        <is>
          <t>Guindauto</t>
        </is>
      </c>
      <c r="K1107" s="7" t="inlineStr">
        <is>
          <t>Apoio</t>
        </is>
      </c>
      <c r="L1107" s="16" t="inlineStr">
        <is>
          <t>PDS-Março(1).docx</t>
        </is>
      </c>
      <c r="M1107">
        <f>IF($A1107="","",TEXT($A1107,"mmmm/yyyy"))</f>
        <v/>
      </c>
      <c r="P1107">
        <f>IFERROR(_xludf.XLOOKUP($N1107,Base_Enderecos!$A:$A,Base_Enderecos!$B:$B,""),"")</f>
        <v/>
      </c>
      <c r="Q1107">
        <f>IFERROR(_xludf.XLOOKUP($N1107,Base_Enderecos!$A:$A,Base_Enderecos!$C:$C,""),"")</f>
        <v/>
      </c>
      <c r="R1107">
        <f>IF(OR(ISNUMBER(SEARCH("HDD",$F1107)),ISNUMBER(SEARCH("MND",$F1107)),ISNUMBER(SEARCH("PEAD",$F1107)),ISNUMBER(SEARCH("Puxe",$J1107)),ISNUMBER(SEARCH("Apoio HDD",$F1107))),"MND",IF(OR(ISNUMBER(SEARCH("VCA",$F1107)),ISNUMBER(SEARCH("PVC",$F1107)),ISNUMBER(SEARCH("vca",$J1107)),ISNUMBER(SEARCH("Transformação",$J1107))),"VCA",IF(OR(ISNUMBER(SEARCH("crava",$F1107)),ISNUMBER(SEARCH("tubo cravado",$F1107)),ISNUMBER(SEARCH("shaft",$J1107)),ISNUMBER(SEARCH("concreto",$F1107))),"TUBO CRAVADO","")))</f>
        <v/>
      </c>
      <c r="T1107">
        <f>IF($A1107="","",TEXT($A1107,"yyyymm")&amp;"|"&amp;$C1107&amp;"|"&amp;$F1107&amp;"|"&amp;$N1107&amp;"|"&amp;$R1107)</f>
        <v/>
      </c>
    </row>
    <row r="1108" ht="11.55" customHeight="1">
      <c r="A1108" s="10" t="n">
        <v>46084</v>
      </c>
      <c r="B1108" s="7" t="inlineStr">
        <is>
          <t>Terça</t>
        </is>
      </c>
      <c r="C1108" s="7" t="inlineStr">
        <is>
          <t>Guindauto</t>
        </is>
      </c>
      <c r="D1108" s="7" t="n"/>
      <c r="E1108" s="7" t="inlineStr">
        <is>
          <t>Marcio</t>
        </is>
      </c>
      <c r="F1108" s="13" t="inlineStr">
        <is>
          <t>Marcio - Apoio as equipes</t>
        </is>
      </c>
      <c r="G1108" s="7" t="n"/>
      <c r="H1108" s="7" t="n"/>
      <c r="I1108" s="7" t="n"/>
      <c r="J1108" s="7" t="inlineStr">
        <is>
          <t>Guindauto</t>
        </is>
      </c>
      <c r="K1108" s="7" t="inlineStr">
        <is>
          <t>Apoio</t>
        </is>
      </c>
      <c r="L1108" s="16" t="inlineStr">
        <is>
          <t>PDS-Março(1).docx</t>
        </is>
      </c>
      <c r="M1108">
        <f>IF($A1108="","",TEXT($A1108,"mmmm/yyyy"))</f>
        <v/>
      </c>
      <c r="P1108">
        <f>IFERROR(_xludf.XLOOKUP($N1108,Base_Enderecos!$A:$A,Base_Enderecos!$B:$B,""),"")</f>
        <v/>
      </c>
      <c r="Q1108">
        <f>IFERROR(_xludf.XLOOKUP($N1108,Base_Enderecos!$A:$A,Base_Enderecos!$C:$C,""),"")</f>
        <v/>
      </c>
      <c r="R1108">
        <f>IF(OR(ISNUMBER(SEARCH("HDD",$F1108)),ISNUMBER(SEARCH("MND",$F1108)),ISNUMBER(SEARCH("PEAD",$F1108)),ISNUMBER(SEARCH("Puxe",$J1108)),ISNUMBER(SEARCH("Apoio HDD",$F1108))),"MND",IF(OR(ISNUMBER(SEARCH("VCA",$F1108)),ISNUMBER(SEARCH("PVC",$F1108)),ISNUMBER(SEARCH("vca",$J1108)),ISNUMBER(SEARCH("Transformação",$J1108))),"VCA",IF(OR(ISNUMBER(SEARCH("crava",$F1108)),ISNUMBER(SEARCH("tubo cravado",$F1108)),ISNUMBER(SEARCH("shaft",$J1108)),ISNUMBER(SEARCH("concreto",$F1108))),"TUBO CRAVADO","")))</f>
        <v/>
      </c>
      <c r="T1108">
        <f>IF($A1108="","",TEXT($A1108,"yyyymm")&amp;"|"&amp;$C1108&amp;"|"&amp;$F1108&amp;"|"&amp;$N1108&amp;"|"&amp;$R1108)</f>
        <v/>
      </c>
    </row>
    <row r="1109" ht="11.55" customHeight="1">
      <c r="A1109" s="10" t="n">
        <v>46085</v>
      </c>
      <c r="B1109" s="7" t="inlineStr">
        <is>
          <t>Quarta</t>
        </is>
      </c>
      <c r="C1109" s="7" t="inlineStr">
        <is>
          <t>CT MAR DE CORAL</t>
        </is>
      </c>
      <c r="D1109" s="7" t="inlineStr">
        <is>
          <t>ROBSON E SILVESTRE</t>
        </is>
      </c>
      <c r="E1109" s="7" t="inlineStr">
        <is>
          <t>Goiania Drill</t>
        </is>
      </c>
      <c r="F1109" s="13" t="inlineStr">
        <is>
          <t>Piloto e Puxe PV 41 ao 01</t>
        </is>
      </c>
      <c r="G1109" s="7" t="inlineStr">
        <is>
          <t>41</t>
        </is>
      </c>
      <c r="H1109" s="7" t="n"/>
      <c r="I1109" s="7" t="inlineStr">
        <is>
          <t>41</t>
        </is>
      </c>
      <c r="J1109" s="7" t="inlineStr">
        <is>
          <t>Piloto e puxe</t>
        </is>
      </c>
      <c r="K1109" s="7" t="inlineStr">
        <is>
          <t>Planejamento</t>
        </is>
      </c>
      <c r="L1109" s="16" t="inlineStr">
        <is>
          <t>PDS-Março(1).docx</t>
        </is>
      </c>
      <c r="M1109">
        <f>IF($A1109="","",TEXT($A1109,"mmmm/yyyy"))</f>
        <v/>
      </c>
      <c r="P1109">
        <f>IFERROR(_xludf.XLOOKUP($N1109,Base_Enderecos!$A:$A,Base_Enderecos!$B:$B,""),"")</f>
        <v/>
      </c>
      <c r="Q1109">
        <f>IFERROR(_xludf.XLOOKUP($N1109,Base_Enderecos!$A:$A,Base_Enderecos!$C:$C,""),"")</f>
        <v/>
      </c>
      <c r="R1109">
        <f>IF(OR(ISNUMBER(SEARCH("HDD",$F1109)),ISNUMBER(SEARCH("MND",$F1109)),ISNUMBER(SEARCH("PEAD",$F1109)),ISNUMBER(SEARCH("Puxe",$J1109)),ISNUMBER(SEARCH("Apoio HDD",$F1109))),"MND",IF(OR(ISNUMBER(SEARCH("VCA",$F1109)),ISNUMBER(SEARCH("PVC",$F1109)),ISNUMBER(SEARCH("vca",$J1109)),ISNUMBER(SEARCH("Transformação",$J1109))),"VCA",IF(OR(ISNUMBER(SEARCH("crava",$F1109)),ISNUMBER(SEARCH("tubo cravado",$F1109)),ISNUMBER(SEARCH("shaft",$J1109)),ISNUMBER(SEARCH("concreto",$F1109))),"TUBO CRAVADO","")))</f>
        <v/>
      </c>
      <c r="T1109">
        <f>IF($A1109="","",TEXT($A1109,"yyyymm")&amp;"|"&amp;$C1109&amp;"|"&amp;$F1109&amp;"|"&amp;$N1109&amp;"|"&amp;$R1109)</f>
        <v/>
      </c>
    </row>
    <row r="1110" ht="11.55" customHeight="1">
      <c r="A1110" s="10" t="n">
        <v>46085</v>
      </c>
      <c r="B1110" s="7" t="inlineStr">
        <is>
          <t>Quarta</t>
        </is>
      </c>
      <c r="C1110" s="7" t="inlineStr">
        <is>
          <t>CT MAR DE CORAL</t>
        </is>
      </c>
      <c r="D1110" s="7" t="inlineStr">
        <is>
          <t>ROBSON E SILVESTRE</t>
        </is>
      </c>
      <c r="E1110" s="7" t="inlineStr">
        <is>
          <t>Medeiros</t>
        </is>
      </c>
      <c r="F1110" s="13" t="inlineStr">
        <is>
          <t>Limpeza casa</t>
        </is>
      </c>
      <c r="G1110" s="7" t="n"/>
      <c r="H1110" s="7" t="n"/>
      <c r="I1110" s="7" t="n"/>
      <c r="J1110" s="7" t="inlineStr">
        <is>
          <t>Limpeza</t>
        </is>
      </c>
      <c r="K1110" s="7" t="inlineStr">
        <is>
          <t>Planejamento</t>
        </is>
      </c>
      <c r="L1110" s="16" t="inlineStr">
        <is>
          <t>PDS-Março(1).docx</t>
        </is>
      </c>
      <c r="M1110">
        <f>IF($A1110="","",TEXT($A1110,"mmmm/yyyy"))</f>
        <v/>
      </c>
      <c r="P1110">
        <f>IFERROR(_xludf.XLOOKUP($N1110,Base_Enderecos!$A:$A,Base_Enderecos!$B:$B,""),"")</f>
        <v/>
      </c>
      <c r="Q1110">
        <f>IFERROR(_xludf.XLOOKUP($N1110,Base_Enderecos!$A:$A,Base_Enderecos!$C:$C,""),"")</f>
        <v/>
      </c>
      <c r="R1110">
        <f>IF(OR(ISNUMBER(SEARCH("HDD",$F1110)),ISNUMBER(SEARCH("MND",$F1110)),ISNUMBER(SEARCH("PEAD",$F1110)),ISNUMBER(SEARCH("Puxe",$J1110)),ISNUMBER(SEARCH("Apoio HDD",$F1110))),"MND",IF(OR(ISNUMBER(SEARCH("VCA",$F1110)),ISNUMBER(SEARCH("PVC",$F1110)),ISNUMBER(SEARCH("vca",$J1110)),ISNUMBER(SEARCH("Transformação",$J1110))),"VCA",IF(OR(ISNUMBER(SEARCH("crava",$F1110)),ISNUMBER(SEARCH("tubo cravado",$F1110)),ISNUMBER(SEARCH("shaft",$J1110)),ISNUMBER(SEARCH("concreto",$F1110))),"TUBO CRAVADO","")))</f>
        <v/>
      </c>
      <c r="T1110">
        <f>IF($A1110="","",TEXT($A1110,"yyyymm")&amp;"|"&amp;$C1110&amp;"|"&amp;$F1110&amp;"|"&amp;$N1110&amp;"|"&amp;$R1110)</f>
        <v/>
      </c>
    </row>
    <row r="1111" ht="11.55" customHeight="1">
      <c r="A1111" s="10" t="n">
        <v>46085</v>
      </c>
      <c r="B1111" s="7" t="inlineStr">
        <is>
          <t>Quarta</t>
        </is>
      </c>
      <c r="C1111" s="7" t="inlineStr">
        <is>
          <t>CT MAR DE CORAL</t>
        </is>
      </c>
      <c r="D1111" s="7" t="inlineStr">
        <is>
          <t>ROBSON E SILVESTRE</t>
        </is>
      </c>
      <c r="E1111" s="7" t="inlineStr">
        <is>
          <t>Valter</t>
        </is>
      </c>
      <c r="F1111" s="13" t="inlineStr">
        <is>
          <t>Acabamento PV 22</t>
        </is>
      </c>
      <c r="G1111" s="7" t="inlineStr">
        <is>
          <t>22</t>
        </is>
      </c>
      <c r="H1111" s="7" t="n"/>
      <c r="I1111" s="7" t="inlineStr">
        <is>
          <t>22</t>
        </is>
      </c>
      <c r="J1111" s="7" t="inlineStr">
        <is>
          <t>Acabamento</t>
        </is>
      </c>
      <c r="K1111" s="7" t="inlineStr">
        <is>
          <t>Planejamento</t>
        </is>
      </c>
      <c r="L1111" s="16" t="inlineStr">
        <is>
          <t>PDS-Março(1).docx</t>
        </is>
      </c>
      <c r="M1111">
        <f>IF($A1111="","",TEXT($A1111,"mmmm/yyyy"))</f>
        <v/>
      </c>
      <c r="P1111">
        <f>IFERROR(_xludf.XLOOKUP($N1111,Base_Enderecos!$A:$A,Base_Enderecos!$B:$B,""),"")</f>
        <v/>
      </c>
      <c r="Q1111">
        <f>IFERROR(_xludf.XLOOKUP($N1111,Base_Enderecos!$A:$A,Base_Enderecos!$C:$C,""),"")</f>
        <v/>
      </c>
      <c r="R1111">
        <f>IF(OR(ISNUMBER(SEARCH("HDD",$F1111)),ISNUMBER(SEARCH("MND",$F1111)),ISNUMBER(SEARCH("PEAD",$F1111)),ISNUMBER(SEARCH("Puxe",$J1111)),ISNUMBER(SEARCH("Apoio HDD",$F1111))),"MND",IF(OR(ISNUMBER(SEARCH("VCA",$F1111)),ISNUMBER(SEARCH("PVC",$F1111)),ISNUMBER(SEARCH("vca",$J1111)),ISNUMBER(SEARCH("Transformação",$J1111))),"VCA",IF(OR(ISNUMBER(SEARCH("crava",$F1111)),ISNUMBER(SEARCH("tubo cravado",$F1111)),ISNUMBER(SEARCH("shaft",$J1111)),ISNUMBER(SEARCH("concreto",$F1111))),"TUBO CRAVADO","")))</f>
        <v/>
      </c>
      <c r="T1111">
        <f>IF($A1111="","",TEXT($A1111,"yyyymm")&amp;"|"&amp;$C1111&amp;"|"&amp;$F1111&amp;"|"&amp;$N1111&amp;"|"&amp;$R1111)</f>
        <v/>
      </c>
    </row>
    <row r="1112" ht="11.55" customHeight="1">
      <c r="A1112" s="10" t="n">
        <v>46085</v>
      </c>
      <c r="B1112" s="7" t="inlineStr">
        <is>
          <t>Quarta</t>
        </is>
      </c>
      <c r="C1112" s="7" t="inlineStr">
        <is>
          <t>CT MAR DE CORAL</t>
        </is>
      </c>
      <c r="D1112" s="7" t="inlineStr">
        <is>
          <t>ROBSON E SILVESTRE</t>
        </is>
      </c>
      <c r="E1112" s="7" t="inlineStr">
        <is>
          <t>Ricardo</t>
        </is>
      </c>
      <c r="F1112" s="13" t="inlineStr">
        <is>
          <t>Acabamento PV 18</t>
        </is>
      </c>
      <c r="G1112" s="7" t="inlineStr">
        <is>
          <t>18</t>
        </is>
      </c>
      <c r="H1112" s="7" t="n"/>
      <c r="I1112" s="7" t="inlineStr">
        <is>
          <t>18</t>
        </is>
      </c>
      <c r="J1112" s="7" t="inlineStr">
        <is>
          <t>Acabamento</t>
        </is>
      </c>
      <c r="K1112" s="7" t="inlineStr">
        <is>
          <t>Planejamento</t>
        </is>
      </c>
      <c r="L1112" s="16" t="inlineStr">
        <is>
          <t>PDS-Março(1).docx</t>
        </is>
      </c>
      <c r="M1112">
        <f>IF($A1112="","",TEXT($A1112,"mmmm/yyyy"))</f>
        <v/>
      </c>
      <c r="P1112">
        <f>IFERROR(_xludf.XLOOKUP($N1112,Base_Enderecos!$A:$A,Base_Enderecos!$B:$B,""),"")</f>
        <v/>
      </c>
      <c r="Q1112">
        <f>IFERROR(_xludf.XLOOKUP($N1112,Base_Enderecos!$A:$A,Base_Enderecos!$C:$C,""),"")</f>
        <v/>
      </c>
      <c r="R1112">
        <f>IF(OR(ISNUMBER(SEARCH("HDD",$F1112)),ISNUMBER(SEARCH("MND",$F1112)),ISNUMBER(SEARCH("PEAD",$F1112)),ISNUMBER(SEARCH("Puxe",$J1112)),ISNUMBER(SEARCH("Apoio HDD",$F1112))),"MND",IF(OR(ISNUMBER(SEARCH("VCA",$F1112)),ISNUMBER(SEARCH("PVC",$F1112)),ISNUMBER(SEARCH("vca",$J1112)),ISNUMBER(SEARCH("Transformação",$J1112))),"VCA",IF(OR(ISNUMBER(SEARCH("crava",$F1112)),ISNUMBER(SEARCH("tubo cravado",$F1112)),ISNUMBER(SEARCH("shaft",$J1112)),ISNUMBER(SEARCH("concreto",$F1112))),"TUBO CRAVADO","")))</f>
        <v/>
      </c>
      <c r="T1112">
        <f>IF($A1112="","",TEXT($A1112,"yyyymm")&amp;"|"&amp;$C1112&amp;"|"&amp;$F1112&amp;"|"&amp;$N1112&amp;"|"&amp;$R1112)</f>
        <v/>
      </c>
    </row>
    <row r="1113" ht="11.55" customHeight="1">
      <c r="A1113" s="10" t="n">
        <v>46085</v>
      </c>
      <c r="B1113" s="7" t="inlineStr">
        <is>
          <t>Quarta</t>
        </is>
      </c>
      <c r="C1113" s="7" t="inlineStr">
        <is>
          <t>CT AGUA VERMELHA M.D</t>
        </is>
      </c>
      <c r="D1113" s="7" t="inlineStr">
        <is>
          <t>CAROLINE e FABIO</t>
        </is>
      </c>
      <c r="E1113" s="7" t="inlineStr">
        <is>
          <t>WJ 02</t>
        </is>
      </c>
      <c r="F1113" s="13" t="inlineStr">
        <is>
          <t>Piloto e Puxe PVD 10 ao PVD 10.1</t>
        </is>
      </c>
      <c r="G1113" s="7" t="inlineStr">
        <is>
          <t>10</t>
        </is>
      </c>
      <c r="H1113" s="7" t="inlineStr">
        <is>
          <t>10.1</t>
        </is>
      </c>
      <c r="I1113" s="7" t="inlineStr">
        <is>
          <t>10, 10.1</t>
        </is>
      </c>
      <c r="J1113" s="7" t="inlineStr">
        <is>
          <t>Piloto e puxe</t>
        </is>
      </c>
      <c r="K1113" s="7" t="inlineStr">
        <is>
          <t>Planejamento</t>
        </is>
      </c>
      <c r="L1113" s="16" t="inlineStr">
        <is>
          <t>PDS-Março(1).docx</t>
        </is>
      </c>
      <c r="M1113">
        <f>IF($A1113="","",TEXT($A1113,"mmmm/yyyy"))</f>
        <v/>
      </c>
      <c r="P1113">
        <f>IFERROR(_xludf.XLOOKUP($N1113,Base_Enderecos!$A:$A,Base_Enderecos!$B:$B,""),"")</f>
        <v/>
      </c>
      <c r="Q1113">
        <f>IFERROR(_xludf.XLOOKUP($N1113,Base_Enderecos!$A:$A,Base_Enderecos!$C:$C,""),"")</f>
        <v/>
      </c>
      <c r="R1113">
        <f>IF(OR(ISNUMBER(SEARCH("HDD",$F1113)),ISNUMBER(SEARCH("MND",$F1113)),ISNUMBER(SEARCH("PEAD",$F1113)),ISNUMBER(SEARCH("Puxe",$J1113)),ISNUMBER(SEARCH("Apoio HDD",$F1113))),"MND",IF(OR(ISNUMBER(SEARCH("VCA",$F1113)),ISNUMBER(SEARCH("PVC",$F1113)),ISNUMBER(SEARCH("vca",$J1113)),ISNUMBER(SEARCH("Transformação",$J1113))),"VCA",IF(OR(ISNUMBER(SEARCH("crava",$F1113)),ISNUMBER(SEARCH("tubo cravado",$F1113)),ISNUMBER(SEARCH("shaft",$J1113)),ISNUMBER(SEARCH("concreto",$F1113))),"TUBO CRAVADO","")))</f>
        <v/>
      </c>
      <c r="T1113">
        <f>IF($A1113="","",TEXT($A1113,"yyyymm")&amp;"|"&amp;$C1113&amp;"|"&amp;$F1113&amp;"|"&amp;$N1113&amp;"|"&amp;$R1113)</f>
        <v/>
      </c>
    </row>
    <row r="1114" ht="11.55" customHeight="1">
      <c r="A1114" s="10" t="n">
        <v>46085</v>
      </c>
      <c r="B1114" s="7" t="inlineStr">
        <is>
          <t>Quarta</t>
        </is>
      </c>
      <c r="C1114" s="7" t="inlineStr">
        <is>
          <t>CT AGUA VERMELHA M.D</t>
        </is>
      </c>
      <c r="D1114" s="7" t="inlineStr">
        <is>
          <t>CAROLINE e FABIO</t>
        </is>
      </c>
      <c r="E1114" s="7" t="inlineStr">
        <is>
          <t>Cesar</t>
        </is>
      </c>
      <c r="F1114" s="13" t="inlineStr">
        <is>
          <t>Transformação PVD 07</t>
        </is>
      </c>
      <c r="G1114" s="7" t="inlineStr">
        <is>
          <t>07</t>
        </is>
      </c>
      <c r="H1114" s="7" t="n"/>
      <c r="I1114" s="7" t="inlineStr">
        <is>
          <t>07</t>
        </is>
      </c>
      <c r="J1114" s="7" t="inlineStr">
        <is>
          <t>Transformação</t>
        </is>
      </c>
      <c r="K1114" s="7" t="inlineStr">
        <is>
          <t>Planejamento</t>
        </is>
      </c>
      <c r="L1114" s="16" t="inlineStr">
        <is>
          <t>PDS-Março(1).docx</t>
        </is>
      </c>
      <c r="M1114">
        <f>IF($A1114="","",TEXT($A1114,"mmmm/yyyy"))</f>
        <v/>
      </c>
      <c r="P1114">
        <f>IFERROR(_xludf.XLOOKUP($N1114,Base_Enderecos!$A:$A,Base_Enderecos!$B:$B,""),"")</f>
        <v/>
      </c>
      <c r="Q1114">
        <f>IFERROR(_xludf.XLOOKUP($N1114,Base_Enderecos!$A:$A,Base_Enderecos!$C:$C,""),"")</f>
        <v/>
      </c>
      <c r="R1114">
        <f>IF(OR(ISNUMBER(SEARCH("HDD",$F1114)),ISNUMBER(SEARCH("MND",$F1114)),ISNUMBER(SEARCH("PEAD",$F1114)),ISNUMBER(SEARCH("Puxe",$J1114)),ISNUMBER(SEARCH("Apoio HDD",$F1114))),"MND",IF(OR(ISNUMBER(SEARCH("VCA",$F1114)),ISNUMBER(SEARCH("PVC",$F1114)),ISNUMBER(SEARCH("vca",$J1114)),ISNUMBER(SEARCH("Transformação",$J1114))),"VCA",IF(OR(ISNUMBER(SEARCH("crava",$F1114)),ISNUMBER(SEARCH("tubo cravado",$F1114)),ISNUMBER(SEARCH("shaft",$J1114)),ISNUMBER(SEARCH("concreto",$F1114))),"TUBO CRAVADO","")))</f>
        <v/>
      </c>
      <c r="T1114">
        <f>IF($A1114="","",TEXT($A1114,"yyyymm")&amp;"|"&amp;$C1114&amp;"|"&amp;$F1114&amp;"|"&amp;$N1114&amp;"|"&amp;$R1114)</f>
        <v/>
      </c>
    </row>
    <row r="1115" ht="11.55" customHeight="1">
      <c r="A1115" s="10" t="n">
        <v>46085</v>
      </c>
      <c r="B1115" s="7" t="inlineStr">
        <is>
          <t>Quarta</t>
        </is>
      </c>
      <c r="C1115" s="7" t="inlineStr">
        <is>
          <t>CT AGUA VERMELHA M.D</t>
        </is>
      </c>
      <c r="D1115" s="7" t="inlineStr">
        <is>
          <t>CAROLINE e FABIO</t>
        </is>
      </c>
      <c r="E1115" s="7" t="inlineStr">
        <is>
          <t>Marcelo</t>
        </is>
      </c>
      <c r="F1115" s="13" t="inlineStr">
        <is>
          <t>Transformação PVD 06</t>
        </is>
      </c>
      <c r="G1115" s="7" t="inlineStr">
        <is>
          <t>06</t>
        </is>
      </c>
      <c r="H1115" s="7" t="n"/>
      <c r="I1115" s="7" t="inlineStr">
        <is>
          <t>06</t>
        </is>
      </c>
      <c r="J1115" s="7" t="inlineStr">
        <is>
          <t>Transformação</t>
        </is>
      </c>
      <c r="K1115" s="7" t="inlineStr">
        <is>
          <t>Planejamento</t>
        </is>
      </c>
      <c r="L1115" s="16" t="inlineStr">
        <is>
          <t>PDS-Março(1).docx</t>
        </is>
      </c>
      <c r="M1115">
        <f>IF($A1115="","",TEXT($A1115,"mmmm/yyyy"))</f>
        <v/>
      </c>
      <c r="P1115">
        <f>IFERROR(_xludf.XLOOKUP($N1115,Base_Enderecos!$A:$A,Base_Enderecos!$B:$B,""),"")</f>
        <v/>
      </c>
      <c r="Q1115">
        <f>IFERROR(_xludf.XLOOKUP($N1115,Base_Enderecos!$A:$A,Base_Enderecos!$C:$C,""),"")</f>
        <v/>
      </c>
      <c r="R1115">
        <f>IF(OR(ISNUMBER(SEARCH("HDD",$F1115)),ISNUMBER(SEARCH("MND",$F1115)),ISNUMBER(SEARCH("PEAD",$F1115)),ISNUMBER(SEARCH("Puxe",$J1115)),ISNUMBER(SEARCH("Apoio HDD",$F1115))),"MND",IF(OR(ISNUMBER(SEARCH("VCA",$F1115)),ISNUMBER(SEARCH("PVC",$F1115)),ISNUMBER(SEARCH("vca",$J1115)),ISNUMBER(SEARCH("Transformação",$J1115))),"VCA",IF(OR(ISNUMBER(SEARCH("crava",$F1115)),ISNUMBER(SEARCH("tubo cravado",$F1115)),ISNUMBER(SEARCH("shaft",$J1115)),ISNUMBER(SEARCH("concreto",$F1115))),"TUBO CRAVADO","")))</f>
        <v/>
      </c>
      <c r="T1115">
        <f>IF($A1115="","",TEXT($A1115,"yyyymm")&amp;"|"&amp;$C1115&amp;"|"&amp;$F1115&amp;"|"&amp;$N1115&amp;"|"&amp;$R1115)</f>
        <v/>
      </c>
    </row>
    <row r="1116" ht="11.55" customHeight="1">
      <c r="A1116" s="10" t="n">
        <v>46085</v>
      </c>
      <c r="B1116" s="7" t="inlineStr">
        <is>
          <t>Quarta</t>
        </is>
      </c>
      <c r="C1116" s="7" t="inlineStr">
        <is>
          <t>CT AGUA VERMELHA M.D</t>
        </is>
      </c>
      <c r="D1116" s="7" t="inlineStr">
        <is>
          <t>CAROLINE e FABIO</t>
        </is>
      </c>
      <c r="E1116" s="7" t="inlineStr">
        <is>
          <t>Antonio</t>
        </is>
      </c>
      <c r="F1116" s="13" t="inlineStr">
        <is>
          <t>Apoio HDD PVD 10 ao PVD 10.1</t>
        </is>
      </c>
      <c r="G1116" s="7" t="inlineStr">
        <is>
          <t>10</t>
        </is>
      </c>
      <c r="H1116" s="7" t="inlineStr">
        <is>
          <t>10.1</t>
        </is>
      </c>
      <c r="I1116" s="7" t="inlineStr">
        <is>
          <t>10, 10.1</t>
        </is>
      </c>
      <c r="J1116" s="7" t="inlineStr">
        <is>
          <t>Apoio HDD</t>
        </is>
      </c>
      <c r="K1116" s="7" t="inlineStr">
        <is>
          <t>Planejamento</t>
        </is>
      </c>
      <c r="L1116" s="16" t="inlineStr">
        <is>
          <t>PDS-Março(1).docx</t>
        </is>
      </c>
      <c r="M1116">
        <f>IF($A1116="","",TEXT($A1116,"mmmm/yyyy"))</f>
        <v/>
      </c>
      <c r="P1116">
        <f>IFERROR(_xludf.XLOOKUP($N1116,Base_Enderecos!$A:$A,Base_Enderecos!$B:$B,""),"")</f>
        <v/>
      </c>
      <c r="Q1116">
        <f>IFERROR(_xludf.XLOOKUP($N1116,Base_Enderecos!$A:$A,Base_Enderecos!$C:$C,""),"")</f>
        <v/>
      </c>
      <c r="R1116">
        <f>IF(OR(ISNUMBER(SEARCH("HDD",$F1116)),ISNUMBER(SEARCH("MND",$F1116)),ISNUMBER(SEARCH("PEAD",$F1116)),ISNUMBER(SEARCH("Puxe",$J1116)),ISNUMBER(SEARCH("Apoio HDD",$F1116))),"MND",IF(OR(ISNUMBER(SEARCH("VCA",$F1116)),ISNUMBER(SEARCH("PVC",$F1116)),ISNUMBER(SEARCH("vca",$J1116)),ISNUMBER(SEARCH("Transformação",$J1116))),"VCA",IF(OR(ISNUMBER(SEARCH("crava",$F1116)),ISNUMBER(SEARCH("tubo cravado",$F1116)),ISNUMBER(SEARCH("shaft",$J1116)),ISNUMBER(SEARCH("concreto",$F1116))),"TUBO CRAVADO","")))</f>
        <v/>
      </c>
      <c r="T1116">
        <f>IF($A1116="","",TEXT($A1116,"yyyymm")&amp;"|"&amp;$C1116&amp;"|"&amp;$F1116&amp;"|"&amp;$N1116&amp;"|"&amp;$R1116)</f>
        <v/>
      </c>
    </row>
    <row r="1117" ht="11.55" customHeight="1">
      <c r="A1117" s="10" t="n">
        <v>46085</v>
      </c>
      <c r="B1117" s="7" t="inlineStr">
        <is>
          <t>Quarta</t>
        </is>
      </c>
      <c r="C1117" s="7" t="inlineStr">
        <is>
          <t>CT AGUA VERMELHA M.E</t>
        </is>
      </c>
      <c r="D1117" s="7" t="inlineStr">
        <is>
          <t>Valmir e Eloízio</t>
        </is>
      </c>
      <c r="E1117" s="7" t="inlineStr">
        <is>
          <t>Cidão</t>
        </is>
      </c>
      <c r="F1117" s="13" t="inlineStr">
        <is>
          <t>Transformação PVE 15</t>
        </is>
      </c>
      <c r="G1117" s="7" t="inlineStr">
        <is>
          <t>15</t>
        </is>
      </c>
      <c r="H1117" s="7" t="n"/>
      <c r="I1117" s="7" t="inlineStr">
        <is>
          <t>15</t>
        </is>
      </c>
      <c r="J1117" s="7" t="inlineStr">
        <is>
          <t>Transformação</t>
        </is>
      </c>
      <c r="K1117" s="7" t="inlineStr">
        <is>
          <t>Planejamento</t>
        </is>
      </c>
      <c r="L1117" s="16" t="inlineStr">
        <is>
          <t>PDS-Março(1).docx</t>
        </is>
      </c>
      <c r="M1117">
        <f>IF($A1117="","",TEXT($A1117,"mmmm/yyyy"))</f>
        <v/>
      </c>
      <c r="P1117">
        <f>IFERROR(_xludf.XLOOKUP($N1117,Base_Enderecos!$A:$A,Base_Enderecos!$B:$B,""),"")</f>
        <v/>
      </c>
      <c r="Q1117">
        <f>IFERROR(_xludf.XLOOKUP($N1117,Base_Enderecos!$A:$A,Base_Enderecos!$C:$C,""),"")</f>
        <v/>
      </c>
      <c r="R1117">
        <f>IF(OR(ISNUMBER(SEARCH("HDD",$F1117)),ISNUMBER(SEARCH("MND",$F1117)),ISNUMBER(SEARCH("PEAD",$F1117)),ISNUMBER(SEARCH("Puxe",$J1117)),ISNUMBER(SEARCH("Apoio HDD",$F1117))),"MND",IF(OR(ISNUMBER(SEARCH("VCA",$F1117)),ISNUMBER(SEARCH("PVC",$F1117)),ISNUMBER(SEARCH("vca",$J1117)),ISNUMBER(SEARCH("Transformação",$J1117))),"VCA",IF(OR(ISNUMBER(SEARCH("crava",$F1117)),ISNUMBER(SEARCH("tubo cravado",$F1117)),ISNUMBER(SEARCH("shaft",$J1117)),ISNUMBER(SEARCH("concreto",$F1117))),"TUBO CRAVADO","")))</f>
        <v/>
      </c>
      <c r="T1117">
        <f>IF($A1117="","",TEXT($A1117,"yyyymm")&amp;"|"&amp;$C1117&amp;"|"&amp;$F1117&amp;"|"&amp;$N1117&amp;"|"&amp;$R1117)</f>
        <v/>
      </c>
    </row>
    <row r="1118" ht="11.55" customHeight="1">
      <c r="A1118" s="10" t="n">
        <v>46085</v>
      </c>
      <c r="B1118" s="7" t="inlineStr">
        <is>
          <t>Quarta</t>
        </is>
      </c>
      <c r="C1118" s="7" t="inlineStr">
        <is>
          <t>CT AGUA VERMELHA M.E</t>
        </is>
      </c>
      <c r="D1118" s="7" t="inlineStr">
        <is>
          <t>Valmir e Eloízio</t>
        </is>
      </c>
      <c r="E1118" s="7" t="inlineStr">
        <is>
          <t>Carlos</t>
        </is>
      </c>
      <c r="F1118" s="13" t="inlineStr">
        <is>
          <t>Transformação PVE 03</t>
        </is>
      </c>
      <c r="G1118" s="7" t="inlineStr">
        <is>
          <t>03</t>
        </is>
      </c>
      <c r="H1118" s="7" t="n"/>
      <c r="I1118" s="7" t="inlineStr">
        <is>
          <t>03</t>
        </is>
      </c>
      <c r="J1118" s="7" t="inlineStr">
        <is>
          <t>Transformação</t>
        </is>
      </c>
      <c r="K1118" s="7" t="inlineStr">
        <is>
          <t>Planejamento</t>
        </is>
      </c>
      <c r="L1118" s="16" t="inlineStr">
        <is>
          <t>PDS-Março(1).docx</t>
        </is>
      </c>
      <c r="M1118">
        <f>IF($A1118="","",TEXT($A1118,"mmmm/yyyy"))</f>
        <v/>
      </c>
      <c r="P1118">
        <f>IFERROR(_xludf.XLOOKUP($N1118,Base_Enderecos!$A:$A,Base_Enderecos!$B:$B,""),"")</f>
        <v/>
      </c>
      <c r="Q1118">
        <f>IFERROR(_xludf.XLOOKUP($N1118,Base_Enderecos!$A:$A,Base_Enderecos!$C:$C,""),"")</f>
        <v/>
      </c>
      <c r="R1118">
        <f>IF(OR(ISNUMBER(SEARCH("HDD",$F1118)),ISNUMBER(SEARCH("MND",$F1118)),ISNUMBER(SEARCH("PEAD",$F1118)),ISNUMBER(SEARCH("Puxe",$J1118)),ISNUMBER(SEARCH("Apoio HDD",$F1118))),"MND",IF(OR(ISNUMBER(SEARCH("VCA",$F1118)),ISNUMBER(SEARCH("PVC",$F1118)),ISNUMBER(SEARCH("vca",$J1118)),ISNUMBER(SEARCH("Transformação",$J1118))),"VCA",IF(OR(ISNUMBER(SEARCH("crava",$F1118)),ISNUMBER(SEARCH("tubo cravado",$F1118)),ISNUMBER(SEARCH("shaft",$J1118)),ISNUMBER(SEARCH("concreto",$F1118))),"TUBO CRAVADO","")))</f>
        <v/>
      </c>
      <c r="T1118">
        <f>IF($A1118="","",TEXT($A1118,"yyyymm")&amp;"|"&amp;$C1118&amp;"|"&amp;$F1118&amp;"|"&amp;$N1118&amp;"|"&amp;$R1118)</f>
        <v/>
      </c>
    </row>
    <row r="1119" ht="11.55" customHeight="1">
      <c r="A1119" s="10" t="n">
        <v>46085</v>
      </c>
      <c r="B1119" s="7" t="inlineStr">
        <is>
          <t>Quarta</t>
        </is>
      </c>
      <c r="C1119" s="7" t="inlineStr">
        <is>
          <t>CT AGUA VERMELHA M.E</t>
        </is>
      </c>
      <c r="D1119" s="7" t="inlineStr">
        <is>
          <t>Valmir e Eloízio</t>
        </is>
      </c>
      <c r="E1119" s="7" t="inlineStr">
        <is>
          <t>Higor</t>
        </is>
      </c>
      <c r="F1119" s="13" t="inlineStr">
        <is>
          <t>Transformação PVE 11</t>
        </is>
      </c>
      <c r="G1119" s="7" t="inlineStr">
        <is>
          <t>11</t>
        </is>
      </c>
      <c r="H1119" s="7" t="n"/>
      <c r="I1119" s="7" t="inlineStr">
        <is>
          <t>11</t>
        </is>
      </c>
      <c r="J1119" s="7" t="inlineStr">
        <is>
          <t>Transformação</t>
        </is>
      </c>
      <c r="K1119" s="7" t="inlineStr">
        <is>
          <t>Planejamento</t>
        </is>
      </c>
      <c r="L1119" s="16" t="inlineStr">
        <is>
          <t>PDS-Março(1).docx</t>
        </is>
      </c>
      <c r="M1119">
        <f>IF($A1119="","",TEXT($A1119,"mmmm/yyyy"))</f>
        <v/>
      </c>
      <c r="P1119">
        <f>IFERROR(_xludf.XLOOKUP($N1119,Base_Enderecos!$A:$A,Base_Enderecos!$B:$B,""),"")</f>
        <v/>
      </c>
      <c r="Q1119">
        <f>IFERROR(_xludf.XLOOKUP($N1119,Base_Enderecos!$A:$A,Base_Enderecos!$C:$C,""),"")</f>
        <v/>
      </c>
      <c r="R1119">
        <f>IF(OR(ISNUMBER(SEARCH("HDD",$F1119)),ISNUMBER(SEARCH("MND",$F1119)),ISNUMBER(SEARCH("PEAD",$F1119)),ISNUMBER(SEARCH("Puxe",$J1119)),ISNUMBER(SEARCH("Apoio HDD",$F1119))),"MND",IF(OR(ISNUMBER(SEARCH("VCA",$F1119)),ISNUMBER(SEARCH("PVC",$F1119)),ISNUMBER(SEARCH("vca",$J1119)),ISNUMBER(SEARCH("Transformação",$J1119))),"VCA",IF(OR(ISNUMBER(SEARCH("crava",$F1119)),ISNUMBER(SEARCH("tubo cravado",$F1119)),ISNUMBER(SEARCH("shaft",$J1119)),ISNUMBER(SEARCH("concreto",$F1119))),"TUBO CRAVADO","")))</f>
        <v/>
      </c>
      <c r="T1119">
        <f>IF($A1119="","",TEXT($A1119,"yyyymm")&amp;"|"&amp;$C1119&amp;"|"&amp;$F1119&amp;"|"&amp;$N1119&amp;"|"&amp;$R1119)</f>
        <v/>
      </c>
    </row>
    <row r="1120" ht="11.55" customHeight="1">
      <c r="A1120" s="10" t="n">
        <v>46085</v>
      </c>
      <c r="B1120" s="7" t="inlineStr">
        <is>
          <t>Quarta</t>
        </is>
      </c>
      <c r="C1120" s="7" t="inlineStr">
        <is>
          <t>CT AGUA VERMELHA M.E</t>
        </is>
      </c>
      <c r="D1120" s="7" t="inlineStr">
        <is>
          <t>Valmir e Eloízio</t>
        </is>
      </c>
      <c r="E1120" s="7" t="inlineStr">
        <is>
          <t>Marcio</t>
        </is>
      </c>
      <c r="F1120" s="13" t="inlineStr">
        <is>
          <t>Apoio HDD PVE 21 ao 23</t>
        </is>
      </c>
      <c r="G1120" s="7" t="inlineStr">
        <is>
          <t>21</t>
        </is>
      </c>
      <c r="H1120" s="7" t="n"/>
      <c r="I1120" s="7" t="inlineStr">
        <is>
          <t>21</t>
        </is>
      </c>
      <c r="J1120" s="7" t="inlineStr">
        <is>
          <t>Apoio HDD</t>
        </is>
      </c>
      <c r="K1120" s="7" t="inlineStr">
        <is>
          <t>Planejamento</t>
        </is>
      </c>
      <c r="L1120" s="16" t="inlineStr">
        <is>
          <t>PDS-Março(1).docx</t>
        </is>
      </c>
      <c r="M1120">
        <f>IF($A1120="","",TEXT($A1120,"mmmm/yyyy"))</f>
        <v/>
      </c>
      <c r="P1120">
        <f>IFERROR(_xludf.XLOOKUP($N1120,Base_Enderecos!$A:$A,Base_Enderecos!$B:$B,""),"")</f>
        <v/>
      </c>
      <c r="Q1120">
        <f>IFERROR(_xludf.XLOOKUP($N1120,Base_Enderecos!$A:$A,Base_Enderecos!$C:$C,""),"")</f>
        <v/>
      </c>
      <c r="R1120">
        <f>IF(OR(ISNUMBER(SEARCH("HDD",$F1120)),ISNUMBER(SEARCH("MND",$F1120)),ISNUMBER(SEARCH("PEAD",$F1120)),ISNUMBER(SEARCH("Puxe",$J1120)),ISNUMBER(SEARCH("Apoio HDD",$F1120))),"MND",IF(OR(ISNUMBER(SEARCH("VCA",$F1120)),ISNUMBER(SEARCH("PVC",$F1120)),ISNUMBER(SEARCH("vca",$J1120)),ISNUMBER(SEARCH("Transformação",$J1120))),"VCA",IF(OR(ISNUMBER(SEARCH("crava",$F1120)),ISNUMBER(SEARCH("tubo cravado",$F1120)),ISNUMBER(SEARCH("shaft",$J1120)),ISNUMBER(SEARCH("concreto",$F1120))),"TUBO CRAVADO","")))</f>
        <v/>
      </c>
      <c r="T1120">
        <f>IF($A1120="","",TEXT($A1120,"yyyymm")&amp;"|"&amp;$C1120&amp;"|"&amp;$F1120&amp;"|"&amp;$N1120&amp;"|"&amp;$R1120)</f>
        <v/>
      </c>
    </row>
    <row r="1121" ht="11.55" customHeight="1">
      <c r="A1121" s="10" t="n">
        <v>46085</v>
      </c>
      <c r="B1121" s="7" t="inlineStr">
        <is>
          <t>Quarta</t>
        </is>
      </c>
      <c r="C1121" s="7" t="inlineStr">
        <is>
          <t>CT AGUA VERMELHA M.E</t>
        </is>
      </c>
      <c r="D1121" s="7" t="inlineStr">
        <is>
          <t>Valmir e Eloízio</t>
        </is>
      </c>
      <c r="E1121" s="7" t="inlineStr">
        <is>
          <t>GR DRILL</t>
        </is>
      </c>
      <c r="F1121" s="13" t="inlineStr">
        <is>
          <t>Piloto e Puxe PVE 21 ao 23</t>
        </is>
      </c>
      <c r="G1121" s="7" t="inlineStr">
        <is>
          <t>21</t>
        </is>
      </c>
      <c r="H1121" s="7" t="n"/>
      <c r="I1121" s="7" t="inlineStr">
        <is>
          <t>21</t>
        </is>
      </c>
      <c r="J1121" s="7" t="inlineStr">
        <is>
          <t>Piloto e puxe</t>
        </is>
      </c>
      <c r="K1121" s="7" t="inlineStr">
        <is>
          <t>Planejamento</t>
        </is>
      </c>
      <c r="L1121" s="16" t="inlineStr">
        <is>
          <t>PDS-Março(1).docx</t>
        </is>
      </c>
      <c r="M1121">
        <f>IF($A1121="","",TEXT($A1121,"mmmm/yyyy"))</f>
        <v/>
      </c>
      <c r="P1121">
        <f>IFERROR(_xludf.XLOOKUP($N1121,Base_Enderecos!$A:$A,Base_Enderecos!$B:$B,""),"")</f>
        <v/>
      </c>
      <c r="Q1121">
        <f>IFERROR(_xludf.XLOOKUP($N1121,Base_Enderecos!$A:$A,Base_Enderecos!$C:$C,""),"")</f>
        <v/>
      </c>
      <c r="R1121">
        <f>IF(OR(ISNUMBER(SEARCH("HDD",$F1121)),ISNUMBER(SEARCH("MND",$F1121)),ISNUMBER(SEARCH("PEAD",$F1121)),ISNUMBER(SEARCH("Puxe",$J1121)),ISNUMBER(SEARCH("Apoio HDD",$F1121))),"MND",IF(OR(ISNUMBER(SEARCH("VCA",$F1121)),ISNUMBER(SEARCH("PVC",$F1121)),ISNUMBER(SEARCH("vca",$J1121)),ISNUMBER(SEARCH("Transformação",$J1121))),"VCA",IF(OR(ISNUMBER(SEARCH("crava",$F1121)),ISNUMBER(SEARCH("tubo cravado",$F1121)),ISNUMBER(SEARCH("shaft",$J1121)),ISNUMBER(SEARCH("concreto",$F1121))),"TUBO CRAVADO","")))</f>
        <v/>
      </c>
      <c r="T1121">
        <f>IF($A1121="","",TEXT($A1121,"yyyymm")&amp;"|"&amp;$C1121&amp;"|"&amp;$F1121&amp;"|"&amp;$N1121&amp;"|"&amp;$R1121)</f>
        <v/>
      </c>
    </row>
    <row r="1122" ht="11.55" customHeight="1">
      <c r="A1122" s="10" t="n">
        <v>46085</v>
      </c>
      <c r="B1122" s="7" t="inlineStr">
        <is>
          <t>Quarta</t>
        </is>
      </c>
      <c r="C1122" s="7" t="inlineStr">
        <is>
          <t>CT AGUA VERMELHA M.E</t>
        </is>
      </c>
      <c r="D1122" s="7" t="inlineStr">
        <is>
          <t>Valmir e Eloízio</t>
        </is>
      </c>
      <c r="E1122" s="7" t="inlineStr">
        <is>
          <t>Work Drill</t>
        </is>
      </c>
      <c r="F1122" s="13" t="inlineStr">
        <is>
          <t>Piloto e Puxe PV 21 ao 21.1</t>
        </is>
      </c>
      <c r="G1122" s="7" t="inlineStr">
        <is>
          <t>21</t>
        </is>
      </c>
      <c r="H1122" s="7" t="n"/>
      <c r="I1122" s="7" t="inlineStr">
        <is>
          <t>21</t>
        </is>
      </c>
      <c r="J1122" s="7" t="inlineStr">
        <is>
          <t>Piloto e puxe</t>
        </is>
      </c>
      <c r="K1122" s="7" t="inlineStr">
        <is>
          <t>Planejamento</t>
        </is>
      </c>
      <c r="L1122" s="16" t="inlineStr">
        <is>
          <t>PDS-Março(1).docx</t>
        </is>
      </c>
      <c r="M1122">
        <f>IF($A1122="","",TEXT($A1122,"mmmm/yyyy"))</f>
        <v/>
      </c>
      <c r="P1122">
        <f>IFERROR(_xludf.XLOOKUP($N1122,Base_Enderecos!$A:$A,Base_Enderecos!$B:$B,""),"")</f>
        <v/>
      </c>
      <c r="Q1122">
        <f>IFERROR(_xludf.XLOOKUP($N1122,Base_Enderecos!$A:$A,Base_Enderecos!$C:$C,""),"")</f>
        <v/>
      </c>
      <c r="R1122">
        <f>IF(OR(ISNUMBER(SEARCH("HDD",$F1122)),ISNUMBER(SEARCH("MND",$F1122)),ISNUMBER(SEARCH("PEAD",$F1122)),ISNUMBER(SEARCH("Puxe",$J1122)),ISNUMBER(SEARCH("Apoio HDD",$F1122))),"MND",IF(OR(ISNUMBER(SEARCH("VCA",$F1122)),ISNUMBER(SEARCH("PVC",$F1122)),ISNUMBER(SEARCH("vca",$J1122)),ISNUMBER(SEARCH("Transformação",$J1122))),"VCA",IF(OR(ISNUMBER(SEARCH("crava",$F1122)),ISNUMBER(SEARCH("tubo cravado",$F1122)),ISNUMBER(SEARCH("shaft",$J1122)),ISNUMBER(SEARCH("concreto",$F1122))),"TUBO CRAVADO","")))</f>
        <v/>
      </c>
      <c r="T1122">
        <f>IF($A1122="","",TEXT($A1122,"yyyymm")&amp;"|"&amp;$C1122&amp;"|"&amp;$F1122&amp;"|"&amp;$N1122&amp;"|"&amp;$R1122)</f>
        <v/>
      </c>
    </row>
    <row r="1123" ht="11.55" customHeight="1">
      <c r="A1123" s="10" t="n">
        <v>46085</v>
      </c>
      <c r="B1123" s="7" t="inlineStr">
        <is>
          <t>Quarta</t>
        </is>
      </c>
      <c r="C1123" s="7" t="inlineStr">
        <is>
          <t>CT AGUA VERMELHA M.E</t>
        </is>
      </c>
      <c r="D1123" s="7" t="inlineStr">
        <is>
          <t>Valmir e Eloízio</t>
        </is>
      </c>
      <c r="E1123" s="7" t="inlineStr">
        <is>
          <t>Adilson</t>
        </is>
      </c>
      <c r="F1123" s="13" t="inlineStr">
        <is>
          <t>Apoio HDD PV 21 ao 21.1</t>
        </is>
      </c>
      <c r="G1123" s="7" t="inlineStr">
        <is>
          <t>21</t>
        </is>
      </c>
      <c r="H1123" s="7" t="n"/>
      <c r="I1123" s="7" t="inlineStr">
        <is>
          <t>21</t>
        </is>
      </c>
      <c r="J1123" s="7" t="inlineStr">
        <is>
          <t>Apoio HDD</t>
        </is>
      </c>
      <c r="K1123" s="7" t="inlineStr">
        <is>
          <t>Planejamento</t>
        </is>
      </c>
      <c r="L1123" s="16" t="inlineStr">
        <is>
          <t>PDS-Março(1).docx</t>
        </is>
      </c>
      <c r="M1123">
        <f>IF($A1123="","",TEXT($A1123,"mmmm/yyyy"))</f>
        <v/>
      </c>
      <c r="P1123">
        <f>IFERROR(_xludf.XLOOKUP($N1123,Base_Enderecos!$A:$A,Base_Enderecos!$B:$B,""),"")</f>
        <v/>
      </c>
      <c r="Q1123">
        <f>IFERROR(_xludf.XLOOKUP($N1123,Base_Enderecos!$A:$A,Base_Enderecos!$C:$C,""),"")</f>
        <v/>
      </c>
      <c r="R1123">
        <f>IF(OR(ISNUMBER(SEARCH("HDD",$F1123)),ISNUMBER(SEARCH("MND",$F1123)),ISNUMBER(SEARCH("PEAD",$F1123)),ISNUMBER(SEARCH("Puxe",$J1123)),ISNUMBER(SEARCH("Apoio HDD",$F1123))),"MND",IF(OR(ISNUMBER(SEARCH("VCA",$F1123)),ISNUMBER(SEARCH("PVC",$F1123)),ISNUMBER(SEARCH("vca",$J1123)),ISNUMBER(SEARCH("Transformação",$J1123))),"VCA",IF(OR(ISNUMBER(SEARCH("crava",$F1123)),ISNUMBER(SEARCH("tubo cravado",$F1123)),ISNUMBER(SEARCH("shaft",$J1123)),ISNUMBER(SEARCH("concreto",$F1123))),"TUBO CRAVADO","")))</f>
        <v/>
      </c>
      <c r="T1123">
        <f>IF($A1123="","",TEXT($A1123,"yyyymm")&amp;"|"&amp;$C1123&amp;"|"&amp;$F1123&amp;"|"&amp;$N1123&amp;"|"&amp;$R1123)</f>
        <v/>
      </c>
    </row>
    <row r="1124" ht="11.55" customHeight="1">
      <c r="A1124" s="10" t="n">
        <v>46085</v>
      </c>
      <c r="B1124" s="7" t="inlineStr">
        <is>
          <t>Quarta</t>
        </is>
      </c>
      <c r="C1124" s="7" t="inlineStr">
        <is>
          <t>Vacal</t>
        </is>
      </c>
      <c r="D1124" s="7" t="n"/>
      <c r="E1124" s="7" t="inlineStr">
        <is>
          <t>Agua Vermelha</t>
        </is>
      </c>
      <c r="F1124" s="13" t="inlineStr">
        <is>
          <t>Apoio Vacal</t>
        </is>
      </c>
      <c r="G1124" s="7" t="n"/>
      <c r="H1124" s="7" t="n"/>
      <c r="I1124" s="7" t="n"/>
      <c r="J1124" s="7" t="inlineStr">
        <is>
          <t>Vacal</t>
        </is>
      </c>
      <c r="K1124" s="7" t="inlineStr">
        <is>
          <t>Apoio</t>
        </is>
      </c>
      <c r="L1124" s="16" t="inlineStr">
        <is>
          <t>PDS-Março(1).docx</t>
        </is>
      </c>
      <c r="M1124">
        <f>IF($A1124="","",TEXT($A1124,"mmmm/yyyy"))</f>
        <v/>
      </c>
      <c r="P1124">
        <f>IFERROR(_xludf.XLOOKUP($N1124,Base_Enderecos!$A:$A,Base_Enderecos!$B:$B,""),"")</f>
        <v/>
      </c>
      <c r="Q1124">
        <f>IFERROR(_xludf.XLOOKUP($N1124,Base_Enderecos!$A:$A,Base_Enderecos!$C:$C,""),"")</f>
        <v/>
      </c>
      <c r="R1124">
        <f>IF(OR(ISNUMBER(SEARCH("HDD",$F1124)),ISNUMBER(SEARCH("MND",$F1124)),ISNUMBER(SEARCH("PEAD",$F1124)),ISNUMBER(SEARCH("Puxe",$J1124)),ISNUMBER(SEARCH("Apoio HDD",$F1124))),"MND",IF(OR(ISNUMBER(SEARCH("VCA",$F1124)),ISNUMBER(SEARCH("PVC",$F1124)),ISNUMBER(SEARCH("vca",$J1124)),ISNUMBER(SEARCH("Transformação",$J1124))),"VCA",IF(OR(ISNUMBER(SEARCH("crava",$F1124)),ISNUMBER(SEARCH("tubo cravado",$F1124)),ISNUMBER(SEARCH("shaft",$J1124)),ISNUMBER(SEARCH("concreto",$F1124))),"TUBO CRAVADO","")))</f>
        <v/>
      </c>
      <c r="T1124">
        <f>IF($A1124="","",TEXT($A1124,"yyyymm")&amp;"|"&amp;$C1124&amp;"|"&amp;$F1124&amp;"|"&amp;$N1124&amp;"|"&amp;$R1124)</f>
        <v/>
      </c>
    </row>
    <row r="1125" ht="11.55" customHeight="1">
      <c r="A1125" s="10" t="n">
        <v>46085</v>
      </c>
      <c r="B1125" s="7" t="inlineStr">
        <is>
          <t>Quarta</t>
        </is>
      </c>
      <c r="C1125" s="7" t="inlineStr">
        <is>
          <t>Vacal</t>
        </is>
      </c>
      <c r="D1125" s="7" t="n"/>
      <c r="E1125" s="7" t="inlineStr">
        <is>
          <t>Agua Vermelha</t>
        </is>
      </c>
      <c r="F1125" s="13" t="inlineStr">
        <is>
          <t>Apoio Vacal</t>
        </is>
      </c>
      <c r="G1125" s="7" t="n"/>
      <c r="H1125" s="7" t="n"/>
      <c r="I1125" s="7" t="n"/>
      <c r="J1125" s="7" t="inlineStr">
        <is>
          <t>Vacal</t>
        </is>
      </c>
      <c r="K1125" s="7" t="inlineStr">
        <is>
          <t>Apoio</t>
        </is>
      </c>
      <c r="L1125" s="16" t="inlineStr">
        <is>
          <t>PDS-Março(1).docx</t>
        </is>
      </c>
      <c r="M1125">
        <f>IF($A1125="","",TEXT($A1125,"mmmm/yyyy"))</f>
        <v/>
      </c>
      <c r="P1125">
        <f>IFERROR(_xludf.XLOOKUP($N1125,Base_Enderecos!$A:$A,Base_Enderecos!$B:$B,""),"")</f>
        <v/>
      </c>
      <c r="Q1125">
        <f>IFERROR(_xludf.XLOOKUP($N1125,Base_Enderecos!$A:$A,Base_Enderecos!$C:$C,""),"")</f>
        <v/>
      </c>
      <c r="R1125">
        <f>IF(OR(ISNUMBER(SEARCH("HDD",$F1125)),ISNUMBER(SEARCH("MND",$F1125)),ISNUMBER(SEARCH("PEAD",$F1125)),ISNUMBER(SEARCH("Puxe",$J1125)),ISNUMBER(SEARCH("Apoio HDD",$F1125))),"MND",IF(OR(ISNUMBER(SEARCH("VCA",$F1125)),ISNUMBER(SEARCH("PVC",$F1125)),ISNUMBER(SEARCH("vca",$J1125)),ISNUMBER(SEARCH("Transformação",$J1125))),"VCA",IF(OR(ISNUMBER(SEARCH("crava",$F1125)),ISNUMBER(SEARCH("tubo cravado",$F1125)),ISNUMBER(SEARCH("shaft",$J1125)),ISNUMBER(SEARCH("concreto",$F1125))),"TUBO CRAVADO","")))</f>
        <v/>
      </c>
      <c r="T1125">
        <f>IF($A1125="","",TEXT($A1125,"yyyymm")&amp;"|"&amp;$C1125&amp;"|"&amp;$F1125&amp;"|"&amp;$N1125&amp;"|"&amp;$R1125)</f>
        <v/>
      </c>
    </row>
    <row r="1126" ht="11.55" customHeight="1">
      <c r="A1126" s="10" t="n">
        <v>46085</v>
      </c>
      <c r="B1126" s="7" t="inlineStr">
        <is>
          <t>Quarta</t>
        </is>
      </c>
      <c r="C1126" s="7" t="inlineStr">
        <is>
          <t>Vacal</t>
        </is>
      </c>
      <c r="D1126" s="7" t="n"/>
      <c r="E1126" s="7" t="inlineStr">
        <is>
          <t>Agua Vermelha</t>
        </is>
      </c>
      <c r="F1126" s="13" t="inlineStr">
        <is>
          <t>Apoio Vacal</t>
        </is>
      </c>
      <c r="G1126" s="7" t="n"/>
      <c r="H1126" s="7" t="n"/>
      <c r="I1126" s="7" t="n"/>
      <c r="J1126" s="7" t="inlineStr">
        <is>
          <t>Vacal</t>
        </is>
      </c>
      <c r="K1126" s="7" t="inlineStr">
        <is>
          <t>Apoio</t>
        </is>
      </c>
      <c r="L1126" s="16" t="inlineStr">
        <is>
          <t>PDS-Março(1).docx</t>
        </is>
      </c>
      <c r="M1126">
        <f>IF($A1126="","",TEXT($A1126,"mmmm/yyyy"))</f>
        <v/>
      </c>
      <c r="P1126">
        <f>IFERROR(_xludf.XLOOKUP($N1126,Base_Enderecos!$A:$A,Base_Enderecos!$B:$B,""),"")</f>
        <v/>
      </c>
      <c r="Q1126">
        <f>IFERROR(_xludf.XLOOKUP($N1126,Base_Enderecos!$A:$A,Base_Enderecos!$C:$C,""),"")</f>
        <v/>
      </c>
      <c r="R1126">
        <f>IF(OR(ISNUMBER(SEARCH("HDD",$F1126)),ISNUMBER(SEARCH("MND",$F1126)),ISNUMBER(SEARCH("PEAD",$F1126)),ISNUMBER(SEARCH("Puxe",$J1126)),ISNUMBER(SEARCH("Apoio HDD",$F1126))),"MND",IF(OR(ISNUMBER(SEARCH("VCA",$F1126)),ISNUMBER(SEARCH("PVC",$F1126)),ISNUMBER(SEARCH("vca",$J1126)),ISNUMBER(SEARCH("Transformação",$J1126))),"VCA",IF(OR(ISNUMBER(SEARCH("crava",$F1126)),ISNUMBER(SEARCH("tubo cravado",$F1126)),ISNUMBER(SEARCH("shaft",$J1126)),ISNUMBER(SEARCH("concreto",$F1126))),"TUBO CRAVADO","")))</f>
        <v/>
      </c>
      <c r="T1126">
        <f>IF($A1126="","",TEXT($A1126,"yyyymm")&amp;"|"&amp;$C1126&amp;"|"&amp;$F1126&amp;"|"&amp;$N1126&amp;"|"&amp;$R1126)</f>
        <v/>
      </c>
    </row>
    <row r="1127" ht="11.55" customHeight="1">
      <c r="A1127" s="10" t="n">
        <v>46085</v>
      </c>
      <c r="B1127" s="7" t="inlineStr">
        <is>
          <t>Quarta</t>
        </is>
      </c>
      <c r="C1127" s="7" t="inlineStr">
        <is>
          <t>Guindauto</t>
        </is>
      </c>
      <c r="D1127" s="7" t="n"/>
      <c r="E1127" s="7" t="inlineStr">
        <is>
          <t>Rodrigo</t>
        </is>
      </c>
      <c r="F1127" s="13" t="inlineStr">
        <is>
          <t>Rodrigo - Apoio as equipes</t>
        </is>
      </c>
      <c r="G1127" s="7" t="n"/>
      <c r="H1127" s="7" t="n"/>
      <c r="I1127" s="7" t="n"/>
      <c r="J1127" s="7" t="inlineStr">
        <is>
          <t>Guindauto</t>
        </is>
      </c>
      <c r="K1127" s="7" t="inlineStr">
        <is>
          <t>Apoio</t>
        </is>
      </c>
      <c r="L1127" s="16" t="inlineStr">
        <is>
          <t>PDS-Março(1).docx</t>
        </is>
      </c>
      <c r="M1127">
        <f>IF($A1127="","",TEXT($A1127,"mmmm/yyyy"))</f>
        <v/>
      </c>
      <c r="P1127">
        <f>IFERROR(_xludf.XLOOKUP($N1127,Base_Enderecos!$A:$A,Base_Enderecos!$B:$B,""),"")</f>
        <v/>
      </c>
      <c r="Q1127">
        <f>IFERROR(_xludf.XLOOKUP($N1127,Base_Enderecos!$A:$A,Base_Enderecos!$C:$C,""),"")</f>
        <v/>
      </c>
      <c r="R1127">
        <f>IF(OR(ISNUMBER(SEARCH("HDD",$F1127)),ISNUMBER(SEARCH("MND",$F1127)),ISNUMBER(SEARCH("PEAD",$F1127)),ISNUMBER(SEARCH("Puxe",$J1127)),ISNUMBER(SEARCH("Apoio HDD",$F1127))),"MND",IF(OR(ISNUMBER(SEARCH("VCA",$F1127)),ISNUMBER(SEARCH("PVC",$F1127)),ISNUMBER(SEARCH("vca",$J1127)),ISNUMBER(SEARCH("Transformação",$J1127))),"VCA",IF(OR(ISNUMBER(SEARCH("crava",$F1127)),ISNUMBER(SEARCH("tubo cravado",$F1127)),ISNUMBER(SEARCH("shaft",$J1127)),ISNUMBER(SEARCH("concreto",$F1127))),"TUBO CRAVADO","")))</f>
        <v/>
      </c>
      <c r="T1127">
        <f>IF($A1127="","",TEXT($A1127,"yyyymm")&amp;"|"&amp;$C1127&amp;"|"&amp;$F1127&amp;"|"&amp;$N1127&amp;"|"&amp;$R1127)</f>
        <v/>
      </c>
    </row>
    <row r="1128" ht="11.55" customHeight="1">
      <c r="A1128" s="10" t="n">
        <v>46085</v>
      </c>
      <c r="B1128" s="7" t="inlineStr">
        <is>
          <t>Quarta</t>
        </is>
      </c>
      <c r="C1128" s="7" t="inlineStr">
        <is>
          <t>Guindauto</t>
        </is>
      </c>
      <c r="D1128" s="7" t="n"/>
      <c r="E1128" s="7" t="inlineStr">
        <is>
          <t>Marcio</t>
        </is>
      </c>
      <c r="F1128" s="13" t="inlineStr">
        <is>
          <t>Marcio - Apoio as equipes</t>
        </is>
      </c>
      <c r="G1128" s="7" t="n"/>
      <c r="H1128" s="7" t="n"/>
      <c r="I1128" s="7" t="n"/>
      <c r="J1128" s="7" t="inlineStr">
        <is>
          <t>Guindauto</t>
        </is>
      </c>
      <c r="K1128" s="7" t="inlineStr">
        <is>
          <t>Apoio</t>
        </is>
      </c>
      <c r="L1128" s="16" t="inlineStr">
        <is>
          <t>PDS-Março(1).docx</t>
        </is>
      </c>
      <c r="M1128">
        <f>IF($A1128="","",TEXT($A1128,"mmmm/yyyy"))</f>
        <v/>
      </c>
      <c r="P1128">
        <f>IFERROR(_xludf.XLOOKUP($N1128,Base_Enderecos!$A:$A,Base_Enderecos!$B:$B,""),"")</f>
        <v/>
      </c>
      <c r="Q1128">
        <f>IFERROR(_xludf.XLOOKUP($N1128,Base_Enderecos!$A:$A,Base_Enderecos!$C:$C,""),"")</f>
        <v/>
      </c>
      <c r="R1128">
        <f>IF(OR(ISNUMBER(SEARCH("HDD",$F1128)),ISNUMBER(SEARCH("MND",$F1128)),ISNUMBER(SEARCH("PEAD",$F1128)),ISNUMBER(SEARCH("Puxe",$J1128)),ISNUMBER(SEARCH("Apoio HDD",$F1128))),"MND",IF(OR(ISNUMBER(SEARCH("VCA",$F1128)),ISNUMBER(SEARCH("PVC",$F1128)),ISNUMBER(SEARCH("vca",$J1128)),ISNUMBER(SEARCH("Transformação",$J1128))),"VCA",IF(OR(ISNUMBER(SEARCH("crava",$F1128)),ISNUMBER(SEARCH("tubo cravado",$F1128)),ISNUMBER(SEARCH("shaft",$J1128)),ISNUMBER(SEARCH("concreto",$F1128))),"TUBO CRAVADO","")))</f>
        <v/>
      </c>
      <c r="T1128">
        <f>IF($A1128="","",TEXT($A1128,"yyyymm")&amp;"|"&amp;$C1128&amp;"|"&amp;$F1128&amp;"|"&amp;$N1128&amp;"|"&amp;$R1128)</f>
        <v/>
      </c>
    </row>
    <row r="1129" ht="11.55" customHeight="1">
      <c r="A1129" s="10" t="n">
        <v>46086</v>
      </c>
      <c r="B1129" s="7" t="inlineStr">
        <is>
          <t>Quinta</t>
        </is>
      </c>
      <c r="C1129" s="7" t="inlineStr">
        <is>
          <t>CTS CONCEIÇÃO</t>
        </is>
      </c>
      <c r="D1129" s="7" t="inlineStr">
        <is>
          <t>SILVESTRE e ROBSON</t>
        </is>
      </c>
      <c r="E1129" s="7" t="inlineStr">
        <is>
          <t>Valter</t>
        </is>
      </c>
      <c r="F1129" s="13" t="inlineStr">
        <is>
          <t>Shaft PV 02</t>
        </is>
      </c>
      <c r="G1129" s="7" t="inlineStr">
        <is>
          <t>02</t>
        </is>
      </c>
      <c r="H1129" s="7" t="n"/>
      <c r="I1129" s="7" t="inlineStr">
        <is>
          <t>02</t>
        </is>
      </c>
      <c r="J1129" s="7" t="inlineStr">
        <is>
          <t>Shaft</t>
        </is>
      </c>
      <c r="K1129" s="7" t="inlineStr">
        <is>
          <t>Planejamento</t>
        </is>
      </c>
      <c r="L1129" s="16" t="inlineStr">
        <is>
          <t>PDS-Março(1).docx</t>
        </is>
      </c>
      <c r="M1129">
        <f>IF($A1129="","",TEXT($A1129,"mmmm/yyyy"))</f>
        <v/>
      </c>
      <c r="P1129">
        <f>IFERROR(_xludf.XLOOKUP($N1129,Base_Enderecos!$A:$A,Base_Enderecos!$B:$B,""),"")</f>
        <v/>
      </c>
      <c r="Q1129">
        <f>IFERROR(_xludf.XLOOKUP($N1129,Base_Enderecos!$A:$A,Base_Enderecos!$C:$C,""),"")</f>
        <v/>
      </c>
      <c r="R1129">
        <f>IF(OR(ISNUMBER(SEARCH("HDD",$F1129)),ISNUMBER(SEARCH("MND",$F1129)),ISNUMBER(SEARCH("PEAD",$F1129)),ISNUMBER(SEARCH("Puxe",$J1129)),ISNUMBER(SEARCH("Apoio HDD",$F1129))),"MND",IF(OR(ISNUMBER(SEARCH("VCA",$F1129)),ISNUMBER(SEARCH("PVC",$F1129)),ISNUMBER(SEARCH("vca",$J1129)),ISNUMBER(SEARCH("Transformação",$J1129))),"VCA",IF(OR(ISNUMBER(SEARCH("crava",$F1129)),ISNUMBER(SEARCH("tubo cravado",$F1129)),ISNUMBER(SEARCH("shaft",$J1129)),ISNUMBER(SEARCH("concreto",$F1129))),"TUBO CRAVADO","")))</f>
        <v/>
      </c>
      <c r="T1129">
        <f>IF($A1129="","",TEXT($A1129,"yyyymm")&amp;"|"&amp;$C1129&amp;"|"&amp;$F1129&amp;"|"&amp;$N1129&amp;"|"&amp;$R1129)</f>
        <v/>
      </c>
    </row>
    <row r="1130" ht="11.55" customHeight="1">
      <c r="A1130" s="10" t="n">
        <v>46086</v>
      </c>
      <c r="B1130" s="7" t="inlineStr">
        <is>
          <t>Quinta</t>
        </is>
      </c>
      <c r="C1130" s="7" t="inlineStr">
        <is>
          <t>CTS CONCEIÇÃO</t>
        </is>
      </c>
      <c r="D1130" s="7" t="inlineStr">
        <is>
          <t>SILVESTRE e ROBSON</t>
        </is>
      </c>
      <c r="E1130" s="7" t="inlineStr">
        <is>
          <t>Ricardo</t>
        </is>
      </c>
      <c r="F1130" s="13" t="inlineStr">
        <is>
          <t>Shaft PV 07</t>
        </is>
      </c>
      <c r="G1130" s="7" t="inlineStr">
        <is>
          <t>07</t>
        </is>
      </c>
      <c r="H1130" s="7" t="n"/>
      <c r="I1130" s="7" t="inlineStr">
        <is>
          <t>07</t>
        </is>
      </c>
      <c r="J1130" s="7" t="inlineStr">
        <is>
          <t>Shaft</t>
        </is>
      </c>
      <c r="K1130" s="7" t="inlineStr">
        <is>
          <t>Planejamento</t>
        </is>
      </c>
      <c r="L1130" s="16" t="inlineStr">
        <is>
          <t>PDS-Março(1).docx</t>
        </is>
      </c>
      <c r="M1130">
        <f>IF($A1130="","",TEXT($A1130,"mmmm/yyyy"))</f>
        <v/>
      </c>
      <c r="P1130">
        <f>IFERROR(_xludf.XLOOKUP($N1130,Base_Enderecos!$A:$A,Base_Enderecos!$B:$B,""),"")</f>
        <v/>
      </c>
      <c r="Q1130">
        <f>IFERROR(_xludf.XLOOKUP($N1130,Base_Enderecos!$A:$A,Base_Enderecos!$C:$C,""),"")</f>
        <v/>
      </c>
      <c r="R1130">
        <f>IF(OR(ISNUMBER(SEARCH("HDD",$F1130)),ISNUMBER(SEARCH("MND",$F1130)),ISNUMBER(SEARCH("PEAD",$F1130)),ISNUMBER(SEARCH("Puxe",$J1130)),ISNUMBER(SEARCH("Apoio HDD",$F1130))),"MND",IF(OR(ISNUMBER(SEARCH("VCA",$F1130)),ISNUMBER(SEARCH("PVC",$F1130)),ISNUMBER(SEARCH("vca",$J1130)),ISNUMBER(SEARCH("Transformação",$J1130))),"VCA",IF(OR(ISNUMBER(SEARCH("crava",$F1130)),ISNUMBER(SEARCH("tubo cravado",$F1130)),ISNUMBER(SEARCH("shaft",$J1130)),ISNUMBER(SEARCH("concreto",$F1130))),"TUBO CRAVADO","")))</f>
        <v/>
      </c>
      <c r="T1130">
        <f>IF($A1130="","",TEXT($A1130,"yyyymm")&amp;"|"&amp;$C1130&amp;"|"&amp;$F1130&amp;"|"&amp;$N1130&amp;"|"&amp;$R1130)</f>
        <v/>
      </c>
    </row>
    <row r="1131" ht="11.55" customHeight="1">
      <c r="A1131" s="10" t="n">
        <v>46086</v>
      </c>
      <c r="B1131" s="7" t="inlineStr">
        <is>
          <t>Quinta</t>
        </is>
      </c>
      <c r="C1131" s="7" t="inlineStr">
        <is>
          <t>CTS CONCEIÇÃO</t>
        </is>
      </c>
      <c r="D1131" s="7" t="inlineStr">
        <is>
          <t>SILVESTRE e ROBSON</t>
        </is>
      </c>
      <c r="E1131" s="7" t="inlineStr">
        <is>
          <t>Paulo</t>
        </is>
      </c>
      <c r="F1131" s="13" t="inlineStr">
        <is>
          <t>Shaft PV 08</t>
        </is>
      </c>
      <c r="G1131" s="7" t="inlineStr">
        <is>
          <t>08</t>
        </is>
      </c>
      <c r="H1131" s="7" t="n"/>
      <c r="I1131" s="7" t="inlineStr">
        <is>
          <t>08</t>
        </is>
      </c>
      <c r="J1131" s="7" t="inlineStr">
        <is>
          <t>Shaft</t>
        </is>
      </c>
      <c r="K1131" s="7" t="inlineStr">
        <is>
          <t>Planejamento</t>
        </is>
      </c>
      <c r="L1131" s="16" t="inlineStr">
        <is>
          <t>PDS-Março(1).docx</t>
        </is>
      </c>
      <c r="M1131">
        <f>IF($A1131="","",TEXT($A1131,"mmmm/yyyy"))</f>
        <v/>
      </c>
      <c r="P1131">
        <f>IFERROR(_xludf.XLOOKUP($N1131,Base_Enderecos!$A:$A,Base_Enderecos!$B:$B,""),"")</f>
        <v/>
      </c>
      <c r="Q1131">
        <f>IFERROR(_xludf.XLOOKUP($N1131,Base_Enderecos!$A:$A,Base_Enderecos!$C:$C,""),"")</f>
        <v/>
      </c>
      <c r="R1131">
        <f>IF(OR(ISNUMBER(SEARCH("HDD",$F1131)),ISNUMBER(SEARCH("MND",$F1131)),ISNUMBER(SEARCH("PEAD",$F1131)),ISNUMBER(SEARCH("Puxe",$J1131)),ISNUMBER(SEARCH("Apoio HDD",$F1131))),"MND",IF(OR(ISNUMBER(SEARCH("VCA",$F1131)),ISNUMBER(SEARCH("PVC",$F1131)),ISNUMBER(SEARCH("vca",$J1131)),ISNUMBER(SEARCH("Transformação",$J1131))),"VCA",IF(OR(ISNUMBER(SEARCH("crava",$F1131)),ISNUMBER(SEARCH("tubo cravado",$F1131)),ISNUMBER(SEARCH("shaft",$J1131)),ISNUMBER(SEARCH("concreto",$F1131))),"TUBO CRAVADO","")))</f>
        <v/>
      </c>
      <c r="T1131">
        <f>IF($A1131="","",TEXT($A1131,"yyyymm")&amp;"|"&amp;$C1131&amp;"|"&amp;$F1131&amp;"|"&amp;$N1131&amp;"|"&amp;$R1131)</f>
        <v/>
      </c>
    </row>
    <row r="1132" ht="11.55" customHeight="1">
      <c r="A1132" s="10" t="n">
        <v>46086</v>
      </c>
      <c r="B1132" s="7" t="inlineStr">
        <is>
          <t>Quinta</t>
        </is>
      </c>
      <c r="C1132" s="7" t="inlineStr">
        <is>
          <t>CT MAR DE CORAL</t>
        </is>
      </c>
      <c r="D1132" s="7" t="inlineStr">
        <is>
          <t>LEANDRO</t>
        </is>
      </c>
      <c r="E1132" s="7" t="inlineStr">
        <is>
          <t>Medeiros</t>
        </is>
      </c>
      <c r="F1132" s="13" t="inlineStr">
        <is>
          <t>Limpeza casa</t>
        </is>
      </c>
      <c r="G1132" s="7" t="n"/>
      <c r="H1132" s="7" t="n"/>
      <c r="I1132" s="7" t="n"/>
      <c r="J1132" s="7" t="inlineStr">
        <is>
          <t>Limpeza</t>
        </is>
      </c>
      <c r="K1132" s="7" t="inlineStr">
        <is>
          <t>Planejamento</t>
        </is>
      </c>
      <c r="L1132" s="16" t="inlineStr">
        <is>
          <t>PDS-Março(1).docx</t>
        </is>
      </c>
      <c r="M1132">
        <f>IF($A1132="","",TEXT($A1132,"mmmm/yyyy"))</f>
        <v/>
      </c>
      <c r="P1132">
        <f>IFERROR(_xludf.XLOOKUP($N1132,Base_Enderecos!$A:$A,Base_Enderecos!$B:$B,""),"")</f>
        <v/>
      </c>
      <c r="Q1132">
        <f>IFERROR(_xludf.XLOOKUP($N1132,Base_Enderecos!$A:$A,Base_Enderecos!$C:$C,""),"")</f>
        <v/>
      </c>
      <c r="R1132">
        <f>IF(OR(ISNUMBER(SEARCH("HDD",$F1132)),ISNUMBER(SEARCH("MND",$F1132)),ISNUMBER(SEARCH("PEAD",$F1132)),ISNUMBER(SEARCH("Puxe",$J1132)),ISNUMBER(SEARCH("Apoio HDD",$F1132))),"MND",IF(OR(ISNUMBER(SEARCH("VCA",$F1132)),ISNUMBER(SEARCH("PVC",$F1132)),ISNUMBER(SEARCH("vca",$J1132)),ISNUMBER(SEARCH("Transformação",$J1132))),"VCA",IF(OR(ISNUMBER(SEARCH("crava",$F1132)),ISNUMBER(SEARCH("tubo cravado",$F1132)),ISNUMBER(SEARCH("shaft",$J1132)),ISNUMBER(SEARCH("concreto",$F1132))),"TUBO CRAVADO","")))</f>
        <v/>
      </c>
      <c r="T1132">
        <f>IF($A1132="","",TEXT($A1132,"yyyymm")&amp;"|"&amp;$C1132&amp;"|"&amp;$F1132&amp;"|"&amp;$N1132&amp;"|"&amp;$R1132)</f>
        <v/>
      </c>
    </row>
    <row r="1133" ht="11.55" customHeight="1">
      <c r="A1133" s="10" t="n">
        <v>46086</v>
      </c>
      <c r="B1133" s="7" t="inlineStr">
        <is>
          <t>Quinta</t>
        </is>
      </c>
      <c r="C1133" s="7" t="inlineStr">
        <is>
          <t>CT MAR DE CORAL</t>
        </is>
      </c>
      <c r="D1133" s="7" t="inlineStr">
        <is>
          <t>LEANDRO</t>
        </is>
      </c>
      <c r="E1133" s="7" t="inlineStr">
        <is>
          <t>Edivando</t>
        </is>
      </c>
      <c r="F1133" s="13" t="inlineStr">
        <is>
          <t>Transformação PV 22.1</t>
        </is>
      </c>
      <c r="G1133" s="7" t="inlineStr">
        <is>
          <t>22.1</t>
        </is>
      </c>
      <c r="H1133" s="7" t="n"/>
      <c r="I1133" s="7" t="inlineStr">
        <is>
          <t>22.1</t>
        </is>
      </c>
      <c r="J1133" s="7" t="inlineStr">
        <is>
          <t>Transformação</t>
        </is>
      </c>
      <c r="K1133" s="7" t="inlineStr">
        <is>
          <t>Planejamento</t>
        </is>
      </c>
      <c r="L1133" s="16" t="inlineStr">
        <is>
          <t>PDS-Março(1).docx</t>
        </is>
      </c>
      <c r="M1133">
        <f>IF($A1133="","",TEXT($A1133,"mmmm/yyyy"))</f>
        <v/>
      </c>
      <c r="P1133">
        <f>IFERROR(_xludf.XLOOKUP($N1133,Base_Enderecos!$A:$A,Base_Enderecos!$B:$B,""),"")</f>
        <v/>
      </c>
      <c r="Q1133">
        <f>IFERROR(_xludf.XLOOKUP($N1133,Base_Enderecos!$A:$A,Base_Enderecos!$C:$C,""),"")</f>
        <v/>
      </c>
      <c r="R1133">
        <f>IF(OR(ISNUMBER(SEARCH("HDD",$F1133)),ISNUMBER(SEARCH("MND",$F1133)),ISNUMBER(SEARCH("PEAD",$F1133)),ISNUMBER(SEARCH("Puxe",$J1133)),ISNUMBER(SEARCH("Apoio HDD",$F1133))),"MND",IF(OR(ISNUMBER(SEARCH("VCA",$F1133)),ISNUMBER(SEARCH("PVC",$F1133)),ISNUMBER(SEARCH("vca",$J1133)),ISNUMBER(SEARCH("Transformação",$J1133))),"VCA",IF(OR(ISNUMBER(SEARCH("crava",$F1133)),ISNUMBER(SEARCH("tubo cravado",$F1133)),ISNUMBER(SEARCH("shaft",$J1133)),ISNUMBER(SEARCH("concreto",$F1133))),"TUBO CRAVADO","")))</f>
        <v/>
      </c>
      <c r="T1133">
        <f>IF($A1133="","",TEXT($A1133,"yyyymm")&amp;"|"&amp;$C1133&amp;"|"&amp;$F1133&amp;"|"&amp;$N1133&amp;"|"&amp;$R1133)</f>
        <v/>
      </c>
    </row>
    <row r="1134" ht="11.55" customHeight="1">
      <c r="A1134" s="10" t="n">
        <v>46086</v>
      </c>
      <c r="B1134" s="7" t="inlineStr">
        <is>
          <t>Quinta</t>
        </is>
      </c>
      <c r="C1134" s="7" t="inlineStr">
        <is>
          <t>CT AGUA VERMELHA M.D</t>
        </is>
      </c>
      <c r="D1134" s="7" t="inlineStr">
        <is>
          <t>CAROLINE e FABIO</t>
        </is>
      </c>
      <c r="E1134" s="7" t="inlineStr">
        <is>
          <t>WJ 02</t>
        </is>
      </c>
      <c r="F1134" s="13" t="inlineStr">
        <is>
          <t>Piloto e Puxe PVD 10 ao PVD 10.1</t>
        </is>
      </c>
      <c r="G1134" s="7" t="inlineStr">
        <is>
          <t>10</t>
        </is>
      </c>
      <c r="H1134" s="7" t="inlineStr">
        <is>
          <t>10.1</t>
        </is>
      </c>
      <c r="I1134" s="7" t="inlineStr">
        <is>
          <t>10, 10.1</t>
        </is>
      </c>
      <c r="J1134" s="7" t="inlineStr">
        <is>
          <t>Piloto e puxe</t>
        </is>
      </c>
      <c r="K1134" s="7" t="inlineStr">
        <is>
          <t>Planejamento</t>
        </is>
      </c>
      <c r="L1134" s="16" t="inlineStr">
        <is>
          <t>PDS-Março(1).docx</t>
        </is>
      </c>
      <c r="M1134">
        <f>IF($A1134="","",TEXT($A1134,"mmmm/yyyy"))</f>
        <v/>
      </c>
      <c r="P1134">
        <f>IFERROR(_xludf.XLOOKUP($N1134,Base_Enderecos!$A:$A,Base_Enderecos!$B:$B,""),"")</f>
        <v/>
      </c>
      <c r="Q1134">
        <f>IFERROR(_xludf.XLOOKUP($N1134,Base_Enderecos!$A:$A,Base_Enderecos!$C:$C,""),"")</f>
        <v/>
      </c>
      <c r="R1134">
        <f>IF(OR(ISNUMBER(SEARCH("HDD",$F1134)),ISNUMBER(SEARCH("MND",$F1134)),ISNUMBER(SEARCH("PEAD",$F1134)),ISNUMBER(SEARCH("Puxe",$J1134)),ISNUMBER(SEARCH("Apoio HDD",$F1134))),"MND",IF(OR(ISNUMBER(SEARCH("VCA",$F1134)),ISNUMBER(SEARCH("PVC",$F1134)),ISNUMBER(SEARCH("vca",$J1134)),ISNUMBER(SEARCH("Transformação",$J1134))),"VCA",IF(OR(ISNUMBER(SEARCH("crava",$F1134)),ISNUMBER(SEARCH("tubo cravado",$F1134)),ISNUMBER(SEARCH("shaft",$J1134)),ISNUMBER(SEARCH("concreto",$F1134))),"TUBO CRAVADO","")))</f>
        <v/>
      </c>
      <c r="T1134">
        <f>IF($A1134="","",TEXT($A1134,"yyyymm")&amp;"|"&amp;$C1134&amp;"|"&amp;$F1134&amp;"|"&amp;$N1134&amp;"|"&amp;$R1134)</f>
        <v/>
      </c>
    </row>
    <row r="1135" ht="11.55" customHeight="1">
      <c r="A1135" s="10" t="n">
        <v>46086</v>
      </c>
      <c r="B1135" s="7" t="inlineStr">
        <is>
          <t>Quinta</t>
        </is>
      </c>
      <c r="C1135" s="7" t="inlineStr">
        <is>
          <t>CT AGUA VERMELHA M.D</t>
        </is>
      </c>
      <c r="D1135" s="7" t="inlineStr">
        <is>
          <t>CAROLINE e FABIO</t>
        </is>
      </c>
      <c r="E1135" s="7" t="inlineStr">
        <is>
          <t>Johnathan</t>
        </is>
      </c>
      <c r="F1135" s="13" t="inlineStr">
        <is>
          <t>Apoio HDD PVC 10 ao PVD 10.1</t>
        </is>
      </c>
      <c r="G1135" s="7" t="inlineStr">
        <is>
          <t>10.1</t>
        </is>
      </c>
      <c r="H1135" s="7" t="n"/>
      <c r="I1135" s="7" t="inlineStr">
        <is>
          <t>10.1</t>
        </is>
      </c>
      <c r="J1135" s="7" t="inlineStr">
        <is>
          <t>Apoio HDD</t>
        </is>
      </c>
      <c r="K1135" s="7" t="inlineStr">
        <is>
          <t>Planejamento</t>
        </is>
      </c>
      <c r="L1135" s="16" t="inlineStr">
        <is>
          <t>PDS-Março(1).docx</t>
        </is>
      </c>
      <c r="M1135">
        <f>IF($A1135="","",TEXT($A1135,"mmmm/yyyy"))</f>
        <v/>
      </c>
      <c r="P1135">
        <f>IFERROR(_xludf.XLOOKUP($N1135,Base_Enderecos!$A:$A,Base_Enderecos!$B:$B,""),"")</f>
        <v/>
      </c>
      <c r="Q1135">
        <f>IFERROR(_xludf.XLOOKUP($N1135,Base_Enderecos!$A:$A,Base_Enderecos!$C:$C,""),"")</f>
        <v/>
      </c>
      <c r="R1135">
        <f>IF(OR(ISNUMBER(SEARCH("HDD",$F1135)),ISNUMBER(SEARCH("MND",$F1135)),ISNUMBER(SEARCH("PEAD",$F1135)),ISNUMBER(SEARCH("Puxe",$J1135)),ISNUMBER(SEARCH("Apoio HDD",$F1135))),"MND",IF(OR(ISNUMBER(SEARCH("VCA",$F1135)),ISNUMBER(SEARCH("PVC",$F1135)),ISNUMBER(SEARCH("vca",$J1135)),ISNUMBER(SEARCH("Transformação",$J1135))),"VCA",IF(OR(ISNUMBER(SEARCH("crava",$F1135)),ISNUMBER(SEARCH("tubo cravado",$F1135)),ISNUMBER(SEARCH("shaft",$J1135)),ISNUMBER(SEARCH("concreto",$F1135))),"TUBO CRAVADO","")))</f>
        <v/>
      </c>
      <c r="T1135">
        <f>IF($A1135="","",TEXT($A1135,"yyyymm")&amp;"|"&amp;$C1135&amp;"|"&amp;$F1135&amp;"|"&amp;$N1135&amp;"|"&amp;$R1135)</f>
        <v/>
      </c>
    </row>
    <row r="1136" ht="11.55" customHeight="1">
      <c r="A1136" s="10" t="n">
        <v>46086</v>
      </c>
      <c r="B1136" s="7" t="inlineStr">
        <is>
          <t>Quinta</t>
        </is>
      </c>
      <c r="C1136" s="7" t="inlineStr">
        <is>
          <t>CT AGUA VERMELHA M.D</t>
        </is>
      </c>
      <c r="D1136" s="7" t="inlineStr">
        <is>
          <t>CAROLINE e FABIO</t>
        </is>
      </c>
      <c r="E1136" s="7" t="inlineStr">
        <is>
          <t>Cesar</t>
        </is>
      </c>
      <c r="F1136" s="13" t="inlineStr">
        <is>
          <t>Transformação PVD 07</t>
        </is>
      </c>
      <c r="G1136" s="7" t="inlineStr">
        <is>
          <t>07</t>
        </is>
      </c>
      <c r="H1136" s="7" t="n"/>
      <c r="I1136" s="7" t="inlineStr">
        <is>
          <t>07</t>
        </is>
      </c>
      <c r="J1136" s="7" t="inlineStr">
        <is>
          <t>Transformação</t>
        </is>
      </c>
      <c r="K1136" s="7" t="inlineStr">
        <is>
          <t>Planejamento</t>
        </is>
      </c>
      <c r="L1136" s="16" t="inlineStr">
        <is>
          <t>PDS-Março(1).docx</t>
        </is>
      </c>
      <c r="M1136">
        <f>IF($A1136="","",TEXT($A1136,"mmmm/yyyy"))</f>
        <v/>
      </c>
      <c r="P1136">
        <f>IFERROR(_xludf.XLOOKUP($N1136,Base_Enderecos!$A:$A,Base_Enderecos!$B:$B,""),"")</f>
        <v/>
      </c>
      <c r="Q1136">
        <f>IFERROR(_xludf.XLOOKUP($N1136,Base_Enderecos!$A:$A,Base_Enderecos!$C:$C,""),"")</f>
        <v/>
      </c>
      <c r="R1136">
        <f>IF(OR(ISNUMBER(SEARCH("HDD",$F1136)),ISNUMBER(SEARCH("MND",$F1136)),ISNUMBER(SEARCH("PEAD",$F1136)),ISNUMBER(SEARCH("Puxe",$J1136)),ISNUMBER(SEARCH("Apoio HDD",$F1136))),"MND",IF(OR(ISNUMBER(SEARCH("VCA",$F1136)),ISNUMBER(SEARCH("PVC",$F1136)),ISNUMBER(SEARCH("vca",$J1136)),ISNUMBER(SEARCH("Transformação",$J1136))),"VCA",IF(OR(ISNUMBER(SEARCH("crava",$F1136)),ISNUMBER(SEARCH("tubo cravado",$F1136)),ISNUMBER(SEARCH("shaft",$J1136)),ISNUMBER(SEARCH("concreto",$F1136))),"TUBO CRAVADO","")))</f>
        <v/>
      </c>
      <c r="T1136">
        <f>IF($A1136="","",TEXT($A1136,"yyyymm")&amp;"|"&amp;$C1136&amp;"|"&amp;$F1136&amp;"|"&amp;$N1136&amp;"|"&amp;$R1136)</f>
        <v/>
      </c>
    </row>
    <row r="1137" ht="11.55" customHeight="1">
      <c r="A1137" s="10" t="n">
        <v>46086</v>
      </c>
      <c r="B1137" s="7" t="inlineStr">
        <is>
          <t>Quinta</t>
        </is>
      </c>
      <c r="C1137" s="7" t="inlineStr">
        <is>
          <t>CT AGUA VERMELHA M.D</t>
        </is>
      </c>
      <c r="D1137" s="7" t="inlineStr">
        <is>
          <t>CAROLINE e FABIO</t>
        </is>
      </c>
      <c r="E1137" s="7" t="inlineStr">
        <is>
          <t>Marcelo</t>
        </is>
      </c>
      <c r="F1137" s="13" t="inlineStr">
        <is>
          <t>Transformação PVD 06</t>
        </is>
      </c>
      <c r="G1137" s="7" t="inlineStr">
        <is>
          <t>06</t>
        </is>
      </c>
      <c r="H1137" s="7" t="n"/>
      <c r="I1137" s="7" t="inlineStr">
        <is>
          <t>06</t>
        </is>
      </c>
      <c r="J1137" s="7" t="inlineStr">
        <is>
          <t>Transformação</t>
        </is>
      </c>
      <c r="K1137" s="7" t="inlineStr">
        <is>
          <t>Planejamento</t>
        </is>
      </c>
      <c r="L1137" s="16" t="inlineStr">
        <is>
          <t>PDS-Março(1).docx</t>
        </is>
      </c>
      <c r="M1137">
        <f>IF($A1137="","",TEXT($A1137,"mmmm/yyyy"))</f>
        <v/>
      </c>
      <c r="P1137">
        <f>IFERROR(_xludf.XLOOKUP($N1137,Base_Enderecos!$A:$A,Base_Enderecos!$B:$B,""),"")</f>
        <v/>
      </c>
      <c r="Q1137">
        <f>IFERROR(_xludf.XLOOKUP($N1137,Base_Enderecos!$A:$A,Base_Enderecos!$C:$C,""),"")</f>
        <v/>
      </c>
      <c r="R1137">
        <f>IF(OR(ISNUMBER(SEARCH("HDD",$F1137)),ISNUMBER(SEARCH("MND",$F1137)),ISNUMBER(SEARCH("PEAD",$F1137)),ISNUMBER(SEARCH("Puxe",$J1137)),ISNUMBER(SEARCH("Apoio HDD",$F1137))),"MND",IF(OR(ISNUMBER(SEARCH("VCA",$F1137)),ISNUMBER(SEARCH("PVC",$F1137)),ISNUMBER(SEARCH("vca",$J1137)),ISNUMBER(SEARCH("Transformação",$J1137))),"VCA",IF(OR(ISNUMBER(SEARCH("crava",$F1137)),ISNUMBER(SEARCH("tubo cravado",$F1137)),ISNUMBER(SEARCH("shaft",$J1137)),ISNUMBER(SEARCH("concreto",$F1137))),"TUBO CRAVADO","")))</f>
        <v/>
      </c>
      <c r="T1137">
        <f>IF($A1137="","",TEXT($A1137,"yyyymm")&amp;"|"&amp;$C1137&amp;"|"&amp;$F1137&amp;"|"&amp;$N1137&amp;"|"&amp;$R1137)</f>
        <v/>
      </c>
    </row>
    <row r="1138" ht="11.55" customHeight="1">
      <c r="A1138" s="10" t="n">
        <v>46086</v>
      </c>
      <c r="B1138" s="7" t="inlineStr">
        <is>
          <t>Quinta</t>
        </is>
      </c>
      <c r="C1138" s="7" t="inlineStr">
        <is>
          <t>CT AGUA VERMELHA M.D</t>
        </is>
      </c>
      <c r="D1138" s="7" t="inlineStr">
        <is>
          <t>CAROLINE e FABIO</t>
        </is>
      </c>
      <c r="E1138" s="7" t="inlineStr">
        <is>
          <t>Antonio</t>
        </is>
      </c>
      <c r="F1138" s="13" t="inlineStr">
        <is>
          <t>Apoio HDD PVD 13 ao PVD 13.2</t>
        </is>
      </c>
      <c r="G1138" s="7" t="inlineStr">
        <is>
          <t>13</t>
        </is>
      </c>
      <c r="H1138" s="7" t="inlineStr">
        <is>
          <t>13.2</t>
        </is>
      </c>
      <c r="I1138" s="7" t="inlineStr">
        <is>
          <t>13, 13.2</t>
        </is>
      </c>
      <c r="J1138" s="7" t="inlineStr">
        <is>
          <t>Apoio HDD</t>
        </is>
      </c>
      <c r="K1138" s="7" t="inlineStr">
        <is>
          <t>Planejamento</t>
        </is>
      </c>
      <c r="L1138" s="16" t="inlineStr">
        <is>
          <t>PDS-Março(1).docx</t>
        </is>
      </c>
      <c r="M1138">
        <f>IF($A1138="","",TEXT($A1138,"mmmm/yyyy"))</f>
        <v/>
      </c>
      <c r="P1138">
        <f>IFERROR(_xludf.XLOOKUP($N1138,Base_Enderecos!$A:$A,Base_Enderecos!$B:$B,""),"")</f>
        <v/>
      </c>
      <c r="Q1138">
        <f>IFERROR(_xludf.XLOOKUP($N1138,Base_Enderecos!$A:$A,Base_Enderecos!$C:$C,""),"")</f>
        <v/>
      </c>
      <c r="R1138">
        <f>IF(OR(ISNUMBER(SEARCH("HDD",$F1138)),ISNUMBER(SEARCH("MND",$F1138)),ISNUMBER(SEARCH("PEAD",$F1138)),ISNUMBER(SEARCH("Puxe",$J1138)),ISNUMBER(SEARCH("Apoio HDD",$F1138))),"MND",IF(OR(ISNUMBER(SEARCH("VCA",$F1138)),ISNUMBER(SEARCH("PVC",$F1138)),ISNUMBER(SEARCH("vca",$J1138)),ISNUMBER(SEARCH("Transformação",$J1138))),"VCA",IF(OR(ISNUMBER(SEARCH("crava",$F1138)),ISNUMBER(SEARCH("tubo cravado",$F1138)),ISNUMBER(SEARCH("shaft",$J1138)),ISNUMBER(SEARCH("concreto",$F1138))),"TUBO CRAVADO","")))</f>
        <v/>
      </c>
      <c r="T1138">
        <f>IF($A1138="","",TEXT($A1138,"yyyymm")&amp;"|"&amp;$C1138&amp;"|"&amp;$F1138&amp;"|"&amp;$N1138&amp;"|"&amp;$R1138)</f>
        <v/>
      </c>
    </row>
    <row r="1139" ht="11.55" customHeight="1">
      <c r="A1139" s="10" t="n">
        <v>46086</v>
      </c>
      <c r="B1139" s="7" t="inlineStr">
        <is>
          <t>Quinta</t>
        </is>
      </c>
      <c r="C1139" s="7" t="inlineStr">
        <is>
          <t>CT AGUA VERMELHA M.D</t>
        </is>
      </c>
      <c r="D1139" s="7" t="inlineStr">
        <is>
          <t>CAROLINE e FABIO</t>
        </is>
      </c>
      <c r="E1139" s="7" t="inlineStr">
        <is>
          <t>WJ 01</t>
        </is>
      </c>
      <c r="F1139" s="13" t="inlineStr">
        <is>
          <t>Piloto e Puxe PVD 13 ao PVD 13.2</t>
        </is>
      </c>
      <c r="G1139" s="7" t="inlineStr">
        <is>
          <t>13</t>
        </is>
      </c>
      <c r="H1139" s="7" t="inlineStr">
        <is>
          <t>13.2</t>
        </is>
      </c>
      <c r="I1139" s="7" t="inlineStr">
        <is>
          <t>13, 13.2</t>
        </is>
      </c>
      <c r="J1139" s="7" t="inlineStr">
        <is>
          <t>Piloto e puxe</t>
        </is>
      </c>
      <c r="K1139" s="7" t="inlineStr">
        <is>
          <t>Planejamento</t>
        </is>
      </c>
      <c r="L1139" s="16" t="inlineStr">
        <is>
          <t>PDS-Março(1).docx</t>
        </is>
      </c>
      <c r="M1139">
        <f>IF($A1139="","",TEXT($A1139,"mmmm/yyyy"))</f>
        <v/>
      </c>
      <c r="P1139">
        <f>IFERROR(_xludf.XLOOKUP($N1139,Base_Enderecos!$A:$A,Base_Enderecos!$B:$B,""),"")</f>
        <v/>
      </c>
      <c r="Q1139">
        <f>IFERROR(_xludf.XLOOKUP($N1139,Base_Enderecos!$A:$A,Base_Enderecos!$C:$C,""),"")</f>
        <v/>
      </c>
      <c r="R1139">
        <f>IF(OR(ISNUMBER(SEARCH("HDD",$F1139)),ISNUMBER(SEARCH("MND",$F1139)),ISNUMBER(SEARCH("PEAD",$F1139)),ISNUMBER(SEARCH("Puxe",$J1139)),ISNUMBER(SEARCH("Apoio HDD",$F1139))),"MND",IF(OR(ISNUMBER(SEARCH("VCA",$F1139)),ISNUMBER(SEARCH("PVC",$F1139)),ISNUMBER(SEARCH("vca",$J1139)),ISNUMBER(SEARCH("Transformação",$J1139))),"VCA",IF(OR(ISNUMBER(SEARCH("crava",$F1139)),ISNUMBER(SEARCH("tubo cravado",$F1139)),ISNUMBER(SEARCH("shaft",$J1139)),ISNUMBER(SEARCH("concreto",$F1139))),"TUBO CRAVADO","")))</f>
        <v/>
      </c>
      <c r="T1139">
        <f>IF($A1139="","",TEXT($A1139,"yyyymm")&amp;"|"&amp;$C1139&amp;"|"&amp;$F1139&amp;"|"&amp;$N1139&amp;"|"&amp;$R1139)</f>
        <v/>
      </c>
    </row>
    <row r="1140" ht="11.55" customHeight="1">
      <c r="A1140" s="10" t="n">
        <v>46086</v>
      </c>
      <c r="B1140" s="7" t="inlineStr">
        <is>
          <t>Quinta</t>
        </is>
      </c>
      <c r="C1140" s="7" t="inlineStr">
        <is>
          <t>CT AGUA VERMELHA M.E</t>
        </is>
      </c>
      <c r="D1140" s="7" t="inlineStr">
        <is>
          <t>Valmir e Eloízio</t>
        </is>
      </c>
      <c r="E1140" s="7" t="inlineStr">
        <is>
          <t>Cidão</t>
        </is>
      </c>
      <c r="F1140" s="13" t="inlineStr">
        <is>
          <t>Transformação PVE 15</t>
        </is>
      </c>
      <c r="G1140" s="7" t="inlineStr">
        <is>
          <t>15</t>
        </is>
      </c>
      <c r="H1140" s="7" t="n"/>
      <c r="I1140" s="7" t="inlineStr">
        <is>
          <t>15</t>
        </is>
      </c>
      <c r="J1140" s="7" t="inlineStr">
        <is>
          <t>Transformação</t>
        </is>
      </c>
      <c r="K1140" s="7" t="inlineStr">
        <is>
          <t>Planejamento</t>
        </is>
      </c>
      <c r="L1140" s="16" t="inlineStr">
        <is>
          <t>PDS-Março(1).docx</t>
        </is>
      </c>
      <c r="M1140">
        <f>IF($A1140="","",TEXT($A1140,"mmmm/yyyy"))</f>
        <v/>
      </c>
      <c r="P1140">
        <f>IFERROR(_xludf.XLOOKUP($N1140,Base_Enderecos!$A:$A,Base_Enderecos!$B:$B,""),"")</f>
        <v/>
      </c>
      <c r="Q1140">
        <f>IFERROR(_xludf.XLOOKUP($N1140,Base_Enderecos!$A:$A,Base_Enderecos!$C:$C,""),"")</f>
        <v/>
      </c>
      <c r="R1140">
        <f>IF(OR(ISNUMBER(SEARCH("HDD",$F1140)),ISNUMBER(SEARCH("MND",$F1140)),ISNUMBER(SEARCH("PEAD",$F1140)),ISNUMBER(SEARCH("Puxe",$J1140)),ISNUMBER(SEARCH("Apoio HDD",$F1140))),"MND",IF(OR(ISNUMBER(SEARCH("VCA",$F1140)),ISNUMBER(SEARCH("PVC",$F1140)),ISNUMBER(SEARCH("vca",$J1140)),ISNUMBER(SEARCH("Transformação",$J1140))),"VCA",IF(OR(ISNUMBER(SEARCH("crava",$F1140)),ISNUMBER(SEARCH("tubo cravado",$F1140)),ISNUMBER(SEARCH("shaft",$J1140)),ISNUMBER(SEARCH("concreto",$F1140))),"TUBO CRAVADO","")))</f>
        <v/>
      </c>
      <c r="T1140">
        <f>IF($A1140="","",TEXT($A1140,"yyyymm")&amp;"|"&amp;$C1140&amp;"|"&amp;$F1140&amp;"|"&amp;$N1140&amp;"|"&amp;$R1140)</f>
        <v/>
      </c>
    </row>
    <row r="1141" ht="11.55" customHeight="1">
      <c r="A1141" s="10" t="n">
        <v>46086</v>
      </c>
      <c r="B1141" s="7" t="inlineStr">
        <is>
          <t>Quinta</t>
        </is>
      </c>
      <c r="C1141" s="7" t="inlineStr">
        <is>
          <t>CT AGUA VERMELHA M.E</t>
        </is>
      </c>
      <c r="D1141" s="7" t="inlineStr">
        <is>
          <t>Valmir e Eloízio</t>
        </is>
      </c>
      <c r="E1141" s="7" t="inlineStr">
        <is>
          <t>Carlos</t>
        </is>
      </c>
      <c r="F1141" s="13" t="inlineStr">
        <is>
          <t>Transformação PVE 18</t>
        </is>
      </c>
      <c r="G1141" s="7" t="inlineStr">
        <is>
          <t>18</t>
        </is>
      </c>
      <c r="H1141" s="7" t="n"/>
      <c r="I1141" s="7" t="inlineStr">
        <is>
          <t>18</t>
        </is>
      </c>
      <c r="J1141" s="7" t="inlineStr">
        <is>
          <t>Transformação</t>
        </is>
      </c>
      <c r="K1141" s="7" t="inlineStr">
        <is>
          <t>Planejamento</t>
        </is>
      </c>
      <c r="L1141" s="16" t="inlineStr">
        <is>
          <t>PDS-Março(1).docx</t>
        </is>
      </c>
      <c r="M1141">
        <f>IF($A1141="","",TEXT($A1141,"mmmm/yyyy"))</f>
        <v/>
      </c>
      <c r="P1141">
        <f>IFERROR(_xludf.XLOOKUP($N1141,Base_Enderecos!$A:$A,Base_Enderecos!$B:$B,""),"")</f>
        <v/>
      </c>
      <c r="Q1141">
        <f>IFERROR(_xludf.XLOOKUP($N1141,Base_Enderecos!$A:$A,Base_Enderecos!$C:$C,""),"")</f>
        <v/>
      </c>
      <c r="R1141">
        <f>IF(OR(ISNUMBER(SEARCH("HDD",$F1141)),ISNUMBER(SEARCH("MND",$F1141)),ISNUMBER(SEARCH("PEAD",$F1141)),ISNUMBER(SEARCH("Puxe",$J1141)),ISNUMBER(SEARCH("Apoio HDD",$F1141))),"MND",IF(OR(ISNUMBER(SEARCH("VCA",$F1141)),ISNUMBER(SEARCH("PVC",$F1141)),ISNUMBER(SEARCH("vca",$J1141)),ISNUMBER(SEARCH("Transformação",$J1141))),"VCA",IF(OR(ISNUMBER(SEARCH("crava",$F1141)),ISNUMBER(SEARCH("tubo cravado",$F1141)),ISNUMBER(SEARCH("shaft",$J1141)),ISNUMBER(SEARCH("concreto",$F1141))),"TUBO CRAVADO","")))</f>
        <v/>
      </c>
      <c r="T1141">
        <f>IF($A1141="","",TEXT($A1141,"yyyymm")&amp;"|"&amp;$C1141&amp;"|"&amp;$F1141&amp;"|"&amp;$N1141&amp;"|"&amp;$R1141)</f>
        <v/>
      </c>
    </row>
    <row r="1142" ht="11.55" customHeight="1">
      <c r="A1142" s="10" t="n">
        <v>46086</v>
      </c>
      <c r="B1142" s="7" t="inlineStr">
        <is>
          <t>Quinta</t>
        </is>
      </c>
      <c r="C1142" s="7" t="inlineStr">
        <is>
          <t>CT AGUA VERMELHA M.E</t>
        </is>
      </c>
      <c r="D1142" s="7" t="inlineStr">
        <is>
          <t>Valmir e Eloízio</t>
        </is>
      </c>
      <c r="E1142" s="7" t="inlineStr">
        <is>
          <t>Higor</t>
        </is>
      </c>
      <c r="F1142" s="13" t="inlineStr">
        <is>
          <t>Transformação PVE 11</t>
        </is>
      </c>
      <c r="G1142" s="7" t="inlineStr">
        <is>
          <t>11</t>
        </is>
      </c>
      <c r="H1142" s="7" t="n"/>
      <c r="I1142" s="7" t="inlineStr">
        <is>
          <t>11</t>
        </is>
      </c>
      <c r="J1142" s="7" t="inlineStr">
        <is>
          <t>Transformação</t>
        </is>
      </c>
      <c r="K1142" s="7" t="inlineStr">
        <is>
          <t>Planejamento</t>
        </is>
      </c>
      <c r="L1142" s="16" t="inlineStr">
        <is>
          <t>PDS-Março(1).docx</t>
        </is>
      </c>
      <c r="M1142">
        <f>IF($A1142="","",TEXT($A1142,"mmmm/yyyy"))</f>
        <v/>
      </c>
      <c r="P1142">
        <f>IFERROR(_xludf.XLOOKUP($N1142,Base_Enderecos!$A:$A,Base_Enderecos!$B:$B,""),"")</f>
        <v/>
      </c>
      <c r="Q1142">
        <f>IFERROR(_xludf.XLOOKUP($N1142,Base_Enderecos!$A:$A,Base_Enderecos!$C:$C,""),"")</f>
        <v/>
      </c>
      <c r="R1142">
        <f>IF(OR(ISNUMBER(SEARCH("HDD",$F1142)),ISNUMBER(SEARCH("MND",$F1142)),ISNUMBER(SEARCH("PEAD",$F1142)),ISNUMBER(SEARCH("Puxe",$J1142)),ISNUMBER(SEARCH("Apoio HDD",$F1142))),"MND",IF(OR(ISNUMBER(SEARCH("VCA",$F1142)),ISNUMBER(SEARCH("PVC",$F1142)),ISNUMBER(SEARCH("vca",$J1142)),ISNUMBER(SEARCH("Transformação",$J1142))),"VCA",IF(OR(ISNUMBER(SEARCH("crava",$F1142)),ISNUMBER(SEARCH("tubo cravado",$F1142)),ISNUMBER(SEARCH("shaft",$J1142)),ISNUMBER(SEARCH("concreto",$F1142))),"TUBO CRAVADO","")))</f>
        <v/>
      </c>
      <c r="T1142">
        <f>IF($A1142="","",TEXT($A1142,"yyyymm")&amp;"|"&amp;$C1142&amp;"|"&amp;$F1142&amp;"|"&amp;$N1142&amp;"|"&amp;$R1142)</f>
        <v/>
      </c>
    </row>
    <row r="1143" ht="11.55" customHeight="1">
      <c r="A1143" s="10" t="n">
        <v>46086</v>
      </c>
      <c r="B1143" s="7" t="inlineStr">
        <is>
          <t>Quinta</t>
        </is>
      </c>
      <c r="C1143" s="7" t="inlineStr">
        <is>
          <t>CT AGUA VERMELHA M.E</t>
        </is>
      </c>
      <c r="D1143" s="7" t="inlineStr">
        <is>
          <t>Valmir e Eloízio</t>
        </is>
      </c>
      <c r="E1143" s="7" t="inlineStr">
        <is>
          <t>Marcio</t>
        </is>
      </c>
      <c r="F1143" s="13" t="inlineStr">
        <is>
          <t>Apoio HDD PVE 23 ao 25</t>
        </is>
      </c>
      <c r="G1143" s="7" t="inlineStr">
        <is>
          <t>23</t>
        </is>
      </c>
      <c r="H1143" s="7" t="n"/>
      <c r="I1143" s="7" t="inlineStr">
        <is>
          <t>23</t>
        </is>
      </c>
      <c r="J1143" s="7" t="inlineStr">
        <is>
          <t>Apoio HDD</t>
        </is>
      </c>
      <c r="K1143" s="7" t="inlineStr">
        <is>
          <t>Planejamento</t>
        </is>
      </c>
      <c r="L1143" s="16" t="inlineStr">
        <is>
          <t>PDS-Março(1).docx</t>
        </is>
      </c>
      <c r="M1143">
        <f>IF($A1143="","",TEXT($A1143,"mmmm/yyyy"))</f>
        <v/>
      </c>
      <c r="P1143">
        <f>IFERROR(_xludf.XLOOKUP($N1143,Base_Enderecos!$A:$A,Base_Enderecos!$B:$B,""),"")</f>
        <v/>
      </c>
      <c r="Q1143">
        <f>IFERROR(_xludf.XLOOKUP($N1143,Base_Enderecos!$A:$A,Base_Enderecos!$C:$C,""),"")</f>
        <v/>
      </c>
      <c r="R1143">
        <f>IF(OR(ISNUMBER(SEARCH("HDD",$F1143)),ISNUMBER(SEARCH("MND",$F1143)),ISNUMBER(SEARCH("PEAD",$F1143)),ISNUMBER(SEARCH("Puxe",$J1143)),ISNUMBER(SEARCH("Apoio HDD",$F1143))),"MND",IF(OR(ISNUMBER(SEARCH("VCA",$F1143)),ISNUMBER(SEARCH("PVC",$F1143)),ISNUMBER(SEARCH("vca",$J1143)),ISNUMBER(SEARCH("Transformação",$J1143))),"VCA",IF(OR(ISNUMBER(SEARCH("crava",$F1143)),ISNUMBER(SEARCH("tubo cravado",$F1143)),ISNUMBER(SEARCH("shaft",$J1143)),ISNUMBER(SEARCH("concreto",$F1143))),"TUBO CRAVADO","")))</f>
        <v/>
      </c>
      <c r="T1143">
        <f>IF($A1143="","",TEXT($A1143,"yyyymm")&amp;"|"&amp;$C1143&amp;"|"&amp;$F1143&amp;"|"&amp;$N1143&amp;"|"&amp;$R1143)</f>
        <v/>
      </c>
    </row>
    <row r="1144" ht="11.55" customHeight="1">
      <c r="A1144" s="10" t="n">
        <v>46086</v>
      </c>
      <c r="B1144" s="7" t="inlineStr">
        <is>
          <t>Quinta</t>
        </is>
      </c>
      <c r="C1144" s="7" t="inlineStr">
        <is>
          <t>CT AGUA VERMELHA M.E</t>
        </is>
      </c>
      <c r="D1144" s="7" t="inlineStr">
        <is>
          <t>Valmir e Eloízio</t>
        </is>
      </c>
      <c r="E1144" s="7" t="inlineStr">
        <is>
          <t>GR DRILL</t>
        </is>
      </c>
      <c r="F1144" s="13" t="inlineStr">
        <is>
          <t>Piloto e Puxe PVE 23 ao 25</t>
        </is>
      </c>
      <c r="G1144" s="7" t="inlineStr">
        <is>
          <t>23</t>
        </is>
      </c>
      <c r="H1144" s="7" t="n"/>
      <c r="I1144" s="7" t="inlineStr">
        <is>
          <t>23</t>
        </is>
      </c>
      <c r="J1144" s="7" t="inlineStr">
        <is>
          <t>Piloto e puxe</t>
        </is>
      </c>
      <c r="K1144" s="7" t="inlineStr">
        <is>
          <t>Planejamento</t>
        </is>
      </c>
      <c r="L1144" s="16" t="inlineStr">
        <is>
          <t>PDS-Março(1).docx</t>
        </is>
      </c>
      <c r="M1144">
        <f>IF($A1144="","",TEXT($A1144,"mmmm/yyyy"))</f>
        <v/>
      </c>
      <c r="P1144">
        <f>IFERROR(_xludf.XLOOKUP($N1144,Base_Enderecos!$A:$A,Base_Enderecos!$B:$B,""),"")</f>
        <v/>
      </c>
      <c r="Q1144">
        <f>IFERROR(_xludf.XLOOKUP($N1144,Base_Enderecos!$A:$A,Base_Enderecos!$C:$C,""),"")</f>
        <v/>
      </c>
      <c r="R1144">
        <f>IF(OR(ISNUMBER(SEARCH("HDD",$F1144)),ISNUMBER(SEARCH("MND",$F1144)),ISNUMBER(SEARCH("PEAD",$F1144)),ISNUMBER(SEARCH("Puxe",$J1144)),ISNUMBER(SEARCH("Apoio HDD",$F1144))),"MND",IF(OR(ISNUMBER(SEARCH("VCA",$F1144)),ISNUMBER(SEARCH("PVC",$F1144)),ISNUMBER(SEARCH("vca",$J1144)),ISNUMBER(SEARCH("Transformação",$J1144))),"VCA",IF(OR(ISNUMBER(SEARCH("crava",$F1144)),ISNUMBER(SEARCH("tubo cravado",$F1144)),ISNUMBER(SEARCH("shaft",$J1144)),ISNUMBER(SEARCH("concreto",$F1144))),"TUBO CRAVADO","")))</f>
        <v/>
      </c>
      <c r="T1144">
        <f>IF($A1144="","",TEXT($A1144,"yyyymm")&amp;"|"&amp;$C1144&amp;"|"&amp;$F1144&amp;"|"&amp;$N1144&amp;"|"&amp;$R1144)</f>
        <v/>
      </c>
    </row>
    <row r="1145" ht="11.55" customHeight="1">
      <c r="A1145" s="10" t="n">
        <v>46086</v>
      </c>
      <c r="B1145" s="7" t="inlineStr">
        <is>
          <t>Quinta</t>
        </is>
      </c>
      <c r="C1145" s="7" t="inlineStr">
        <is>
          <t>CT AGUA VERMELHA M.E</t>
        </is>
      </c>
      <c r="D1145" s="7" t="inlineStr">
        <is>
          <t>Valmir e Eloízio</t>
        </is>
      </c>
      <c r="E1145" s="7" t="inlineStr">
        <is>
          <t>Work Drill</t>
        </is>
      </c>
      <c r="F1145" s="13" t="inlineStr">
        <is>
          <t>Piloto e Puxe PV 18 ao 18.1</t>
        </is>
      </c>
      <c r="G1145" s="7" t="inlineStr">
        <is>
          <t>18</t>
        </is>
      </c>
      <c r="H1145" s="7" t="n"/>
      <c r="I1145" s="7" t="inlineStr">
        <is>
          <t>18</t>
        </is>
      </c>
      <c r="J1145" s="7" t="inlineStr">
        <is>
          <t>Piloto e puxe</t>
        </is>
      </c>
      <c r="K1145" s="7" t="inlineStr">
        <is>
          <t>Planejamento</t>
        </is>
      </c>
      <c r="L1145" s="16" t="inlineStr">
        <is>
          <t>PDS-Março(1).docx</t>
        </is>
      </c>
      <c r="M1145">
        <f>IF($A1145="","",TEXT($A1145,"mmmm/yyyy"))</f>
        <v/>
      </c>
      <c r="P1145">
        <f>IFERROR(_xludf.XLOOKUP($N1145,Base_Enderecos!$A:$A,Base_Enderecos!$B:$B,""),"")</f>
        <v/>
      </c>
      <c r="Q1145">
        <f>IFERROR(_xludf.XLOOKUP($N1145,Base_Enderecos!$A:$A,Base_Enderecos!$C:$C,""),"")</f>
        <v/>
      </c>
      <c r="R1145">
        <f>IF(OR(ISNUMBER(SEARCH("HDD",$F1145)),ISNUMBER(SEARCH("MND",$F1145)),ISNUMBER(SEARCH("PEAD",$F1145)),ISNUMBER(SEARCH("Puxe",$J1145)),ISNUMBER(SEARCH("Apoio HDD",$F1145))),"MND",IF(OR(ISNUMBER(SEARCH("VCA",$F1145)),ISNUMBER(SEARCH("PVC",$F1145)),ISNUMBER(SEARCH("vca",$J1145)),ISNUMBER(SEARCH("Transformação",$J1145))),"VCA",IF(OR(ISNUMBER(SEARCH("crava",$F1145)),ISNUMBER(SEARCH("tubo cravado",$F1145)),ISNUMBER(SEARCH("shaft",$J1145)),ISNUMBER(SEARCH("concreto",$F1145))),"TUBO CRAVADO","")))</f>
        <v/>
      </c>
      <c r="T1145">
        <f>IF($A1145="","",TEXT($A1145,"yyyymm")&amp;"|"&amp;$C1145&amp;"|"&amp;$F1145&amp;"|"&amp;$N1145&amp;"|"&amp;$R1145)</f>
        <v/>
      </c>
    </row>
    <row r="1146" ht="11.55" customHeight="1">
      <c r="A1146" s="10" t="n">
        <v>46086</v>
      </c>
      <c r="B1146" s="7" t="inlineStr">
        <is>
          <t>Quinta</t>
        </is>
      </c>
      <c r="C1146" s="7" t="inlineStr">
        <is>
          <t>CT AGUA VERMELHA M.E</t>
        </is>
      </c>
      <c r="D1146" s="7" t="inlineStr">
        <is>
          <t>Valmir e Eloízio</t>
        </is>
      </c>
      <c r="E1146" s="7" t="inlineStr">
        <is>
          <t>Adilson</t>
        </is>
      </c>
      <c r="F1146" s="13" t="inlineStr">
        <is>
          <t>Apoio HDD PV 18 ao 18.1</t>
        </is>
      </c>
      <c r="G1146" s="7" t="inlineStr">
        <is>
          <t>18</t>
        </is>
      </c>
      <c r="H1146" s="7" t="n"/>
      <c r="I1146" s="7" t="inlineStr">
        <is>
          <t>18</t>
        </is>
      </c>
      <c r="J1146" s="7" t="inlineStr">
        <is>
          <t>Apoio HDD</t>
        </is>
      </c>
      <c r="K1146" s="7" t="inlineStr">
        <is>
          <t>Planejamento</t>
        </is>
      </c>
      <c r="L1146" s="16" t="inlineStr">
        <is>
          <t>PDS-Março(1).docx</t>
        </is>
      </c>
      <c r="M1146">
        <f>IF($A1146="","",TEXT($A1146,"mmmm/yyyy"))</f>
        <v/>
      </c>
      <c r="P1146">
        <f>IFERROR(_xludf.XLOOKUP($N1146,Base_Enderecos!$A:$A,Base_Enderecos!$B:$B,""),"")</f>
        <v/>
      </c>
      <c r="Q1146">
        <f>IFERROR(_xludf.XLOOKUP($N1146,Base_Enderecos!$A:$A,Base_Enderecos!$C:$C,""),"")</f>
        <v/>
      </c>
      <c r="R1146">
        <f>IF(OR(ISNUMBER(SEARCH("HDD",$F1146)),ISNUMBER(SEARCH("MND",$F1146)),ISNUMBER(SEARCH("PEAD",$F1146)),ISNUMBER(SEARCH("Puxe",$J1146)),ISNUMBER(SEARCH("Apoio HDD",$F1146))),"MND",IF(OR(ISNUMBER(SEARCH("VCA",$F1146)),ISNUMBER(SEARCH("PVC",$F1146)),ISNUMBER(SEARCH("vca",$J1146)),ISNUMBER(SEARCH("Transformação",$J1146))),"VCA",IF(OR(ISNUMBER(SEARCH("crava",$F1146)),ISNUMBER(SEARCH("tubo cravado",$F1146)),ISNUMBER(SEARCH("shaft",$J1146)),ISNUMBER(SEARCH("concreto",$F1146))),"TUBO CRAVADO","")))</f>
        <v/>
      </c>
      <c r="T1146">
        <f>IF($A1146="","",TEXT($A1146,"yyyymm")&amp;"|"&amp;$C1146&amp;"|"&amp;$F1146&amp;"|"&amp;$N1146&amp;"|"&amp;$R1146)</f>
        <v/>
      </c>
    </row>
    <row r="1147" ht="11.55" customHeight="1">
      <c r="A1147" s="10" t="n">
        <v>46086</v>
      </c>
      <c r="B1147" s="7" t="inlineStr">
        <is>
          <t>Quinta</t>
        </is>
      </c>
      <c r="C1147" s="7" t="inlineStr">
        <is>
          <t>Vacal</t>
        </is>
      </c>
      <c r="D1147" s="7" t="n"/>
      <c r="E1147" s="7" t="inlineStr">
        <is>
          <t>Agua Vermelha</t>
        </is>
      </c>
      <c r="F1147" s="13" t="inlineStr">
        <is>
          <t>Apoio Vacal</t>
        </is>
      </c>
      <c r="G1147" s="7" t="n"/>
      <c r="H1147" s="7" t="n"/>
      <c r="I1147" s="7" t="n"/>
      <c r="J1147" s="7" t="inlineStr">
        <is>
          <t>Vacal</t>
        </is>
      </c>
      <c r="K1147" s="7" t="inlineStr">
        <is>
          <t>Apoio</t>
        </is>
      </c>
      <c r="L1147" s="16" t="inlineStr">
        <is>
          <t>PDS-Março(1).docx</t>
        </is>
      </c>
      <c r="M1147">
        <f>IF($A1147="","",TEXT($A1147,"mmmm/yyyy"))</f>
        <v/>
      </c>
      <c r="P1147">
        <f>IFERROR(_xludf.XLOOKUP($N1147,Base_Enderecos!$A:$A,Base_Enderecos!$B:$B,""),"")</f>
        <v/>
      </c>
      <c r="Q1147">
        <f>IFERROR(_xludf.XLOOKUP($N1147,Base_Enderecos!$A:$A,Base_Enderecos!$C:$C,""),"")</f>
        <v/>
      </c>
      <c r="R1147">
        <f>IF(OR(ISNUMBER(SEARCH("HDD",$F1147)),ISNUMBER(SEARCH("MND",$F1147)),ISNUMBER(SEARCH("PEAD",$F1147)),ISNUMBER(SEARCH("Puxe",$J1147)),ISNUMBER(SEARCH("Apoio HDD",$F1147))),"MND",IF(OR(ISNUMBER(SEARCH("VCA",$F1147)),ISNUMBER(SEARCH("PVC",$F1147)),ISNUMBER(SEARCH("vca",$J1147)),ISNUMBER(SEARCH("Transformação",$J1147))),"VCA",IF(OR(ISNUMBER(SEARCH("crava",$F1147)),ISNUMBER(SEARCH("tubo cravado",$F1147)),ISNUMBER(SEARCH("shaft",$J1147)),ISNUMBER(SEARCH("concreto",$F1147))),"TUBO CRAVADO","")))</f>
        <v/>
      </c>
      <c r="T1147">
        <f>IF($A1147="","",TEXT($A1147,"yyyymm")&amp;"|"&amp;$C1147&amp;"|"&amp;$F1147&amp;"|"&amp;$N1147&amp;"|"&amp;$R1147)</f>
        <v/>
      </c>
    </row>
    <row r="1148" ht="11.55" customHeight="1">
      <c r="A1148" s="10" t="n">
        <v>46086</v>
      </c>
      <c r="B1148" s="7" t="inlineStr">
        <is>
          <t>Quinta</t>
        </is>
      </c>
      <c r="C1148" s="7" t="inlineStr">
        <is>
          <t>Vacal</t>
        </is>
      </c>
      <c r="D1148" s="7" t="n"/>
      <c r="E1148" s="7" t="inlineStr">
        <is>
          <t>Agua Vermelha</t>
        </is>
      </c>
      <c r="F1148" s="13" t="inlineStr">
        <is>
          <t>Apoio Vacal</t>
        </is>
      </c>
      <c r="G1148" s="7" t="n"/>
      <c r="H1148" s="7" t="n"/>
      <c r="I1148" s="7" t="n"/>
      <c r="J1148" s="7" t="inlineStr">
        <is>
          <t>Vacal</t>
        </is>
      </c>
      <c r="K1148" s="7" t="inlineStr">
        <is>
          <t>Apoio</t>
        </is>
      </c>
      <c r="L1148" s="16" t="inlineStr">
        <is>
          <t>PDS-Março(1).docx</t>
        </is>
      </c>
      <c r="M1148">
        <f>IF($A1148="","",TEXT($A1148,"mmmm/yyyy"))</f>
        <v/>
      </c>
      <c r="P1148">
        <f>IFERROR(_xludf.XLOOKUP($N1148,Base_Enderecos!$A:$A,Base_Enderecos!$B:$B,""),"")</f>
        <v/>
      </c>
      <c r="Q1148">
        <f>IFERROR(_xludf.XLOOKUP($N1148,Base_Enderecos!$A:$A,Base_Enderecos!$C:$C,""),"")</f>
        <v/>
      </c>
      <c r="R1148">
        <f>IF(OR(ISNUMBER(SEARCH("HDD",$F1148)),ISNUMBER(SEARCH("MND",$F1148)),ISNUMBER(SEARCH("PEAD",$F1148)),ISNUMBER(SEARCH("Puxe",$J1148)),ISNUMBER(SEARCH("Apoio HDD",$F1148))),"MND",IF(OR(ISNUMBER(SEARCH("VCA",$F1148)),ISNUMBER(SEARCH("PVC",$F1148)),ISNUMBER(SEARCH("vca",$J1148)),ISNUMBER(SEARCH("Transformação",$J1148))),"VCA",IF(OR(ISNUMBER(SEARCH("crava",$F1148)),ISNUMBER(SEARCH("tubo cravado",$F1148)),ISNUMBER(SEARCH("shaft",$J1148)),ISNUMBER(SEARCH("concreto",$F1148))),"TUBO CRAVADO","")))</f>
        <v/>
      </c>
      <c r="T1148">
        <f>IF($A1148="","",TEXT($A1148,"yyyymm")&amp;"|"&amp;$C1148&amp;"|"&amp;$F1148&amp;"|"&amp;$N1148&amp;"|"&amp;$R1148)</f>
        <v/>
      </c>
    </row>
    <row r="1149" ht="11.55" customHeight="1">
      <c r="A1149" s="10" t="n">
        <v>46086</v>
      </c>
      <c r="B1149" s="7" t="inlineStr">
        <is>
          <t>Quinta</t>
        </is>
      </c>
      <c r="C1149" s="7" t="inlineStr">
        <is>
          <t>Vacal</t>
        </is>
      </c>
      <c r="D1149" s="7" t="n"/>
      <c r="E1149" s="7" t="inlineStr">
        <is>
          <t>Agua Vermelha</t>
        </is>
      </c>
      <c r="F1149" s="13" t="inlineStr">
        <is>
          <t>Apoio Vacal</t>
        </is>
      </c>
      <c r="G1149" s="7" t="n"/>
      <c r="H1149" s="7" t="n"/>
      <c r="I1149" s="7" t="n"/>
      <c r="J1149" s="7" t="inlineStr">
        <is>
          <t>Vacal</t>
        </is>
      </c>
      <c r="K1149" s="7" t="inlineStr">
        <is>
          <t>Apoio</t>
        </is>
      </c>
      <c r="L1149" s="16" t="inlineStr">
        <is>
          <t>PDS-Março(1).docx</t>
        </is>
      </c>
      <c r="M1149">
        <f>IF($A1149="","",TEXT($A1149,"mmmm/yyyy"))</f>
        <v/>
      </c>
      <c r="P1149">
        <f>IFERROR(_xludf.XLOOKUP($N1149,Base_Enderecos!$A:$A,Base_Enderecos!$B:$B,""),"")</f>
        <v/>
      </c>
      <c r="Q1149">
        <f>IFERROR(_xludf.XLOOKUP($N1149,Base_Enderecos!$A:$A,Base_Enderecos!$C:$C,""),"")</f>
        <v/>
      </c>
      <c r="R1149">
        <f>IF(OR(ISNUMBER(SEARCH("HDD",$F1149)),ISNUMBER(SEARCH("MND",$F1149)),ISNUMBER(SEARCH("PEAD",$F1149)),ISNUMBER(SEARCH("Puxe",$J1149)),ISNUMBER(SEARCH("Apoio HDD",$F1149))),"MND",IF(OR(ISNUMBER(SEARCH("VCA",$F1149)),ISNUMBER(SEARCH("PVC",$F1149)),ISNUMBER(SEARCH("vca",$J1149)),ISNUMBER(SEARCH("Transformação",$J1149))),"VCA",IF(OR(ISNUMBER(SEARCH("crava",$F1149)),ISNUMBER(SEARCH("tubo cravado",$F1149)),ISNUMBER(SEARCH("shaft",$J1149)),ISNUMBER(SEARCH("concreto",$F1149))),"TUBO CRAVADO","")))</f>
        <v/>
      </c>
      <c r="T1149">
        <f>IF($A1149="","",TEXT($A1149,"yyyymm")&amp;"|"&amp;$C1149&amp;"|"&amp;$F1149&amp;"|"&amp;$N1149&amp;"|"&amp;$R1149)</f>
        <v/>
      </c>
    </row>
    <row r="1150" ht="11.55" customHeight="1">
      <c r="A1150" s="10" t="n">
        <v>46086</v>
      </c>
      <c r="B1150" s="7" t="inlineStr">
        <is>
          <t>Quinta</t>
        </is>
      </c>
      <c r="C1150" s="7" t="inlineStr">
        <is>
          <t>Guindauto</t>
        </is>
      </c>
      <c r="D1150" s="7" t="n"/>
      <c r="E1150" s="7" t="inlineStr">
        <is>
          <t>Rodrigo</t>
        </is>
      </c>
      <c r="F1150" s="13" t="inlineStr">
        <is>
          <t>Rodrigo - Apoio as equipes</t>
        </is>
      </c>
      <c r="G1150" s="7" t="n"/>
      <c r="H1150" s="7" t="n"/>
      <c r="I1150" s="7" t="n"/>
      <c r="J1150" s="7" t="inlineStr">
        <is>
          <t>Guindauto</t>
        </is>
      </c>
      <c r="K1150" s="7" t="inlineStr">
        <is>
          <t>Apoio</t>
        </is>
      </c>
      <c r="L1150" s="16" t="inlineStr">
        <is>
          <t>PDS-Março(1).docx</t>
        </is>
      </c>
      <c r="M1150">
        <f>IF($A1150="","",TEXT($A1150,"mmmm/yyyy"))</f>
        <v/>
      </c>
      <c r="P1150">
        <f>IFERROR(_xludf.XLOOKUP($N1150,Base_Enderecos!$A:$A,Base_Enderecos!$B:$B,""),"")</f>
        <v/>
      </c>
      <c r="Q1150">
        <f>IFERROR(_xludf.XLOOKUP($N1150,Base_Enderecos!$A:$A,Base_Enderecos!$C:$C,""),"")</f>
        <v/>
      </c>
      <c r="R1150">
        <f>IF(OR(ISNUMBER(SEARCH("HDD",$F1150)),ISNUMBER(SEARCH("MND",$F1150)),ISNUMBER(SEARCH("PEAD",$F1150)),ISNUMBER(SEARCH("Puxe",$J1150)),ISNUMBER(SEARCH("Apoio HDD",$F1150))),"MND",IF(OR(ISNUMBER(SEARCH("VCA",$F1150)),ISNUMBER(SEARCH("PVC",$F1150)),ISNUMBER(SEARCH("vca",$J1150)),ISNUMBER(SEARCH("Transformação",$J1150))),"VCA",IF(OR(ISNUMBER(SEARCH("crava",$F1150)),ISNUMBER(SEARCH("tubo cravado",$F1150)),ISNUMBER(SEARCH("shaft",$J1150)),ISNUMBER(SEARCH("concreto",$F1150))),"TUBO CRAVADO","")))</f>
        <v/>
      </c>
      <c r="T1150">
        <f>IF($A1150="","",TEXT($A1150,"yyyymm")&amp;"|"&amp;$C1150&amp;"|"&amp;$F1150&amp;"|"&amp;$N1150&amp;"|"&amp;$R1150)</f>
        <v/>
      </c>
    </row>
    <row r="1151" ht="11.55" customHeight="1">
      <c r="A1151" s="10" t="n">
        <v>46086</v>
      </c>
      <c r="B1151" s="7" t="inlineStr">
        <is>
          <t>Quinta</t>
        </is>
      </c>
      <c r="C1151" s="7" t="inlineStr">
        <is>
          <t>Guindauto</t>
        </is>
      </c>
      <c r="D1151" s="7" t="n"/>
      <c r="E1151" s="7" t="inlineStr">
        <is>
          <t>Marcio</t>
        </is>
      </c>
      <c r="F1151" s="13" t="inlineStr">
        <is>
          <t>Marcio - Apoio as equipes</t>
        </is>
      </c>
      <c r="G1151" s="7" t="n"/>
      <c r="H1151" s="7" t="n"/>
      <c r="I1151" s="7" t="n"/>
      <c r="J1151" s="7" t="inlineStr">
        <is>
          <t>Guindauto</t>
        </is>
      </c>
      <c r="K1151" s="7" t="inlineStr">
        <is>
          <t>Apoio</t>
        </is>
      </c>
      <c r="L1151" s="16" t="inlineStr">
        <is>
          <t>PDS-Março(1).docx</t>
        </is>
      </c>
      <c r="M1151">
        <f>IF($A1151="","",TEXT($A1151,"mmmm/yyyy"))</f>
        <v/>
      </c>
      <c r="P1151">
        <f>IFERROR(_xludf.XLOOKUP($N1151,Base_Enderecos!$A:$A,Base_Enderecos!$B:$B,""),"")</f>
        <v/>
      </c>
      <c r="Q1151">
        <f>IFERROR(_xludf.XLOOKUP($N1151,Base_Enderecos!$A:$A,Base_Enderecos!$C:$C,""),"")</f>
        <v/>
      </c>
      <c r="R1151">
        <f>IF(OR(ISNUMBER(SEARCH("HDD",$F1151)),ISNUMBER(SEARCH("MND",$F1151)),ISNUMBER(SEARCH("PEAD",$F1151)),ISNUMBER(SEARCH("Puxe",$J1151)),ISNUMBER(SEARCH("Apoio HDD",$F1151))),"MND",IF(OR(ISNUMBER(SEARCH("VCA",$F1151)),ISNUMBER(SEARCH("PVC",$F1151)),ISNUMBER(SEARCH("vca",$J1151)),ISNUMBER(SEARCH("Transformação",$J1151))),"VCA",IF(OR(ISNUMBER(SEARCH("crava",$F1151)),ISNUMBER(SEARCH("tubo cravado",$F1151)),ISNUMBER(SEARCH("shaft",$J1151)),ISNUMBER(SEARCH("concreto",$F1151))),"TUBO CRAVADO","")))</f>
        <v/>
      </c>
      <c r="T1151">
        <f>IF($A1151="","",TEXT($A1151,"yyyymm")&amp;"|"&amp;$C1151&amp;"|"&amp;$F1151&amp;"|"&amp;$N1151&amp;"|"&amp;$R1151)</f>
        <v/>
      </c>
    </row>
    <row r="1152" ht="11.55" customHeight="1">
      <c r="A1152" s="10" t="n">
        <v>46087</v>
      </c>
      <c r="B1152" s="7" t="inlineStr">
        <is>
          <t>Sexta</t>
        </is>
      </c>
      <c r="C1152" s="7" t="inlineStr">
        <is>
          <t>CTS CONCEIÇÃO</t>
        </is>
      </c>
      <c r="D1152" s="7" t="inlineStr">
        <is>
          <t>SILVESTRE e ELOÍZIO</t>
        </is>
      </c>
      <c r="E1152" s="7" t="inlineStr">
        <is>
          <t>Goiania Drill</t>
        </is>
      </c>
      <c r="F1152" s="13" t="inlineStr">
        <is>
          <t>Piloto e Puxe PV 01 a PV EXISTENTE</t>
        </is>
      </c>
      <c r="G1152" s="7" t="inlineStr">
        <is>
          <t>01</t>
        </is>
      </c>
      <c r="H1152" s="7" t="n"/>
      <c r="I1152" s="7" t="inlineStr">
        <is>
          <t>01</t>
        </is>
      </c>
      <c r="J1152" s="7" t="inlineStr">
        <is>
          <t>Piloto e puxe</t>
        </is>
      </c>
      <c r="K1152" s="7" t="inlineStr">
        <is>
          <t>Planejamento</t>
        </is>
      </c>
      <c r="L1152" s="16" t="inlineStr">
        <is>
          <t>PDS-Março(1).docx</t>
        </is>
      </c>
      <c r="M1152">
        <f>IF($A1152="","",TEXT($A1152,"mmmm/yyyy"))</f>
        <v/>
      </c>
      <c r="P1152">
        <f>IFERROR(_xludf.XLOOKUP($N1152,Base_Enderecos!$A:$A,Base_Enderecos!$B:$B,""),"")</f>
        <v/>
      </c>
      <c r="Q1152">
        <f>IFERROR(_xludf.XLOOKUP($N1152,Base_Enderecos!$A:$A,Base_Enderecos!$C:$C,""),"")</f>
        <v/>
      </c>
      <c r="R1152">
        <f>IF(OR(ISNUMBER(SEARCH("HDD",$F1152)),ISNUMBER(SEARCH("MND",$F1152)),ISNUMBER(SEARCH("PEAD",$F1152)),ISNUMBER(SEARCH("Puxe",$J1152)),ISNUMBER(SEARCH("Apoio HDD",$F1152))),"MND",IF(OR(ISNUMBER(SEARCH("VCA",$F1152)),ISNUMBER(SEARCH("PVC",$F1152)),ISNUMBER(SEARCH("vca",$J1152)),ISNUMBER(SEARCH("Transformação",$J1152))),"VCA",IF(OR(ISNUMBER(SEARCH("crava",$F1152)),ISNUMBER(SEARCH("tubo cravado",$F1152)),ISNUMBER(SEARCH("shaft",$J1152)),ISNUMBER(SEARCH("concreto",$F1152))),"TUBO CRAVADO","")))</f>
        <v/>
      </c>
      <c r="T1152">
        <f>IF($A1152="","",TEXT($A1152,"yyyymm")&amp;"|"&amp;$C1152&amp;"|"&amp;$F1152&amp;"|"&amp;$N1152&amp;"|"&amp;$R1152)</f>
        <v/>
      </c>
    </row>
    <row r="1153" ht="11.55" customHeight="1">
      <c r="A1153" s="10" t="n">
        <v>46087</v>
      </c>
      <c r="B1153" s="7" t="inlineStr">
        <is>
          <t>Sexta</t>
        </is>
      </c>
      <c r="C1153" s="7" t="inlineStr">
        <is>
          <t>CTS CONCEIÇÃO</t>
        </is>
      </c>
      <c r="D1153" s="7" t="inlineStr">
        <is>
          <t>SILVESTRE e ELOÍZIO</t>
        </is>
      </c>
      <c r="E1153" s="7" t="inlineStr">
        <is>
          <t>Ricardo</t>
        </is>
      </c>
      <c r="F1153" s="13" t="inlineStr">
        <is>
          <t>Apoio HDD PV 01 a PV EXISTENTE</t>
        </is>
      </c>
      <c r="G1153" s="7" t="inlineStr">
        <is>
          <t>01</t>
        </is>
      </c>
      <c r="H1153" s="7" t="n"/>
      <c r="I1153" s="7" t="inlineStr">
        <is>
          <t>01</t>
        </is>
      </c>
      <c r="J1153" s="7" t="inlineStr">
        <is>
          <t>Apoio HDD</t>
        </is>
      </c>
      <c r="K1153" s="7" t="inlineStr">
        <is>
          <t>Planejamento</t>
        </is>
      </c>
      <c r="L1153" s="16" t="inlineStr">
        <is>
          <t>PDS-Março(1).docx</t>
        </is>
      </c>
      <c r="M1153">
        <f>IF($A1153="","",TEXT($A1153,"mmmm/yyyy"))</f>
        <v/>
      </c>
      <c r="P1153">
        <f>IFERROR(_xludf.XLOOKUP($N1153,Base_Enderecos!$A:$A,Base_Enderecos!$B:$B,""),"")</f>
        <v/>
      </c>
      <c r="Q1153">
        <f>IFERROR(_xludf.XLOOKUP($N1153,Base_Enderecos!$A:$A,Base_Enderecos!$C:$C,""),"")</f>
        <v/>
      </c>
      <c r="R1153">
        <f>IF(OR(ISNUMBER(SEARCH("HDD",$F1153)),ISNUMBER(SEARCH("MND",$F1153)),ISNUMBER(SEARCH("PEAD",$F1153)),ISNUMBER(SEARCH("Puxe",$J1153)),ISNUMBER(SEARCH("Apoio HDD",$F1153))),"MND",IF(OR(ISNUMBER(SEARCH("VCA",$F1153)),ISNUMBER(SEARCH("PVC",$F1153)),ISNUMBER(SEARCH("vca",$J1153)),ISNUMBER(SEARCH("Transformação",$J1153))),"VCA",IF(OR(ISNUMBER(SEARCH("crava",$F1153)),ISNUMBER(SEARCH("tubo cravado",$F1153)),ISNUMBER(SEARCH("shaft",$J1153)),ISNUMBER(SEARCH("concreto",$F1153))),"TUBO CRAVADO","")))</f>
        <v/>
      </c>
      <c r="T1153">
        <f>IF($A1153="","",TEXT($A1153,"yyyymm")&amp;"|"&amp;$C1153&amp;"|"&amp;$F1153&amp;"|"&amp;$N1153&amp;"|"&amp;$R1153)</f>
        <v/>
      </c>
    </row>
    <row r="1154" ht="11.55" customHeight="1">
      <c r="A1154" s="10" t="n">
        <v>46087</v>
      </c>
      <c r="B1154" s="7" t="inlineStr">
        <is>
          <t>Sexta</t>
        </is>
      </c>
      <c r="C1154" s="7" t="inlineStr">
        <is>
          <t>CTS CONCEIÇÃO</t>
        </is>
      </c>
      <c r="D1154" s="7" t="inlineStr">
        <is>
          <t>SILVESTRE e ELOÍZIO</t>
        </is>
      </c>
      <c r="E1154" s="7" t="inlineStr">
        <is>
          <t>Paulo</t>
        </is>
      </c>
      <c r="F1154" s="13" t="inlineStr">
        <is>
          <t>Shaft PV 09</t>
        </is>
      </c>
      <c r="G1154" s="7" t="inlineStr">
        <is>
          <t>09</t>
        </is>
      </c>
      <c r="H1154" s="7" t="n"/>
      <c r="I1154" s="7" t="inlineStr">
        <is>
          <t>09</t>
        </is>
      </c>
      <c r="J1154" s="7" t="inlineStr">
        <is>
          <t>Shaft</t>
        </is>
      </c>
      <c r="K1154" s="7" t="inlineStr">
        <is>
          <t>Planejamento</t>
        </is>
      </c>
      <c r="L1154" s="16" t="inlineStr">
        <is>
          <t>PDS-Março(1).docx</t>
        </is>
      </c>
      <c r="M1154">
        <f>IF($A1154="","",TEXT($A1154,"mmmm/yyyy"))</f>
        <v/>
      </c>
      <c r="P1154">
        <f>IFERROR(_xludf.XLOOKUP($N1154,Base_Enderecos!$A:$A,Base_Enderecos!$B:$B,""),"")</f>
        <v/>
      </c>
      <c r="Q1154">
        <f>IFERROR(_xludf.XLOOKUP($N1154,Base_Enderecos!$A:$A,Base_Enderecos!$C:$C,""),"")</f>
        <v/>
      </c>
      <c r="R1154">
        <f>IF(OR(ISNUMBER(SEARCH("HDD",$F1154)),ISNUMBER(SEARCH("MND",$F1154)),ISNUMBER(SEARCH("PEAD",$F1154)),ISNUMBER(SEARCH("Puxe",$J1154)),ISNUMBER(SEARCH("Apoio HDD",$F1154))),"MND",IF(OR(ISNUMBER(SEARCH("VCA",$F1154)),ISNUMBER(SEARCH("PVC",$F1154)),ISNUMBER(SEARCH("vca",$J1154)),ISNUMBER(SEARCH("Transformação",$J1154))),"VCA",IF(OR(ISNUMBER(SEARCH("crava",$F1154)),ISNUMBER(SEARCH("tubo cravado",$F1154)),ISNUMBER(SEARCH("shaft",$J1154)),ISNUMBER(SEARCH("concreto",$F1154))),"TUBO CRAVADO","")))</f>
        <v/>
      </c>
      <c r="T1154">
        <f>IF($A1154="","",TEXT($A1154,"yyyymm")&amp;"|"&amp;$C1154&amp;"|"&amp;$F1154&amp;"|"&amp;$N1154&amp;"|"&amp;$R1154)</f>
        <v/>
      </c>
    </row>
    <row r="1155" ht="11.55" customHeight="1">
      <c r="A1155" s="10" t="n">
        <v>46087</v>
      </c>
      <c r="B1155" s="7" t="inlineStr">
        <is>
          <t>Sexta</t>
        </is>
      </c>
      <c r="C1155" s="7" t="inlineStr">
        <is>
          <t>CT ARARIBA</t>
        </is>
      </c>
      <c r="D1155" s="7" t="n"/>
      <c r="E1155" s="7" t="inlineStr">
        <is>
          <t>Sergio</t>
        </is>
      </c>
      <c r="F1155" s="13" t="inlineStr">
        <is>
          <t>Adequação PV 10</t>
        </is>
      </c>
      <c r="G1155" s="7" t="inlineStr">
        <is>
          <t>10</t>
        </is>
      </c>
      <c r="H1155" s="7" t="n"/>
      <c r="I1155" s="7" t="inlineStr">
        <is>
          <t>10</t>
        </is>
      </c>
      <c r="J1155" s="7" t="inlineStr">
        <is>
          <t>Adequação</t>
        </is>
      </c>
      <c r="K1155" s="7" t="inlineStr">
        <is>
          <t>Planejamento</t>
        </is>
      </c>
      <c r="L1155" s="16" t="inlineStr">
        <is>
          <t>PDS-Março(1).docx</t>
        </is>
      </c>
      <c r="M1155">
        <f>IF($A1155="","",TEXT($A1155,"mmmm/yyyy"))</f>
        <v/>
      </c>
      <c r="P1155">
        <f>IFERROR(_xludf.XLOOKUP($N1155,Base_Enderecos!$A:$A,Base_Enderecos!$B:$B,""),"")</f>
        <v/>
      </c>
      <c r="Q1155">
        <f>IFERROR(_xludf.XLOOKUP($N1155,Base_Enderecos!$A:$A,Base_Enderecos!$C:$C,""),"")</f>
        <v/>
      </c>
      <c r="R1155">
        <f>IF(OR(ISNUMBER(SEARCH("HDD",$F1155)),ISNUMBER(SEARCH("MND",$F1155)),ISNUMBER(SEARCH("PEAD",$F1155)),ISNUMBER(SEARCH("Puxe",$J1155)),ISNUMBER(SEARCH("Apoio HDD",$F1155))),"MND",IF(OR(ISNUMBER(SEARCH("VCA",$F1155)),ISNUMBER(SEARCH("PVC",$F1155)),ISNUMBER(SEARCH("vca",$J1155)),ISNUMBER(SEARCH("Transformação",$J1155))),"VCA",IF(OR(ISNUMBER(SEARCH("crava",$F1155)),ISNUMBER(SEARCH("tubo cravado",$F1155)),ISNUMBER(SEARCH("shaft",$J1155)),ISNUMBER(SEARCH("concreto",$F1155))),"TUBO CRAVADO","")))</f>
        <v/>
      </c>
      <c r="T1155">
        <f>IF($A1155="","",TEXT($A1155,"yyyymm")&amp;"|"&amp;$C1155&amp;"|"&amp;$F1155&amp;"|"&amp;$N1155&amp;"|"&amp;$R1155)</f>
        <v/>
      </c>
    </row>
    <row r="1156" ht="11.55" customHeight="1">
      <c r="A1156" s="10" t="n">
        <v>46087</v>
      </c>
      <c r="B1156" s="7" t="inlineStr">
        <is>
          <t>Sexta</t>
        </is>
      </c>
      <c r="C1156" s="7" t="inlineStr">
        <is>
          <t>CT MAR DE CORAL</t>
        </is>
      </c>
      <c r="D1156" s="7" t="inlineStr">
        <is>
          <t>ROBSON</t>
        </is>
      </c>
      <c r="E1156" s="7" t="inlineStr">
        <is>
          <t>Medeiros</t>
        </is>
      </c>
      <c r="F1156" s="13" t="inlineStr">
        <is>
          <t>Reparo casa</t>
        </is>
      </c>
      <c r="G1156" s="7" t="n"/>
      <c r="H1156" s="7" t="n"/>
      <c r="I1156" s="7" t="n"/>
      <c r="J1156" s="7" t="inlineStr">
        <is>
          <t>Reparo</t>
        </is>
      </c>
      <c r="K1156" s="7" t="inlineStr">
        <is>
          <t>Planejamento</t>
        </is>
      </c>
      <c r="L1156" s="16" t="inlineStr">
        <is>
          <t>PDS-Março(1).docx</t>
        </is>
      </c>
      <c r="M1156">
        <f>IF($A1156="","",TEXT($A1156,"mmmm/yyyy"))</f>
        <v/>
      </c>
      <c r="P1156">
        <f>IFERROR(_xludf.XLOOKUP($N1156,Base_Enderecos!$A:$A,Base_Enderecos!$B:$B,""),"")</f>
        <v/>
      </c>
      <c r="Q1156">
        <f>IFERROR(_xludf.XLOOKUP($N1156,Base_Enderecos!$A:$A,Base_Enderecos!$C:$C,""),"")</f>
        <v/>
      </c>
      <c r="R1156">
        <f>IF(OR(ISNUMBER(SEARCH("HDD",$F1156)),ISNUMBER(SEARCH("MND",$F1156)),ISNUMBER(SEARCH("PEAD",$F1156)),ISNUMBER(SEARCH("Puxe",$J1156)),ISNUMBER(SEARCH("Apoio HDD",$F1156))),"MND",IF(OR(ISNUMBER(SEARCH("VCA",$F1156)),ISNUMBER(SEARCH("PVC",$F1156)),ISNUMBER(SEARCH("vca",$J1156)),ISNUMBER(SEARCH("Transformação",$J1156))),"VCA",IF(OR(ISNUMBER(SEARCH("crava",$F1156)),ISNUMBER(SEARCH("tubo cravado",$F1156)),ISNUMBER(SEARCH("shaft",$J1156)),ISNUMBER(SEARCH("concreto",$F1156))),"TUBO CRAVADO","")))</f>
        <v/>
      </c>
      <c r="T1156">
        <f>IF($A1156="","",TEXT($A1156,"yyyymm")&amp;"|"&amp;$C1156&amp;"|"&amp;$F1156&amp;"|"&amp;$N1156&amp;"|"&amp;$R1156)</f>
        <v/>
      </c>
    </row>
    <row r="1157" ht="11.55" customHeight="1">
      <c r="A1157" s="10" t="n">
        <v>46087</v>
      </c>
      <c r="B1157" s="7" t="inlineStr">
        <is>
          <t>Sexta</t>
        </is>
      </c>
      <c r="C1157" s="7" t="inlineStr">
        <is>
          <t>CT MAR DE CORAL</t>
        </is>
      </c>
      <c r="D1157" s="7" t="inlineStr">
        <is>
          <t>ROBSON</t>
        </is>
      </c>
      <c r="E1157" s="7" t="inlineStr">
        <is>
          <t>Carlos</t>
        </is>
      </c>
      <c r="F1157" s="13" t="inlineStr">
        <is>
          <t>Adequação PV 18, 22 e 36</t>
        </is>
      </c>
      <c r="G1157" s="7" t="inlineStr">
        <is>
          <t>18</t>
        </is>
      </c>
      <c r="H1157" s="7" t="n"/>
      <c r="I1157" s="7" t="inlineStr">
        <is>
          <t>18</t>
        </is>
      </c>
      <c r="J1157" s="7" t="inlineStr">
        <is>
          <t>Adequação</t>
        </is>
      </c>
      <c r="K1157" s="7" t="inlineStr">
        <is>
          <t>Planejamento</t>
        </is>
      </c>
      <c r="L1157" s="16" t="inlineStr">
        <is>
          <t>PDS-Março(1).docx</t>
        </is>
      </c>
      <c r="M1157">
        <f>IF($A1157="","",TEXT($A1157,"mmmm/yyyy"))</f>
        <v/>
      </c>
      <c r="P1157">
        <f>IFERROR(_xludf.XLOOKUP($N1157,Base_Enderecos!$A:$A,Base_Enderecos!$B:$B,""),"")</f>
        <v/>
      </c>
      <c r="Q1157">
        <f>IFERROR(_xludf.XLOOKUP($N1157,Base_Enderecos!$A:$A,Base_Enderecos!$C:$C,""),"")</f>
        <v/>
      </c>
      <c r="R1157">
        <f>IF(OR(ISNUMBER(SEARCH("HDD",$F1157)),ISNUMBER(SEARCH("MND",$F1157)),ISNUMBER(SEARCH("PEAD",$F1157)),ISNUMBER(SEARCH("Puxe",$J1157)),ISNUMBER(SEARCH("Apoio HDD",$F1157))),"MND",IF(OR(ISNUMBER(SEARCH("VCA",$F1157)),ISNUMBER(SEARCH("PVC",$F1157)),ISNUMBER(SEARCH("vca",$J1157)),ISNUMBER(SEARCH("Transformação",$J1157))),"VCA",IF(OR(ISNUMBER(SEARCH("crava",$F1157)),ISNUMBER(SEARCH("tubo cravado",$F1157)),ISNUMBER(SEARCH("shaft",$J1157)),ISNUMBER(SEARCH("concreto",$F1157))),"TUBO CRAVADO","")))</f>
        <v/>
      </c>
      <c r="T1157">
        <f>IF($A1157="","",TEXT($A1157,"yyyymm")&amp;"|"&amp;$C1157&amp;"|"&amp;$F1157&amp;"|"&amp;$N1157&amp;"|"&amp;$R1157)</f>
        <v/>
      </c>
    </row>
    <row r="1158" ht="11.55" customHeight="1">
      <c r="A1158" s="10" t="n">
        <v>46087</v>
      </c>
      <c r="B1158" s="7" t="inlineStr">
        <is>
          <t>Sexta</t>
        </is>
      </c>
      <c r="C1158" s="7" t="inlineStr">
        <is>
          <t>CT MIRIAM</t>
        </is>
      </c>
      <c r="D1158" s="7" t="n"/>
      <c r="E1158" s="7" t="inlineStr">
        <is>
          <t>Valter</t>
        </is>
      </c>
      <c r="F1158" s="13" t="inlineStr">
        <is>
          <t>Shaft PV 54</t>
        </is>
      </c>
      <c r="G1158" s="7" t="inlineStr">
        <is>
          <t>54</t>
        </is>
      </c>
      <c r="H1158" s="7" t="n"/>
      <c r="I1158" s="7" t="inlineStr">
        <is>
          <t>54</t>
        </is>
      </c>
      <c r="J1158" s="7" t="inlineStr">
        <is>
          <t>Shaft</t>
        </is>
      </c>
      <c r="K1158" s="7" t="inlineStr">
        <is>
          <t>Planejamento</t>
        </is>
      </c>
      <c r="L1158" s="16" t="inlineStr">
        <is>
          <t>PDS-Março(1).docx</t>
        </is>
      </c>
      <c r="M1158">
        <f>IF($A1158="","",TEXT($A1158,"mmmm/yyyy"))</f>
        <v/>
      </c>
      <c r="P1158">
        <f>IFERROR(_xludf.XLOOKUP($N1158,Base_Enderecos!$A:$A,Base_Enderecos!$B:$B,""),"")</f>
        <v/>
      </c>
      <c r="Q1158">
        <f>IFERROR(_xludf.XLOOKUP($N1158,Base_Enderecos!$A:$A,Base_Enderecos!$C:$C,""),"")</f>
        <v/>
      </c>
      <c r="R1158">
        <f>IF(OR(ISNUMBER(SEARCH("HDD",$F1158)),ISNUMBER(SEARCH("MND",$F1158)),ISNUMBER(SEARCH("PEAD",$F1158)),ISNUMBER(SEARCH("Puxe",$J1158)),ISNUMBER(SEARCH("Apoio HDD",$F1158))),"MND",IF(OR(ISNUMBER(SEARCH("VCA",$F1158)),ISNUMBER(SEARCH("PVC",$F1158)),ISNUMBER(SEARCH("vca",$J1158)),ISNUMBER(SEARCH("Transformação",$J1158))),"VCA",IF(OR(ISNUMBER(SEARCH("crava",$F1158)),ISNUMBER(SEARCH("tubo cravado",$F1158)),ISNUMBER(SEARCH("shaft",$J1158)),ISNUMBER(SEARCH("concreto",$F1158))),"TUBO CRAVADO","")))</f>
        <v/>
      </c>
      <c r="T1158">
        <f>IF($A1158="","",TEXT($A1158,"yyyymm")&amp;"|"&amp;$C1158&amp;"|"&amp;$F1158&amp;"|"&amp;$N1158&amp;"|"&amp;$R1158)</f>
        <v/>
      </c>
    </row>
    <row r="1159" ht="11.55" customHeight="1">
      <c r="A1159" s="10" t="n">
        <v>46087</v>
      </c>
      <c r="B1159" s="7" t="inlineStr">
        <is>
          <t>Sexta</t>
        </is>
      </c>
      <c r="C1159" s="7" t="inlineStr">
        <is>
          <t>CT LAGEADO</t>
        </is>
      </c>
      <c r="D1159" s="7" t="n"/>
      <c r="E1159" s="7" t="inlineStr">
        <is>
          <t>Higor</t>
        </is>
      </c>
      <c r="F1159" s="13" t="inlineStr">
        <is>
          <t>Adequação PV 5.1</t>
        </is>
      </c>
      <c r="G1159" s="7" t="inlineStr">
        <is>
          <t>5.1</t>
        </is>
      </c>
      <c r="H1159" s="7" t="n"/>
      <c r="I1159" s="7" t="inlineStr">
        <is>
          <t>5.1</t>
        </is>
      </c>
      <c r="J1159" s="7" t="inlineStr">
        <is>
          <t>Adequação</t>
        </is>
      </c>
      <c r="K1159" s="7" t="inlineStr">
        <is>
          <t>Planejamento</t>
        </is>
      </c>
      <c r="L1159" s="16" t="inlineStr">
        <is>
          <t>PDS-Março(1).docx</t>
        </is>
      </c>
      <c r="M1159">
        <f>IF($A1159="","",TEXT($A1159,"mmmm/yyyy"))</f>
        <v/>
      </c>
      <c r="P1159">
        <f>IFERROR(_xludf.XLOOKUP($N1159,Base_Enderecos!$A:$A,Base_Enderecos!$B:$B,""),"")</f>
        <v/>
      </c>
      <c r="Q1159">
        <f>IFERROR(_xludf.XLOOKUP($N1159,Base_Enderecos!$A:$A,Base_Enderecos!$C:$C,""),"")</f>
        <v/>
      </c>
      <c r="R1159">
        <f>IF(OR(ISNUMBER(SEARCH("HDD",$F1159)),ISNUMBER(SEARCH("MND",$F1159)),ISNUMBER(SEARCH("PEAD",$F1159)),ISNUMBER(SEARCH("Puxe",$J1159)),ISNUMBER(SEARCH("Apoio HDD",$F1159))),"MND",IF(OR(ISNUMBER(SEARCH("VCA",$F1159)),ISNUMBER(SEARCH("PVC",$F1159)),ISNUMBER(SEARCH("vca",$J1159)),ISNUMBER(SEARCH("Transformação",$J1159))),"VCA",IF(OR(ISNUMBER(SEARCH("crava",$F1159)),ISNUMBER(SEARCH("tubo cravado",$F1159)),ISNUMBER(SEARCH("shaft",$J1159)),ISNUMBER(SEARCH("concreto",$F1159))),"TUBO CRAVADO","")))</f>
        <v/>
      </c>
      <c r="T1159">
        <f>IF($A1159="","",TEXT($A1159,"yyyymm")&amp;"|"&amp;$C1159&amp;"|"&amp;$F1159&amp;"|"&amp;$N1159&amp;"|"&amp;$R1159)</f>
        <v/>
      </c>
    </row>
    <row r="1160" ht="11.55" customHeight="1">
      <c r="A1160" s="10" t="n">
        <v>46087</v>
      </c>
      <c r="B1160" s="7" t="inlineStr">
        <is>
          <t>Sexta</t>
        </is>
      </c>
      <c r="C1160" s="7" t="inlineStr">
        <is>
          <t>CT JARAGUÁ</t>
        </is>
      </c>
      <c r="D1160" s="7" t="inlineStr">
        <is>
          <t>CAROLINE E FABIO</t>
        </is>
      </c>
      <c r="E1160" s="7" t="inlineStr">
        <is>
          <t>Marcelo</t>
        </is>
      </c>
      <c r="F1160" s="13" t="inlineStr">
        <is>
          <t>Adequação PV 02</t>
        </is>
      </c>
      <c r="G1160" s="7" t="inlineStr">
        <is>
          <t>02</t>
        </is>
      </c>
      <c r="H1160" s="7" t="n"/>
      <c r="I1160" s="7" t="inlineStr">
        <is>
          <t>02</t>
        </is>
      </c>
      <c r="J1160" s="7" t="inlineStr">
        <is>
          <t>Adequação</t>
        </is>
      </c>
      <c r="K1160" s="7" t="inlineStr">
        <is>
          <t>Planejamento</t>
        </is>
      </c>
      <c r="L1160" s="16" t="inlineStr">
        <is>
          <t>PDS-Março(1).docx</t>
        </is>
      </c>
      <c r="M1160">
        <f>IF($A1160="","",TEXT($A1160,"mmmm/yyyy"))</f>
        <v/>
      </c>
      <c r="P1160">
        <f>IFERROR(_xludf.XLOOKUP($N1160,Base_Enderecos!$A:$A,Base_Enderecos!$B:$B,""),"")</f>
        <v/>
      </c>
      <c r="Q1160">
        <f>IFERROR(_xludf.XLOOKUP($N1160,Base_Enderecos!$A:$A,Base_Enderecos!$C:$C,""),"")</f>
        <v/>
      </c>
      <c r="R1160">
        <f>IF(OR(ISNUMBER(SEARCH("HDD",$F1160)),ISNUMBER(SEARCH("MND",$F1160)),ISNUMBER(SEARCH("PEAD",$F1160)),ISNUMBER(SEARCH("Puxe",$J1160)),ISNUMBER(SEARCH("Apoio HDD",$F1160))),"MND",IF(OR(ISNUMBER(SEARCH("VCA",$F1160)),ISNUMBER(SEARCH("PVC",$F1160)),ISNUMBER(SEARCH("vca",$J1160)),ISNUMBER(SEARCH("Transformação",$J1160))),"VCA",IF(OR(ISNUMBER(SEARCH("crava",$F1160)),ISNUMBER(SEARCH("tubo cravado",$F1160)),ISNUMBER(SEARCH("shaft",$J1160)),ISNUMBER(SEARCH("concreto",$F1160))),"TUBO CRAVADO","")))</f>
        <v/>
      </c>
      <c r="T1160">
        <f>IF($A1160="","",TEXT($A1160,"yyyymm")&amp;"|"&amp;$C1160&amp;"|"&amp;$F1160&amp;"|"&amp;$N1160&amp;"|"&amp;$R1160)</f>
        <v/>
      </c>
    </row>
    <row r="1161" ht="11.55" customHeight="1">
      <c r="A1161" s="10" t="n">
        <v>46087</v>
      </c>
      <c r="B1161" s="7" t="inlineStr">
        <is>
          <t>Sexta</t>
        </is>
      </c>
      <c r="C1161" s="7" t="inlineStr">
        <is>
          <t>CT AGUA VERMELHA M.D</t>
        </is>
      </c>
      <c r="D1161" s="7" t="inlineStr">
        <is>
          <t>CAROLINE e FABIO</t>
        </is>
      </c>
      <c r="E1161" s="7" t="inlineStr">
        <is>
          <t>WJ 01</t>
        </is>
      </c>
      <c r="F1161" s="13" t="inlineStr">
        <is>
          <t>Piloto e Puxe PVD 10 ao PVD 10.1</t>
        </is>
      </c>
      <c r="G1161" s="7" t="inlineStr">
        <is>
          <t>10</t>
        </is>
      </c>
      <c r="H1161" s="7" t="inlineStr">
        <is>
          <t>10.1</t>
        </is>
      </c>
      <c r="I1161" s="7" t="inlineStr">
        <is>
          <t>10, 10.1</t>
        </is>
      </c>
      <c r="J1161" s="7" t="inlineStr">
        <is>
          <t>Piloto e puxe</t>
        </is>
      </c>
      <c r="K1161" s="7" t="inlineStr">
        <is>
          <t>Planejamento</t>
        </is>
      </c>
      <c r="L1161" s="16" t="inlineStr">
        <is>
          <t>PDS-Março(1).docx</t>
        </is>
      </c>
      <c r="M1161">
        <f>IF($A1161="","",TEXT($A1161,"mmmm/yyyy"))</f>
        <v/>
      </c>
      <c r="P1161">
        <f>IFERROR(_xludf.XLOOKUP($N1161,Base_Enderecos!$A:$A,Base_Enderecos!$B:$B,""),"")</f>
        <v/>
      </c>
      <c r="Q1161">
        <f>IFERROR(_xludf.XLOOKUP($N1161,Base_Enderecos!$A:$A,Base_Enderecos!$C:$C,""),"")</f>
        <v/>
      </c>
      <c r="R1161">
        <f>IF(OR(ISNUMBER(SEARCH("HDD",$F1161)),ISNUMBER(SEARCH("MND",$F1161)),ISNUMBER(SEARCH("PEAD",$F1161)),ISNUMBER(SEARCH("Puxe",$J1161)),ISNUMBER(SEARCH("Apoio HDD",$F1161))),"MND",IF(OR(ISNUMBER(SEARCH("VCA",$F1161)),ISNUMBER(SEARCH("PVC",$F1161)),ISNUMBER(SEARCH("vca",$J1161)),ISNUMBER(SEARCH("Transformação",$J1161))),"VCA",IF(OR(ISNUMBER(SEARCH("crava",$F1161)),ISNUMBER(SEARCH("tubo cravado",$F1161)),ISNUMBER(SEARCH("shaft",$J1161)),ISNUMBER(SEARCH("concreto",$F1161))),"TUBO CRAVADO","")))</f>
        <v/>
      </c>
      <c r="T1161">
        <f>IF($A1161="","",TEXT($A1161,"yyyymm")&amp;"|"&amp;$C1161&amp;"|"&amp;$F1161&amp;"|"&amp;$N1161&amp;"|"&amp;$R1161)</f>
        <v/>
      </c>
    </row>
    <row r="1162" ht="11.55" customHeight="1">
      <c r="A1162" s="10" t="n">
        <v>46087</v>
      </c>
      <c r="B1162" s="7" t="inlineStr">
        <is>
          <t>Sexta</t>
        </is>
      </c>
      <c r="C1162" s="7" t="inlineStr">
        <is>
          <t>CT AGUA VERMELHA M.D</t>
        </is>
      </c>
      <c r="D1162" s="7" t="inlineStr">
        <is>
          <t>CAROLINE e FABIO</t>
        </is>
      </c>
      <c r="E1162" s="7" t="inlineStr">
        <is>
          <t>Johnathan</t>
        </is>
      </c>
      <c r="F1162" s="13" t="inlineStr">
        <is>
          <t>Apoio HDD PVC 10 ao PVD 10.1</t>
        </is>
      </c>
      <c r="G1162" s="7" t="inlineStr">
        <is>
          <t>10.1</t>
        </is>
      </c>
      <c r="H1162" s="7" t="n"/>
      <c r="I1162" s="7" t="inlineStr">
        <is>
          <t>10.1</t>
        </is>
      </c>
      <c r="J1162" s="7" t="inlineStr">
        <is>
          <t>Apoio HDD</t>
        </is>
      </c>
      <c r="K1162" s="7" t="inlineStr">
        <is>
          <t>Planejamento</t>
        </is>
      </c>
      <c r="L1162" s="16" t="inlineStr">
        <is>
          <t>PDS-Março(1).docx</t>
        </is>
      </c>
      <c r="M1162">
        <f>IF($A1162="","",TEXT($A1162,"mmmm/yyyy"))</f>
        <v/>
      </c>
      <c r="P1162">
        <f>IFERROR(_xludf.XLOOKUP($N1162,Base_Enderecos!$A:$A,Base_Enderecos!$B:$B,""),"")</f>
        <v/>
      </c>
      <c r="Q1162">
        <f>IFERROR(_xludf.XLOOKUP($N1162,Base_Enderecos!$A:$A,Base_Enderecos!$C:$C,""),"")</f>
        <v/>
      </c>
      <c r="R1162">
        <f>IF(OR(ISNUMBER(SEARCH("HDD",$F1162)),ISNUMBER(SEARCH("MND",$F1162)),ISNUMBER(SEARCH("PEAD",$F1162)),ISNUMBER(SEARCH("Puxe",$J1162)),ISNUMBER(SEARCH("Apoio HDD",$F1162))),"MND",IF(OR(ISNUMBER(SEARCH("VCA",$F1162)),ISNUMBER(SEARCH("PVC",$F1162)),ISNUMBER(SEARCH("vca",$J1162)),ISNUMBER(SEARCH("Transformação",$J1162))),"VCA",IF(OR(ISNUMBER(SEARCH("crava",$F1162)),ISNUMBER(SEARCH("tubo cravado",$F1162)),ISNUMBER(SEARCH("shaft",$J1162)),ISNUMBER(SEARCH("concreto",$F1162))),"TUBO CRAVADO","")))</f>
        <v/>
      </c>
      <c r="T1162">
        <f>IF($A1162="","",TEXT($A1162,"yyyymm")&amp;"|"&amp;$C1162&amp;"|"&amp;$F1162&amp;"|"&amp;$N1162&amp;"|"&amp;$R1162)</f>
        <v/>
      </c>
    </row>
    <row r="1163" ht="11.55" customHeight="1">
      <c r="A1163" s="10" t="n">
        <v>46087</v>
      </c>
      <c r="B1163" s="7" t="inlineStr">
        <is>
          <t>Sexta</t>
        </is>
      </c>
      <c r="C1163" s="7" t="inlineStr">
        <is>
          <t>CT AGUA VERMELHA M.D</t>
        </is>
      </c>
      <c r="D1163" s="7" t="inlineStr">
        <is>
          <t>CAROLINE e FABIO</t>
        </is>
      </c>
      <c r="E1163" s="7" t="inlineStr">
        <is>
          <t>Cesar</t>
        </is>
      </c>
      <c r="F1163" s="13" t="inlineStr">
        <is>
          <t>Transformação PVD 07</t>
        </is>
      </c>
      <c r="G1163" s="7" t="inlineStr">
        <is>
          <t>07</t>
        </is>
      </c>
      <c r="H1163" s="7" t="n"/>
      <c r="I1163" s="7" t="inlineStr">
        <is>
          <t>07</t>
        </is>
      </c>
      <c r="J1163" s="7" t="inlineStr">
        <is>
          <t>Transformação</t>
        </is>
      </c>
      <c r="K1163" s="7" t="inlineStr">
        <is>
          <t>Planejamento</t>
        </is>
      </c>
      <c r="L1163" s="16" t="inlineStr">
        <is>
          <t>PDS-Março(1).docx</t>
        </is>
      </c>
      <c r="M1163">
        <f>IF($A1163="","",TEXT($A1163,"mmmm/yyyy"))</f>
        <v/>
      </c>
      <c r="P1163">
        <f>IFERROR(_xludf.XLOOKUP($N1163,Base_Enderecos!$A:$A,Base_Enderecos!$B:$B,""),"")</f>
        <v/>
      </c>
      <c r="Q1163">
        <f>IFERROR(_xludf.XLOOKUP($N1163,Base_Enderecos!$A:$A,Base_Enderecos!$C:$C,""),"")</f>
        <v/>
      </c>
      <c r="R1163">
        <f>IF(OR(ISNUMBER(SEARCH("HDD",$F1163)),ISNUMBER(SEARCH("MND",$F1163)),ISNUMBER(SEARCH("PEAD",$F1163)),ISNUMBER(SEARCH("Puxe",$J1163)),ISNUMBER(SEARCH("Apoio HDD",$F1163))),"MND",IF(OR(ISNUMBER(SEARCH("VCA",$F1163)),ISNUMBER(SEARCH("PVC",$F1163)),ISNUMBER(SEARCH("vca",$J1163)),ISNUMBER(SEARCH("Transformação",$J1163))),"VCA",IF(OR(ISNUMBER(SEARCH("crava",$F1163)),ISNUMBER(SEARCH("tubo cravado",$F1163)),ISNUMBER(SEARCH("shaft",$J1163)),ISNUMBER(SEARCH("concreto",$F1163))),"TUBO CRAVADO","")))</f>
        <v/>
      </c>
      <c r="T1163">
        <f>IF($A1163="","",TEXT($A1163,"yyyymm")&amp;"|"&amp;$C1163&amp;"|"&amp;$F1163&amp;"|"&amp;$N1163&amp;"|"&amp;$R1163)</f>
        <v/>
      </c>
    </row>
    <row r="1164" ht="11.55" customHeight="1">
      <c r="A1164" s="10" t="n">
        <v>46087</v>
      </c>
      <c r="B1164" s="7" t="inlineStr">
        <is>
          <t>Sexta</t>
        </is>
      </c>
      <c r="C1164" s="7" t="inlineStr">
        <is>
          <t>CT AGUA VERMELHA M.D</t>
        </is>
      </c>
      <c r="D1164" s="7" t="inlineStr">
        <is>
          <t>CAROLINE e FABIO</t>
        </is>
      </c>
      <c r="E1164" s="7" t="inlineStr">
        <is>
          <t>Antonio</t>
        </is>
      </c>
      <c r="F1164" s="13" t="inlineStr">
        <is>
          <t>Apoio</t>
        </is>
      </c>
      <c r="G1164" s="7" t="n"/>
      <c r="H1164" s="7" t="n"/>
      <c r="I1164" s="7" t="n"/>
      <c r="J1164" s="7" t="n"/>
      <c r="K1164" s="7" t="inlineStr">
        <is>
          <t>Planejamento</t>
        </is>
      </c>
      <c r="L1164" s="16" t="inlineStr">
        <is>
          <t>PDS-Março(1).docx</t>
        </is>
      </c>
      <c r="M1164">
        <f>IF($A1164="","",TEXT($A1164,"mmmm/yyyy"))</f>
        <v/>
      </c>
      <c r="P1164">
        <f>IFERROR(_xludf.XLOOKUP($N1164,Base_Enderecos!$A:$A,Base_Enderecos!$B:$B,""),"")</f>
        <v/>
      </c>
      <c r="Q1164">
        <f>IFERROR(_xludf.XLOOKUP($N1164,Base_Enderecos!$A:$A,Base_Enderecos!$C:$C,""),"")</f>
        <v/>
      </c>
      <c r="R1164">
        <f>IF(OR(ISNUMBER(SEARCH("HDD",$F1164)),ISNUMBER(SEARCH("MND",$F1164)),ISNUMBER(SEARCH("PEAD",$F1164)),ISNUMBER(SEARCH("Puxe",$J1164)),ISNUMBER(SEARCH("Apoio HDD",$F1164))),"MND",IF(OR(ISNUMBER(SEARCH("VCA",$F1164)),ISNUMBER(SEARCH("PVC",$F1164)),ISNUMBER(SEARCH("vca",$J1164)),ISNUMBER(SEARCH("Transformação",$J1164))),"VCA",IF(OR(ISNUMBER(SEARCH("crava",$F1164)),ISNUMBER(SEARCH("tubo cravado",$F1164)),ISNUMBER(SEARCH("shaft",$J1164)),ISNUMBER(SEARCH("concreto",$F1164))),"TUBO CRAVADO","")))</f>
        <v/>
      </c>
      <c r="T1164">
        <f>IF($A1164="","",TEXT($A1164,"yyyymm")&amp;"|"&amp;$C1164&amp;"|"&amp;$F1164&amp;"|"&amp;$N1164&amp;"|"&amp;$R1164)</f>
        <v/>
      </c>
    </row>
    <row r="1165" ht="11.55" customHeight="1">
      <c r="A1165" s="10" t="n">
        <v>46087</v>
      </c>
      <c r="B1165" s="7" t="inlineStr">
        <is>
          <t>Sexta</t>
        </is>
      </c>
      <c r="C1165" s="7" t="inlineStr">
        <is>
          <t>CT AGUA VERMELHA M.E</t>
        </is>
      </c>
      <c r="D1165" s="7" t="inlineStr">
        <is>
          <t>VALMIR</t>
        </is>
      </c>
      <c r="E1165" s="7" t="inlineStr">
        <is>
          <t>Marcio</t>
        </is>
      </c>
      <c r="F1165" s="13" t="inlineStr">
        <is>
          <t>Apoio HDD PVE 23 ao 25</t>
        </is>
      </c>
      <c r="G1165" s="7" t="inlineStr">
        <is>
          <t>23</t>
        </is>
      </c>
      <c r="H1165" s="7" t="n"/>
      <c r="I1165" s="7" t="inlineStr">
        <is>
          <t>23</t>
        </is>
      </c>
      <c r="J1165" s="7" t="inlineStr">
        <is>
          <t>Apoio HDD</t>
        </is>
      </c>
      <c r="K1165" s="7" t="inlineStr">
        <is>
          <t>Planejamento</t>
        </is>
      </c>
      <c r="L1165" s="16" t="inlineStr">
        <is>
          <t>PDS-Março(1).docx</t>
        </is>
      </c>
      <c r="M1165">
        <f>IF($A1165="","",TEXT($A1165,"mmmm/yyyy"))</f>
        <v/>
      </c>
      <c r="P1165">
        <f>IFERROR(_xludf.XLOOKUP($N1165,Base_Enderecos!$A:$A,Base_Enderecos!$B:$B,""),"")</f>
        <v/>
      </c>
      <c r="Q1165">
        <f>IFERROR(_xludf.XLOOKUP($N1165,Base_Enderecos!$A:$A,Base_Enderecos!$C:$C,""),"")</f>
        <v/>
      </c>
      <c r="R1165">
        <f>IF(OR(ISNUMBER(SEARCH("HDD",$F1165)),ISNUMBER(SEARCH("MND",$F1165)),ISNUMBER(SEARCH("PEAD",$F1165)),ISNUMBER(SEARCH("Puxe",$J1165)),ISNUMBER(SEARCH("Apoio HDD",$F1165))),"MND",IF(OR(ISNUMBER(SEARCH("VCA",$F1165)),ISNUMBER(SEARCH("PVC",$F1165)),ISNUMBER(SEARCH("vca",$J1165)),ISNUMBER(SEARCH("Transformação",$J1165))),"VCA",IF(OR(ISNUMBER(SEARCH("crava",$F1165)),ISNUMBER(SEARCH("tubo cravado",$F1165)),ISNUMBER(SEARCH("shaft",$J1165)),ISNUMBER(SEARCH("concreto",$F1165))),"TUBO CRAVADO","")))</f>
        <v/>
      </c>
      <c r="T1165">
        <f>IF($A1165="","",TEXT($A1165,"yyyymm")&amp;"|"&amp;$C1165&amp;"|"&amp;$F1165&amp;"|"&amp;$N1165&amp;"|"&amp;$R1165)</f>
        <v/>
      </c>
    </row>
    <row r="1166" ht="11.55" customHeight="1">
      <c r="A1166" s="10" t="n">
        <v>46087</v>
      </c>
      <c r="B1166" s="7" t="inlineStr">
        <is>
          <t>Sexta</t>
        </is>
      </c>
      <c r="C1166" s="7" t="inlineStr">
        <is>
          <t>CT AGUA VERMELHA M.E</t>
        </is>
      </c>
      <c r="D1166" s="7" t="inlineStr">
        <is>
          <t>VALMIR</t>
        </is>
      </c>
      <c r="E1166" s="7" t="inlineStr">
        <is>
          <t>WJ 02</t>
        </is>
      </c>
      <c r="F1166" s="13" t="inlineStr">
        <is>
          <t>Piloto e Puxe PVE 23 ao 25</t>
        </is>
      </c>
      <c r="G1166" s="7" t="inlineStr">
        <is>
          <t>23</t>
        </is>
      </c>
      <c r="H1166" s="7" t="n"/>
      <c r="I1166" s="7" t="inlineStr">
        <is>
          <t>23</t>
        </is>
      </c>
      <c r="J1166" s="7" t="inlineStr">
        <is>
          <t>Piloto e puxe</t>
        </is>
      </c>
      <c r="K1166" s="7" t="inlineStr">
        <is>
          <t>Planejamento</t>
        </is>
      </c>
      <c r="L1166" s="16" t="inlineStr">
        <is>
          <t>PDS-Março(1).docx</t>
        </is>
      </c>
      <c r="M1166">
        <f>IF($A1166="","",TEXT($A1166,"mmmm/yyyy"))</f>
        <v/>
      </c>
      <c r="P1166">
        <f>IFERROR(_xludf.XLOOKUP($N1166,Base_Enderecos!$A:$A,Base_Enderecos!$B:$B,""),"")</f>
        <v/>
      </c>
      <c r="Q1166">
        <f>IFERROR(_xludf.XLOOKUP($N1166,Base_Enderecos!$A:$A,Base_Enderecos!$C:$C,""),"")</f>
        <v/>
      </c>
      <c r="R1166">
        <f>IF(OR(ISNUMBER(SEARCH("HDD",$F1166)),ISNUMBER(SEARCH("MND",$F1166)),ISNUMBER(SEARCH("PEAD",$F1166)),ISNUMBER(SEARCH("Puxe",$J1166)),ISNUMBER(SEARCH("Apoio HDD",$F1166))),"MND",IF(OR(ISNUMBER(SEARCH("VCA",$F1166)),ISNUMBER(SEARCH("PVC",$F1166)),ISNUMBER(SEARCH("vca",$J1166)),ISNUMBER(SEARCH("Transformação",$J1166))),"VCA",IF(OR(ISNUMBER(SEARCH("crava",$F1166)),ISNUMBER(SEARCH("tubo cravado",$F1166)),ISNUMBER(SEARCH("shaft",$J1166)),ISNUMBER(SEARCH("concreto",$F1166))),"TUBO CRAVADO","")))</f>
        <v/>
      </c>
      <c r="T1166">
        <f>IF($A1166="","",TEXT($A1166,"yyyymm")&amp;"|"&amp;$C1166&amp;"|"&amp;$F1166&amp;"|"&amp;$N1166&amp;"|"&amp;$R1166)</f>
        <v/>
      </c>
    </row>
    <row r="1167" ht="11.55" customHeight="1">
      <c r="A1167" s="10" t="n">
        <v>46087</v>
      </c>
      <c r="B1167" s="7" t="inlineStr">
        <is>
          <t>Sexta</t>
        </is>
      </c>
      <c r="C1167" s="7" t="inlineStr">
        <is>
          <t>CT AGUA VERMELHA M.E</t>
        </is>
      </c>
      <c r="D1167" s="7" t="inlineStr">
        <is>
          <t>VALMIR</t>
        </is>
      </c>
      <c r="E1167" s="7" t="inlineStr">
        <is>
          <t>Adilson</t>
        </is>
      </c>
      <c r="F1167" s="13" t="inlineStr">
        <is>
          <t>Apoio</t>
        </is>
      </c>
      <c r="G1167" s="7" t="n"/>
      <c r="H1167" s="7" t="n"/>
      <c r="I1167" s="7" t="n"/>
      <c r="J1167" s="7" t="n"/>
      <c r="K1167" s="7" t="inlineStr">
        <is>
          <t>Planejamento</t>
        </is>
      </c>
      <c r="L1167" s="16" t="inlineStr">
        <is>
          <t>PDS-Março(1).docx</t>
        </is>
      </c>
      <c r="M1167">
        <f>IF($A1167="","",TEXT($A1167,"mmmm/yyyy"))</f>
        <v/>
      </c>
      <c r="P1167">
        <f>IFERROR(_xludf.XLOOKUP($N1167,Base_Enderecos!$A:$A,Base_Enderecos!$B:$B,""),"")</f>
        <v/>
      </c>
      <c r="Q1167">
        <f>IFERROR(_xludf.XLOOKUP($N1167,Base_Enderecos!$A:$A,Base_Enderecos!$C:$C,""),"")</f>
        <v/>
      </c>
      <c r="R1167">
        <f>IF(OR(ISNUMBER(SEARCH("HDD",$F1167)),ISNUMBER(SEARCH("MND",$F1167)),ISNUMBER(SEARCH("PEAD",$F1167)),ISNUMBER(SEARCH("Puxe",$J1167)),ISNUMBER(SEARCH("Apoio HDD",$F1167))),"MND",IF(OR(ISNUMBER(SEARCH("VCA",$F1167)),ISNUMBER(SEARCH("PVC",$F1167)),ISNUMBER(SEARCH("vca",$J1167)),ISNUMBER(SEARCH("Transformação",$J1167))),"VCA",IF(OR(ISNUMBER(SEARCH("crava",$F1167)),ISNUMBER(SEARCH("tubo cravado",$F1167)),ISNUMBER(SEARCH("shaft",$J1167)),ISNUMBER(SEARCH("concreto",$F1167))),"TUBO CRAVADO","")))</f>
        <v/>
      </c>
      <c r="T1167">
        <f>IF($A1167="","",TEXT($A1167,"yyyymm")&amp;"|"&amp;$C1167&amp;"|"&amp;$F1167&amp;"|"&amp;$N1167&amp;"|"&amp;$R1167)</f>
        <v/>
      </c>
    </row>
    <row r="1168" ht="11.55" customHeight="1">
      <c r="A1168" s="10" t="n">
        <v>46087</v>
      </c>
      <c r="B1168" s="7" t="inlineStr">
        <is>
          <t>Sexta</t>
        </is>
      </c>
      <c r="C1168" s="7" t="inlineStr">
        <is>
          <t>Vacal</t>
        </is>
      </c>
      <c r="D1168" s="7" t="n"/>
      <c r="E1168" s="7" t="inlineStr">
        <is>
          <t>Conceição</t>
        </is>
      </c>
      <c r="F1168" s="13" t="inlineStr">
        <is>
          <t>Apoio Vacal</t>
        </is>
      </c>
      <c r="G1168" s="7" t="n"/>
      <c r="H1168" s="7" t="n"/>
      <c r="I1168" s="7" t="n"/>
      <c r="J1168" s="7" t="inlineStr">
        <is>
          <t>Vacal</t>
        </is>
      </c>
      <c r="K1168" s="7" t="inlineStr">
        <is>
          <t>Apoio</t>
        </is>
      </c>
      <c r="L1168" s="16" t="inlineStr">
        <is>
          <t>PDS-Março(1).docx</t>
        </is>
      </c>
      <c r="M1168">
        <f>IF($A1168="","",TEXT($A1168,"mmmm/yyyy"))</f>
        <v/>
      </c>
      <c r="P1168">
        <f>IFERROR(_xludf.XLOOKUP($N1168,Base_Enderecos!$A:$A,Base_Enderecos!$B:$B,""),"")</f>
        <v/>
      </c>
      <c r="Q1168">
        <f>IFERROR(_xludf.XLOOKUP($N1168,Base_Enderecos!$A:$A,Base_Enderecos!$C:$C,""),"")</f>
        <v/>
      </c>
      <c r="R1168">
        <f>IF(OR(ISNUMBER(SEARCH("HDD",$F1168)),ISNUMBER(SEARCH("MND",$F1168)),ISNUMBER(SEARCH("PEAD",$F1168)),ISNUMBER(SEARCH("Puxe",$J1168)),ISNUMBER(SEARCH("Apoio HDD",$F1168))),"MND",IF(OR(ISNUMBER(SEARCH("VCA",$F1168)),ISNUMBER(SEARCH("PVC",$F1168)),ISNUMBER(SEARCH("vca",$J1168)),ISNUMBER(SEARCH("Transformação",$J1168))),"VCA",IF(OR(ISNUMBER(SEARCH("crava",$F1168)),ISNUMBER(SEARCH("tubo cravado",$F1168)),ISNUMBER(SEARCH("shaft",$J1168)),ISNUMBER(SEARCH("concreto",$F1168))),"TUBO CRAVADO","")))</f>
        <v/>
      </c>
      <c r="T1168">
        <f>IF($A1168="","",TEXT($A1168,"yyyymm")&amp;"|"&amp;$C1168&amp;"|"&amp;$F1168&amp;"|"&amp;$N1168&amp;"|"&amp;$R1168)</f>
        <v/>
      </c>
    </row>
    <row r="1169" ht="11.55" customHeight="1">
      <c r="A1169" s="10" t="n">
        <v>46087</v>
      </c>
      <c r="B1169" s="7" t="inlineStr">
        <is>
          <t>Sexta</t>
        </is>
      </c>
      <c r="C1169" s="7" t="inlineStr">
        <is>
          <t>Vacal</t>
        </is>
      </c>
      <c r="D1169" s="7" t="n"/>
      <c r="E1169" s="7" t="inlineStr">
        <is>
          <t>Agua Vermelha</t>
        </is>
      </c>
      <c r="F1169" s="13" t="inlineStr">
        <is>
          <t>Apoio Vacal</t>
        </is>
      </c>
      <c r="G1169" s="7" t="n"/>
      <c r="H1169" s="7" t="n"/>
      <c r="I1169" s="7" t="n"/>
      <c r="J1169" s="7" t="inlineStr">
        <is>
          <t>Vacal</t>
        </is>
      </c>
      <c r="K1169" s="7" t="inlineStr">
        <is>
          <t>Apoio</t>
        </is>
      </c>
      <c r="L1169" s="16" t="inlineStr">
        <is>
          <t>PDS-Março(1).docx</t>
        </is>
      </c>
      <c r="M1169">
        <f>IF($A1169="","",TEXT($A1169,"mmmm/yyyy"))</f>
        <v/>
      </c>
      <c r="P1169">
        <f>IFERROR(_xludf.XLOOKUP($N1169,Base_Enderecos!$A:$A,Base_Enderecos!$B:$B,""),"")</f>
        <v/>
      </c>
      <c r="Q1169">
        <f>IFERROR(_xludf.XLOOKUP($N1169,Base_Enderecos!$A:$A,Base_Enderecos!$C:$C,""),"")</f>
        <v/>
      </c>
      <c r="R1169">
        <f>IF(OR(ISNUMBER(SEARCH("HDD",$F1169)),ISNUMBER(SEARCH("MND",$F1169)),ISNUMBER(SEARCH("PEAD",$F1169)),ISNUMBER(SEARCH("Puxe",$J1169)),ISNUMBER(SEARCH("Apoio HDD",$F1169))),"MND",IF(OR(ISNUMBER(SEARCH("VCA",$F1169)),ISNUMBER(SEARCH("PVC",$F1169)),ISNUMBER(SEARCH("vca",$J1169)),ISNUMBER(SEARCH("Transformação",$J1169))),"VCA",IF(OR(ISNUMBER(SEARCH("crava",$F1169)),ISNUMBER(SEARCH("tubo cravado",$F1169)),ISNUMBER(SEARCH("shaft",$J1169)),ISNUMBER(SEARCH("concreto",$F1169))),"TUBO CRAVADO","")))</f>
        <v/>
      </c>
      <c r="T1169">
        <f>IF($A1169="","",TEXT($A1169,"yyyymm")&amp;"|"&amp;$C1169&amp;"|"&amp;$F1169&amp;"|"&amp;$N1169&amp;"|"&amp;$R1169)</f>
        <v/>
      </c>
    </row>
    <row r="1170" ht="11.55" customHeight="1">
      <c r="A1170" s="10" t="n">
        <v>46087</v>
      </c>
      <c r="B1170" s="7" t="inlineStr">
        <is>
          <t>Sexta</t>
        </is>
      </c>
      <c r="C1170" s="7" t="inlineStr">
        <is>
          <t>Vacal</t>
        </is>
      </c>
      <c r="D1170" s="7" t="n"/>
      <c r="E1170" s="7" t="inlineStr">
        <is>
          <t>Agua Vermelha</t>
        </is>
      </c>
      <c r="F1170" s="13" t="inlineStr">
        <is>
          <t>Apoio Vacal</t>
        </is>
      </c>
      <c r="G1170" s="7" t="n"/>
      <c r="H1170" s="7" t="n"/>
      <c r="I1170" s="7" t="n"/>
      <c r="J1170" s="7" t="inlineStr">
        <is>
          <t>Vacal</t>
        </is>
      </c>
      <c r="K1170" s="7" t="inlineStr">
        <is>
          <t>Apoio</t>
        </is>
      </c>
      <c r="L1170" s="16" t="inlineStr">
        <is>
          <t>PDS-Março(1).docx</t>
        </is>
      </c>
      <c r="M1170">
        <f>IF($A1170="","",TEXT($A1170,"mmmm/yyyy"))</f>
        <v/>
      </c>
      <c r="P1170">
        <f>IFERROR(_xludf.XLOOKUP($N1170,Base_Enderecos!$A:$A,Base_Enderecos!$B:$B,""),"")</f>
        <v/>
      </c>
      <c r="Q1170">
        <f>IFERROR(_xludf.XLOOKUP($N1170,Base_Enderecos!$A:$A,Base_Enderecos!$C:$C,""),"")</f>
        <v/>
      </c>
      <c r="R1170">
        <f>IF(OR(ISNUMBER(SEARCH("HDD",$F1170)),ISNUMBER(SEARCH("MND",$F1170)),ISNUMBER(SEARCH("PEAD",$F1170)),ISNUMBER(SEARCH("Puxe",$J1170)),ISNUMBER(SEARCH("Apoio HDD",$F1170))),"MND",IF(OR(ISNUMBER(SEARCH("VCA",$F1170)),ISNUMBER(SEARCH("PVC",$F1170)),ISNUMBER(SEARCH("vca",$J1170)),ISNUMBER(SEARCH("Transformação",$J1170))),"VCA",IF(OR(ISNUMBER(SEARCH("crava",$F1170)),ISNUMBER(SEARCH("tubo cravado",$F1170)),ISNUMBER(SEARCH("shaft",$J1170)),ISNUMBER(SEARCH("concreto",$F1170))),"TUBO CRAVADO","")))</f>
        <v/>
      </c>
      <c r="T1170">
        <f>IF($A1170="","",TEXT($A1170,"yyyymm")&amp;"|"&amp;$C1170&amp;"|"&amp;$F1170&amp;"|"&amp;$N1170&amp;"|"&amp;$R1170)</f>
        <v/>
      </c>
    </row>
    <row r="1171" ht="11.55" customHeight="1">
      <c r="A1171" s="10" t="n">
        <v>46087</v>
      </c>
      <c r="B1171" s="7" t="inlineStr">
        <is>
          <t>Sexta</t>
        </is>
      </c>
      <c r="C1171" s="7" t="inlineStr">
        <is>
          <t>Vacal</t>
        </is>
      </c>
      <c r="D1171" s="7" t="n"/>
      <c r="E1171" s="7" t="inlineStr">
        <is>
          <t>Agua Vermelha</t>
        </is>
      </c>
      <c r="F1171" s="13" t="inlineStr">
        <is>
          <t>Apoio Vacal</t>
        </is>
      </c>
      <c r="G1171" s="7" t="n"/>
      <c r="H1171" s="7" t="n"/>
      <c r="I1171" s="7" t="n"/>
      <c r="J1171" s="7" t="inlineStr">
        <is>
          <t>Vacal</t>
        </is>
      </c>
      <c r="K1171" s="7" t="inlineStr">
        <is>
          <t>Apoio</t>
        </is>
      </c>
      <c r="L1171" s="16" t="inlineStr">
        <is>
          <t>PDS-Março(1).docx</t>
        </is>
      </c>
      <c r="M1171">
        <f>IF($A1171="","",TEXT($A1171,"mmmm/yyyy"))</f>
        <v/>
      </c>
      <c r="P1171">
        <f>IFERROR(_xludf.XLOOKUP($N1171,Base_Enderecos!$A:$A,Base_Enderecos!$B:$B,""),"")</f>
        <v/>
      </c>
      <c r="Q1171">
        <f>IFERROR(_xludf.XLOOKUP($N1171,Base_Enderecos!$A:$A,Base_Enderecos!$C:$C,""),"")</f>
        <v/>
      </c>
      <c r="R1171">
        <f>IF(OR(ISNUMBER(SEARCH("HDD",$F1171)),ISNUMBER(SEARCH("MND",$F1171)),ISNUMBER(SEARCH("PEAD",$F1171)),ISNUMBER(SEARCH("Puxe",$J1171)),ISNUMBER(SEARCH("Apoio HDD",$F1171))),"MND",IF(OR(ISNUMBER(SEARCH("VCA",$F1171)),ISNUMBER(SEARCH("PVC",$F1171)),ISNUMBER(SEARCH("vca",$J1171)),ISNUMBER(SEARCH("Transformação",$J1171))),"VCA",IF(OR(ISNUMBER(SEARCH("crava",$F1171)),ISNUMBER(SEARCH("tubo cravado",$F1171)),ISNUMBER(SEARCH("shaft",$J1171)),ISNUMBER(SEARCH("concreto",$F1171))),"TUBO CRAVADO","")))</f>
        <v/>
      </c>
      <c r="T1171">
        <f>IF($A1171="","",TEXT($A1171,"yyyymm")&amp;"|"&amp;$C1171&amp;"|"&amp;$F1171&amp;"|"&amp;$N1171&amp;"|"&amp;$R1171)</f>
        <v/>
      </c>
    </row>
    <row r="1172" ht="11.55" customHeight="1">
      <c r="A1172" s="10" t="n">
        <v>46087</v>
      </c>
      <c r="B1172" s="7" t="inlineStr">
        <is>
          <t>Sexta</t>
        </is>
      </c>
      <c r="C1172" s="7" t="inlineStr">
        <is>
          <t>Guindauto</t>
        </is>
      </c>
      <c r="D1172" s="7" t="n"/>
      <c r="E1172" s="7" t="inlineStr">
        <is>
          <t>Rodrigo</t>
        </is>
      </c>
      <c r="F1172" s="13" t="inlineStr">
        <is>
          <t>Rodrigo - Apoio as equipes</t>
        </is>
      </c>
      <c r="G1172" s="7" t="n"/>
      <c r="H1172" s="7" t="n"/>
      <c r="I1172" s="7" t="n"/>
      <c r="J1172" s="7" t="inlineStr">
        <is>
          <t>Guindauto</t>
        </is>
      </c>
      <c r="K1172" s="7" t="inlineStr">
        <is>
          <t>Apoio</t>
        </is>
      </c>
      <c r="L1172" s="16" t="inlineStr">
        <is>
          <t>PDS-Março(1).docx</t>
        </is>
      </c>
      <c r="M1172">
        <f>IF($A1172="","",TEXT($A1172,"mmmm/yyyy"))</f>
        <v/>
      </c>
      <c r="P1172">
        <f>IFERROR(_xludf.XLOOKUP($N1172,Base_Enderecos!$A:$A,Base_Enderecos!$B:$B,""),"")</f>
        <v/>
      </c>
      <c r="Q1172">
        <f>IFERROR(_xludf.XLOOKUP($N1172,Base_Enderecos!$A:$A,Base_Enderecos!$C:$C,""),"")</f>
        <v/>
      </c>
      <c r="R1172">
        <f>IF(OR(ISNUMBER(SEARCH("HDD",$F1172)),ISNUMBER(SEARCH("MND",$F1172)),ISNUMBER(SEARCH("PEAD",$F1172)),ISNUMBER(SEARCH("Puxe",$J1172)),ISNUMBER(SEARCH("Apoio HDD",$F1172))),"MND",IF(OR(ISNUMBER(SEARCH("VCA",$F1172)),ISNUMBER(SEARCH("PVC",$F1172)),ISNUMBER(SEARCH("vca",$J1172)),ISNUMBER(SEARCH("Transformação",$J1172))),"VCA",IF(OR(ISNUMBER(SEARCH("crava",$F1172)),ISNUMBER(SEARCH("tubo cravado",$F1172)),ISNUMBER(SEARCH("shaft",$J1172)),ISNUMBER(SEARCH("concreto",$F1172))),"TUBO CRAVADO","")))</f>
        <v/>
      </c>
      <c r="T1172">
        <f>IF($A1172="","",TEXT($A1172,"yyyymm")&amp;"|"&amp;$C1172&amp;"|"&amp;$F1172&amp;"|"&amp;$N1172&amp;"|"&amp;$R1172)</f>
        <v/>
      </c>
    </row>
    <row r="1173" ht="11.55" customHeight="1">
      <c r="A1173" s="10" t="n">
        <v>46087</v>
      </c>
      <c r="B1173" s="7" t="inlineStr">
        <is>
          <t>Sexta</t>
        </is>
      </c>
      <c r="C1173" s="7" t="inlineStr">
        <is>
          <t>Guindauto</t>
        </is>
      </c>
      <c r="D1173" s="7" t="n"/>
      <c r="E1173" s="7" t="inlineStr">
        <is>
          <t>Marcio</t>
        </is>
      </c>
      <c r="F1173" s="13" t="inlineStr">
        <is>
          <t>Marcio - Apoio as equipes</t>
        </is>
      </c>
      <c r="G1173" s="7" t="n"/>
      <c r="H1173" s="7" t="n"/>
      <c r="I1173" s="7" t="n"/>
      <c r="J1173" s="7" t="inlineStr">
        <is>
          <t>Guindauto</t>
        </is>
      </c>
      <c r="K1173" s="7" t="inlineStr">
        <is>
          <t>Apoio</t>
        </is>
      </c>
      <c r="L1173" s="16" t="inlineStr">
        <is>
          <t>PDS-Março(1).docx</t>
        </is>
      </c>
      <c r="M1173">
        <f>IF($A1173="","",TEXT($A1173,"mmmm/yyyy"))</f>
        <v/>
      </c>
      <c r="P1173">
        <f>IFERROR(_xludf.XLOOKUP($N1173,Base_Enderecos!$A:$A,Base_Enderecos!$B:$B,""),"")</f>
        <v/>
      </c>
      <c r="Q1173">
        <f>IFERROR(_xludf.XLOOKUP($N1173,Base_Enderecos!$A:$A,Base_Enderecos!$C:$C,""),"")</f>
        <v/>
      </c>
      <c r="R1173">
        <f>IF(OR(ISNUMBER(SEARCH("HDD",$F1173)),ISNUMBER(SEARCH("MND",$F1173)),ISNUMBER(SEARCH("PEAD",$F1173)),ISNUMBER(SEARCH("Puxe",$J1173)),ISNUMBER(SEARCH("Apoio HDD",$F1173))),"MND",IF(OR(ISNUMBER(SEARCH("VCA",$F1173)),ISNUMBER(SEARCH("PVC",$F1173)),ISNUMBER(SEARCH("vca",$J1173)),ISNUMBER(SEARCH("Transformação",$J1173))),"VCA",IF(OR(ISNUMBER(SEARCH("crava",$F1173)),ISNUMBER(SEARCH("tubo cravado",$F1173)),ISNUMBER(SEARCH("shaft",$J1173)),ISNUMBER(SEARCH("concreto",$F1173))),"TUBO CRAVADO","")))</f>
        <v/>
      </c>
      <c r="T1173">
        <f>IF($A1173="","",TEXT($A1173,"yyyymm")&amp;"|"&amp;$C1173&amp;"|"&amp;$F1173&amp;"|"&amp;$N1173&amp;"|"&amp;$R1173)</f>
        <v/>
      </c>
    </row>
    <row r="1174" ht="11.55" customHeight="1">
      <c r="A1174" s="10" t="n">
        <v>46090</v>
      </c>
      <c r="B1174" s="7" t="inlineStr">
        <is>
          <t>Segunda</t>
        </is>
      </c>
      <c r="C1174" s="7" t="inlineStr">
        <is>
          <t>CTS CONCEIÇÃO</t>
        </is>
      </c>
      <c r="D1174" s="7" t="inlineStr">
        <is>
          <t>SILVESTRE e ELOÍZIO</t>
        </is>
      </c>
      <c r="E1174" s="7" t="inlineStr">
        <is>
          <t>Goiania Drill</t>
        </is>
      </c>
      <c r="F1174" s="13" t="inlineStr">
        <is>
          <t>Piloto e Puxe PV 01 a PV EXISTENTE</t>
        </is>
      </c>
      <c r="G1174" s="7" t="inlineStr">
        <is>
          <t>01</t>
        </is>
      </c>
      <c r="H1174" s="7" t="n"/>
      <c r="I1174" s="7" t="inlineStr">
        <is>
          <t>01</t>
        </is>
      </c>
      <c r="J1174" s="7" t="inlineStr">
        <is>
          <t>Piloto e puxe</t>
        </is>
      </c>
      <c r="K1174" s="7" t="inlineStr">
        <is>
          <t>Planejamento</t>
        </is>
      </c>
      <c r="L1174" s="16" t="inlineStr">
        <is>
          <t>PDS-Março(1).docx</t>
        </is>
      </c>
      <c r="M1174">
        <f>IF($A1174="","",TEXT($A1174,"mmmm/yyyy"))</f>
        <v/>
      </c>
      <c r="P1174">
        <f>IFERROR(_xludf.XLOOKUP($N1174,Base_Enderecos!$A:$A,Base_Enderecos!$B:$B,""),"")</f>
        <v/>
      </c>
      <c r="Q1174">
        <f>IFERROR(_xludf.XLOOKUP($N1174,Base_Enderecos!$A:$A,Base_Enderecos!$C:$C,""),"")</f>
        <v/>
      </c>
      <c r="R1174">
        <f>IF(OR(ISNUMBER(SEARCH("HDD",$F1174)),ISNUMBER(SEARCH("MND",$F1174)),ISNUMBER(SEARCH("PEAD",$F1174)),ISNUMBER(SEARCH("Puxe",$J1174)),ISNUMBER(SEARCH("Apoio HDD",$F1174))),"MND",IF(OR(ISNUMBER(SEARCH("VCA",$F1174)),ISNUMBER(SEARCH("PVC",$F1174)),ISNUMBER(SEARCH("vca",$J1174)),ISNUMBER(SEARCH("Transformação",$J1174))),"VCA",IF(OR(ISNUMBER(SEARCH("crava",$F1174)),ISNUMBER(SEARCH("tubo cravado",$F1174)),ISNUMBER(SEARCH("shaft",$J1174)),ISNUMBER(SEARCH("concreto",$F1174))),"TUBO CRAVADO","")))</f>
        <v/>
      </c>
      <c r="T1174">
        <f>IF($A1174="","",TEXT($A1174,"yyyymm")&amp;"|"&amp;$C1174&amp;"|"&amp;$F1174&amp;"|"&amp;$N1174&amp;"|"&amp;$R1174)</f>
        <v/>
      </c>
    </row>
    <row r="1175" ht="11.55" customHeight="1">
      <c r="A1175" s="10" t="n">
        <v>46090</v>
      </c>
      <c r="B1175" s="7" t="inlineStr">
        <is>
          <t>Segunda</t>
        </is>
      </c>
      <c r="C1175" s="7" t="inlineStr">
        <is>
          <t>CTS CONCEIÇÃO</t>
        </is>
      </c>
      <c r="D1175" s="7" t="inlineStr">
        <is>
          <t>SILVESTRE e ELOÍZIO</t>
        </is>
      </c>
      <c r="E1175" s="7" t="inlineStr">
        <is>
          <t>Ricardo</t>
        </is>
      </c>
      <c r="F1175" s="13" t="inlineStr">
        <is>
          <t>Apoio HDD PV 01 a PV EXISTENTE</t>
        </is>
      </c>
      <c r="G1175" s="7" t="inlineStr">
        <is>
          <t>01</t>
        </is>
      </c>
      <c r="H1175" s="7" t="n"/>
      <c r="I1175" s="7" t="inlineStr">
        <is>
          <t>01</t>
        </is>
      </c>
      <c r="J1175" s="7" t="inlineStr">
        <is>
          <t>Apoio HDD</t>
        </is>
      </c>
      <c r="K1175" s="7" t="inlineStr">
        <is>
          <t>Planejamento</t>
        </is>
      </c>
      <c r="L1175" s="16" t="inlineStr">
        <is>
          <t>PDS-Março(1).docx</t>
        </is>
      </c>
      <c r="M1175">
        <f>IF($A1175="","",TEXT($A1175,"mmmm/yyyy"))</f>
        <v/>
      </c>
      <c r="P1175">
        <f>IFERROR(_xludf.XLOOKUP($N1175,Base_Enderecos!$A:$A,Base_Enderecos!$B:$B,""),"")</f>
        <v/>
      </c>
      <c r="Q1175">
        <f>IFERROR(_xludf.XLOOKUP($N1175,Base_Enderecos!$A:$A,Base_Enderecos!$C:$C,""),"")</f>
        <v/>
      </c>
      <c r="R1175">
        <f>IF(OR(ISNUMBER(SEARCH("HDD",$F1175)),ISNUMBER(SEARCH("MND",$F1175)),ISNUMBER(SEARCH("PEAD",$F1175)),ISNUMBER(SEARCH("Puxe",$J1175)),ISNUMBER(SEARCH("Apoio HDD",$F1175))),"MND",IF(OR(ISNUMBER(SEARCH("VCA",$F1175)),ISNUMBER(SEARCH("PVC",$F1175)),ISNUMBER(SEARCH("vca",$J1175)),ISNUMBER(SEARCH("Transformação",$J1175))),"VCA",IF(OR(ISNUMBER(SEARCH("crava",$F1175)),ISNUMBER(SEARCH("tubo cravado",$F1175)),ISNUMBER(SEARCH("shaft",$J1175)),ISNUMBER(SEARCH("concreto",$F1175))),"TUBO CRAVADO","")))</f>
        <v/>
      </c>
      <c r="T1175">
        <f>IF($A1175="","",TEXT($A1175,"yyyymm")&amp;"|"&amp;$C1175&amp;"|"&amp;$F1175&amp;"|"&amp;$N1175&amp;"|"&amp;$R1175)</f>
        <v/>
      </c>
    </row>
    <row r="1176" ht="11.55" customHeight="1">
      <c r="A1176" s="10" t="n">
        <v>46090</v>
      </c>
      <c r="B1176" s="7" t="inlineStr">
        <is>
          <t>Segunda</t>
        </is>
      </c>
      <c r="C1176" s="7" t="inlineStr">
        <is>
          <t>CTS CONCEIÇÃO</t>
        </is>
      </c>
      <c r="D1176" s="7" t="inlineStr">
        <is>
          <t>SILVESTRE e ELOÍZIO</t>
        </is>
      </c>
      <c r="E1176" s="7" t="inlineStr">
        <is>
          <t>Paulo</t>
        </is>
      </c>
      <c r="F1176" s="13" t="inlineStr">
        <is>
          <t>Shaft PV 02</t>
        </is>
      </c>
      <c r="G1176" s="7" t="inlineStr">
        <is>
          <t>02</t>
        </is>
      </c>
      <c r="H1176" s="7" t="n"/>
      <c r="I1176" s="7" t="inlineStr">
        <is>
          <t>02</t>
        </is>
      </c>
      <c r="J1176" s="7" t="inlineStr">
        <is>
          <t>Shaft</t>
        </is>
      </c>
      <c r="K1176" s="7" t="inlineStr">
        <is>
          <t>Planejamento</t>
        </is>
      </c>
      <c r="L1176" s="16" t="inlineStr">
        <is>
          <t>PDS-Março(1).docx</t>
        </is>
      </c>
      <c r="M1176">
        <f>IF($A1176="","",TEXT($A1176,"mmmm/yyyy"))</f>
        <v/>
      </c>
      <c r="P1176">
        <f>IFERROR(_xludf.XLOOKUP($N1176,Base_Enderecos!$A:$A,Base_Enderecos!$B:$B,""),"")</f>
        <v/>
      </c>
      <c r="Q1176">
        <f>IFERROR(_xludf.XLOOKUP($N1176,Base_Enderecos!$A:$A,Base_Enderecos!$C:$C,""),"")</f>
        <v/>
      </c>
      <c r="R1176">
        <f>IF(OR(ISNUMBER(SEARCH("HDD",$F1176)),ISNUMBER(SEARCH("MND",$F1176)),ISNUMBER(SEARCH("PEAD",$F1176)),ISNUMBER(SEARCH("Puxe",$J1176)),ISNUMBER(SEARCH("Apoio HDD",$F1176))),"MND",IF(OR(ISNUMBER(SEARCH("VCA",$F1176)),ISNUMBER(SEARCH("PVC",$F1176)),ISNUMBER(SEARCH("vca",$J1176)),ISNUMBER(SEARCH("Transformação",$J1176))),"VCA",IF(OR(ISNUMBER(SEARCH("crava",$F1176)),ISNUMBER(SEARCH("tubo cravado",$F1176)),ISNUMBER(SEARCH("shaft",$J1176)),ISNUMBER(SEARCH("concreto",$F1176))),"TUBO CRAVADO","")))</f>
        <v/>
      </c>
      <c r="T1176">
        <f>IF($A1176="","",TEXT($A1176,"yyyymm")&amp;"|"&amp;$C1176&amp;"|"&amp;$F1176&amp;"|"&amp;$N1176&amp;"|"&amp;$R1176)</f>
        <v/>
      </c>
    </row>
    <row r="1177" ht="11.55" customHeight="1">
      <c r="A1177" s="10" t="n">
        <v>46090</v>
      </c>
      <c r="B1177" s="7" t="inlineStr">
        <is>
          <t>Segunda</t>
        </is>
      </c>
      <c r="C1177" s="7" t="inlineStr">
        <is>
          <t>CT ARARIBA</t>
        </is>
      </c>
      <c r="D1177" s="7" t="n"/>
      <c r="E1177" s="7" t="inlineStr">
        <is>
          <t>Sergio</t>
        </is>
      </c>
      <c r="F1177" s="13" t="inlineStr">
        <is>
          <t>Adequação PV 10</t>
        </is>
      </c>
      <c r="G1177" s="7" t="inlineStr">
        <is>
          <t>10</t>
        </is>
      </c>
      <c r="H1177" s="7" t="n"/>
      <c r="I1177" s="7" t="inlineStr">
        <is>
          <t>10</t>
        </is>
      </c>
      <c r="J1177" s="7" t="inlineStr">
        <is>
          <t>Adequação</t>
        </is>
      </c>
      <c r="K1177" s="7" t="inlineStr">
        <is>
          <t>Planejamento</t>
        </is>
      </c>
      <c r="L1177" s="16" t="inlineStr">
        <is>
          <t>PDS-Março(1).docx</t>
        </is>
      </c>
      <c r="M1177">
        <f>IF($A1177="","",TEXT($A1177,"mmmm/yyyy"))</f>
        <v/>
      </c>
      <c r="P1177">
        <f>IFERROR(_xludf.XLOOKUP($N1177,Base_Enderecos!$A:$A,Base_Enderecos!$B:$B,""),"")</f>
        <v/>
      </c>
      <c r="Q1177">
        <f>IFERROR(_xludf.XLOOKUP($N1177,Base_Enderecos!$A:$A,Base_Enderecos!$C:$C,""),"")</f>
        <v/>
      </c>
      <c r="R1177">
        <f>IF(OR(ISNUMBER(SEARCH("HDD",$F1177)),ISNUMBER(SEARCH("MND",$F1177)),ISNUMBER(SEARCH("PEAD",$F1177)),ISNUMBER(SEARCH("Puxe",$J1177)),ISNUMBER(SEARCH("Apoio HDD",$F1177))),"MND",IF(OR(ISNUMBER(SEARCH("VCA",$F1177)),ISNUMBER(SEARCH("PVC",$F1177)),ISNUMBER(SEARCH("vca",$J1177)),ISNUMBER(SEARCH("Transformação",$J1177))),"VCA",IF(OR(ISNUMBER(SEARCH("crava",$F1177)),ISNUMBER(SEARCH("tubo cravado",$F1177)),ISNUMBER(SEARCH("shaft",$J1177)),ISNUMBER(SEARCH("concreto",$F1177))),"TUBO CRAVADO","")))</f>
        <v/>
      </c>
      <c r="T1177">
        <f>IF($A1177="","",TEXT($A1177,"yyyymm")&amp;"|"&amp;$C1177&amp;"|"&amp;$F1177&amp;"|"&amp;$N1177&amp;"|"&amp;$R1177)</f>
        <v/>
      </c>
    </row>
    <row r="1178" ht="11.55" customHeight="1">
      <c r="A1178" s="10" t="n">
        <v>46090</v>
      </c>
      <c r="B1178" s="7" t="inlineStr">
        <is>
          <t>Segunda</t>
        </is>
      </c>
      <c r="C1178" s="7" t="inlineStr">
        <is>
          <t>CT MAR DE CORAL</t>
        </is>
      </c>
      <c r="D1178" s="7" t="inlineStr">
        <is>
          <t>ROBSON</t>
        </is>
      </c>
      <c r="E1178" s="7" t="inlineStr">
        <is>
          <t>Medeiros</t>
        </is>
      </c>
      <c r="F1178" s="13" t="inlineStr">
        <is>
          <t>Reparo casa</t>
        </is>
      </c>
      <c r="G1178" s="7" t="n"/>
      <c r="H1178" s="7" t="n"/>
      <c r="I1178" s="7" t="n"/>
      <c r="J1178" s="7" t="inlineStr">
        <is>
          <t>Reparo</t>
        </is>
      </c>
      <c r="K1178" s="7" t="inlineStr">
        <is>
          <t>Planejamento</t>
        </is>
      </c>
      <c r="L1178" s="16" t="inlineStr">
        <is>
          <t>PDS-Março(1).docx</t>
        </is>
      </c>
      <c r="M1178">
        <f>IF($A1178="","",TEXT($A1178,"mmmm/yyyy"))</f>
        <v/>
      </c>
      <c r="P1178">
        <f>IFERROR(_xludf.XLOOKUP($N1178,Base_Enderecos!$A:$A,Base_Enderecos!$B:$B,""),"")</f>
        <v/>
      </c>
      <c r="Q1178">
        <f>IFERROR(_xludf.XLOOKUP($N1178,Base_Enderecos!$A:$A,Base_Enderecos!$C:$C,""),"")</f>
        <v/>
      </c>
      <c r="R1178">
        <f>IF(OR(ISNUMBER(SEARCH("HDD",$F1178)),ISNUMBER(SEARCH("MND",$F1178)),ISNUMBER(SEARCH("PEAD",$F1178)),ISNUMBER(SEARCH("Puxe",$J1178)),ISNUMBER(SEARCH("Apoio HDD",$F1178))),"MND",IF(OR(ISNUMBER(SEARCH("VCA",$F1178)),ISNUMBER(SEARCH("PVC",$F1178)),ISNUMBER(SEARCH("vca",$J1178)),ISNUMBER(SEARCH("Transformação",$J1178))),"VCA",IF(OR(ISNUMBER(SEARCH("crava",$F1178)),ISNUMBER(SEARCH("tubo cravado",$F1178)),ISNUMBER(SEARCH("shaft",$J1178)),ISNUMBER(SEARCH("concreto",$F1178))),"TUBO CRAVADO","")))</f>
        <v/>
      </c>
      <c r="T1178">
        <f>IF($A1178="","",TEXT($A1178,"yyyymm")&amp;"|"&amp;$C1178&amp;"|"&amp;$F1178&amp;"|"&amp;$N1178&amp;"|"&amp;$R1178)</f>
        <v/>
      </c>
    </row>
    <row r="1179" ht="11.55" customHeight="1">
      <c r="A1179" s="10" t="n">
        <v>46090</v>
      </c>
      <c r="B1179" s="7" t="inlineStr">
        <is>
          <t>Segunda</t>
        </is>
      </c>
      <c r="C1179" s="7" t="inlineStr">
        <is>
          <t>CT MIRIAM</t>
        </is>
      </c>
      <c r="D1179" s="7" t="n"/>
      <c r="E1179" s="7" t="inlineStr">
        <is>
          <t>Valter</t>
        </is>
      </c>
      <c r="F1179" s="13" t="inlineStr">
        <is>
          <t>Transformação PV 54</t>
        </is>
      </c>
      <c r="G1179" s="7" t="inlineStr">
        <is>
          <t>54</t>
        </is>
      </c>
      <c r="H1179" s="7" t="n"/>
      <c r="I1179" s="7" t="inlineStr">
        <is>
          <t>54</t>
        </is>
      </c>
      <c r="J1179" s="7" t="inlineStr">
        <is>
          <t>Transformação</t>
        </is>
      </c>
      <c r="K1179" s="7" t="inlineStr">
        <is>
          <t>Planejamento</t>
        </is>
      </c>
      <c r="L1179" s="16" t="inlineStr">
        <is>
          <t>PDS-Março(1).docx</t>
        </is>
      </c>
      <c r="M1179">
        <f>IF($A1179="","",TEXT($A1179,"mmmm/yyyy"))</f>
        <v/>
      </c>
      <c r="P1179">
        <f>IFERROR(_xludf.XLOOKUP($N1179,Base_Enderecos!$A:$A,Base_Enderecos!$B:$B,""),"")</f>
        <v/>
      </c>
      <c r="Q1179">
        <f>IFERROR(_xludf.XLOOKUP($N1179,Base_Enderecos!$A:$A,Base_Enderecos!$C:$C,""),"")</f>
        <v/>
      </c>
      <c r="R1179">
        <f>IF(OR(ISNUMBER(SEARCH("HDD",$F1179)),ISNUMBER(SEARCH("MND",$F1179)),ISNUMBER(SEARCH("PEAD",$F1179)),ISNUMBER(SEARCH("Puxe",$J1179)),ISNUMBER(SEARCH("Apoio HDD",$F1179))),"MND",IF(OR(ISNUMBER(SEARCH("VCA",$F1179)),ISNUMBER(SEARCH("PVC",$F1179)),ISNUMBER(SEARCH("vca",$J1179)),ISNUMBER(SEARCH("Transformação",$J1179))),"VCA",IF(OR(ISNUMBER(SEARCH("crava",$F1179)),ISNUMBER(SEARCH("tubo cravado",$F1179)),ISNUMBER(SEARCH("shaft",$J1179)),ISNUMBER(SEARCH("concreto",$F1179))),"TUBO CRAVADO","")))</f>
        <v/>
      </c>
      <c r="T1179">
        <f>IF($A1179="","",TEXT($A1179,"yyyymm")&amp;"|"&amp;$C1179&amp;"|"&amp;$F1179&amp;"|"&amp;$N1179&amp;"|"&amp;$R1179)</f>
        <v/>
      </c>
    </row>
    <row r="1180" ht="11.55" customHeight="1">
      <c r="A1180" s="10" t="n">
        <v>46090</v>
      </c>
      <c r="B1180" s="7" t="inlineStr">
        <is>
          <t>Segunda</t>
        </is>
      </c>
      <c r="C1180" s="7" t="inlineStr">
        <is>
          <t>CT LAGEADO</t>
        </is>
      </c>
      <c r="D1180" s="7" t="n"/>
      <c r="E1180" s="7" t="inlineStr">
        <is>
          <t>Higor</t>
        </is>
      </c>
      <c r="F1180" s="13" t="inlineStr">
        <is>
          <t>Adequação PV 5.1</t>
        </is>
      </c>
      <c r="G1180" s="7" t="inlineStr">
        <is>
          <t>5.1</t>
        </is>
      </c>
      <c r="H1180" s="7" t="n"/>
      <c r="I1180" s="7" t="inlineStr">
        <is>
          <t>5.1</t>
        </is>
      </c>
      <c r="J1180" s="7" t="inlineStr">
        <is>
          <t>Adequação</t>
        </is>
      </c>
      <c r="K1180" s="7" t="inlineStr">
        <is>
          <t>Planejamento</t>
        </is>
      </c>
      <c r="L1180" s="16" t="inlineStr">
        <is>
          <t>PDS-Março(1).docx</t>
        </is>
      </c>
      <c r="M1180">
        <f>IF($A1180="","",TEXT($A1180,"mmmm/yyyy"))</f>
        <v/>
      </c>
      <c r="P1180">
        <f>IFERROR(_xludf.XLOOKUP($N1180,Base_Enderecos!$A:$A,Base_Enderecos!$B:$B,""),"")</f>
        <v/>
      </c>
      <c r="Q1180">
        <f>IFERROR(_xludf.XLOOKUP($N1180,Base_Enderecos!$A:$A,Base_Enderecos!$C:$C,""),"")</f>
        <v/>
      </c>
      <c r="R1180">
        <f>IF(OR(ISNUMBER(SEARCH("HDD",$F1180)),ISNUMBER(SEARCH("MND",$F1180)),ISNUMBER(SEARCH("PEAD",$F1180)),ISNUMBER(SEARCH("Puxe",$J1180)),ISNUMBER(SEARCH("Apoio HDD",$F1180))),"MND",IF(OR(ISNUMBER(SEARCH("VCA",$F1180)),ISNUMBER(SEARCH("PVC",$F1180)),ISNUMBER(SEARCH("vca",$J1180)),ISNUMBER(SEARCH("Transformação",$J1180))),"VCA",IF(OR(ISNUMBER(SEARCH("crava",$F1180)),ISNUMBER(SEARCH("tubo cravado",$F1180)),ISNUMBER(SEARCH("shaft",$J1180)),ISNUMBER(SEARCH("concreto",$F1180))),"TUBO CRAVADO","")))</f>
        <v/>
      </c>
      <c r="T1180">
        <f>IF($A1180="","",TEXT($A1180,"yyyymm")&amp;"|"&amp;$C1180&amp;"|"&amp;$F1180&amp;"|"&amp;$N1180&amp;"|"&amp;$R1180)</f>
        <v/>
      </c>
    </row>
    <row r="1181" ht="11.55" customHeight="1">
      <c r="A1181" s="10" t="n">
        <v>46090</v>
      </c>
      <c r="B1181" s="7" t="inlineStr">
        <is>
          <t>Segunda</t>
        </is>
      </c>
      <c r="C1181" s="7" t="inlineStr">
        <is>
          <t>CT AGUA VERMELHA M.D</t>
        </is>
      </c>
      <c r="D1181" s="7" t="inlineStr">
        <is>
          <t>CAROLINE e FABIO</t>
        </is>
      </c>
      <c r="E1181" s="7" t="inlineStr">
        <is>
          <t>WJ 01</t>
        </is>
      </c>
      <c r="F1181" s="13" t="inlineStr">
        <is>
          <t>Piloto e Puxe PVD 10 ao PVD 10.1</t>
        </is>
      </c>
      <c r="G1181" s="7" t="inlineStr">
        <is>
          <t>10</t>
        </is>
      </c>
      <c r="H1181" s="7" t="inlineStr">
        <is>
          <t>10.1</t>
        </is>
      </c>
      <c r="I1181" s="7" t="inlineStr">
        <is>
          <t>10, 10.1</t>
        </is>
      </c>
      <c r="J1181" s="7" t="inlineStr">
        <is>
          <t>Piloto e puxe</t>
        </is>
      </c>
      <c r="K1181" s="7" t="inlineStr">
        <is>
          <t>Planejamento</t>
        </is>
      </c>
      <c r="L1181" s="16" t="inlineStr">
        <is>
          <t>PDS-Março(1).docx</t>
        </is>
      </c>
      <c r="M1181">
        <f>IF($A1181="","",TEXT($A1181,"mmmm/yyyy"))</f>
        <v/>
      </c>
      <c r="P1181">
        <f>IFERROR(_xludf.XLOOKUP($N1181,Base_Enderecos!$A:$A,Base_Enderecos!$B:$B,""),"")</f>
        <v/>
      </c>
      <c r="Q1181">
        <f>IFERROR(_xludf.XLOOKUP($N1181,Base_Enderecos!$A:$A,Base_Enderecos!$C:$C,""),"")</f>
        <v/>
      </c>
      <c r="R1181">
        <f>IF(OR(ISNUMBER(SEARCH("HDD",$F1181)),ISNUMBER(SEARCH("MND",$F1181)),ISNUMBER(SEARCH("PEAD",$F1181)),ISNUMBER(SEARCH("Puxe",$J1181)),ISNUMBER(SEARCH("Apoio HDD",$F1181))),"MND",IF(OR(ISNUMBER(SEARCH("VCA",$F1181)),ISNUMBER(SEARCH("PVC",$F1181)),ISNUMBER(SEARCH("vca",$J1181)),ISNUMBER(SEARCH("Transformação",$J1181))),"VCA",IF(OR(ISNUMBER(SEARCH("crava",$F1181)),ISNUMBER(SEARCH("tubo cravado",$F1181)),ISNUMBER(SEARCH("shaft",$J1181)),ISNUMBER(SEARCH("concreto",$F1181))),"TUBO CRAVADO","")))</f>
        <v/>
      </c>
      <c r="T1181">
        <f>IF($A1181="","",TEXT($A1181,"yyyymm")&amp;"|"&amp;$C1181&amp;"|"&amp;$F1181&amp;"|"&amp;$N1181&amp;"|"&amp;$R1181)</f>
        <v/>
      </c>
    </row>
    <row r="1182" ht="11.55" customHeight="1">
      <c r="A1182" s="10" t="n">
        <v>46090</v>
      </c>
      <c r="B1182" s="7" t="inlineStr">
        <is>
          <t>Segunda</t>
        </is>
      </c>
      <c r="C1182" s="7" t="inlineStr">
        <is>
          <t>CT AGUA VERMELHA M.D</t>
        </is>
      </c>
      <c r="D1182" s="7" t="inlineStr">
        <is>
          <t>CAROLINE e FABIO</t>
        </is>
      </c>
      <c r="E1182" s="7" t="inlineStr">
        <is>
          <t>Johnathan</t>
        </is>
      </c>
      <c r="F1182" s="13" t="inlineStr">
        <is>
          <t>Apoio HDD PVC 10 ao PVD 10.1</t>
        </is>
      </c>
      <c r="G1182" s="7" t="inlineStr">
        <is>
          <t>10.1</t>
        </is>
      </c>
      <c r="H1182" s="7" t="n"/>
      <c r="I1182" s="7" t="inlineStr">
        <is>
          <t>10.1</t>
        </is>
      </c>
      <c r="J1182" s="7" t="inlineStr">
        <is>
          <t>Apoio HDD</t>
        </is>
      </c>
      <c r="K1182" s="7" t="inlineStr">
        <is>
          <t>Planejamento</t>
        </is>
      </c>
      <c r="L1182" s="16" t="inlineStr">
        <is>
          <t>PDS-Março(1).docx</t>
        </is>
      </c>
      <c r="M1182">
        <f>IF($A1182="","",TEXT($A1182,"mmmm/yyyy"))</f>
        <v/>
      </c>
      <c r="P1182">
        <f>IFERROR(_xludf.XLOOKUP($N1182,Base_Enderecos!$A:$A,Base_Enderecos!$B:$B,""),"")</f>
        <v/>
      </c>
      <c r="Q1182">
        <f>IFERROR(_xludf.XLOOKUP($N1182,Base_Enderecos!$A:$A,Base_Enderecos!$C:$C,""),"")</f>
        <v/>
      </c>
      <c r="R1182">
        <f>IF(OR(ISNUMBER(SEARCH("HDD",$F1182)),ISNUMBER(SEARCH("MND",$F1182)),ISNUMBER(SEARCH("PEAD",$F1182)),ISNUMBER(SEARCH("Puxe",$J1182)),ISNUMBER(SEARCH("Apoio HDD",$F1182))),"MND",IF(OR(ISNUMBER(SEARCH("VCA",$F1182)),ISNUMBER(SEARCH("PVC",$F1182)),ISNUMBER(SEARCH("vca",$J1182)),ISNUMBER(SEARCH("Transformação",$J1182))),"VCA",IF(OR(ISNUMBER(SEARCH("crava",$F1182)),ISNUMBER(SEARCH("tubo cravado",$F1182)),ISNUMBER(SEARCH("shaft",$J1182)),ISNUMBER(SEARCH("concreto",$F1182))),"TUBO CRAVADO","")))</f>
        <v/>
      </c>
      <c r="T1182">
        <f>IF($A1182="","",TEXT($A1182,"yyyymm")&amp;"|"&amp;$C1182&amp;"|"&amp;$F1182&amp;"|"&amp;$N1182&amp;"|"&amp;$R1182)</f>
        <v/>
      </c>
    </row>
    <row r="1183" ht="11.55" customHeight="1">
      <c r="A1183" s="10" t="n">
        <v>46090</v>
      </c>
      <c r="B1183" s="7" t="inlineStr">
        <is>
          <t>Segunda</t>
        </is>
      </c>
      <c r="C1183" s="7" t="inlineStr">
        <is>
          <t>CT AGUA VERMELHA M.D</t>
        </is>
      </c>
      <c r="D1183" s="7" t="inlineStr">
        <is>
          <t>CAROLINE e FABIO</t>
        </is>
      </c>
      <c r="E1183" s="7" t="inlineStr">
        <is>
          <t>Cesar</t>
        </is>
      </c>
      <c r="F1183" s="13" t="inlineStr">
        <is>
          <t>Transformação PVD 07</t>
        </is>
      </c>
      <c r="G1183" s="7" t="inlineStr">
        <is>
          <t>07</t>
        </is>
      </c>
      <c r="H1183" s="7" t="n"/>
      <c r="I1183" s="7" t="inlineStr">
        <is>
          <t>07</t>
        </is>
      </c>
      <c r="J1183" s="7" t="inlineStr">
        <is>
          <t>Transformação</t>
        </is>
      </c>
      <c r="K1183" s="7" t="inlineStr">
        <is>
          <t>Planejamento</t>
        </is>
      </c>
      <c r="L1183" s="16" t="inlineStr">
        <is>
          <t>PDS-Março(1).docx</t>
        </is>
      </c>
      <c r="M1183">
        <f>IF($A1183="","",TEXT($A1183,"mmmm/yyyy"))</f>
        <v/>
      </c>
      <c r="P1183">
        <f>IFERROR(_xludf.XLOOKUP($N1183,Base_Enderecos!$A:$A,Base_Enderecos!$B:$B,""),"")</f>
        <v/>
      </c>
      <c r="Q1183">
        <f>IFERROR(_xludf.XLOOKUP($N1183,Base_Enderecos!$A:$A,Base_Enderecos!$C:$C,""),"")</f>
        <v/>
      </c>
      <c r="R1183">
        <f>IF(OR(ISNUMBER(SEARCH("HDD",$F1183)),ISNUMBER(SEARCH("MND",$F1183)),ISNUMBER(SEARCH("PEAD",$F1183)),ISNUMBER(SEARCH("Puxe",$J1183)),ISNUMBER(SEARCH("Apoio HDD",$F1183))),"MND",IF(OR(ISNUMBER(SEARCH("VCA",$F1183)),ISNUMBER(SEARCH("PVC",$F1183)),ISNUMBER(SEARCH("vca",$J1183)),ISNUMBER(SEARCH("Transformação",$J1183))),"VCA",IF(OR(ISNUMBER(SEARCH("crava",$F1183)),ISNUMBER(SEARCH("tubo cravado",$F1183)),ISNUMBER(SEARCH("shaft",$J1183)),ISNUMBER(SEARCH("concreto",$F1183))),"TUBO CRAVADO","")))</f>
        <v/>
      </c>
      <c r="T1183">
        <f>IF($A1183="","",TEXT($A1183,"yyyymm")&amp;"|"&amp;$C1183&amp;"|"&amp;$F1183&amp;"|"&amp;$N1183&amp;"|"&amp;$R1183)</f>
        <v/>
      </c>
    </row>
    <row r="1184" ht="11.55" customHeight="1">
      <c r="A1184" s="10" t="n">
        <v>46090</v>
      </c>
      <c r="B1184" s="7" t="inlineStr">
        <is>
          <t>Segunda</t>
        </is>
      </c>
      <c r="C1184" s="7" t="inlineStr">
        <is>
          <t>CT AGUA VERMELHA M.D</t>
        </is>
      </c>
      <c r="D1184" s="7" t="inlineStr">
        <is>
          <t>CAROLINE e FABIO</t>
        </is>
      </c>
      <c r="E1184" s="7" t="inlineStr">
        <is>
          <t>Marcelo</t>
        </is>
      </c>
      <c r="F1184" s="13" t="inlineStr">
        <is>
          <t>Transformação PVD 05</t>
        </is>
      </c>
      <c r="G1184" s="7" t="inlineStr">
        <is>
          <t>05</t>
        </is>
      </c>
      <c r="H1184" s="7" t="n"/>
      <c r="I1184" s="7" t="inlineStr">
        <is>
          <t>05</t>
        </is>
      </c>
      <c r="J1184" s="7" t="inlineStr">
        <is>
          <t>Transformação</t>
        </is>
      </c>
      <c r="K1184" s="7" t="inlineStr">
        <is>
          <t>Planejamento</t>
        </is>
      </c>
      <c r="L1184" s="16" t="inlineStr">
        <is>
          <t>PDS-Março(1).docx</t>
        </is>
      </c>
      <c r="M1184">
        <f>IF($A1184="","",TEXT($A1184,"mmmm/yyyy"))</f>
        <v/>
      </c>
      <c r="P1184">
        <f>IFERROR(_xludf.XLOOKUP($N1184,Base_Enderecos!$A:$A,Base_Enderecos!$B:$B,""),"")</f>
        <v/>
      </c>
      <c r="Q1184">
        <f>IFERROR(_xludf.XLOOKUP($N1184,Base_Enderecos!$A:$A,Base_Enderecos!$C:$C,""),"")</f>
        <v/>
      </c>
      <c r="R1184">
        <f>IF(OR(ISNUMBER(SEARCH("HDD",$F1184)),ISNUMBER(SEARCH("MND",$F1184)),ISNUMBER(SEARCH("PEAD",$F1184)),ISNUMBER(SEARCH("Puxe",$J1184)),ISNUMBER(SEARCH("Apoio HDD",$F1184))),"MND",IF(OR(ISNUMBER(SEARCH("VCA",$F1184)),ISNUMBER(SEARCH("PVC",$F1184)),ISNUMBER(SEARCH("vca",$J1184)),ISNUMBER(SEARCH("Transformação",$J1184))),"VCA",IF(OR(ISNUMBER(SEARCH("crava",$F1184)),ISNUMBER(SEARCH("tubo cravado",$F1184)),ISNUMBER(SEARCH("shaft",$J1184)),ISNUMBER(SEARCH("concreto",$F1184))),"TUBO CRAVADO","")))</f>
        <v/>
      </c>
      <c r="T1184">
        <f>IF($A1184="","",TEXT($A1184,"yyyymm")&amp;"|"&amp;$C1184&amp;"|"&amp;$F1184&amp;"|"&amp;$N1184&amp;"|"&amp;$R1184)</f>
        <v/>
      </c>
    </row>
    <row r="1185" ht="11.55" customHeight="1">
      <c r="A1185" s="10" t="n">
        <v>46090</v>
      </c>
      <c r="B1185" s="7" t="inlineStr">
        <is>
          <t>Segunda</t>
        </is>
      </c>
      <c r="C1185" s="7" t="inlineStr">
        <is>
          <t>CT AGUA VERMELHA M.D</t>
        </is>
      </c>
      <c r="D1185" s="7" t="inlineStr">
        <is>
          <t>CAROLINE e FABIO</t>
        </is>
      </c>
      <c r="E1185" s="7" t="inlineStr">
        <is>
          <t>Antonio</t>
        </is>
      </c>
      <c r="F1185" s="13" t="inlineStr">
        <is>
          <t>Transformação PVD 04</t>
        </is>
      </c>
      <c r="G1185" s="7" t="inlineStr">
        <is>
          <t>04</t>
        </is>
      </c>
      <c r="H1185" s="7" t="n"/>
      <c r="I1185" s="7" t="inlineStr">
        <is>
          <t>04</t>
        </is>
      </c>
      <c r="J1185" s="7" t="inlineStr">
        <is>
          <t>Transformação</t>
        </is>
      </c>
      <c r="K1185" s="7" t="inlineStr">
        <is>
          <t>Planejamento</t>
        </is>
      </c>
      <c r="L1185" s="16" t="inlineStr">
        <is>
          <t>PDS-Março(1).docx</t>
        </is>
      </c>
      <c r="M1185">
        <f>IF($A1185="","",TEXT($A1185,"mmmm/yyyy"))</f>
        <v/>
      </c>
      <c r="P1185">
        <f>IFERROR(_xludf.XLOOKUP($N1185,Base_Enderecos!$A:$A,Base_Enderecos!$B:$B,""),"")</f>
        <v/>
      </c>
      <c r="Q1185">
        <f>IFERROR(_xludf.XLOOKUP($N1185,Base_Enderecos!$A:$A,Base_Enderecos!$C:$C,""),"")</f>
        <v/>
      </c>
      <c r="R1185">
        <f>IF(OR(ISNUMBER(SEARCH("HDD",$F1185)),ISNUMBER(SEARCH("MND",$F1185)),ISNUMBER(SEARCH("PEAD",$F1185)),ISNUMBER(SEARCH("Puxe",$J1185)),ISNUMBER(SEARCH("Apoio HDD",$F1185))),"MND",IF(OR(ISNUMBER(SEARCH("VCA",$F1185)),ISNUMBER(SEARCH("PVC",$F1185)),ISNUMBER(SEARCH("vca",$J1185)),ISNUMBER(SEARCH("Transformação",$J1185))),"VCA",IF(OR(ISNUMBER(SEARCH("crava",$F1185)),ISNUMBER(SEARCH("tubo cravado",$F1185)),ISNUMBER(SEARCH("shaft",$J1185)),ISNUMBER(SEARCH("concreto",$F1185))),"TUBO CRAVADO","")))</f>
        <v/>
      </c>
      <c r="T1185">
        <f>IF($A1185="","",TEXT($A1185,"yyyymm")&amp;"|"&amp;$C1185&amp;"|"&amp;$F1185&amp;"|"&amp;$N1185&amp;"|"&amp;$R1185)</f>
        <v/>
      </c>
    </row>
    <row r="1186" ht="11.55" customHeight="1">
      <c r="A1186" s="10" t="n">
        <v>46090</v>
      </c>
      <c r="B1186" s="7" t="inlineStr">
        <is>
          <t>Segunda</t>
        </is>
      </c>
      <c r="C1186" s="7" t="inlineStr">
        <is>
          <t>CT AGUA VERMELHA M.E</t>
        </is>
      </c>
      <c r="D1186" s="7" t="inlineStr">
        <is>
          <t>VALMIR</t>
        </is>
      </c>
      <c r="E1186" s="7" t="inlineStr">
        <is>
          <t>Marcio</t>
        </is>
      </c>
      <c r="F1186" s="13" t="inlineStr">
        <is>
          <t>Apoio HDD PVE 23 ao 25</t>
        </is>
      </c>
      <c r="G1186" s="7" t="inlineStr">
        <is>
          <t>23</t>
        </is>
      </c>
      <c r="H1186" s="7" t="n"/>
      <c r="I1186" s="7" t="inlineStr">
        <is>
          <t>23</t>
        </is>
      </c>
      <c r="J1186" s="7" t="inlineStr">
        <is>
          <t>Apoio HDD</t>
        </is>
      </c>
      <c r="K1186" s="7" t="inlineStr">
        <is>
          <t>Planejamento</t>
        </is>
      </c>
      <c r="L1186" s="16" t="inlineStr">
        <is>
          <t>PDS-Março(1).docx</t>
        </is>
      </c>
      <c r="M1186">
        <f>IF($A1186="","",TEXT($A1186,"mmmm/yyyy"))</f>
        <v/>
      </c>
      <c r="P1186">
        <f>IFERROR(_xludf.XLOOKUP($N1186,Base_Enderecos!$A:$A,Base_Enderecos!$B:$B,""),"")</f>
        <v/>
      </c>
      <c r="Q1186">
        <f>IFERROR(_xludf.XLOOKUP($N1186,Base_Enderecos!$A:$A,Base_Enderecos!$C:$C,""),"")</f>
        <v/>
      </c>
      <c r="R1186">
        <f>IF(OR(ISNUMBER(SEARCH("HDD",$F1186)),ISNUMBER(SEARCH("MND",$F1186)),ISNUMBER(SEARCH("PEAD",$F1186)),ISNUMBER(SEARCH("Puxe",$J1186)),ISNUMBER(SEARCH("Apoio HDD",$F1186))),"MND",IF(OR(ISNUMBER(SEARCH("VCA",$F1186)),ISNUMBER(SEARCH("PVC",$F1186)),ISNUMBER(SEARCH("vca",$J1186)),ISNUMBER(SEARCH("Transformação",$J1186))),"VCA",IF(OR(ISNUMBER(SEARCH("crava",$F1186)),ISNUMBER(SEARCH("tubo cravado",$F1186)),ISNUMBER(SEARCH("shaft",$J1186)),ISNUMBER(SEARCH("concreto",$F1186))),"TUBO CRAVADO","")))</f>
        <v/>
      </c>
      <c r="T1186">
        <f>IF($A1186="","",TEXT($A1186,"yyyymm")&amp;"|"&amp;$C1186&amp;"|"&amp;$F1186&amp;"|"&amp;$N1186&amp;"|"&amp;$R1186)</f>
        <v/>
      </c>
    </row>
    <row r="1187" ht="11.55" customHeight="1">
      <c r="A1187" s="10" t="n">
        <v>46090</v>
      </c>
      <c r="B1187" s="7" t="inlineStr">
        <is>
          <t>Segunda</t>
        </is>
      </c>
      <c r="C1187" s="7" t="inlineStr">
        <is>
          <t>CT AGUA VERMELHA M.E</t>
        </is>
      </c>
      <c r="D1187" s="7" t="inlineStr">
        <is>
          <t>VALMIR</t>
        </is>
      </c>
      <c r="E1187" s="7" t="inlineStr">
        <is>
          <t>WJ 02</t>
        </is>
      </c>
      <c r="F1187" s="13" t="inlineStr">
        <is>
          <t>Piloto e Puxe PVE 23 ao 25</t>
        </is>
      </c>
      <c r="G1187" s="7" t="inlineStr">
        <is>
          <t>23</t>
        </is>
      </c>
      <c r="H1187" s="7" t="n"/>
      <c r="I1187" s="7" t="inlineStr">
        <is>
          <t>23</t>
        </is>
      </c>
      <c r="J1187" s="7" t="inlineStr">
        <is>
          <t>Piloto e puxe</t>
        </is>
      </c>
      <c r="K1187" s="7" t="inlineStr">
        <is>
          <t>Planejamento</t>
        </is>
      </c>
      <c r="L1187" s="16" t="inlineStr">
        <is>
          <t>PDS-Março(1).docx</t>
        </is>
      </c>
      <c r="M1187">
        <f>IF($A1187="","",TEXT($A1187,"mmmm/yyyy"))</f>
        <v/>
      </c>
      <c r="P1187">
        <f>IFERROR(_xludf.XLOOKUP($N1187,Base_Enderecos!$A:$A,Base_Enderecos!$B:$B,""),"")</f>
        <v/>
      </c>
      <c r="Q1187">
        <f>IFERROR(_xludf.XLOOKUP($N1187,Base_Enderecos!$A:$A,Base_Enderecos!$C:$C,""),"")</f>
        <v/>
      </c>
      <c r="R1187">
        <f>IF(OR(ISNUMBER(SEARCH("HDD",$F1187)),ISNUMBER(SEARCH("MND",$F1187)),ISNUMBER(SEARCH("PEAD",$F1187)),ISNUMBER(SEARCH("Puxe",$J1187)),ISNUMBER(SEARCH("Apoio HDD",$F1187))),"MND",IF(OR(ISNUMBER(SEARCH("VCA",$F1187)),ISNUMBER(SEARCH("PVC",$F1187)),ISNUMBER(SEARCH("vca",$J1187)),ISNUMBER(SEARCH("Transformação",$J1187))),"VCA",IF(OR(ISNUMBER(SEARCH("crava",$F1187)),ISNUMBER(SEARCH("tubo cravado",$F1187)),ISNUMBER(SEARCH("shaft",$J1187)),ISNUMBER(SEARCH("concreto",$F1187))),"TUBO CRAVADO","")))</f>
        <v/>
      </c>
      <c r="T1187">
        <f>IF($A1187="","",TEXT($A1187,"yyyymm")&amp;"|"&amp;$C1187&amp;"|"&amp;$F1187&amp;"|"&amp;$N1187&amp;"|"&amp;$R1187)</f>
        <v/>
      </c>
    </row>
    <row r="1188" ht="11.55" customHeight="1">
      <c r="A1188" s="10" t="n">
        <v>46090</v>
      </c>
      <c r="B1188" s="7" t="inlineStr">
        <is>
          <t>Segunda</t>
        </is>
      </c>
      <c r="C1188" s="7" t="inlineStr">
        <is>
          <t>CT AGUA VERMELHA M.E</t>
        </is>
      </c>
      <c r="D1188" s="7" t="inlineStr">
        <is>
          <t>VALMIR</t>
        </is>
      </c>
      <c r="E1188" s="7" t="inlineStr">
        <is>
          <t>Adilson</t>
        </is>
      </c>
      <c r="F1188" s="13" t="inlineStr">
        <is>
          <t>Apoio</t>
        </is>
      </c>
      <c r="G1188" s="7" t="n"/>
      <c r="H1188" s="7" t="n"/>
      <c r="I1188" s="7" t="n"/>
      <c r="J1188" s="7" t="n"/>
      <c r="K1188" s="7" t="inlineStr">
        <is>
          <t>Planejamento</t>
        </is>
      </c>
      <c r="L1188" s="16" t="inlineStr">
        <is>
          <t>PDS-Março(1).docx</t>
        </is>
      </c>
      <c r="M1188">
        <f>IF($A1188="","",TEXT($A1188,"mmmm/yyyy"))</f>
        <v/>
      </c>
      <c r="P1188">
        <f>IFERROR(_xludf.XLOOKUP($N1188,Base_Enderecos!$A:$A,Base_Enderecos!$B:$B,""),"")</f>
        <v/>
      </c>
      <c r="Q1188">
        <f>IFERROR(_xludf.XLOOKUP($N1188,Base_Enderecos!$A:$A,Base_Enderecos!$C:$C,""),"")</f>
        <v/>
      </c>
      <c r="R1188">
        <f>IF(OR(ISNUMBER(SEARCH("HDD",$F1188)),ISNUMBER(SEARCH("MND",$F1188)),ISNUMBER(SEARCH("PEAD",$F1188)),ISNUMBER(SEARCH("Puxe",$J1188)),ISNUMBER(SEARCH("Apoio HDD",$F1188))),"MND",IF(OR(ISNUMBER(SEARCH("VCA",$F1188)),ISNUMBER(SEARCH("PVC",$F1188)),ISNUMBER(SEARCH("vca",$J1188)),ISNUMBER(SEARCH("Transformação",$J1188))),"VCA",IF(OR(ISNUMBER(SEARCH("crava",$F1188)),ISNUMBER(SEARCH("tubo cravado",$F1188)),ISNUMBER(SEARCH("shaft",$J1188)),ISNUMBER(SEARCH("concreto",$F1188))),"TUBO CRAVADO","")))</f>
        <v/>
      </c>
      <c r="T1188">
        <f>IF($A1188="","",TEXT($A1188,"yyyymm")&amp;"|"&amp;$C1188&amp;"|"&amp;$F1188&amp;"|"&amp;$N1188&amp;"|"&amp;$R1188)</f>
        <v/>
      </c>
    </row>
    <row r="1189" ht="11.55" customHeight="1">
      <c r="A1189" s="10" t="n">
        <v>46090</v>
      </c>
      <c r="B1189" s="7" t="inlineStr">
        <is>
          <t>Segunda</t>
        </is>
      </c>
      <c r="C1189" s="7" t="inlineStr">
        <is>
          <t>CT AGUA VERMELHA M.E</t>
        </is>
      </c>
      <c r="D1189" s="7" t="inlineStr">
        <is>
          <t>VALMIR</t>
        </is>
      </c>
      <c r="E1189" s="7" t="inlineStr">
        <is>
          <t>Carlos</t>
        </is>
      </c>
      <c r="F1189" s="13" t="inlineStr">
        <is>
          <t>Transformação PVE 18</t>
        </is>
      </c>
      <c r="G1189" s="7" t="inlineStr">
        <is>
          <t>18</t>
        </is>
      </c>
      <c r="H1189" s="7" t="n"/>
      <c r="I1189" s="7" t="inlineStr">
        <is>
          <t>18</t>
        </is>
      </c>
      <c r="J1189" s="7" t="inlineStr">
        <is>
          <t>Transformação</t>
        </is>
      </c>
      <c r="K1189" s="7" t="inlineStr">
        <is>
          <t>Planejamento</t>
        </is>
      </c>
      <c r="L1189" s="16" t="inlineStr">
        <is>
          <t>PDS-Março(1).docx</t>
        </is>
      </c>
      <c r="M1189">
        <f>IF($A1189="","",TEXT($A1189,"mmmm/yyyy"))</f>
        <v/>
      </c>
      <c r="P1189">
        <f>IFERROR(_xludf.XLOOKUP($N1189,Base_Enderecos!$A:$A,Base_Enderecos!$B:$B,""),"")</f>
        <v/>
      </c>
      <c r="Q1189">
        <f>IFERROR(_xludf.XLOOKUP($N1189,Base_Enderecos!$A:$A,Base_Enderecos!$C:$C,""),"")</f>
        <v/>
      </c>
      <c r="R1189">
        <f>IF(OR(ISNUMBER(SEARCH("HDD",$F1189)),ISNUMBER(SEARCH("MND",$F1189)),ISNUMBER(SEARCH("PEAD",$F1189)),ISNUMBER(SEARCH("Puxe",$J1189)),ISNUMBER(SEARCH("Apoio HDD",$F1189))),"MND",IF(OR(ISNUMBER(SEARCH("VCA",$F1189)),ISNUMBER(SEARCH("PVC",$F1189)),ISNUMBER(SEARCH("vca",$J1189)),ISNUMBER(SEARCH("Transformação",$J1189))),"VCA",IF(OR(ISNUMBER(SEARCH("crava",$F1189)),ISNUMBER(SEARCH("tubo cravado",$F1189)),ISNUMBER(SEARCH("shaft",$J1189)),ISNUMBER(SEARCH("concreto",$F1189))),"TUBO CRAVADO","")))</f>
        <v/>
      </c>
      <c r="T1189">
        <f>IF($A1189="","",TEXT($A1189,"yyyymm")&amp;"|"&amp;$C1189&amp;"|"&amp;$F1189&amp;"|"&amp;$N1189&amp;"|"&amp;$R1189)</f>
        <v/>
      </c>
    </row>
    <row r="1190" ht="11.55" customHeight="1">
      <c r="A1190" s="10" t="n">
        <v>46090</v>
      </c>
      <c r="B1190" s="7" t="inlineStr">
        <is>
          <t>Segunda</t>
        </is>
      </c>
      <c r="C1190" s="7" t="inlineStr">
        <is>
          <t>CT AGUA VERMELHA M.E</t>
        </is>
      </c>
      <c r="D1190" s="7" t="inlineStr">
        <is>
          <t>VALMIR</t>
        </is>
      </c>
      <c r="E1190" s="7" t="inlineStr">
        <is>
          <t>Shaft</t>
        </is>
      </c>
      <c r="F1190" s="13" t="inlineStr">
        <is>
          <t>Shaft PVE 12</t>
        </is>
      </c>
      <c r="G1190" s="7" t="inlineStr">
        <is>
          <t>12</t>
        </is>
      </c>
      <c r="H1190" s="7" t="n"/>
      <c r="I1190" s="7" t="inlineStr">
        <is>
          <t>12</t>
        </is>
      </c>
      <c r="J1190" s="7" t="inlineStr">
        <is>
          <t>Shaft</t>
        </is>
      </c>
      <c r="K1190" s="7" t="inlineStr">
        <is>
          <t>Planejamento</t>
        </is>
      </c>
      <c r="L1190" s="16" t="inlineStr">
        <is>
          <t>PDS-Março(1).docx</t>
        </is>
      </c>
      <c r="M1190">
        <f>IF($A1190="","",TEXT($A1190,"mmmm/yyyy"))</f>
        <v/>
      </c>
      <c r="P1190">
        <f>IFERROR(_xludf.XLOOKUP($N1190,Base_Enderecos!$A:$A,Base_Enderecos!$B:$B,""),"")</f>
        <v/>
      </c>
      <c r="Q1190">
        <f>IFERROR(_xludf.XLOOKUP($N1190,Base_Enderecos!$A:$A,Base_Enderecos!$C:$C,""),"")</f>
        <v/>
      </c>
      <c r="R1190">
        <f>IF(OR(ISNUMBER(SEARCH("HDD",$F1190)),ISNUMBER(SEARCH("MND",$F1190)),ISNUMBER(SEARCH("PEAD",$F1190)),ISNUMBER(SEARCH("Puxe",$J1190)),ISNUMBER(SEARCH("Apoio HDD",$F1190))),"MND",IF(OR(ISNUMBER(SEARCH("VCA",$F1190)),ISNUMBER(SEARCH("PVC",$F1190)),ISNUMBER(SEARCH("vca",$J1190)),ISNUMBER(SEARCH("Transformação",$J1190))),"VCA",IF(OR(ISNUMBER(SEARCH("crava",$F1190)),ISNUMBER(SEARCH("tubo cravado",$F1190)),ISNUMBER(SEARCH("shaft",$J1190)),ISNUMBER(SEARCH("concreto",$F1190))),"TUBO CRAVADO","")))</f>
        <v/>
      </c>
      <c r="T1190">
        <f>IF($A1190="","",TEXT($A1190,"yyyymm")&amp;"|"&amp;$C1190&amp;"|"&amp;$F1190&amp;"|"&amp;$N1190&amp;"|"&amp;$R1190)</f>
        <v/>
      </c>
    </row>
    <row r="1191" ht="11.55" customHeight="1">
      <c r="A1191" s="10" t="n">
        <v>46090</v>
      </c>
      <c r="B1191" s="7" t="inlineStr">
        <is>
          <t>Segunda</t>
        </is>
      </c>
      <c r="C1191" s="7" t="inlineStr">
        <is>
          <t>Vacal</t>
        </is>
      </c>
      <c r="D1191" s="7" t="n"/>
      <c r="E1191" s="7" t="inlineStr">
        <is>
          <t>Conceição</t>
        </is>
      </c>
      <c r="F1191" s="13" t="inlineStr">
        <is>
          <t>Apoio Vacal</t>
        </is>
      </c>
      <c r="G1191" s="7" t="n"/>
      <c r="H1191" s="7" t="n"/>
      <c r="I1191" s="7" t="n"/>
      <c r="J1191" s="7" t="inlineStr">
        <is>
          <t>Vacal</t>
        </is>
      </c>
      <c r="K1191" s="7" t="inlineStr">
        <is>
          <t>Apoio</t>
        </is>
      </c>
      <c r="L1191" s="16" t="inlineStr">
        <is>
          <t>PDS-Março(1).docx</t>
        </is>
      </c>
      <c r="M1191">
        <f>IF($A1191="","",TEXT($A1191,"mmmm/yyyy"))</f>
        <v/>
      </c>
      <c r="P1191">
        <f>IFERROR(_xludf.XLOOKUP($N1191,Base_Enderecos!$A:$A,Base_Enderecos!$B:$B,""),"")</f>
        <v/>
      </c>
      <c r="Q1191">
        <f>IFERROR(_xludf.XLOOKUP($N1191,Base_Enderecos!$A:$A,Base_Enderecos!$C:$C,""),"")</f>
        <v/>
      </c>
      <c r="R1191">
        <f>IF(OR(ISNUMBER(SEARCH("HDD",$F1191)),ISNUMBER(SEARCH("MND",$F1191)),ISNUMBER(SEARCH("PEAD",$F1191)),ISNUMBER(SEARCH("Puxe",$J1191)),ISNUMBER(SEARCH("Apoio HDD",$F1191))),"MND",IF(OR(ISNUMBER(SEARCH("VCA",$F1191)),ISNUMBER(SEARCH("PVC",$F1191)),ISNUMBER(SEARCH("vca",$J1191)),ISNUMBER(SEARCH("Transformação",$J1191))),"VCA",IF(OR(ISNUMBER(SEARCH("crava",$F1191)),ISNUMBER(SEARCH("tubo cravado",$F1191)),ISNUMBER(SEARCH("shaft",$J1191)),ISNUMBER(SEARCH("concreto",$F1191))),"TUBO CRAVADO","")))</f>
        <v/>
      </c>
      <c r="T1191">
        <f>IF($A1191="","",TEXT($A1191,"yyyymm")&amp;"|"&amp;$C1191&amp;"|"&amp;$F1191&amp;"|"&amp;$N1191&amp;"|"&amp;$R1191)</f>
        <v/>
      </c>
    </row>
    <row r="1192" ht="11.55" customHeight="1">
      <c r="A1192" s="10" t="n">
        <v>46090</v>
      </c>
      <c r="B1192" s="7" t="inlineStr">
        <is>
          <t>Segunda</t>
        </is>
      </c>
      <c r="C1192" s="7" t="inlineStr">
        <is>
          <t>Vacal</t>
        </is>
      </c>
      <c r="D1192" s="7" t="n"/>
      <c r="E1192" s="7" t="inlineStr">
        <is>
          <t>Agua Vermelha</t>
        </is>
      </c>
      <c r="F1192" s="13" t="inlineStr">
        <is>
          <t>Apoio Vacal</t>
        </is>
      </c>
      <c r="G1192" s="7" t="n"/>
      <c r="H1192" s="7" t="n"/>
      <c r="I1192" s="7" t="n"/>
      <c r="J1192" s="7" t="inlineStr">
        <is>
          <t>Vacal</t>
        </is>
      </c>
      <c r="K1192" s="7" t="inlineStr">
        <is>
          <t>Apoio</t>
        </is>
      </c>
      <c r="L1192" s="16" t="inlineStr">
        <is>
          <t>PDS-Março(1).docx</t>
        </is>
      </c>
      <c r="M1192">
        <f>IF($A1192="","",TEXT($A1192,"mmmm/yyyy"))</f>
        <v/>
      </c>
      <c r="P1192">
        <f>IFERROR(_xludf.XLOOKUP($N1192,Base_Enderecos!$A:$A,Base_Enderecos!$B:$B,""),"")</f>
        <v/>
      </c>
      <c r="Q1192">
        <f>IFERROR(_xludf.XLOOKUP($N1192,Base_Enderecos!$A:$A,Base_Enderecos!$C:$C,""),"")</f>
        <v/>
      </c>
      <c r="R1192">
        <f>IF(OR(ISNUMBER(SEARCH("HDD",$F1192)),ISNUMBER(SEARCH("MND",$F1192)),ISNUMBER(SEARCH("PEAD",$F1192)),ISNUMBER(SEARCH("Puxe",$J1192)),ISNUMBER(SEARCH("Apoio HDD",$F1192))),"MND",IF(OR(ISNUMBER(SEARCH("VCA",$F1192)),ISNUMBER(SEARCH("PVC",$F1192)),ISNUMBER(SEARCH("vca",$J1192)),ISNUMBER(SEARCH("Transformação",$J1192))),"VCA",IF(OR(ISNUMBER(SEARCH("crava",$F1192)),ISNUMBER(SEARCH("tubo cravado",$F1192)),ISNUMBER(SEARCH("shaft",$J1192)),ISNUMBER(SEARCH("concreto",$F1192))),"TUBO CRAVADO","")))</f>
        <v/>
      </c>
      <c r="T1192">
        <f>IF($A1192="","",TEXT($A1192,"yyyymm")&amp;"|"&amp;$C1192&amp;"|"&amp;$F1192&amp;"|"&amp;$N1192&amp;"|"&amp;$R1192)</f>
        <v/>
      </c>
    </row>
    <row r="1193" ht="11.55" customHeight="1">
      <c r="A1193" s="10" t="n">
        <v>46090</v>
      </c>
      <c r="B1193" s="7" t="inlineStr">
        <is>
          <t>Segunda</t>
        </is>
      </c>
      <c r="C1193" s="7" t="inlineStr">
        <is>
          <t>Vacal</t>
        </is>
      </c>
      <c r="D1193" s="7" t="n"/>
      <c r="E1193" s="7" t="inlineStr">
        <is>
          <t>Agua Vermelha</t>
        </is>
      </c>
      <c r="F1193" s="13" t="inlineStr">
        <is>
          <t>Apoio Vacal</t>
        </is>
      </c>
      <c r="G1193" s="7" t="n"/>
      <c r="H1193" s="7" t="n"/>
      <c r="I1193" s="7" t="n"/>
      <c r="J1193" s="7" t="inlineStr">
        <is>
          <t>Vacal</t>
        </is>
      </c>
      <c r="K1193" s="7" t="inlineStr">
        <is>
          <t>Apoio</t>
        </is>
      </c>
      <c r="L1193" s="16" t="inlineStr">
        <is>
          <t>PDS-Março(1).docx</t>
        </is>
      </c>
      <c r="M1193">
        <f>IF($A1193="","",TEXT($A1193,"mmmm/yyyy"))</f>
        <v/>
      </c>
      <c r="P1193">
        <f>IFERROR(_xludf.XLOOKUP($N1193,Base_Enderecos!$A:$A,Base_Enderecos!$B:$B,""),"")</f>
        <v/>
      </c>
      <c r="Q1193">
        <f>IFERROR(_xludf.XLOOKUP($N1193,Base_Enderecos!$A:$A,Base_Enderecos!$C:$C,""),"")</f>
        <v/>
      </c>
      <c r="R1193">
        <f>IF(OR(ISNUMBER(SEARCH("HDD",$F1193)),ISNUMBER(SEARCH("MND",$F1193)),ISNUMBER(SEARCH("PEAD",$F1193)),ISNUMBER(SEARCH("Puxe",$J1193)),ISNUMBER(SEARCH("Apoio HDD",$F1193))),"MND",IF(OR(ISNUMBER(SEARCH("VCA",$F1193)),ISNUMBER(SEARCH("PVC",$F1193)),ISNUMBER(SEARCH("vca",$J1193)),ISNUMBER(SEARCH("Transformação",$J1193))),"VCA",IF(OR(ISNUMBER(SEARCH("crava",$F1193)),ISNUMBER(SEARCH("tubo cravado",$F1193)),ISNUMBER(SEARCH("shaft",$J1193)),ISNUMBER(SEARCH("concreto",$F1193))),"TUBO CRAVADO","")))</f>
        <v/>
      </c>
      <c r="T1193">
        <f>IF($A1193="","",TEXT($A1193,"yyyymm")&amp;"|"&amp;$C1193&amp;"|"&amp;$F1193&amp;"|"&amp;$N1193&amp;"|"&amp;$R1193)</f>
        <v/>
      </c>
    </row>
    <row r="1194" ht="11.55" customHeight="1">
      <c r="A1194" s="10" t="n">
        <v>46090</v>
      </c>
      <c r="B1194" s="7" t="inlineStr">
        <is>
          <t>Segunda</t>
        </is>
      </c>
      <c r="C1194" s="7" t="inlineStr">
        <is>
          <t>Vacal</t>
        </is>
      </c>
      <c r="D1194" s="7" t="n"/>
      <c r="E1194" s="7" t="inlineStr">
        <is>
          <t>Agua Vermelha</t>
        </is>
      </c>
      <c r="F1194" s="13" t="inlineStr">
        <is>
          <t>Apoio Vacal</t>
        </is>
      </c>
      <c r="G1194" s="7" t="n"/>
      <c r="H1194" s="7" t="n"/>
      <c r="I1194" s="7" t="n"/>
      <c r="J1194" s="7" t="inlineStr">
        <is>
          <t>Vacal</t>
        </is>
      </c>
      <c r="K1194" s="7" t="inlineStr">
        <is>
          <t>Apoio</t>
        </is>
      </c>
      <c r="L1194" s="16" t="inlineStr">
        <is>
          <t>PDS-Março(1).docx</t>
        </is>
      </c>
      <c r="M1194">
        <f>IF($A1194="","",TEXT($A1194,"mmmm/yyyy"))</f>
        <v/>
      </c>
      <c r="P1194">
        <f>IFERROR(_xludf.XLOOKUP($N1194,Base_Enderecos!$A:$A,Base_Enderecos!$B:$B,""),"")</f>
        <v/>
      </c>
      <c r="Q1194">
        <f>IFERROR(_xludf.XLOOKUP($N1194,Base_Enderecos!$A:$A,Base_Enderecos!$C:$C,""),"")</f>
        <v/>
      </c>
      <c r="R1194">
        <f>IF(OR(ISNUMBER(SEARCH("HDD",$F1194)),ISNUMBER(SEARCH("MND",$F1194)),ISNUMBER(SEARCH("PEAD",$F1194)),ISNUMBER(SEARCH("Puxe",$J1194)),ISNUMBER(SEARCH("Apoio HDD",$F1194))),"MND",IF(OR(ISNUMBER(SEARCH("VCA",$F1194)),ISNUMBER(SEARCH("PVC",$F1194)),ISNUMBER(SEARCH("vca",$J1194)),ISNUMBER(SEARCH("Transformação",$J1194))),"VCA",IF(OR(ISNUMBER(SEARCH("crava",$F1194)),ISNUMBER(SEARCH("tubo cravado",$F1194)),ISNUMBER(SEARCH("shaft",$J1194)),ISNUMBER(SEARCH("concreto",$F1194))),"TUBO CRAVADO","")))</f>
        <v/>
      </c>
      <c r="T1194">
        <f>IF($A1194="","",TEXT($A1194,"yyyymm")&amp;"|"&amp;$C1194&amp;"|"&amp;$F1194&amp;"|"&amp;$N1194&amp;"|"&amp;$R1194)</f>
        <v/>
      </c>
    </row>
    <row r="1195" ht="11.55" customHeight="1">
      <c r="A1195" s="10" t="n">
        <v>46090</v>
      </c>
      <c r="B1195" s="7" t="inlineStr">
        <is>
          <t>Segunda</t>
        </is>
      </c>
      <c r="C1195" s="7" t="inlineStr">
        <is>
          <t>Guindauto</t>
        </is>
      </c>
      <c r="D1195" s="7" t="n"/>
      <c r="E1195" s="7" t="inlineStr">
        <is>
          <t>Rodrigo</t>
        </is>
      </c>
      <c r="F1195" s="13" t="inlineStr">
        <is>
          <t>Rodrigo - Apoio as equipes</t>
        </is>
      </c>
      <c r="G1195" s="7" t="n"/>
      <c r="H1195" s="7" t="n"/>
      <c r="I1195" s="7" t="n"/>
      <c r="J1195" s="7" t="inlineStr">
        <is>
          <t>Guindauto</t>
        </is>
      </c>
      <c r="K1195" s="7" t="inlineStr">
        <is>
          <t>Apoio</t>
        </is>
      </c>
      <c r="L1195" s="16" t="inlineStr">
        <is>
          <t>PDS-Março(1).docx</t>
        </is>
      </c>
      <c r="M1195">
        <f>IF($A1195="","",TEXT($A1195,"mmmm/yyyy"))</f>
        <v/>
      </c>
      <c r="P1195">
        <f>IFERROR(_xludf.XLOOKUP($N1195,Base_Enderecos!$A:$A,Base_Enderecos!$B:$B,""),"")</f>
        <v/>
      </c>
      <c r="Q1195">
        <f>IFERROR(_xludf.XLOOKUP($N1195,Base_Enderecos!$A:$A,Base_Enderecos!$C:$C,""),"")</f>
        <v/>
      </c>
      <c r="R1195">
        <f>IF(OR(ISNUMBER(SEARCH("HDD",$F1195)),ISNUMBER(SEARCH("MND",$F1195)),ISNUMBER(SEARCH("PEAD",$F1195)),ISNUMBER(SEARCH("Puxe",$J1195)),ISNUMBER(SEARCH("Apoio HDD",$F1195))),"MND",IF(OR(ISNUMBER(SEARCH("VCA",$F1195)),ISNUMBER(SEARCH("PVC",$F1195)),ISNUMBER(SEARCH("vca",$J1195)),ISNUMBER(SEARCH("Transformação",$J1195))),"VCA",IF(OR(ISNUMBER(SEARCH("crava",$F1195)),ISNUMBER(SEARCH("tubo cravado",$F1195)),ISNUMBER(SEARCH("shaft",$J1195)),ISNUMBER(SEARCH("concreto",$F1195))),"TUBO CRAVADO","")))</f>
        <v/>
      </c>
      <c r="T1195">
        <f>IF($A1195="","",TEXT($A1195,"yyyymm")&amp;"|"&amp;$C1195&amp;"|"&amp;$F1195&amp;"|"&amp;$N1195&amp;"|"&amp;$R1195)</f>
        <v/>
      </c>
    </row>
    <row r="1196" ht="11.55" customHeight="1">
      <c r="A1196" s="10" t="n">
        <v>46090</v>
      </c>
      <c r="B1196" s="7" t="inlineStr">
        <is>
          <t>Segunda</t>
        </is>
      </c>
      <c r="C1196" s="7" t="inlineStr">
        <is>
          <t>Guindauto</t>
        </is>
      </c>
      <c r="D1196" s="7" t="n"/>
      <c r="E1196" s="7" t="inlineStr">
        <is>
          <t>Marcio</t>
        </is>
      </c>
      <c r="F1196" s="13" t="inlineStr">
        <is>
          <t>Marcio - Apoio as equipes</t>
        </is>
      </c>
      <c r="G1196" s="7" t="n"/>
      <c r="H1196" s="7" t="n"/>
      <c r="I1196" s="7" t="n"/>
      <c r="J1196" s="7" t="inlineStr">
        <is>
          <t>Guindauto</t>
        </is>
      </c>
      <c r="K1196" s="7" t="inlineStr">
        <is>
          <t>Apoio</t>
        </is>
      </c>
      <c r="L1196" s="16" t="inlineStr">
        <is>
          <t>PDS-Março(1).docx</t>
        </is>
      </c>
      <c r="M1196">
        <f>IF($A1196="","",TEXT($A1196,"mmmm/yyyy"))</f>
        <v/>
      </c>
      <c r="P1196">
        <f>IFERROR(_xludf.XLOOKUP($N1196,Base_Enderecos!$A:$A,Base_Enderecos!$B:$B,""),"")</f>
        <v/>
      </c>
      <c r="Q1196">
        <f>IFERROR(_xludf.XLOOKUP($N1196,Base_Enderecos!$A:$A,Base_Enderecos!$C:$C,""),"")</f>
        <v/>
      </c>
      <c r="R1196">
        <f>IF(OR(ISNUMBER(SEARCH("HDD",$F1196)),ISNUMBER(SEARCH("MND",$F1196)),ISNUMBER(SEARCH("PEAD",$F1196)),ISNUMBER(SEARCH("Puxe",$J1196)),ISNUMBER(SEARCH("Apoio HDD",$F1196))),"MND",IF(OR(ISNUMBER(SEARCH("VCA",$F1196)),ISNUMBER(SEARCH("PVC",$F1196)),ISNUMBER(SEARCH("vca",$J1196)),ISNUMBER(SEARCH("Transformação",$J1196))),"VCA",IF(OR(ISNUMBER(SEARCH("crava",$F1196)),ISNUMBER(SEARCH("tubo cravado",$F1196)),ISNUMBER(SEARCH("shaft",$J1196)),ISNUMBER(SEARCH("concreto",$F1196))),"TUBO CRAVADO","")))</f>
        <v/>
      </c>
      <c r="T1196">
        <f>IF($A1196="","",TEXT($A1196,"yyyymm")&amp;"|"&amp;$C1196&amp;"|"&amp;$F1196&amp;"|"&amp;$N1196&amp;"|"&amp;$R1196)</f>
        <v/>
      </c>
    </row>
    <row r="1197" ht="11.55" customHeight="1">
      <c r="A1197" s="10" t="n">
        <v>46092</v>
      </c>
      <c r="B1197" s="7" t="inlineStr">
        <is>
          <t>Quarta</t>
        </is>
      </c>
      <c r="C1197" s="7" t="inlineStr">
        <is>
          <t>CTS CONCEIÇÃO</t>
        </is>
      </c>
      <c r="D1197" s="7" t="inlineStr">
        <is>
          <t>LEANDRO E SILVESTRE</t>
        </is>
      </c>
      <c r="E1197" s="7" t="inlineStr">
        <is>
          <t>Goiânia Drill</t>
        </is>
      </c>
      <c r="F1197" s="13" t="inlineStr">
        <is>
          <t>Puxe PV 01 a PV 02</t>
        </is>
      </c>
      <c r="G1197" s="7" t="inlineStr">
        <is>
          <t>01</t>
        </is>
      </c>
      <c r="H1197" s="7" t="inlineStr">
        <is>
          <t>02</t>
        </is>
      </c>
      <c r="I1197" s="7" t="inlineStr">
        <is>
          <t>01, 02</t>
        </is>
      </c>
      <c r="J1197" s="7" t="inlineStr">
        <is>
          <t>Puxe</t>
        </is>
      </c>
      <c r="K1197" s="7" t="inlineStr">
        <is>
          <t>Planejamento</t>
        </is>
      </c>
      <c r="L1197" s="16" t="inlineStr">
        <is>
          <t>PDS-Março(1).docx</t>
        </is>
      </c>
      <c r="M1197">
        <f>IF($A1197="","",TEXT($A1197,"mmmm/yyyy"))</f>
        <v/>
      </c>
      <c r="P1197">
        <f>IFERROR(_xludf.XLOOKUP($N1197,Base_Enderecos!$A:$A,Base_Enderecos!$B:$B,""),"")</f>
        <v/>
      </c>
      <c r="Q1197">
        <f>IFERROR(_xludf.XLOOKUP($N1197,Base_Enderecos!$A:$A,Base_Enderecos!$C:$C,""),"")</f>
        <v/>
      </c>
      <c r="R1197">
        <f>IF(OR(ISNUMBER(SEARCH("HDD",$F1197)),ISNUMBER(SEARCH("MND",$F1197)),ISNUMBER(SEARCH("PEAD",$F1197)),ISNUMBER(SEARCH("Puxe",$J1197)),ISNUMBER(SEARCH("Apoio HDD",$F1197))),"MND",IF(OR(ISNUMBER(SEARCH("VCA",$F1197)),ISNUMBER(SEARCH("PVC",$F1197)),ISNUMBER(SEARCH("vca",$J1197)),ISNUMBER(SEARCH("Transformação",$J1197))),"VCA",IF(OR(ISNUMBER(SEARCH("crava",$F1197)),ISNUMBER(SEARCH("tubo cravado",$F1197)),ISNUMBER(SEARCH("shaft",$J1197)),ISNUMBER(SEARCH("concreto",$F1197))),"TUBO CRAVADO","")))</f>
        <v/>
      </c>
      <c r="T1197">
        <f>IF($A1197="","",TEXT($A1197,"yyyymm")&amp;"|"&amp;$C1197&amp;"|"&amp;$F1197&amp;"|"&amp;$N1197&amp;"|"&amp;$R1197)</f>
        <v/>
      </c>
    </row>
    <row r="1198" ht="11.55" customHeight="1">
      <c r="A1198" s="10" t="n">
        <v>46092</v>
      </c>
      <c r="B1198" s="7" t="inlineStr">
        <is>
          <t>Quarta</t>
        </is>
      </c>
      <c r="C1198" s="7" t="inlineStr">
        <is>
          <t>CTS CONCEIÇÃO</t>
        </is>
      </c>
      <c r="D1198" s="7" t="inlineStr">
        <is>
          <t>LEANDRO E SILVESTRE</t>
        </is>
      </c>
      <c r="E1198" s="7" t="inlineStr">
        <is>
          <t>Ricardo</t>
        </is>
      </c>
      <c r="F1198" s="13" t="inlineStr">
        <is>
          <t>Apoio HDD PV 01 a PV 02</t>
        </is>
      </c>
      <c r="G1198" s="7" t="inlineStr">
        <is>
          <t>01</t>
        </is>
      </c>
      <c r="H1198" s="7" t="inlineStr">
        <is>
          <t>02</t>
        </is>
      </c>
      <c r="I1198" s="7" t="inlineStr">
        <is>
          <t>01, 02</t>
        </is>
      </c>
      <c r="J1198" s="7" t="inlineStr">
        <is>
          <t>Apoio HDD</t>
        </is>
      </c>
      <c r="K1198" s="7" t="inlineStr">
        <is>
          <t>Planejamento</t>
        </is>
      </c>
      <c r="L1198" s="16" t="inlineStr">
        <is>
          <t>PDS-Março(1).docx</t>
        </is>
      </c>
      <c r="M1198">
        <f>IF($A1198="","",TEXT($A1198,"mmmm/yyyy"))</f>
        <v/>
      </c>
      <c r="P1198">
        <f>IFERROR(_xludf.XLOOKUP($N1198,Base_Enderecos!$A:$A,Base_Enderecos!$B:$B,""),"")</f>
        <v/>
      </c>
      <c r="Q1198">
        <f>IFERROR(_xludf.XLOOKUP($N1198,Base_Enderecos!$A:$A,Base_Enderecos!$C:$C,""),"")</f>
        <v/>
      </c>
      <c r="R1198">
        <f>IF(OR(ISNUMBER(SEARCH("HDD",$F1198)),ISNUMBER(SEARCH("MND",$F1198)),ISNUMBER(SEARCH("PEAD",$F1198)),ISNUMBER(SEARCH("Puxe",$J1198)),ISNUMBER(SEARCH("Apoio HDD",$F1198))),"MND",IF(OR(ISNUMBER(SEARCH("VCA",$F1198)),ISNUMBER(SEARCH("PVC",$F1198)),ISNUMBER(SEARCH("vca",$J1198)),ISNUMBER(SEARCH("Transformação",$J1198))),"VCA",IF(OR(ISNUMBER(SEARCH("crava",$F1198)),ISNUMBER(SEARCH("tubo cravado",$F1198)),ISNUMBER(SEARCH("shaft",$J1198)),ISNUMBER(SEARCH("concreto",$F1198))),"TUBO CRAVADO","")))</f>
        <v/>
      </c>
      <c r="T1198">
        <f>IF($A1198="","",TEXT($A1198,"yyyymm")&amp;"|"&amp;$C1198&amp;"|"&amp;$F1198&amp;"|"&amp;$N1198&amp;"|"&amp;$R1198)</f>
        <v/>
      </c>
    </row>
    <row r="1199" ht="11.55" customHeight="1">
      <c r="A1199" s="10" t="n">
        <v>46092</v>
      </c>
      <c r="B1199" s="7" t="inlineStr">
        <is>
          <t>Quarta</t>
        </is>
      </c>
      <c r="C1199" s="7" t="inlineStr">
        <is>
          <t>CTS CONCEIÇÃO</t>
        </is>
      </c>
      <c r="D1199" s="7" t="inlineStr">
        <is>
          <t>LEANDRO E SILVESTRE</t>
        </is>
      </c>
      <c r="E1199" s="7" t="inlineStr">
        <is>
          <t>Paulo</t>
        </is>
      </c>
      <c r="F1199" s="13" t="inlineStr">
        <is>
          <t>Shaft PV 02</t>
        </is>
      </c>
      <c r="G1199" s="7" t="inlineStr">
        <is>
          <t>02</t>
        </is>
      </c>
      <c r="H1199" s="7" t="n"/>
      <c r="I1199" s="7" t="inlineStr">
        <is>
          <t>02</t>
        </is>
      </c>
      <c r="J1199" s="7" t="inlineStr">
        <is>
          <t>Shaft</t>
        </is>
      </c>
      <c r="K1199" s="7" t="inlineStr">
        <is>
          <t>Planejamento</t>
        </is>
      </c>
      <c r="L1199" s="16" t="inlineStr">
        <is>
          <t>PDS-Março(1).docx</t>
        </is>
      </c>
      <c r="M1199">
        <f>IF($A1199="","",TEXT($A1199,"mmmm/yyyy"))</f>
        <v/>
      </c>
      <c r="P1199">
        <f>IFERROR(_xludf.XLOOKUP($N1199,Base_Enderecos!$A:$A,Base_Enderecos!$B:$B,""),"")</f>
        <v/>
      </c>
      <c r="Q1199">
        <f>IFERROR(_xludf.XLOOKUP($N1199,Base_Enderecos!$A:$A,Base_Enderecos!$C:$C,""),"")</f>
        <v/>
      </c>
      <c r="R1199">
        <f>IF(OR(ISNUMBER(SEARCH("HDD",$F1199)),ISNUMBER(SEARCH("MND",$F1199)),ISNUMBER(SEARCH("PEAD",$F1199)),ISNUMBER(SEARCH("Puxe",$J1199)),ISNUMBER(SEARCH("Apoio HDD",$F1199))),"MND",IF(OR(ISNUMBER(SEARCH("VCA",$F1199)),ISNUMBER(SEARCH("PVC",$F1199)),ISNUMBER(SEARCH("vca",$J1199)),ISNUMBER(SEARCH("Transformação",$J1199))),"VCA",IF(OR(ISNUMBER(SEARCH("crava",$F1199)),ISNUMBER(SEARCH("tubo cravado",$F1199)),ISNUMBER(SEARCH("shaft",$J1199)),ISNUMBER(SEARCH("concreto",$F1199))),"TUBO CRAVADO","")))</f>
        <v/>
      </c>
      <c r="T1199">
        <f>IF($A1199="","",TEXT($A1199,"yyyymm")&amp;"|"&amp;$C1199&amp;"|"&amp;$F1199&amp;"|"&amp;$N1199&amp;"|"&amp;$R1199)</f>
        <v/>
      </c>
    </row>
    <row r="1200" ht="11.55" customHeight="1">
      <c r="A1200" s="10" t="n">
        <v>46092</v>
      </c>
      <c r="B1200" s="7" t="inlineStr">
        <is>
          <t>Quarta</t>
        </is>
      </c>
      <c r="C1200" s="7" t="inlineStr">
        <is>
          <t>CTS CONCEIÇÃO</t>
        </is>
      </c>
      <c r="D1200" s="7" t="inlineStr">
        <is>
          <t>LEANDRO E SILVESTRE</t>
        </is>
      </c>
      <c r="E1200" s="7" t="inlineStr">
        <is>
          <t>Adilson</t>
        </is>
      </c>
      <c r="F1200" s="13" t="inlineStr">
        <is>
          <t>Shaft PV 04</t>
        </is>
      </c>
      <c r="G1200" s="7" t="inlineStr">
        <is>
          <t>04</t>
        </is>
      </c>
      <c r="H1200" s="7" t="n"/>
      <c r="I1200" s="7" t="inlineStr">
        <is>
          <t>04</t>
        </is>
      </c>
      <c r="J1200" s="7" t="inlineStr">
        <is>
          <t>Shaft</t>
        </is>
      </c>
      <c r="K1200" s="7" t="inlineStr">
        <is>
          <t>Planejamento</t>
        </is>
      </c>
      <c r="L1200" s="16" t="inlineStr">
        <is>
          <t>PDS-Março(1).docx</t>
        </is>
      </c>
      <c r="M1200">
        <f>IF($A1200="","",TEXT($A1200,"mmmm/yyyy"))</f>
        <v/>
      </c>
      <c r="P1200">
        <f>IFERROR(_xludf.XLOOKUP($N1200,Base_Enderecos!$A:$A,Base_Enderecos!$B:$B,""),"")</f>
        <v/>
      </c>
      <c r="Q1200">
        <f>IFERROR(_xludf.XLOOKUP($N1200,Base_Enderecos!$A:$A,Base_Enderecos!$C:$C,""),"")</f>
        <v/>
      </c>
      <c r="R1200">
        <f>IF(OR(ISNUMBER(SEARCH("HDD",$F1200)),ISNUMBER(SEARCH("MND",$F1200)),ISNUMBER(SEARCH("PEAD",$F1200)),ISNUMBER(SEARCH("Puxe",$J1200)),ISNUMBER(SEARCH("Apoio HDD",$F1200))),"MND",IF(OR(ISNUMBER(SEARCH("VCA",$F1200)),ISNUMBER(SEARCH("PVC",$F1200)),ISNUMBER(SEARCH("vca",$J1200)),ISNUMBER(SEARCH("Transformação",$J1200))),"VCA",IF(OR(ISNUMBER(SEARCH("crava",$F1200)),ISNUMBER(SEARCH("tubo cravado",$F1200)),ISNUMBER(SEARCH("shaft",$J1200)),ISNUMBER(SEARCH("concreto",$F1200))),"TUBO CRAVADO","")))</f>
        <v/>
      </c>
      <c r="T1200">
        <f>IF($A1200="","",TEXT($A1200,"yyyymm")&amp;"|"&amp;$C1200&amp;"|"&amp;$F1200&amp;"|"&amp;$N1200&amp;"|"&amp;$R1200)</f>
        <v/>
      </c>
    </row>
    <row r="1201" ht="11.55" customHeight="1">
      <c r="A1201" s="10" t="n">
        <v>46092</v>
      </c>
      <c r="B1201" s="7" t="inlineStr">
        <is>
          <t>Quarta</t>
        </is>
      </c>
      <c r="C1201" s="7" t="inlineStr">
        <is>
          <t>CTS CONCEIÇÃO</t>
        </is>
      </c>
      <c r="D1201" s="7" t="inlineStr">
        <is>
          <t>LEANDRO E SILVESTRE</t>
        </is>
      </c>
      <c r="E1201" s="7" t="inlineStr">
        <is>
          <t>Medeiros</t>
        </is>
      </c>
      <c r="F1201" s="13" t="inlineStr">
        <is>
          <t>Shaft PV 09</t>
        </is>
      </c>
      <c r="G1201" s="7" t="inlineStr">
        <is>
          <t>09</t>
        </is>
      </c>
      <c r="H1201" s="7" t="n"/>
      <c r="I1201" s="7" t="inlineStr">
        <is>
          <t>09</t>
        </is>
      </c>
      <c r="J1201" s="7" t="inlineStr">
        <is>
          <t>Shaft</t>
        </is>
      </c>
      <c r="K1201" s="7" t="inlineStr">
        <is>
          <t>Planejamento</t>
        </is>
      </c>
      <c r="L1201" s="16" t="inlineStr">
        <is>
          <t>PDS-Março(1).docx</t>
        </is>
      </c>
      <c r="M1201">
        <f>IF($A1201="","",TEXT($A1201,"mmmm/yyyy"))</f>
        <v/>
      </c>
      <c r="P1201">
        <f>IFERROR(_xludf.XLOOKUP($N1201,Base_Enderecos!$A:$A,Base_Enderecos!$B:$B,""),"")</f>
        <v/>
      </c>
      <c r="Q1201">
        <f>IFERROR(_xludf.XLOOKUP($N1201,Base_Enderecos!$A:$A,Base_Enderecos!$C:$C,""),"")</f>
        <v/>
      </c>
      <c r="R1201">
        <f>IF(OR(ISNUMBER(SEARCH("HDD",$F1201)),ISNUMBER(SEARCH("MND",$F1201)),ISNUMBER(SEARCH("PEAD",$F1201)),ISNUMBER(SEARCH("Puxe",$J1201)),ISNUMBER(SEARCH("Apoio HDD",$F1201))),"MND",IF(OR(ISNUMBER(SEARCH("VCA",$F1201)),ISNUMBER(SEARCH("PVC",$F1201)),ISNUMBER(SEARCH("vca",$J1201)),ISNUMBER(SEARCH("Transformação",$J1201))),"VCA",IF(OR(ISNUMBER(SEARCH("crava",$F1201)),ISNUMBER(SEARCH("tubo cravado",$F1201)),ISNUMBER(SEARCH("shaft",$J1201)),ISNUMBER(SEARCH("concreto",$F1201))),"TUBO CRAVADO","")))</f>
        <v/>
      </c>
      <c r="T1201">
        <f>IF($A1201="","",TEXT($A1201,"yyyymm")&amp;"|"&amp;$C1201&amp;"|"&amp;$F1201&amp;"|"&amp;$N1201&amp;"|"&amp;$R1201)</f>
        <v/>
      </c>
    </row>
    <row r="1202" ht="11.55" customHeight="1">
      <c r="A1202" s="10" t="n">
        <v>46092</v>
      </c>
      <c r="B1202" s="7" t="inlineStr">
        <is>
          <t>Quarta</t>
        </is>
      </c>
      <c r="C1202" s="7" t="inlineStr">
        <is>
          <t>CTS CONCEIÇÃO</t>
        </is>
      </c>
      <c r="D1202" s="7" t="inlineStr">
        <is>
          <t>LEANDRO E SILVESTRE</t>
        </is>
      </c>
      <c r="E1202" s="7" t="inlineStr">
        <is>
          <t>Carlos</t>
        </is>
      </c>
      <c r="F1202" s="13" t="inlineStr">
        <is>
          <t>Shaft PV 10</t>
        </is>
      </c>
      <c r="G1202" s="7" t="inlineStr">
        <is>
          <t>10</t>
        </is>
      </c>
      <c r="H1202" s="7" t="n"/>
      <c r="I1202" s="7" t="inlineStr">
        <is>
          <t>10</t>
        </is>
      </c>
      <c r="J1202" s="7" t="inlineStr">
        <is>
          <t>Shaft</t>
        </is>
      </c>
      <c r="K1202" s="7" t="inlineStr">
        <is>
          <t>Planejamento</t>
        </is>
      </c>
      <c r="L1202" s="16" t="inlineStr">
        <is>
          <t>PDS-Março(1).docx</t>
        </is>
      </c>
      <c r="M1202">
        <f>IF($A1202="","",TEXT($A1202,"mmmm/yyyy"))</f>
        <v/>
      </c>
      <c r="P1202">
        <f>IFERROR(_xludf.XLOOKUP($N1202,Base_Enderecos!$A:$A,Base_Enderecos!$B:$B,""),"")</f>
        <v/>
      </c>
      <c r="Q1202">
        <f>IFERROR(_xludf.XLOOKUP($N1202,Base_Enderecos!$A:$A,Base_Enderecos!$C:$C,""),"")</f>
        <v/>
      </c>
      <c r="R1202">
        <f>IF(OR(ISNUMBER(SEARCH("HDD",$F1202)),ISNUMBER(SEARCH("MND",$F1202)),ISNUMBER(SEARCH("PEAD",$F1202)),ISNUMBER(SEARCH("Puxe",$J1202)),ISNUMBER(SEARCH("Apoio HDD",$F1202))),"MND",IF(OR(ISNUMBER(SEARCH("VCA",$F1202)),ISNUMBER(SEARCH("PVC",$F1202)),ISNUMBER(SEARCH("vca",$J1202)),ISNUMBER(SEARCH("Transformação",$J1202))),"VCA",IF(OR(ISNUMBER(SEARCH("crava",$F1202)),ISNUMBER(SEARCH("tubo cravado",$F1202)),ISNUMBER(SEARCH("shaft",$J1202)),ISNUMBER(SEARCH("concreto",$F1202))),"TUBO CRAVADO","")))</f>
        <v/>
      </c>
      <c r="T1202">
        <f>IF($A1202="","",TEXT($A1202,"yyyymm")&amp;"|"&amp;$C1202&amp;"|"&amp;$F1202&amp;"|"&amp;$N1202&amp;"|"&amp;$R1202)</f>
        <v/>
      </c>
    </row>
    <row r="1203" ht="11.55" customHeight="1">
      <c r="A1203" s="10" t="n">
        <v>46092</v>
      </c>
      <c r="B1203" s="7" t="inlineStr">
        <is>
          <t>Quarta</t>
        </is>
      </c>
      <c r="C1203" s="7" t="inlineStr">
        <is>
          <t>RCE ARARIBA</t>
        </is>
      </c>
      <c r="D1203" s="7" t="n"/>
      <c r="E1203" s="7" t="inlineStr">
        <is>
          <t>Sergio</t>
        </is>
      </c>
      <c r="F1203" s="13" t="inlineStr">
        <is>
          <t>Adequação PV 10</t>
        </is>
      </c>
      <c r="G1203" s="7" t="inlineStr">
        <is>
          <t>10</t>
        </is>
      </c>
      <c r="H1203" s="7" t="n"/>
      <c r="I1203" s="7" t="inlineStr">
        <is>
          <t>10</t>
        </is>
      </c>
      <c r="J1203" s="7" t="inlineStr">
        <is>
          <t>Adequação</t>
        </is>
      </c>
      <c r="K1203" s="7" t="inlineStr">
        <is>
          <t>Planejamento</t>
        </is>
      </c>
      <c r="L1203" s="16" t="inlineStr">
        <is>
          <t>PDS-Março(1).docx</t>
        </is>
      </c>
      <c r="M1203">
        <f>IF($A1203="","",TEXT($A1203,"mmmm/yyyy"))</f>
        <v/>
      </c>
      <c r="P1203">
        <f>IFERROR(_xludf.XLOOKUP($N1203,Base_Enderecos!$A:$A,Base_Enderecos!$B:$B,""),"")</f>
        <v/>
      </c>
      <c r="Q1203">
        <f>IFERROR(_xludf.XLOOKUP($N1203,Base_Enderecos!$A:$A,Base_Enderecos!$C:$C,""),"")</f>
        <v/>
      </c>
      <c r="R1203">
        <f>IF(OR(ISNUMBER(SEARCH("HDD",$F1203)),ISNUMBER(SEARCH("MND",$F1203)),ISNUMBER(SEARCH("PEAD",$F1203)),ISNUMBER(SEARCH("Puxe",$J1203)),ISNUMBER(SEARCH("Apoio HDD",$F1203))),"MND",IF(OR(ISNUMBER(SEARCH("VCA",$F1203)),ISNUMBER(SEARCH("PVC",$F1203)),ISNUMBER(SEARCH("vca",$J1203)),ISNUMBER(SEARCH("Transformação",$J1203))),"VCA",IF(OR(ISNUMBER(SEARCH("crava",$F1203)),ISNUMBER(SEARCH("tubo cravado",$F1203)),ISNUMBER(SEARCH("shaft",$J1203)),ISNUMBER(SEARCH("concreto",$F1203))),"TUBO CRAVADO","")))</f>
        <v/>
      </c>
      <c r="T1203">
        <f>IF($A1203="","",TEXT($A1203,"yyyymm")&amp;"|"&amp;$C1203&amp;"|"&amp;$F1203&amp;"|"&amp;$N1203&amp;"|"&amp;$R1203)</f>
        <v/>
      </c>
    </row>
    <row r="1204" ht="11.55" customHeight="1">
      <c r="A1204" s="10" t="n">
        <v>46092</v>
      </c>
      <c r="B1204" s="7" t="inlineStr">
        <is>
          <t>Quarta</t>
        </is>
      </c>
      <c r="C1204" s="7" t="inlineStr">
        <is>
          <t>CT LUIZ BOTELHO MOURÃO</t>
        </is>
      </c>
      <c r="D1204" s="7" t="inlineStr">
        <is>
          <t>ROBSON</t>
        </is>
      </c>
      <c r="E1204" s="7" t="inlineStr">
        <is>
          <t>Valter</t>
        </is>
      </c>
      <c r="F1204" s="13" t="inlineStr">
        <is>
          <t>Shaft PV 01</t>
        </is>
      </c>
      <c r="G1204" s="7" t="inlineStr">
        <is>
          <t>01</t>
        </is>
      </c>
      <c r="H1204" s="7" t="n"/>
      <c r="I1204" s="7" t="inlineStr">
        <is>
          <t>01</t>
        </is>
      </c>
      <c r="J1204" s="7" t="inlineStr">
        <is>
          <t>Shaft</t>
        </is>
      </c>
      <c r="K1204" s="7" t="inlineStr">
        <is>
          <t>Planejamento</t>
        </is>
      </c>
      <c r="L1204" s="16" t="inlineStr">
        <is>
          <t>PDS-Março(1).docx</t>
        </is>
      </c>
      <c r="M1204">
        <f>IF($A1204="","",TEXT($A1204,"mmmm/yyyy"))</f>
        <v/>
      </c>
      <c r="P1204">
        <f>IFERROR(_xludf.XLOOKUP($N1204,Base_Enderecos!$A:$A,Base_Enderecos!$B:$B,""),"")</f>
        <v/>
      </c>
      <c r="Q1204">
        <f>IFERROR(_xludf.XLOOKUP($N1204,Base_Enderecos!$A:$A,Base_Enderecos!$C:$C,""),"")</f>
        <v/>
      </c>
      <c r="R1204">
        <f>IF(OR(ISNUMBER(SEARCH("HDD",$F1204)),ISNUMBER(SEARCH("MND",$F1204)),ISNUMBER(SEARCH("PEAD",$F1204)),ISNUMBER(SEARCH("Puxe",$J1204)),ISNUMBER(SEARCH("Apoio HDD",$F1204))),"MND",IF(OR(ISNUMBER(SEARCH("VCA",$F1204)),ISNUMBER(SEARCH("PVC",$F1204)),ISNUMBER(SEARCH("vca",$J1204)),ISNUMBER(SEARCH("Transformação",$J1204))),"VCA",IF(OR(ISNUMBER(SEARCH("crava",$F1204)),ISNUMBER(SEARCH("tubo cravado",$F1204)),ISNUMBER(SEARCH("shaft",$J1204)),ISNUMBER(SEARCH("concreto",$F1204))),"TUBO CRAVADO","")))</f>
        <v/>
      </c>
      <c r="T1204">
        <f>IF($A1204="","",TEXT($A1204,"yyyymm")&amp;"|"&amp;$C1204&amp;"|"&amp;$F1204&amp;"|"&amp;$N1204&amp;"|"&amp;$R1204)</f>
        <v/>
      </c>
    </row>
    <row r="1205" ht="11.55" customHeight="1">
      <c r="A1205" s="10" t="n">
        <v>46092</v>
      </c>
      <c r="B1205" s="7" t="inlineStr">
        <is>
          <t>Quarta</t>
        </is>
      </c>
      <c r="C1205" s="7" t="inlineStr">
        <is>
          <t>CT ÁGUA VERMELHA M.D</t>
        </is>
      </c>
      <c r="D1205" s="7" t="inlineStr">
        <is>
          <t>FABIO E VALMIR</t>
        </is>
      </c>
      <c r="E1205" s="7" t="inlineStr">
        <is>
          <t>Antonio</t>
        </is>
      </c>
      <c r="F1205" s="13" t="inlineStr">
        <is>
          <t>Transformação PVD 04</t>
        </is>
      </c>
      <c r="G1205" s="7" t="inlineStr">
        <is>
          <t>04</t>
        </is>
      </c>
      <c r="H1205" s="7" t="n"/>
      <c r="I1205" s="7" t="inlineStr">
        <is>
          <t>04</t>
        </is>
      </c>
      <c r="J1205" s="7" t="inlineStr">
        <is>
          <t>Transformação</t>
        </is>
      </c>
      <c r="K1205" s="7" t="inlineStr">
        <is>
          <t>Planejamento</t>
        </is>
      </c>
      <c r="L1205" s="16" t="inlineStr">
        <is>
          <t>PDS-Março(1).docx</t>
        </is>
      </c>
      <c r="M1205">
        <f>IF($A1205="","",TEXT($A1205,"mmmm/yyyy"))</f>
        <v/>
      </c>
      <c r="P1205">
        <f>IFERROR(_xludf.XLOOKUP($N1205,Base_Enderecos!$A:$A,Base_Enderecos!$B:$B,""),"")</f>
        <v/>
      </c>
      <c r="Q1205">
        <f>IFERROR(_xludf.XLOOKUP($N1205,Base_Enderecos!$A:$A,Base_Enderecos!$C:$C,""),"")</f>
        <v/>
      </c>
      <c r="R1205">
        <f>IF(OR(ISNUMBER(SEARCH("HDD",$F1205)),ISNUMBER(SEARCH("MND",$F1205)),ISNUMBER(SEARCH("PEAD",$F1205)),ISNUMBER(SEARCH("Puxe",$J1205)),ISNUMBER(SEARCH("Apoio HDD",$F1205))),"MND",IF(OR(ISNUMBER(SEARCH("VCA",$F1205)),ISNUMBER(SEARCH("PVC",$F1205)),ISNUMBER(SEARCH("vca",$J1205)),ISNUMBER(SEARCH("Transformação",$J1205))),"VCA",IF(OR(ISNUMBER(SEARCH("crava",$F1205)),ISNUMBER(SEARCH("tubo cravado",$F1205)),ISNUMBER(SEARCH("shaft",$J1205)),ISNUMBER(SEARCH("concreto",$F1205))),"TUBO CRAVADO","")))</f>
        <v/>
      </c>
      <c r="T1205">
        <f>IF($A1205="","",TEXT($A1205,"yyyymm")&amp;"|"&amp;$C1205&amp;"|"&amp;$F1205&amp;"|"&amp;$N1205&amp;"|"&amp;$R1205)</f>
        <v/>
      </c>
    </row>
    <row r="1206" ht="11.55" customHeight="1">
      <c r="A1206" s="10" t="n">
        <v>46092</v>
      </c>
      <c r="B1206" s="7" t="inlineStr">
        <is>
          <t>Quarta</t>
        </is>
      </c>
      <c r="C1206" s="7" t="inlineStr">
        <is>
          <t>CT ÁGUA VERMELHA M.D</t>
        </is>
      </c>
      <c r="D1206" s="7" t="inlineStr">
        <is>
          <t>FABIO E VALMIR</t>
        </is>
      </c>
      <c r="E1206" s="7" t="inlineStr">
        <is>
          <t>Jhonatan</t>
        </is>
      </c>
      <c r="F1206" s="13" t="inlineStr">
        <is>
          <t>Transformação PVD 05</t>
        </is>
      </c>
      <c r="G1206" s="7" t="inlineStr">
        <is>
          <t>05</t>
        </is>
      </c>
      <c r="H1206" s="7" t="n"/>
      <c r="I1206" s="7" t="inlineStr">
        <is>
          <t>05</t>
        </is>
      </c>
      <c r="J1206" s="7" t="inlineStr">
        <is>
          <t>Transformação</t>
        </is>
      </c>
      <c r="K1206" s="7" t="inlineStr">
        <is>
          <t>Planejamento</t>
        </is>
      </c>
      <c r="L1206" s="16" t="inlineStr">
        <is>
          <t>PDS-Março(1).docx</t>
        </is>
      </c>
      <c r="M1206">
        <f>IF($A1206="","",TEXT($A1206,"mmmm/yyyy"))</f>
        <v/>
      </c>
      <c r="P1206">
        <f>IFERROR(_xludf.XLOOKUP($N1206,Base_Enderecos!$A:$A,Base_Enderecos!$B:$B,""),"")</f>
        <v/>
      </c>
      <c r="Q1206">
        <f>IFERROR(_xludf.XLOOKUP($N1206,Base_Enderecos!$A:$A,Base_Enderecos!$C:$C,""),"")</f>
        <v/>
      </c>
      <c r="R1206">
        <f>IF(OR(ISNUMBER(SEARCH("HDD",$F1206)),ISNUMBER(SEARCH("MND",$F1206)),ISNUMBER(SEARCH("PEAD",$F1206)),ISNUMBER(SEARCH("Puxe",$J1206)),ISNUMBER(SEARCH("Apoio HDD",$F1206))),"MND",IF(OR(ISNUMBER(SEARCH("VCA",$F1206)),ISNUMBER(SEARCH("PVC",$F1206)),ISNUMBER(SEARCH("vca",$J1206)),ISNUMBER(SEARCH("Transformação",$J1206))),"VCA",IF(OR(ISNUMBER(SEARCH("crava",$F1206)),ISNUMBER(SEARCH("tubo cravado",$F1206)),ISNUMBER(SEARCH("shaft",$J1206)),ISNUMBER(SEARCH("concreto",$F1206))),"TUBO CRAVADO","")))</f>
        <v/>
      </c>
      <c r="T1206">
        <f>IF($A1206="","",TEXT($A1206,"yyyymm")&amp;"|"&amp;$C1206&amp;"|"&amp;$F1206&amp;"|"&amp;$N1206&amp;"|"&amp;$R1206)</f>
        <v/>
      </c>
    </row>
    <row r="1207" ht="11.55" customHeight="1">
      <c r="A1207" s="10" t="n">
        <v>46092</v>
      </c>
      <c r="B1207" s="7" t="inlineStr">
        <is>
          <t>Quarta</t>
        </is>
      </c>
      <c r="C1207" s="7" t="inlineStr">
        <is>
          <t>CT ÁGUA VERMELHA M.D</t>
        </is>
      </c>
      <c r="D1207" s="7" t="inlineStr">
        <is>
          <t>FABIO E VALMIR</t>
        </is>
      </c>
      <c r="E1207" s="7" t="inlineStr">
        <is>
          <t>Cesar</t>
        </is>
      </c>
      <c r="F1207" s="13" t="inlineStr">
        <is>
          <t>Transformação PVD 07</t>
        </is>
      </c>
      <c r="G1207" s="7" t="inlineStr">
        <is>
          <t>07</t>
        </is>
      </c>
      <c r="H1207" s="7" t="n"/>
      <c r="I1207" s="7" t="inlineStr">
        <is>
          <t>07</t>
        </is>
      </c>
      <c r="J1207" s="7" t="inlineStr">
        <is>
          <t>Transformação</t>
        </is>
      </c>
      <c r="K1207" s="7" t="inlineStr">
        <is>
          <t>Planejamento</t>
        </is>
      </c>
      <c r="L1207" s="16" t="inlineStr">
        <is>
          <t>PDS-Março(1).docx</t>
        </is>
      </c>
      <c r="M1207">
        <f>IF($A1207="","",TEXT($A1207,"mmmm/yyyy"))</f>
        <v/>
      </c>
      <c r="P1207">
        <f>IFERROR(_xludf.XLOOKUP($N1207,Base_Enderecos!$A:$A,Base_Enderecos!$B:$B,""),"")</f>
        <v/>
      </c>
      <c r="Q1207">
        <f>IFERROR(_xludf.XLOOKUP($N1207,Base_Enderecos!$A:$A,Base_Enderecos!$C:$C,""),"")</f>
        <v/>
      </c>
      <c r="R1207">
        <f>IF(OR(ISNUMBER(SEARCH("HDD",$F1207)),ISNUMBER(SEARCH("MND",$F1207)),ISNUMBER(SEARCH("PEAD",$F1207)),ISNUMBER(SEARCH("Puxe",$J1207)),ISNUMBER(SEARCH("Apoio HDD",$F1207))),"MND",IF(OR(ISNUMBER(SEARCH("VCA",$F1207)),ISNUMBER(SEARCH("PVC",$F1207)),ISNUMBER(SEARCH("vca",$J1207)),ISNUMBER(SEARCH("Transformação",$J1207))),"VCA",IF(OR(ISNUMBER(SEARCH("crava",$F1207)),ISNUMBER(SEARCH("tubo cravado",$F1207)),ISNUMBER(SEARCH("shaft",$J1207)),ISNUMBER(SEARCH("concreto",$F1207))),"TUBO CRAVADO","")))</f>
        <v/>
      </c>
      <c r="T1207">
        <f>IF($A1207="","",TEXT($A1207,"yyyymm")&amp;"|"&amp;$C1207&amp;"|"&amp;$F1207&amp;"|"&amp;$N1207&amp;"|"&amp;$R1207)</f>
        <v/>
      </c>
    </row>
    <row r="1208" ht="11.55" customHeight="1">
      <c r="A1208" s="10" t="n">
        <v>46092</v>
      </c>
      <c r="B1208" s="7" t="inlineStr">
        <is>
          <t>Quarta</t>
        </is>
      </c>
      <c r="C1208" s="7" t="inlineStr">
        <is>
          <t>CT ÁGUA VERMELHA M.E</t>
        </is>
      </c>
      <c r="D1208" s="7" t="inlineStr">
        <is>
          <t>FABIO E VALMIR</t>
        </is>
      </c>
      <c r="E1208" s="7" t="inlineStr">
        <is>
          <t>WJ 02</t>
        </is>
      </c>
      <c r="F1208" s="13" t="inlineStr">
        <is>
          <t>Piloto e Puxe PVE 11 ao 12</t>
        </is>
      </c>
      <c r="G1208" s="7" t="inlineStr">
        <is>
          <t>11</t>
        </is>
      </c>
      <c r="H1208" s="7" t="n"/>
      <c r="I1208" s="7" t="inlineStr">
        <is>
          <t>11</t>
        </is>
      </c>
      <c r="J1208" s="7" t="inlineStr">
        <is>
          <t>Piloto e puxe</t>
        </is>
      </c>
      <c r="K1208" s="7" t="inlineStr">
        <is>
          <t>Planejamento</t>
        </is>
      </c>
      <c r="L1208" s="16" t="inlineStr">
        <is>
          <t>PDS-Março(1).docx</t>
        </is>
      </c>
      <c r="M1208">
        <f>IF($A1208="","",TEXT($A1208,"mmmm/yyyy"))</f>
        <v/>
      </c>
      <c r="P1208">
        <f>IFERROR(_xludf.XLOOKUP($N1208,Base_Enderecos!$A:$A,Base_Enderecos!$B:$B,""),"")</f>
        <v/>
      </c>
      <c r="Q1208">
        <f>IFERROR(_xludf.XLOOKUP($N1208,Base_Enderecos!$A:$A,Base_Enderecos!$C:$C,""),"")</f>
        <v/>
      </c>
      <c r="R1208">
        <f>IF(OR(ISNUMBER(SEARCH("HDD",$F1208)),ISNUMBER(SEARCH("MND",$F1208)),ISNUMBER(SEARCH("PEAD",$F1208)),ISNUMBER(SEARCH("Puxe",$J1208)),ISNUMBER(SEARCH("Apoio HDD",$F1208))),"MND",IF(OR(ISNUMBER(SEARCH("VCA",$F1208)),ISNUMBER(SEARCH("PVC",$F1208)),ISNUMBER(SEARCH("vca",$J1208)),ISNUMBER(SEARCH("Transformação",$J1208))),"VCA",IF(OR(ISNUMBER(SEARCH("crava",$F1208)),ISNUMBER(SEARCH("tubo cravado",$F1208)),ISNUMBER(SEARCH("shaft",$J1208)),ISNUMBER(SEARCH("concreto",$F1208))),"TUBO CRAVADO","")))</f>
        <v/>
      </c>
      <c r="T1208">
        <f>IF($A1208="","",TEXT($A1208,"yyyymm")&amp;"|"&amp;$C1208&amp;"|"&amp;$F1208&amp;"|"&amp;$N1208&amp;"|"&amp;$R1208)</f>
        <v/>
      </c>
    </row>
    <row r="1209" ht="11.55" customHeight="1">
      <c r="A1209" s="10" t="n">
        <v>46092</v>
      </c>
      <c r="B1209" s="7" t="inlineStr">
        <is>
          <t>Quarta</t>
        </is>
      </c>
      <c r="C1209" s="7" t="inlineStr">
        <is>
          <t>CT ÁGUA VERMELHA M.E</t>
        </is>
      </c>
      <c r="D1209" s="7" t="inlineStr">
        <is>
          <t>FABIO E VALMIR</t>
        </is>
      </c>
      <c r="E1209" s="7" t="inlineStr">
        <is>
          <t>Marcio</t>
        </is>
      </c>
      <c r="F1209" s="13" t="inlineStr">
        <is>
          <t>Apoio HDD PVE 11 ao 12</t>
        </is>
      </c>
      <c r="G1209" s="7" t="inlineStr">
        <is>
          <t>11</t>
        </is>
      </c>
      <c r="H1209" s="7" t="n"/>
      <c r="I1209" s="7" t="inlineStr">
        <is>
          <t>11</t>
        </is>
      </c>
      <c r="J1209" s="7" t="inlineStr">
        <is>
          <t>Apoio HDD</t>
        </is>
      </c>
      <c r="K1209" s="7" t="inlineStr">
        <is>
          <t>Planejamento</t>
        </is>
      </c>
      <c r="L1209" s="16" t="inlineStr">
        <is>
          <t>PDS-Março(1).docx</t>
        </is>
      </c>
      <c r="M1209">
        <f>IF($A1209="","",TEXT($A1209,"mmmm/yyyy"))</f>
        <v/>
      </c>
      <c r="P1209">
        <f>IFERROR(_xludf.XLOOKUP($N1209,Base_Enderecos!$A:$A,Base_Enderecos!$B:$B,""),"")</f>
        <v/>
      </c>
      <c r="Q1209">
        <f>IFERROR(_xludf.XLOOKUP($N1209,Base_Enderecos!$A:$A,Base_Enderecos!$C:$C,""),"")</f>
        <v/>
      </c>
      <c r="R1209">
        <f>IF(OR(ISNUMBER(SEARCH("HDD",$F1209)),ISNUMBER(SEARCH("MND",$F1209)),ISNUMBER(SEARCH("PEAD",$F1209)),ISNUMBER(SEARCH("Puxe",$J1209)),ISNUMBER(SEARCH("Apoio HDD",$F1209))),"MND",IF(OR(ISNUMBER(SEARCH("VCA",$F1209)),ISNUMBER(SEARCH("PVC",$F1209)),ISNUMBER(SEARCH("vca",$J1209)),ISNUMBER(SEARCH("Transformação",$J1209))),"VCA",IF(OR(ISNUMBER(SEARCH("crava",$F1209)),ISNUMBER(SEARCH("tubo cravado",$F1209)),ISNUMBER(SEARCH("shaft",$J1209)),ISNUMBER(SEARCH("concreto",$F1209))),"TUBO CRAVADO","")))</f>
        <v/>
      </c>
      <c r="T1209">
        <f>IF($A1209="","",TEXT($A1209,"yyyymm")&amp;"|"&amp;$C1209&amp;"|"&amp;$F1209&amp;"|"&amp;$N1209&amp;"|"&amp;$R1209)</f>
        <v/>
      </c>
    </row>
    <row r="1210" ht="11.55" customHeight="1">
      <c r="A1210" s="10" t="n">
        <v>46092</v>
      </c>
      <c r="B1210" s="7" t="inlineStr">
        <is>
          <t>Quarta</t>
        </is>
      </c>
      <c r="C1210" s="7" t="inlineStr">
        <is>
          <t>CT ÁGUA VERMELHA M.E</t>
        </is>
      </c>
      <c r="D1210" s="7" t="inlineStr">
        <is>
          <t>FABIO E VALMIR</t>
        </is>
      </c>
      <c r="E1210" s="7" t="inlineStr">
        <is>
          <t>Edvando</t>
        </is>
      </c>
      <c r="F1210" s="13" t="inlineStr">
        <is>
          <t>Transformação 25</t>
        </is>
      </c>
      <c r="G1210" s="7" t="n"/>
      <c r="H1210" s="7" t="n"/>
      <c r="I1210" s="7" t="n"/>
      <c r="J1210" s="7" t="inlineStr">
        <is>
          <t>Transformação</t>
        </is>
      </c>
      <c r="K1210" s="7" t="inlineStr">
        <is>
          <t>Planejamento</t>
        </is>
      </c>
      <c r="L1210" s="16" t="inlineStr">
        <is>
          <t>PDS-Março(1).docx</t>
        </is>
      </c>
      <c r="M1210">
        <f>IF($A1210="","",TEXT($A1210,"mmmm/yyyy"))</f>
        <v/>
      </c>
      <c r="P1210">
        <f>IFERROR(_xludf.XLOOKUP($N1210,Base_Enderecos!$A:$A,Base_Enderecos!$B:$B,""),"")</f>
        <v/>
      </c>
      <c r="Q1210">
        <f>IFERROR(_xludf.XLOOKUP($N1210,Base_Enderecos!$A:$A,Base_Enderecos!$C:$C,""),"")</f>
        <v/>
      </c>
      <c r="R1210">
        <f>IF(OR(ISNUMBER(SEARCH("HDD",$F1210)),ISNUMBER(SEARCH("MND",$F1210)),ISNUMBER(SEARCH("PEAD",$F1210)),ISNUMBER(SEARCH("Puxe",$J1210)),ISNUMBER(SEARCH("Apoio HDD",$F1210))),"MND",IF(OR(ISNUMBER(SEARCH("VCA",$F1210)),ISNUMBER(SEARCH("PVC",$F1210)),ISNUMBER(SEARCH("vca",$J1210)),ISNUMBER(SEARCH("Transformação",$J1210))),"VCA",IF(OR(ISNUMBER(SEARCH("crava",$F1210)),ISNUMBER(SEARCH("tubo cravado",$F1210)),ISNUMBER(SEARCH("shaft",$J1210)),ISNUMBER(SEARCH("concreto",$F1210))),"TUBO CRAVADO","")))</f>
        <v/>
      </c>
      <c r="T1210">
        <f>IF($A1210="","",TEXT($A1210,"yyyymm")&amp;"|"&amp;$C1210&amp;"|"&amp;$F1210&amp;"|"&amp;$N1210&amp;"|"&amp;$R1210)</f>
        <v/>
      </c>
    </row>
    <row r="1211" ht="11.55" customHeight="1">
      <c r="A1211" s="10" t="n">
        <v>46092</v>
      </c>
      <c r="B1211" s="7" t="inlineStr">
        <is>
          <t>Quarta</t>
        </is>
      </c>
      <c r="C1211" s="7" t="inlineStr">
        <is>
          <t>CT ÁGUA VERMELHA M.E</t>
        </is>
      </c>
      <c r="D1211" s="7" t="inlineStr">
        <is>
          <t>FABIO E VALMIR</t>
        </is>
      </c>
      <c r="E1211" s="7" t="inlineStr">
        <is>
          <t>Cidão</t>
        </is>
      </c>
      <c r="F1211" s="13" t="inlineStr">
        <is>
          <t>Transformação PVE 18</t>
        </is>
      </c>
      <c r="G1211" s="7" t="inlineStr">
        <is>
          <t>18</t>
        </is>
      </c>
      <c r="H1211" s="7" t="n"/>
      <c r="I1211" s="7" t="inlineStr">
        <is>
          <t>18</t>
        </is>
      </c>
      <c r="J1211" s="7" t="inlineStr">
        <is>
          <t>Transformação</t>
        </is>
      </c>
      <c r="K1211" s="7" t="inlineStr">
        <is>
          <t>Planejamento</t>
        </is>
      </c>
      <c r="L1211" s="16" t="inlineStr">
        <is>
          <t>PDS-Março(1).docx</t>
        </is>
      </c>
      <c r="M1211">
        <f>IF($A1211="","",TEXT($A1211,"mmmm/yyyy"))</f>
        <v/>
      </c>
      <c r="P1211">
        <f>IFERROR(_xludf.XLOOKUP($N1211,Base_Enderecos!$A:$A,Base_Enderecos!$B:$B,""),"")</f>
        <v/>
      </c>
      <c r="Q1211">
        <f>IFERROR(_xludf.XLOOKUP($N1211,Base_Enderecos!$A:$A,Base_Enderecos!$C:$C,""),"")</f>
        <v/>
      </c>
      <c r="R1211">
        <f>IF(OR(ISNUMBER(SEARCH("HDD",$F1211)),ISNUMBER(SEARCH("MND",$F1211)),ISNUMBER(SEARCH("PEAD",$F1211)),ISNUMBER(SEARCH("Puxe",$J1211)),ISNUMBER(SEARCH("Apoio HDD",$F1211))),"MND",IF(OR(ISNUMBER(SEARCH("VCA",$F1211)),ISNUMBER(SEARCH("PVC",$F1211)),ISNUMBER(SEARCH("vca",$J1211)),ISNUMBER(SEARCH("Transformação",$J1211))),"VCA",IF(OR(ISNUMBER(SEARCH("crava",$F1211)),ISNUMBER(SEARCH("tubo cravado",$F1211)),ISNUMBER(SEARCH("shaft",$J1211)),ISNUMBER(SEARCH("concreto",$F1211))),"TUBO CRAVADO","")))</f>
        <v/>
      </c>
      <c r="T1211">
        <f>IF($A1211="","",TEXT($A1211,"yyyymm")&amp;"|"&amp;$C1211&amp;"|"&amp;$F1211&amp;"|"&amp;$N1211&amp;"|"&amp;$R1211)</f>
        <v/>
      </c>
    </row>
    <row r="1212" ht="11.55" customHeight="1">
      <c r="A1212" s="10" t="n">
        <v>46092</v>
      </c>
      <c r="B1212" s="7" t="inlineStr">
        <is>
          <t>Quarta</t>
        </is>
      </c>
      <c r="C1212" s="7" t="inlineStr">
        <is>
          <t>CT ÁGUA VERMELHA M.E</t>
        </is>
      </c>
      <c r="D1212" s="7" t="inlineStr">
        <is>
          <t>FABIO E VALMIR</t>
        </is>
      </c>
      <c r="E1212" s="7" t="inlineStr">
        <is>
          <t>Marcelo</t>
        </is>
      </c>
      <c r="F1212" s="13" t="inlineStr">
        <is>
          <t>Shaft e Interligação PVE 10</t>
        </is>
      </c>
      <c r="G1212" s="7" t="inlineStr">
        <is>
          <t>10</t>
        </is>
      </c>
      <c r="H1212" s="7" t="n"/>
      <c r="I1212" s="7" t="inlineStr">
        <is>
          <t>10</t>
        </is>
      </c>
      <c r="J1212" s="7" t="inlineStr">
        <is>
          <t>Shaft</t>
        </is>
      </c>
      <c r="K1212" s="7" t="inlineStr">
        <is>
          <t>Planejamento</t>
        </is>
      </c>
      <c r="L1212" s="16" t="inlineStr">
        <is>
          <t>PDS-Março(1).docx</t>
        </is>
      </c>
      <c r="M1212">
        <f>IF($A1212="","",TEXT($A1212,"mmmm/yyyy"))</f>
        <v/>
      </c>
      <c r="P1212">
        <f>IFERROR(_xludf.XLOOKUP($N1212,Base_Enderecos!$A:$A,Base_Enderecos!$B:$B,""),"")</f>
        <v/>
      </c>
      <c r="Q1212">
        <f>IFERROR(_xludf.XLOOKUP($N1212,Base_Enderecos!$A:$A,Base_Enderecos!$C:$C,""),"")</f>
        <v/>
      </c>
      <c r="R1212">
        <f>IF(OR(ISNUMBER(SEARCH("HDD",$F1212)),ISNUMBER(SEARCH("MND",$F1212)),ISNUMBER(SEARCH("PEAD",$F1212)),ISNUMBER(SEARCH("Puxe",$J1212)),ISNUMBER(SEARCH("Apoio HDD",$F1212))),"MND",IF(OR(ISNUMBER(SEARCH("VCA",$F1212)),ISNUMBER(SEARCH("PVC",$F1212)),ISNUMBER(SEARCH("vca",$J1212)),ISNUMBER(SEARCH("Transformação",$J1212))),"VCA",IF(OR(ISNUMBER(SEARCH("crava",$F1212)),ISNUMBER(SEARCH("tubo cravado",$F1212)),ISNUMBER(SEARCH("shaft",$J1212)),ISNUMBER(SEARCH("concreto",$F1212))),"TUBO CRAVADO","")))</f>
        <v/>
      </c>
      <c r="T1212">
        <f>IF($A1212="","",TEXT($A1212,"yyyymm")&amp;"|"&amp;$C1212&amp;"|"&amp;$F1212&amp;"|"&amp;$N1212&amp;"|"&amp;$R1212)</f>
        <v/>
      </c>
    </row>
    <row r="1213" ht="11.55" customHeight="1">
      <c r="A1213" s="10" t="n">
        <v>46092</v>
      </c>
      <c r="B1213" s="7" t="inlineStr">
        <is>
          <t>Quarta</t>
        </is>
      </c>
      <c r="C1213" s="7" t="inlineStr">
        <is>
          <t>CT ÁGUA VERMELHA M.E</t>
        </is>
      </c>
      <c r="D1213" s="7" t="inlineStr">
        <is>
          <t>FABIO E VALMIR</t>
        </is>
      </c>
      <c r="E1213" s="7" t="inlineStr">
        <is>
          <t>Higor</t>
        </is>
      </c>
      <c r="F1213" s="13" t="inlineStr">
        <is>
          <t>Transformação PV 15</t>
        </is>
      </c>
      <c r="G1213" s="7" t="inlineStr">
        <is>
          <t>15</t>
        </is>
      </c>
      <c r="H1213" s="7" t="n"/>
      <c r="I1213" s="7" t="inlineStr">
        <is>
          <t>15</t>
        </is>
      </c>
      <c r="J1213" s="7" t="inlineStr">
        <is>
          <t>Transformação</t>
        </is>
      </c>
      <c r="K1213" s="7" t="inlineStr">
        <is>
          <t>Planejamento</t>
        </is>
      </c>
      <c r="L1213" s="16" t="inlineStr">
        <is>
          <t>PDS-Março(1).docx</t>
        </is>
      </c>
      <c r="M1213">
        <f>IF($A1213="","",TEXT($A1213,"mmmm/yyyy"))</f>
        <v/>
      </c>
      <c r="P1213">
        <f>IFERROR(_xludf.XLOOKUP($N1213,Base_Enderecos!$A:$A,Base_Enderecos!$B:$B,""),"")</f>
        <v/>
      </c>
      <c r="Q1213">
        <f>IFERROR(_xludf.XLOOKUP($N1213,Base_Enderecos!$A:$A,Base_Enderecos!$C:$C,""),"")</f>
        <v/>
      </c>
      <c r="R1213">
        <f>IF(OR(ISNUMBER(SEARCH("HDD",$F1213)),ISNUMBER(SEARCH("MND",$F1213)),ISNUMBER(SEARCH("PEAD",$F1213)),ISNUMBER(SEARCH("Puxe",$J1213)),ISNUMBER(SEARCH("Apoio HDD",$F1213))),"MND",IF(OR(ISNUMBER(SEARCH("VCA",$F1213)),ISNUMBER(SEARCH("PVC",$F1213)),ISNUMBER(SEARCH("vca",$J1213)),ISNUMBER(SEARCH("Transformação",$J1213))),"VCA",IF(OR(ISNUMBER(SEARCH("crava",$F1213)),ISNUMBER(SEARCH("tubo cravado",$F1213)),ISNUMBER(SEARCH("shaft",$J1213)),ISNUMBER(SEARCH("concreto",$F1213))),"TUBO CRAVADO","")))</f>
        <v/>
      </c>
      <c r="T1213">
        <f>IF($A1213="","",TEXT($A1213,"yyyymm")&amp;"|"&amp;$C1213&amp;"|"&amp;$F1213&amp;"|"&amp;$N1213&amp;"|"&amp;$R1213)</f>
        <v/>
      </c>
    </row>
    <row r="1214" ht="11.55" customHeight="1">
      <c r="A1214" s="10" t="n">
        <v>46092</v>
      </c>
      <c r="B1214" s="7" t="inlineStr">
        <is>
          <t>Quarta</t>
        </is>
      </c>
      <c r="C1214" s="7" t="inlineStr">
        <is>
          <t>Vacal</t>
        </is>
      </c>
      <c r="D1214" s="7" t="n"/>
      <c r="E1214" s="7" t="inlineStr">
        <is>
          <t>Conceição</t>
        </is>
      </c>
      <c r="F1214" s="13" t="inlineStr">
        <is>
          <t>Apoio Vacal</t>
        </is>
      </c>
      <c r="G1214" s="7" t="n"/>
      <c r="H1214" s="7" t="n"/>
      <c r="I1214" s="7" t="n"/>
      <c r="J1214" s="7" t="inlineStr">
        <is>
          <t>Vacal</t>
        </is>
      </c>
      <c r="K1214" s="7" t="inlineStr">
        <is>
          <t>Apoio</t>
        </is>
      </c>
      <c r="L1214" s="16" t="inlineStr">
        <is>
          <t>PDS-Março(1).docx</t>
        </is>
      </c>
      <c r="M1214">
        <f>IF($A1214="","",TEXT($A1214,"mmmm/yyyy"))</f>
        <v/>
      </c>
      <c r="P1214">
        <f>IFERROR(_xludf.XLOOKUP($N1214,Base_Enderecos!$A:$A,Base_Enderecos!$B:$B,""),"")</f>
        <v/>
      </c>
      <c r="Q1214">
        <f>IFERROR(_xludf.XLOOKUP($N1214,Base_Enderecos!$A:$A,Base_Enderecos!$C:$C,""),"")</f>
        <v/>
      </c>
      <c r="R1214">
        <f>IF(OR(ISNUMBER(SEARCH("HDD",$F1214)),ISNUMBER(SEARCH("MND",$F1214)),ISNUMBER(SEARCH("PEAD",$F1214)),ISNUMBER(SEARCH("Puxe",$J1214)),ISNUMBER(SEARCH("Apoio HDD",$F1214))),"MND",IF(OR(ISNUMBER(SEARCH("VCA",$F1214)),ISNUMBER(SEARCH("PVC",$F1214)),ISNUMBER(SEARCH("vca",$J1214)),ISNUMBER(SEARCH("Transformação",$J1214))),"VCA",IF(OR(ISNUMBER(SEARCH("crava",$F1214)),ISNUMBER(SEARCH("tubo cravado",$F1214)),ISNUMBER(SEARCH("shaft",$J1214)),ISNUMBER(SEARCH("concreto",$F1214))),"TUBO CRAVADO","")))</f>
        <v/>
      </c>
      <c r="T1214">
        <f>IF($A1214="","",TEXT($A1214,"yyyymm")&amp;"|"&amp;$C1214&amp;"|"&amp;$F1214&amp;"|"&amp;$N1214&amp;"|"&amp;$R1214)</f>
        <v/>
      </c>
    </row>
    <row r="1215" ht="11.55" customHeight="1">
      <c r="A1215" s="10" t="n">
        <v>46092</v>
      </c>
      <c r="B1215" s="7" t="inlineStr">
        <is>
          <t>Quarta</t>
        </is>
      </c>
      <c r="C1215" s="7" t="inlineStr">
        <is>
          <t>Vacal</t>
        </is>
      </c>
      <c r="D1215" s="7" t="n"/>
      <c r="E1215" s="7" t="inlineStr">
        <is>
          <t>Água Vermelha</t>
        </is>
      </c>
      <c r="F1215" s="13" t="inlineStr">
        <is>
          <t>Apoio Vacal</t>
        </is>
      </c>
      <c r="G1215" s="7" t="n"/>
      <c r="H1215" s="7" t="n"/>
      <c r="I1215" s="7" t="n"/>
      <c r="J1215" s="7" t="inlineStr">
        <is>
          <t>Vacal</t>
        </is>
      </c>
      <c r="K1215" s="7" t="inlineStr">
        <is>
          <t>Apoio</t>
        </is>
      </c>
      <c r="L1215" s="16" t="inlineStr">
        <is>
          <t>PDS-Março(1).docx</t>
        </is>
      </c>
      <c r="M1215">
        <f>IF($A1215="","",TEXT($A1215,"mmmm/yyyy"))</f>
        <v/>
      </c>
      <c r="P1215">
        <f>IFERROR(_xludf.XLOOKUP($N1215,Base_Enderecos!$A:$A,Base_Enderecos!$B:$B,""),"")</f>
        <v/>
      </c>
      <c r="Q1215">
        <f>IFERROR(_xludf.XLOOKUP($N1215,Base_Enderecos!$A:$A,Base_Enderecos!$C:$C,""),"")</f>
        <v/>
      </c>
      <c r="R1215">
        <f>IF(OR(ISNUMBER(SEARCH("HDD",$F1215)),ISNUMBER(SEARCH("MND",$F1215)),ISNUMBER(SEARCH("PEAD",$F1215)),ISNUMBER(SEARCH("Puxe",$J1215)),ISNUMBER(SEARCH("Apoio HDD",$F1215))),"MND",IF(OR(ISNUMBER(SEARCH("VCA",$F1215)),ISNUMBER(SEARCH("PVC",$F1215)),ISNUMBER(SEARCH("vca",$J1215)),ISNUMBER(SEARCH("Transformação",$J1215))),"VCA",IF(OR(ISNUMBER(SEARCH("crava",$F1215)),ISNUMBER(SEARCH("tubo cravado",$F1215)),ISNUMBER(SEARCH("shaft",$J1215)),ISNUMBER(SEARCH("concreto",$F1215))),"TUBO CRAVADO","")))</f>
        <v/>
      </c>
      <c r="T1215">
        <f>IF($A1215="","",TEXT($A1215,"yyyymm")&amp;"|"&amp;$C1215&amp;"|"&amp;$F1215&amp;"|"&amp;$N1215&amp;"|"&amp;$R1215)</f>
        <v/>
      </c>
    </row>
    <row r="1216" ht="11.55" customHeight="1">
      <c r="A1216" s="10" t="n">
        <v>46092</v>
      </c>
      <c r="B1216" s="7" t="inlineStr">
        <is>
          <t>Quarta</t>
        </is>
      </c>
      <c r="C1216" s="7" t="inlineStr">
        <is>
          <t>Vacal</t>
        </is>
      </c>
      <c r="D1216" s="7" t="n"/>
      <c r="E1216" s="7" t="inlineStr">
        <is>
          <t>Água Vermelha</t>
        </is>
      </c>
      <c r="F1216" s="13" t="inlineStr">
        <is>
          <t>Apoio Vacal</t>
        </is>
      </c>
      <c r="G1216" s="7" t="n"/>
      <c r="H1216" s="7" t="n"/>
      <c r="I1216" s="7" t="n"/>
      <c r="J1216" s="7" t="inlineStr">
        <is>
          <t>Vacal</t>
        </is>
      </c>
      <c r="K1216" s="7" t="inlineStr">
        <is>
          <t>Apoio</t>
        </is>
      </c>
      <c r="L1216" s="16" t="inlineStr">
        <is>
          <t>PDS-Março(1).docx</t>
        </is>
      </c>
      <c r="M1216">
        <f>IF($A1216="","",TEXT($A1216,"mmmm/yyyy"))</f>
        <v/>
      </c>
      <c r="P1216">
        <f>IFERROR(_xludf.XLOOKUP($N1216,Base_Enderecos!$A:$A,Base_Enderecos!$B:$B,""),"")</f>
        <v/>
      </c>
      <c r="Q1216">
        <f>IFERROR(_xludf.XLOOKUP($N1216,Base_Enderecos!$A:$A,Base_Enderecos!$C:$C,""),"")</f>
        <v/>
      </c>
      <c r="R1216">
        <f>IF(OR(ISNUMBER(SEARCH("HDD",$F1216)),ISNUMBER(SEARCH("MND",$F1216)),ISNUMBER(SEARCH("PEAD",$F1216)),ISNUMBER(SEARCH("Puxe",$J1216)),ISNUMBER(SEARCH("Apoio HDD",$F1216))),"MND",IF(OR(ISNUMBER(SEARCH("VCA",$F1216)),ISNUMBER(SEARCH("PVC",$F1216)),ISNUMBER(SEARCH("vca",$J1216)),ISNUMBER(SEARCH("Transformação",$J1216))),"VCA",IF(OR(ISNUMBER(SEARCH("crava",$F1216)),ISNUMBER(SEARCH("tubo cravado",$F1216)),ISNUMBER(SEARCH("shaft",$J1216)),ISNUMBER(SEARCH("concreto",$F1216))),"TUBO CRAVADO","")))</f>
        <v/>
      </c>
      <c r="T1216">
        <f>IF($A1216="","",TEXT($A1216,"yyyymm")&amp;"|"&amp;$C1216&amp;"|"&amp;$F1216&amp;"|"&amp;$N1216&amp;"|"&amp;$R1216)</f>
        <v/>
      </c>
    </row>
    <row r="1217" ht="11.55" customHeight="1">
      <c r="A1217" s="10" t="n">
        <v>46092</v>
      </c>
      <c r="B1217" s="7" t="inlineStr">
        <is>
          <t>Quarta</t>
        </is>
      </c>
      <c r="C1217" s="7" t="inlineStr">
        <is>
          <t>Vacal</t>
        </is>
      </c>
      <c r="D1217" s="7" t="n"/>
      <c r="E1217" s="7" t="inlineStr">
        <is>
          <t>Água Vermelha</t>
        </is>
      </c>
      <c r="F1217" s="13" t="inlineStr">
        <is>
          <t>Apoio Vacal</t>
        </is>
      </c>
      <c r="G1217" s="7" t="n"/>
      <c r="H1217" s="7" t="n"/>
      <c r="I1217" s="7" t="n"/>
      <c r="J1217" s="7" t="inlineStr">
        <is>
          <t>Vacal</t>
        </is>
      </c>
      <c r="K1217" s="7" t="inlineStr">
        <is>
          <t>Apoio</t>
        </is>
      </c>
      <c r="L1217" s="16" t="inlineStr">
        <is>
          <t>PDS-Março(1).docx</t>
        </is>
      </c>
      <c r="M1217">
        <f>IF($A1217="","",TEXT($A1217,"mmmm/yyyy"))</f>
        <v/>
      </c>
      <c r="P1217">
        <f>IFERROR(_xludf.XLOOKUP($N1217,Base_Enderecos!$A:$A,Base_Enderecos!$B:$B,""),"")</f>
        <v/>
      </c>
      <c r="Q1217">
        <f>IFERROR(_xludf.XLOOKUP($N1217,Base_Enderecos!$A:$A,Base_Enderecos!$C:$C,""),"")</f>
        <v/>
      </c>
      <c r="R1217">
        <f>IF(OR(ISNUMBER(SEARCH("HDD",$F1217)),ISNUMBER(SEARCH("MND",$F1217)),ISNUMBER(SEARCH("PEAD",$F1217)),ISNUMBER(SEARCH("Puxe",$J1217)),ISNUMBER(SEARCH("Apoio HDD",$F1217))),"MND",IF(OR(ISNUMBER(SEARCH("VCA",$F1217)),ISNUMBER(SEARCH("PVC",$F1217)),ISNUMBER(SEARCH("vca",$J1217)),ISNUMBER(SEARCH("Transformação",$J1217))),"VCA",IF(OR(ISNUMBER(SEARCH("crava",$F1217)),ISNUMBER(SEARCH("tubo cravado",$F1217)),ISNUMBER(SEARCH("shaft",$J1217)),ISNUMBER(SEARCH("concreto",$F1217))),"TUBO CRAVADO","")))</f>
        <v/>
      </c>
      <c r="T1217">
        <f>IF($A1217="","",TEXT($A1217,"yyyymm")&amp;"|"&amp;$C1217&amp;"|"&amp;$F1217&amp;"|"&amp;$N1217&amp;"|"&amp;$R1217)</f>
        <v/>
      </c>
    </row>
    <row r="1218" ht="11.55" customHeight="1">
      <c r="A1218" s="10" t="n">
        <v>46092</v>
      </c>
      <c r="B1218" s="7" t="inlineStr">
        <is>
          <t>Quarta</t>
        </is>
      </c>
      <c r="C1218" s="7" t="inlineStr">
        <is>
          <t>Guindauto</t>
        </is>
      </c>
      <c r="D1218" s="7" t="n"/>
      <c r="E1218" s="7" t="inlineStr">
        <is>
          <t>Rodrigo</t>
        </is>
      </c>
      <c r="F1218" s="13" t="inlineStr">
        <is>
          <t>Rodrigo - Apoio as equipes</t>
        </is>
      </c>
      <c r="G1218" s="7" t="n"/>
      <c r="H1218" s="7" t="n"/>
      <c r="I1218" s="7" t="n"/>
      <c r="J1218" s="7" t="inlineStr">
        <is>
          <t>Guindauto</t>
        </is>
      </c>
      <c r="K1218" s="7" t="inlineStr">
        <is>
          <t>Apoio</t>
        </is>
      </c>
      <c r="L1218" s="16" t="inlineStr">
        <is>
          <t>PDS-Março(1).docx</t>
        </is>
      </c>
      <c r="M1218">
        <f>IF($A1218="","",TEXT($A1218,"mmmm/yyyy"))</f>
        <v/>
      </c>
      <c r="P1218">
        <f>IFERROR(_xludf.XLOOKUP($N1218,Base_Enderecos!$A:$A,Base_Enderecos!$B:$B,""),"")</f>
        <v/>
      </c>
      <c r="Q1218">
        <f>IFERROR(_xludf.XLOOKUP($N1218,Base_Enderecos!$A:$A,Base_Enderecos!$C:$C,""),"")</f>
        <v/>
      </c>
      <c r="R1218">
        <f>IF(OR(ISNUMBER(SEARCH("HDD",$F1218)),ISNUMBER(SEARCH("MND",$F1218)),ISNUMBER(SEARCH("PEAD",$F1218)),ISNUMBER(SEARCH("Puxe",$J1218)),ISNUMBER(SEARCH("Apoio HDD",$F1218))),"MND",IF(OR(ISNUMBER(SEARCH("VCA",$F1218)),ISNUMBER(SEARCH("PVC",$F1218)),ISNUMBER(SEARCH("vca",$J1218)),ISNUMBER(SEARCH("Transformação",$J1218))),"VCA",IF(OR(ISNUMBER(SEARCH("crava",$F1218)),ISNUMBER(SEARCH("tubo cravado",$F1218)),ISNUMBER(SEARCH("shaft",$J1218)),ISNUMBER(SEARCH("concreto",$F1218))),"TUBO CRAVADO","")))</f>
        <v/>
      </c>
      <c r="T1218">
        <f>IF($A1218="","",TEXT($A1218,"yyyymm")&amp;"|"&amp;$C1218&amp;"|"&amp;$F1218&amp;"|"&amp;$N1218&amp;"|"&amp;$R1218)</f>
        <v/>
      </c>
    </row>
    <row r="1219" ht="11.55" customHeight="1">
      <c r="A1219" s="10" t="n">
        <v>46092</v>
      </c>
      <c r="B1219" s="7" t="inlineStr">
        <is>
          <t>Quarta</t>
        </is>
      </c>
      <c r="C1219" s="7" t="inlineStr">
        <is>
          <t>Guindauto</t>
        </is>
      </c>
      <c r="D1219" s="7" t="n"/>
      <c r="E1219" s="7" t="inlineStr">
        <is>
          <t>Marcio</t>
        </is>
      </c>
      <c r="F1219" s="13" t="inlineStr">
        <is>
          <t>Marcio - Apoio as equipes</t>
        </is>
      </c>
      <c r="G1219" s="7" t="n"/>
      <c r="H1219" s="7" t="n"/>
      <c r="I1219" s="7" t="n"/>
      <c r="J1219" s="7" t="inlineStr">
        <is>
          <t>Guindauto</t>
        </is>
      </c>
      <c r="K1219" s="7" t="inlineStr">
        <is>
          <t>Apoio</t>
        </is>
      </c>
      <c r="L1219" s="16" t="inlineStr">
        <is>
          <t>PDS-Março(1).docx</t>
        </is>
      </c>
      <c r="M1219">
        <f>IF($A1219="","",TEXT($A1219,"mmmm/yyyy"))</f>
        <v/>
      </c>
      <c r="P1219">
        <f>IFERROR(_xludf.XLOOKUP($N1219,Base_Enderecos!$A:$A,Base_Enderecos!$B:$B,""),"")</f>
        <v/>
      </c>
      <c r="Q1219">
        <f>IFERROR(_xludf.XLOOKUP($N1219,Base_Enderecos!$A:$A,Base_Enderecos!$C:$C,""),"")</f>
        <v/>
      </c>
      <c r="R1219">
        <f>IF(OR(ISNUMBER(SEARCH("HDD",$F1219)),ISNUMBER(SEARCH("MND",$F1219)),ISNUMBER(SEARCH("PEAD",$F1219)),ISNUMBER(SEARCH("Puxe",$J1219)),ISNUMBER(SEARCH("Apoio HDD",$F1219))),"MND",IF(OR(ISNUMBER(SEARCH("VCA",$F1219)),ISNUMBER(SEARCH("PVC",$F1219)),ISNUMBER(SEARCH("vca",$J1219)),ISNUMBER(SEARCH("Transformação",$J1219))),"VCA",IF(OR(ISNUMBER(SEARCH("crava",$F1219)),ISNUMBER(SEARCH("tubo cravado",$F1219)),ISNUMBER(SEARCH("shaft",$J1219)),ISNUMBER(SEARCH("concreto",$F1219))),"TUBO CRAVADO","")))</f>
        <v/>
      </c>
      <c r="T1219">
        <f>IF($A1219="","",TEXT($A1219,"yyyymm")&amp;"|"&amp;$C1219&amp;"|"&amp;$F1219&amp;"|"&amp;$N1219&amp;"|"&amp;$R1219)</f>
        <v/>
      </c>
    </row>
    <row r="1220" ht="11.55" customHeight="1">
      <c r="A1220" s="10" t="n">
        <v>46093</v>
      </c>
      <c r="B1220" s="7" t="inlineStr">
        <is>
          <t>Quinta</t>
        </is>
      </c>
      <c r="C1220" s="7" t="inlineStr">
        <is>
          <t>CTS CONCEIÇÃO</t>
        </is>
      </c>
      <c r="D1220" s="7" t="inlineStr">
        <is>
          <t>LEANDRO,SILVESTRE E ROBSON</t>
        </is>
      </c>
      <c r="E1220" s="7" t="inlineStr">
        <is>
          <t>Goiânia Drill</t>
        </is>
      </c>
      <c r="F1220" s="13" t="inlineStr">
        <is>
          <t>Puxe PV 01 a PV 02</t>
        </is>
      </c>
      <c r="G1220" s="7" t="inlineStr">
        <is>
          <t>01</t>
        </is>
      </c>
      <c r="H1220" s="7" t="inlineStr">
        <is>
          <t>02</t>
        </is>
      </c>
      <c r="I1220" s="7" t="inlineStr">
        <is>
          <t>01, 02</t>
        </is>
      </c>
      <c r="J1220" s="7" t="inlineStr">
        <is>
          <t>Puxe</t>
        </is>
      </c>
      <c r="K1220" s="7" t="inlineStr">
        <is>
          <t>Planejamento</t>
        </is>
      </c>
      <c r="L1220" s="16" t="inlineStr">
        <is>
          <t>PDS-Março(1).docx</t>
        </is>
      </c>
      <c r="M1220">
        <f>IF($A1220="","",TEXT($A1220,"mmmm/yyyy"))</f>
        <v/>
      </c>
      <c r="P1220">
        <f>IFERROR(_xludf.XLOOKUP($N1220,Base_Enderecos!$A:$A,Base_Enderecos!$B:$B,""),"")</f>
        <v/>
      </c>
      <c r="Q1220">
        <f>IFERROR(_xludf.XLOOKUP($N1220,Base_Enderecos!$A:$A,Base_Enderecos!$C:$C,""),"")</f>
        <v/>
      </c>
      <c r="R1220">
        <f>IF(OR(ISNUMBER(SEARCH("HDD",$F1220)),ISNUMBER(SEARCH("MND",$F1220)),ISNUMBER(SEARCH("PEAD",$F1220)),ISNUMBER(SEARCH("Puxe",$J1220)),ISNUMBER(SEARCH("Apoio HDD",$F1220))),"MND",IF(OR(ISNUMBER(SEARCH("VCA",$F1220)),ISNUMBER(SEARCH("PVC",$F1220)),ISNUMBER(SEARCH("vca",$J1220)),ISNUMBER(SEARCH("Transformação",$J1220))),"VCA",IF(OR(ISNUMBER(SEARCH("crava",$F1220)),ISNUMBER(SEARCH("tubo cravado",$F1220)),ISNUMBER(SEARCH("shaft",$J1220)),ISNUMBER(SEARCH("concreto",$F1220))),"TUBO CRAVADO","")))</f>
        <v/>
      </c>
      <c r="T1220">
        <f>IF($A1220="","",TEXT($A1220,"yyyymm")&amp;"|"&amp;$C1220&amp;"|"&amp;$F1220&amp;"|"&amp;$N1220&amp;"|"&amp;$R1220)</f>
        <v/>
      </c>
    </row>
    <row r="1221" ht="11.55" customHeight="1">
      <c r="A1221" s="10" t="n">
        <v>46093</v>
      </c>
      <c r="B1221" s="7" t="inlineStr">
        <is>
          <t>Quinta</t>
        </is>
      </c>
      <c r="C1221" s="7" t="inlineStr">
        <is>
          <t>CTS CONCEIÇÃO</t>
        </is>
      </c>
      <c r="D1221" s="7" t="inlineStr">
        <is>
          <t>LEANDRO,SILVESTRE E ROBSON</t>
        </is>
      </c>
      <c r="E1221" s="7" t="inlineStr">
        <is>
          <t>Carlos</t>
        </is>
      </c>
      <c r="F1221" s="13" t="inlineStr">
        <is>
          <t>Apoio HDD PV 01 a PV 02</t>
        </is>
      </c>
      <c r="G1221" s="7" t="inlineStr">
        <is>
          <t>01</t>
        </is>
      </c>
      <c r="H1221" s="7" t="inlineStr">
        <is>
          <t>02</t>
        </is>
      </c>
      <c r="I1221" s="7" t="inlineStr">
        <is>
          <t>01, 02</t>
        </is>
      </c>
      <c r="J1221" s="7" t="inlineStr">
        <is>
          <t>Apoio HDD</t>
        </is>
      </c>
      <c r="K1221" s="7" t="inlineStr">
        <is>
          <t>Planejamento</t>
        </is>
      </c>
      <c r="L1221" s="16" t="inlineStr">
        <is>
          <t>PDS-Março(1).docx</t>
        </is>
      </c>
      <c r="M1221">
        <f>IF($A1221="","",TEXT($A1221,"mmmm/yyyy"))</f>
        <v/>
      </c>
      <c r="P1221">
        <f>IFERROR(_xludf.XLOOKUP($N1221,Base_Enderecos!$A:$A,Base_Enderecos!$B:$B,""),"")</f>
        <v/>
      </c>
      <c r="Q1221">
        <f>IFERROR(_xludf.XLOOKUP($N1221,Base_Enderecos!$A:$A,Base_Enderecos!$C:$C,""),"")</f>
        <v/>
      </c>
      <c r="R1221">
        <f>IF(OR(ISNUMBER(SEARCH("HDD",$F1221)),ISNUMBER(SEARCH("MND",$F1221)),ISNUMBER(SEARCH("PEAD",$F1221)),ISNUMBER(SEARCH("Puxe",$J1221)),ISNUMBER(SEARCH("Apoio HDD",$F1221))),"MND",IF(OR(ISNUMBER(SEARCH("VCA",$F1221)),ISNUMBER(SEARCH("PVC",$F1221)),ISNUMBER(SEARCH("vca",$J1221)),ISNUMBER(SEARCH("Transformação",$J1221))),"VCA",IF(OR(ISNUMBER(SEARCH("crava",$F1221)),ISNUMBER(SEARCH("tubo cravado",$F1221)),ISNUMBER(SEARCH("shaft",$J1221)),ISNUMBER(SEARCH("concreto",$F1221))),"TUBO CRAVADO","")))</f>
        <v/>
      </c>
      <c r="T1221">
        <f>IF($A1221="","",TEXT($A1221,"yyyymm")&amp;"|"&amp;$C1221&amp;"|"&amp;$F1221&amp;"|"&amp;$N1221&amp;"|"&amp;$R1221)</f>
        <v/>
      </c>
    </row>
    <row r="1222" ht="11.55" customHeight="1">
      <c r="A1222" s="10" t="n">
        <v>46093</v>
      </c>
      <c r="B1222" s="7" t="inlineStr">
        <is>
          <t>Quinta</t>
        </is>
      </c>
      <c r="C1222" s="7" t="inlineStr">
        <is>
          <t>CTS CONCEIÇÃO</t>
        </is>
      </c>
      <c r="D1222" s="7" t="inlineStr">
        <is>
          <t>LEANDRO,SILVESTRE E ROBSON</t>
        </is>
      </c>
      <c r="E1222" s="7" t="inlineStr">
        <is>
          <t>Paulo</t>
        </is>
      </c>
      <c r="F1222" s="13" t="inlineStr">
        <is>
          <t>Shaft PV 02</t>
        </is>
      </c>
      <c r="G1222" s="7" t="inlineStr">
        <is>
          <t>02</t>
        </is>
      </c>
      <c r="H1222" s="7" t="n"/>
      <c r="I1222" s="7" t="inlineStr">
        <is>
          <t>02</t>
        </is>
      </c>
      <c r="J1222" s="7" t="inlineStr">
        <is>
          <t>Shaft</t>
        </is>
      </c>
      <c r="K1222" s="7" t="inlineStr">
        <is>
          <t>Planejamento</t>
        </is>
      </c>
      <c r="L1222" s="16" t="inlineStr">
        <is>
          <t>PDS-Março(1).docx</t>
        </is>
      </c>
      <c r="M1222">
        <f>IF($A1222="","",TEXT($A1222,"mmmm/yyyy"))</f>
        <v/>
      </c>
      <c r="P1222">
        <f>IFERROR(_xludf.XLOOKUP($N1222,Base_Enderecos!$A:$A,Base_Enderecos!$B:$B,""),"")</f>
        <v/>
      </c>
      <c r="Q1222">
        <f>IFERROR(_xludf.XLOOKUP($N1222,Base_Enderecos!$A:$A,Base_Enderecos!$C:$C,""),"")</f>
        <v/>
      </c>
      <c r="R1222">
        <f>IF(OR(ISNUMBER(SEARCH("HDD",$F1222)),ISNUMBER(SEARCH("MND",$F1222)),ISNUMBER(SEARCH("PEAD",$F1222)),ISNUMBER(SEARCH("Puxe",$J1222)),ISNUMBER(SEARCH("Apoio HDD",$F1222))),"MND",IF(OR(ISNUMBER(SEARCH("VCA",$F1222)),ISNUMBER(SEARCH("PVC",$F1222)),ISNUMBER(SEARCH("vca",$J1222)),ISNUMBER(SEARCH("Transformação",$J1222))),"VCA",IF(OR(ISNUMBER(SEARCH("crava",$F1222)),ISNUMBER(SEARCH("tubo cravado",$F1222)),ISNUMBER(SEARCH("shaft",$J1222)),ISNUMBER(SEARCH("concreto",$F1222))),"TUBO CRAVADO","")))</f>
        <v/>
      </c>
      <c r="T1222">
        <f>IF($A1222="","",TEXT($A1222,"yyyymm")&amp;"|"&amp;$C1222&amp;"|"&amp;$F1222&amp;"|"&amp;$N1222&amp;"|"&amp;$R1222)</f>
        <v/>
      </c>
    </row>
    <row r="1223" ht="11.55" customHeight="1">
      <c r="A1223" s="10" t="n">
        <v>46093</v>
      </c>
      <c r="B1223" s="7" t="inlineStr">
        <is>
          <t>Quinta</t>
        </is>
      </c>
      <c r="C1223" s="7" t="inlineStr">
        <is>
          <t>CTS CONCEIÇÃO</t>
        </is>
      </c>
      <c r="D1223" s="7" t="inlineStr">
        <is>
          <t>LEANDRO,SILVESTRE E ROBSON</t>
        </is>
      </c>
      <c r="E1223" s="7" t="inlineStr">
        <is>
          <t>Adilson</t>
        </is>
      </c>
      <c r="F1223" s="13" t="inlineStr">
        <is>
          <t>Shaft PV 09</t>
        </is>
      </c>
      <c r="G1223" s="7" t="inlineStr">
        <is>
          <t>09</t>
        </is>
      </c>
      <c r="H1223" s="7" t="n"/>
      <c r="I1223" s="7" t="inlineStr">
        <is>
          <t>09</t>
        </is>
      </c>
      <c r="J1223" s="7" t="inlineStr">
        <is>
          <t>Shaft</t>
        </is>
      </c>
      <c r="K1223" s="7" t="inlineStr">
        <is>
          <t>Planejamento</t>
        </is>
      </c>
      <c r="L1223" s="16" t="inlineStr">
        <is>
          <t>PDS-Março(1).docx</t>
        </is>
      </c>
      <c r="M1223">
        <f>IF($A1223="","",TEXT($A1223,"mmmm/yyyy"))</f>
        <v/>
      </c>
      <c r="P1223">
        <f>IFERROR(_xludf.XLOOKUP($N1223,Base_Enderecos!$A:$A,Base_Enderecos!$B:$B,""),"")</f>
        <v/>
      </c>
      <c r="Q1223">
        <f>IFERROR(_xludf.XLOOKUP($N1223,Base_Enderecos!$A:$A,Base_Enderecos!$C:$C,""),"")</f>
        <v/>
      </c>
      <c r="R1223">
        <f>IF(OR(ISNUMBER(SEARCH("HDD",$F1223)),ISNUMBER(SEARCH("MND",$F1223)),ISNUMBER(SEARCH("PEAD",$F1223)),ISNUMBER(SEARCH("Puxe",$J1223)),ISNUMBER(SEARCH("Apoio HDD",$F1223))),"MND",IF(OR(ISNUMBER(SEARCH("VCA",$F1223)),ISNUMBER(SEARCH("PVC",$F1223)),ISNUMBER(SEARCH("vca",$J1223)),ISNUMBER(SEARCH("Transformação",$J1223))),"VCA",IF(OR(ISNUMBER(SEARCH("crava",$F1223)),ISNUMBER(SEARCH("tubo cravado",$F1223)),ISNUMBER(SEARCH("shaft",$J1223)),ISNUMBER(SEARCH("concreto",$F1223))),"TUBO CRAVADO","")))</f>
        <v/>
      </c>
      <c r="T1223">
        <f>IF($A1223="","",TEXT($A1223,"yyyymm")&amp;"|"&amp;$C1223&amp;"|"&amp;$F1223&amp;"|"&amp;$N1223&amp;"|"&amp;$R1223)</f>
        <v/>
      </c>
    </row>
    <row r="1224" ht="11.55" customHeight="1">
      <c r="A1224" s="10" t="n">
        <v>46093</v>
      </c>
      <c r="B1224" s="7" t="inlineStr">
        <is>
          <t>Quinta</t>
        </is>
      </c>
      <c r="C1224" s="7" t="inlineStr">
        <is>
          <t>CTS CONCEIÇÃO</t>
        </is>
      </c>
      <c r="D1224" s="7" t="inlineStr">
        <is>
          <t>LEANDRO,SILVESTRE E ROBSON</t>
        </is>
      </c>
      <c r="E1224" s="7" t="inlineStr">
        <is>
          <t>GR Drill</t>
        </is>
      </c>
      <c r="F1224" s="13" t="inlineStr">
        <is>
          <t>Puxe PV 04 a PV 06</t>
        </is>
      </c>
      <c r="G1224" s="7" t="inlineStr">
        <is>
          <t>04</t>
        </is>
      </c>
      <c r="H1224" s="7" t="inlineStr">
        <is>
          <t>06</t>
        </is>
      </c>
      <c r="I1224" s="7" t="inlineStr">
        <is>
          <t>04, 06</t>
        </is>
      </c>
      <c r="J1224" s="7" t="inlineStr">
        <is>
          <t>Puxe</t>
        </is>
      </c>
      <c r="K1224" s="7" t="inlineStr">
        <is>
          <t>Planejamento</t>
        </is>
      </c>
      <c r="L1224" s="16" t="inlineStr">
        <is>
          <t>PDS-Março(1).docx</t>
        </is>
      </c>
      <c r="M1224">
        <f>IF($A1224="","",TEXT($A1224,"mmmm/yyyy"))</f>
        <v/>
      </c>
      <c r="P1224">
        <f>IFERROR(_xludf.XLOOKUP($N1224,Base_Enderecos!$A:$A,Base_Enderecos!$B:$B,""),"")</f>
        <v/>
      </c>
      <c r="Q1224">
        <f>IFERROR(_xludf.XLOOKUP($N1224,Base_Enderecos!$A:$A,Base_Enderecos!$C:$C,""),"")</f>
        <v/>
      </c>
      <c r="R1224">
        <f>IF(OR(ISNUMBER(SEARCH("HDD",$F1224)),ISNUMBER(SEARCH("MND",$F1224)),ISNUMBER(SEARCH("PEAD",$F1224)),ISNUMBER(SEARCH("Puxe",$J1224)),ISNUMBER(SEARCH("Apoio HDD",$F1224))),"MND",IF(OR(ISNUMBER(SEARCH("VCA",$F1224)),ISNUMBER(SEARCH("PVC",$F1224)),ISNUMBER(SEARCH("vca",$J1224)),ISNUMBER(SEARCH("Transformação",$J1224))),"VCA",IF(OR(ISNUMBER(SEARCH("crava",$F1224)),ISNUMBER(SEARCH("tubo cravado",$F1224)),ISNUMBER(SEARCH("shaft",$J1224)),ISNUMBER(SEARCH("concreto",$F1224))),"TUBO CRAVADO","")))</f>
        <v/>
      </c>
      <c r="T1224">
        <f>IF($A1224="","",TEXT($A1224,"yyyymm")&amp;"|"&amp;$C1224&amp;"|"&amp;$F1224&amp;"|"&amp;$N1224&amp;"|"&amp;$R1224)</f>
        <v/>
      </c>
    </row>
    <row r="1225" ht="11.55" customHeight="1">
      <c r="A1225" s="10" t="n">
        <v>46093</v>
      </c>
      <c r="B1225" s="7" t="inlineStr">
        <is>
          <t>Quinta</t>
        </is>
      </c>
      <c r="C1225" s="7" t="inlineStr">
        <is>
          <t>CTS CONCEIÇÃO</t>
        </is>
      </c>
      <c r="D1225" s="7" t="inlineStr">
        <is>
          <t>LEANDRO,SILVESTRE E ROBSON</t>
        </is>
      </c>
      <c r="E1225" s="7" t="inlineStr">
        <is>
          <t>Medeiros</t>
        </is>
      </c>
      <c r="F1225" s="13" t="inlineStr">
        <is>
          <t>Apoio HDD PV 04 ao 06</t>
        </is>
      </c>
      <c r="G1225" s="7" t="inlineStr">
        <is>
          <t>04</t>
        </is>
      </c>
      <c r="H1225" s="7" t="n"/>
      <c r="I1225" s="7" t="inlineStr">
        <is>
          <t>04</t>
        </is>
      </c>
      <c r="J1225" s="7" t="inlineStr">
        <is>
          <t>Apoio HDD</t>
        </is>
      </c>
      <c r="K1225" s="7" t="inlineStr">
        <is>
          <t>Planejamento</t>
        </is>
      </c>
      <c r="L1225" s="16" t="inlineStr">
        <is>
          <t>PDS-Março(1).docx</t>
        </is>
      </c>
      <c r="M1225">
        <f>IF($A1225="","",TEXT($A1225,"mmmm/yyyy"))</f>
        <v/>
      </c>
      <c r="P1225">
        <f>IFERROR(_xludf.XLOOKUP($N1225,Base_Enderecos!$A:$A,Base_Enderecos!$B:$B,""),"")</f>
        <v/>
      </c>
      <c r="Q1225">
        <f>IFERROR(_xludf.XLOOKUP($N1225,Base_Enderecos!$A:$A,Base_Enderecos!$C:$C,""),"")</f>
        <v/>
      </c>
      <c r="R1225">
        <f>IF(OR(ISNUMBER(SEARCH("HDD",$F1225)),ISNUMBER(SEARCH("MND",$F1225)),ISNUMBER(SEARCH("PEAD",$F1225)),ISNUMBER(SEARCH("Puxe",$J1225)),ISNUMBER(SEARCH("Apoio HDD",$F1225))),"MND",IF(OR(ISNUMBER(SEARCH("VCA",$F1225)),ISNUMBER(SEARCH("PVC",$F1225)),ISNUMBER(SEARCH("vca",$J1225)),ISNUMBER(SEARCH("Transformação",$J1225))),"VCA",IF(OR(ISNUMBER(SEARCH("crava",$F1225)),ISNUMBER(SEARCH("tubo cravado",$F1225)),ISNUMBER(SEARCH("shaft",$J1225)),ISNUMBER(SEARCH("concreto",$F1225))),"TUBO CRAVADO","")))</f>
        <v/>
      </c>
      <c r="T1225">
        <f>IF($A1225="","",TEXT($A1225,"yyyymm")&amp;"|"&amp;$C1225&amp;"|"&amp;$F1225&amp;"|"&amp;$N1225&amp;"|"&amp;$R1225)</f>
        <v/>
      </c>
    </row>
    <row r="1226" ht="11.55" customHeight="1">
      <c r="A1226" s="10" t="n">
        <v>46093</v>
      </c>
      <c r="B1226" s="7" t="inlineStr">
        <is>
          <t>Quinta</t>
        </is>
      </c>
      <c r="C1226" s="7" t="inlineStr">
        <is>
          <t>CTS CONCEIÇÃO</t>
        </is>
      </c>
      <c r="D1226" s="7" t="inlineStr">
        <is>
          <t>LEANDRO,SILVESTRE E ROBSON</t>
        </is>
      </c>
      <c r="E1226" s="7" t="inlineStr">
        <is>
          <t>Valter</t>
        </is>
      </c>
      <c r="F1226" s="13" t="inlineStr">
        <is>
          <t>Shaft PV 4.2</t>
        </is>
      </c>
      <c r="G1226" s="7" t="inlineStr">
        <is>
          <t>4.2</t>
        </is>
      </c>
      <c r="H1226" s="7" t="n"/>
      <c r="I1226" s="7" t="inlineStr">
        <is>
          <t>4.2</t>
        </is>
      </c>
      <c r="J1226" s="7" t="inlineStr">
        <is>
          <t>Shaft</t>
        </is>
      </c>
      <c r="K1226" s="7" t="inlineStr">
        <is>
          <t>Planejamento</t>
        </is>
      </c>
      <c r="L1226" s="16" t="inlineStr">
        <is>
          <t>PDS-Março(1).docx</t>
        </is>
      </c>
      <c r="M1226">
        <f>IF($A1226="","",TEXT($A1226,"mmmm/yyyy"))</f>
        <v/>
      </c>
      <c r="P1226">
        <f>IFERROR(_xludf.XLOOKUP($N1226,Base_Enderecos!$A:$A,Base_Enderecos!$B:$B,""),"")</f>
        <v/>
      </c>
      <c r="Q1226">
        <f>IFERROR(_xludf.XLOOKUP($N1226,Base_Enderecos!$A:$A,Base_Enderecos!$C:$C,""),"")</f>
        <v/>
      </c>
      <c r="R1226">
        <f>IF(OR(ISNUMBER(SEARCH("HDD",$F1226)),ISNUMBER(SEARCH("MND",$F1226)),ISNUMBER(SEARCH("PEAD",$F1226)),ISNUMBER(SEARCH("Puxe",$J1226)),ISNUMBER(SEARCH("Apoio HDD",$F1226))),"MND",IF(OR(ISNUMBER(SEARCH("VCA",$F1226)),ISNUMBER(SEARCH("PVC",$F1226)),ISNUMBER(SEARCH("vca",$J1226)),ISNUMBER(SEARCH("Transformação",$J1226))),"VCA",IF(OR(ISNUMBER(SEARCH("crava",$F1226)),ISNUMBER(SEARCH("tubo cravado",$F1226)),ISNUMBER(SEARCH("shaft",$J1226)),ISNUMBER(SEARCH("concreto",$F1226))),"TUBO CRAVADO","")))</f>
        <v/>
      </c>
      <c r="T1226">
        <f>IF($A1226="","",TEXT($A1226,"yyyymm")&amp;"|"&amp;$C1226&amp;"|"&amp;$F1226&amp;"|"&amp;$N1226&amp;"|"&amp;$R1226)</f>
        <v/>
      </c>
    </row>
    <row r="1227" ht="11.55" customHeight="1">
      <c r="A1227" s="10" t="n">
        <v>46093</v>
      </c>
      <c r="B1227" s="7" t="inlineStr">
        <is>
          <t>Quinta</t>
        </is>
      </c>
      <c r="C1227" s="7" t="inlineStr">
        <is>
          <t>RCE ARARIBA</t>
        </is>
      </c>
      <c r="D1227" s="7" t="n"/>
      <c r="E1227" s="7" t="inlineStr">
        <is>
          <t>Sergio</t>
        </is>
      </c>
      <c r="F1227" s="13" t="inlineStr">
        <is>
          <t>Adequação PV 10</t>
        </is>
      </c>
      <c r="G1227" s="7" t="inlineStr">
        <is>
          <t>10</t>
        </is>
      </c>
      <c r="H1227" s="7" t="n"/>
      <c r="I1227" s="7" t="inlineStr">
        <is>
          <t>10</t>
        </is>
      </c>
      <c r="J1227" s="7" t="inlineStr">
        <is>
          <t>Adequação</t>
        </is>
      </c>
      <c r="K1227" s="7" t="inlineStr">
        <is>
          <t>Planejamento</t>
        </is>
      </c>
      <c r="L1227" s="16" t="inlineStr">
        <is>
          <t>PDS-Março(1).docx</t>
        </is>
      </c>
      <c r="M1227">
        <f>IF($A1227="","",TEXT($A1227,"mmmm/yyyy"))</f>
        <v/>
      </c>
      <c r="P1227">
        <f>IFERROR(_xludf.XLOOKUP($N1227,Base_Enderecos!$A:$A,Base_Enderecos!$B:$B,""),"")</f>
        <v/>
      </c>
      <c r="Q1227">
        <f>IFERROR(_xludf.XLOOKUP($N1227,Base_Enderecos!$A:$A,Base_Enderecos!$C:$C,""),"")</f>
        <v/>
      </c>
      <c r="R1227">
        <f>IF(OR(ISNUMBER(SEARCH("HDD",$F1227)),ISNUMBER(SEARCH("MND",$F1227)),ISNUMBER(SEARCH("PEAD",$F1227)),ISNUMBER(SEARCH("Puxe",$J1227)),ISNUMBER(SEARCH("Apoio HDD",$F1227))),"MND",IF(OR(ISNUMBER(SEARCH("VCA",$F1227)),ISNUMBER(SEARCH("PVC",$F1227)),ISNUMBER(SEARCH("vca",$J1227)),ISNUMBER(SEARCH("Transformação",$J1227))),"VCA",IF(OR(ISNUMBER(SEARCH("crava",$F1227)),ISNUMBER(SEARCH("tubo cravado",$F1227)),ISNUMBER(SEARCH("shaft",$J1227)),ISNUMBER(SEARCH("concreto",$F1227))),"TUBO CRAVADO","")))</f>
        <v/>
      </c>
      <c r="T1227">
        <f>IF($A1227="","",TEXT($A1227,"yyyymm")&amp;"|"&amp;$C1227&amp;"|"&amp;$F1227&amp;"|"&amp;$N1227&amp;"|"&amp;$R1227)</f>
        <v/>
      </c>
    </row>
    <row r="1228" ht="11.55" customHeight="1">
      <c r="A1228" s="10" t="n">
        <v>46093</v>
      </c>
      <c r="B1228" s="7" t="inlineStr">
        <is>
          <t>Quinta</t>
        </is>
      </c>
      <c r="C1228" s="7" t="inlineStr">
        <is>
          <t>CT ÁGUA VERMELHA M.D</t>
        </is>
      </c>
      <c r="D1228" s="7" t="inlineStr">
        <is>
          <t>FABIO E VALMIR</t>
        </is>
      </c>
      <c r="E1228" s="7" t="inlineStr">
        <is>
          <t>Antonio</t>
        </is>
      </c>
      <c r="F1228" s="13" t="inlineStr">
        <is>
          <t>Transformação PVD 04</t>
        </is>
      </c>
      <c r="G1228" s="7" t="inlineStr">
        <is>
          <t>04</t>
        </is>
      </c>
      <c r="H1228" s="7" t="n"/>
      <c r="I1228" s="7" t="inlineStr">
        <is>
          <t>04</t>
        </is>
      </c>
      <c r="J1228" s="7" t="inlineStr">
        <is>
          <t>Transformação</t>
        </is>
      </c>
      <c r="K1228" s="7" t="inlineStr">
        <is>
          <t>Planejamento</t>
        </is>
      </c>
      <c r="L1228" s="16" t="inlineStr">
        <is>
          <t>PDS-Março(1).docx</t>
        </is>
      </c>
      <c r="M1228">
        <f>IF($A1228="","",TEXT($A1228,"mmmm/yyyy"))</f>
        <v/>
      </c>
      <c r="P1228">
        <f>IFERROR(_xludf.XLOOKUP($N1228,Base_Enderecos!$A:$A,Base_Enderecos!$B:$B,""),"")</f>
        <v/>
      </c>
      <c r="Q1228">
        <f>IFERROR(_xludf.XLOOKUP($N1228,Base_Enderecos!$A:$A,Base_Enderecos!$C:$C,""),"")</f>
        <v/>
      </c>
      <c r="R1228">
        <f>IF(OR(ISNUMBER(SEARCH("HDD",$F1228)),ISNUMBER(SEARCH("MND",$F1228)),ISNUMBER(SEARCH("PEAD",$F1228)),ISNUMBER(SEARCH("Puxe",$J1228)),ISNUMBER(SEARCH("Apoio HDD",$F1228))),"MND",IF(OR(ISNUMBER(SEARCH("VCA",$F1228)),ISNUMBER(SEARCH("PVC",$F1228)),ISNUMBER(SEARCH("vca",$J1228)),ISNUMBER(SEARCH("Transformação",$J1228))),"VCA",IF(OR(ISNUMBER(SEARCH("crava",$F1228)),ISNUMBER(SEARCH("tubo cravado",$F1228)),ISNUMBER(SEARCH("shaft",$J1228)),ISNUMBER(SEARCH("concreto",$F1228))),"TUBO CRAVADO","")))</f>
        <v/>
      </c>
      <c r="T1228">
        <f>IF($A1228="","",TEXT($A1228,"yyyymm")&amp;"|"&amp;$C1228&amp;"|"&amp;$F1228&amp;"|"&amp;$N1228&amp;"|"&amp;$R1228)</f>
        <v/>
      </c>
    </row>
    <row r="1229" ht="11.55" customHeight="1">
      <c r="A1229" s="10" t="n">
        <v>46093</v>
      </c>
      <c r="B1229" s="7" t="inlineStr">
        <is>
          <t>Quinta</t>
        </is>
      </c>
      <c r="C1229" s="7" t="inlineStr">
        <is>
          <t>CT ÁGUA VERMELHA M.D</t>
        </is>
      </c>
      <c r="D1229" s="7" t="inlineStr">
        <is>
          <t>FABIO E VALMIR</t>
        </is>
      </c>
      <c r="E1229" s="7" t="inlineStr">
        <is>
          <t>Jhonatan</t>
        </is>
      </c>
      <c r="F1229" s="13" t="inlineStr">
        <is>
          <t>Transformação PVD 05</t>
        </is>
      </c>
      <c r="G1229" s="7" t="inlineStr">
        <is>
          <t>05</t>
        </is>
      </c>
      <c r="H1229" s="7" t="n"/>
      <c r="I1229" s="7" t="inlineStr">
        <is>
          <t>05</t>
        </is>
      </c>
      <c r="J1229" s="7" t="inlineStr">
        <is>
          <t>Transformação</t>
        </is>
      </c>
      <c r="K1229" s="7" t="inlineStr">
        <is>
          <t>Planejamento</t>
        </is>
      </c>
      <c r="L1229" s="16" t="inlineStr">
        <is>
          <t>PDS-Março(1).docx</t>
        </is>
      </c>
      <c r="M1229">
        <f>IF($A1229="","",TEXT($A1229,"mmmm/yyyy"))</f>
        <v/>
      </c>
      <c r="P1229">
        <f>IFERROR(_xludf.XLOOKUP($N1229,Base_Enderecos!$A:$A,Base_Enderecos!$B:$B,""),"")</f>
        <v/>
      </c>
      <c r="Q1229">
        <f>IFERROR(_xludf.XLOOKUP($N1229,Base_Enderecos!$A:$A,Base_Enderecos!$C:$C,""),"")</f>
        <v/>
      </c>
      <c r="R1229">
        <f>IF(OR(ISNUMBER(SEARCH("HDD",$F1229)),ISNUMBER(SEARCH("MND",$F1229)),ISNUMBER(SEARCH("PEAD",$F1229)),ISNUMBER(SEARCH("Puxe",$J1229)),ISNUMBER(SEARCH("Apoio HDD",$F1229))),"MND",IF(OR(ISNUMBER(SEARCH("VCA",$F1229)),ISNUMBER(SEARCH("PVC",$F1229)),ISNUMBER(SEARCH("vca",$J1229)),ISNUMBER(SEARCH("Transformação",$J1229))),"VCA",IF(OR(ISNUMBER(SEARCH("crava",$F1229)),ISNUMBER(SEARCH("tubo cravado",$F1229)),ISNUMBER(SEARCH("shaft",$J1229)),ISNUMBER(SEARCH("concreto",$F1229))),"TUBO CRAVADO","")))</f>
        <v/>
      </c>
      <c r="T1229">
        <f>IF($A1229="","",TEXT($A1229,"yyyymm")&amp;"|"&amp;$C1229&amp;"|"&amp;$F1229&amp;"|"&amp;$N1229&amp;"|"&amp;$R1229)</f>
        <v/>
      </c>
    </row>
    <row r="1230" ht="11.55" customHeight="1">
      <c r="A1230" s="10" t="n">
        <v>46093</v>
      </c>
      <c r="B1230" s="7" t="inlineStr">
        <is>
          <t>Quinta</t>
        </is>
      </c>
      <c r="C1230" s="7" t="inlineStr">
        <is>
          <t>CT ÁGUA VERMELHA M.D</t>
        </is>
      </c>
      <c r="D1230" s="7" t="inlineStr">
        <is>
          <t>FABIO E VALMIR</t>
        </is>
      </c>
      <c r="E1230" s="7" t="inlineStr">
        <is>
          <t>Cesar</t>
        </is>
      </c>
      <c r="F1230" s="13" t="inlineStr">
        <is>
          <t>Transformação PVD 07</t>
        </is>
      </c>
      <c r="G1230" s="7" t="inlineStr">
        <is>
          <t>07</t>
        </is>
      </c>
      <c r="H1230" s="7" t="n"/>
      <c r="I1230" s="7" t="inlineStr">
        <is>
          <t>07</t>
        </is>
      </c>
      <c r="J1230" s="7" t="inlineStr">
        <is>
          <t>Transformação</t>
        </is>
      </c>
      <c r="K1230" s="7" t="inlineStr">
        <is>
          <t>Planejamento</t>
        </is>
      </c>
      <c r="L1230" s="16" t="inlineStr">
        <is>
          <t>PDS-Março(1).docx</t>
        </is>
      </c>
      <c r="M1230">
        <f>IF($A1230="","",TEXT($A1230,"mmmm/yyyy"))</f>
        <v/>
      </c>
      <c r="P1230">
        <f>IFERROR(_xludf.XLOOKUP($N1230,Base_Enderecos!$A:$A,Base_Enderecos!$B:$B,""),"")</f>
        <v/>
      </c>
      <c r="Q1230">
        <f>IFERROR(_xludf.XLOOKUP($N1230,Base_Enderecos!$A:$A,Base_Enderecos!$C:$C,""),"")</f>
        <v/>
      </c>
      <c r="R1230">
        <f>IF(OR(ISNUMBER(SEARCH("HDD",$F1230)),ISNUMBER(SEARCH("MND",$F1230)),ISNUMBER(SEARCH("PEAD",$F1230)),ISNUMBER(SEARCH("Puxe",$J1230)),ISNUMBER(SEARCH("Apoio HDD",$F1230))),"MND",IF(OR(ISNUMBER(SEARCH("VCA",$F1230)),ISNUMBER(SEARCH("PVC",$F1230)),ISNUMBER(SEARCH("vca",$J1230)),ISNUMBER(SEARCH("Transformação",$J1230))),"VCA",IF(OR(ISNUMBER(SEARCH("crava",$F1230)),ISNUMBER(SEARCH("tubo cravado",$F1230)),ISNUMBER(SEARCH("shaft",$J1230)),ISNUMBER(SEARCH("concreto",$F1230))),"TUBO CRAVADO","")))</f>
        <v/>
      </c>
      <c r="T1230">
        <f>IF($A1230="","",TEXT($A1230,"yyyymm")&amp;"|"&amp;$C1230&amp;"|"&amp;$F1230&amp;"|"&amp;$N1230&amp;"|"&amp;$R1230)</f>
        <v/>
      </c>
    </row>
    <row r="1231" ht="11.55" customHeight="1">
      <c r="A1231" s="10" t="n">
        <v>46093</v>
      </c>
      <c r="B1231" s="7" t="inlineStr">
        <is>
          <t>Quinta</t>
        </is>
      </c>
      <c r="C1231" s="7" t="inlineStr">
        <is>
          <t>CT ÁGUA VERMELHA M.E</t>
        </is>
      </c>
      <c r="D1231" s="7" t="inlineStr">
        <is>
          <t>FABIO E VALMIR</t>
        </is>
      </c>
      <c r="E1231" s="7" t="inlineStr">
        <is>
          <t>Edvando</t>
        </is>
      </c>
      <c r="F1231" s="13" t="inlineStr">
        <is>
          <t>Transformação 25</t>
        </is>
      </c>
      <c r="G1231" s="7" t="n"/>
      <c r="H1231" s="7" t="n"/>
      <c r="I1231" s="7" t="n"/>
      <c r="J1231" s="7" t="inlineStr">
        <is>
          <t>Transformação</t>
        </is>
      </c>
      <c r="K1231" s="7" t="inlineStr">
        <is>
          <t>Planejamento</t>
        </is>
      </c>
      <c r="L1231" s="16" t="inlineStr">
        <is>
          <t>PDS-Março(1).docx</t>
        </is>
      </c>
      <c r="M1231">
        <f>IF($A1231="","",TEXT($A1231,"mmmm/yyyy"))</f>
        <v/>
      </c>
      <c r="P1231">
        <f>IFERROR(_xludf.XLOOKUP($N1231,Base_Enderecos!$A:$A,Base_Enderecos!$B:$B,""),"")</f>
        <v/>
      </c>
      <c r="Q1231">
        <f>IFERROR(_xludf.XLOOKUP($N1231,Base_Enderecos!$A:$A,Base_Enderecos!$C:$C,""),"")</f>
        <v/>
      </c>
      <c r="R1231">
        <f>IF(OR(ISNUMBER(SEARCH("HDD",$F1231)),ISNUMBER(SEARCH("MND",$F1231)),ISNUMBER(SEARCH("PEAD",$F1231)),ISNUMBER(SEARCH("Puxe",$J1231)),ISNUMBER(SEARCH("Apoio HDD",$F1231))),"MND",IF(OR(ISNUMBER(SEARCH("VCA",$F1231)),ISNUMBER(SEARCH("PVC",$F1231)),ISNUMBER(SEARCH("vca",$J1231)),ISNUMBER(SEARCH("Transformação",$J1231))),"VCA",IF(OR(ISNUMBER(SEARCH("crava",$F1231)),ISNUMBER(SEARCH("tubo cravado",$F1231)),ISNUMBER(SEARCH("shaft",$J1231)),ISNUMBER(SEARCH("concreto",$F1231))),"TUBO CRAVADO","")))</f>
        <v/>
      </c>
      <c r="T1231">
        <f>IF($A1231="","",TEXT($A1231,"yyyymm")&amp;"|"&amp;$C1231&amp;"|"&amp;$F1231&amp;"|"&amp;$N1231&amp;"|"&amp;$R1231)</f>
        <v/>
      </c>
    </row>
    <row r="1232" ht="11.55" customHeight="1">
      <c r="A1232" s="10" t="n">
        <v>46093</v>
      </c>
      <c r="B1232" s="7" t="inlineStr">
        <is>
          <t>Quinta</t>
        </is>
      </c>
      <c r="C1232" s="7" t="inlineStr">
        <is>
          <t>CT ÁGUA VERMELHA M.E</t>
        </is>
      </c>
      <c r="D1232" s="7" t="inlineStr">
        <is>
          <t>FABIO E VALMIR</t>
        </is>
      </c>
      <c r="E1232" s="7" t="inlineStr">
        <is>
          <t>Cidão</t>
        </is>
      </c>
      <c r="F1232" s="13" t="inlineStr">
        <is>
          <t>Transformação PVE 21</t>
        </is>
      </c>
      <c r="G1232" s="7" t="inlineStr">
        <is>
          <t>21</t>
        </is>
      </c>
      <c r="H1232" s="7" t="n"/>
      <c r="I1232" s="7" t="inlineStr">
        <is>
          <t>21</t>
        </is>
      </c>
      <c r="J1232" s="7" t="inlineStr">
        <is>
          <t>Transformação</t>
        </is>
      </c>
      <c r="K1232" s="7" t="inlineStr">
        <is>
          <t>Planejamento</t>
        </is>
      </c>
      <c r="L1232" s="16" t="inlineStr">
        <is>
          <t>PDS-Março(1).docx</t>
        </is>
      </c>
      <c r="M1232">
        <f>IF($A1232="","",TEXT($A1232,"mmmm/yyyy"))</f>
        <v/>
      </c>
      <c r="P1232">
        <f>IFERROR(_xludf.XLOOKUP($N1232,Base_Enderecos!$A:$A,Base_Enderecos!$B:$B,""),"")</f>
        <v/>
      </c>
      <c r="Q1232">
        <f>IFERROR(_xludf.XLOOKUP($N1232,Base_Enderecos!$A:$A,Base_Enderecos!$C:$C,""),"")</f>
        <v/>
      </c>
      <c r="R1232">
        <f>IF(OR(ISNUMBER(SEARCH("HDD",$F1232)),ISNUMBER(SEARCH("MND",$F1232)),ISNUMBER(SEARCH("PEAD",$F1232)),ISNUMBER(SEARCH("Puxe",$J1232)),ISNUMBER(SEARCH("Apoio HDD",$F1232))),"MND",IF(OR(ISNUMBER(SEARCH("VCA",$F1232)),ISNUMBER(SEARCH("PVC",$F1232)),ISNUMBER(SEARCH("vca",$J1232)),ISNUMBER(SEARCH("Transformação",$J1232))),"VCA",IF(OR(ISNUMBER(SEARCH("crava",$F1232)),ISNUMBER(SEARCH("tubo cravado",$F1232)),ISNUMBER(SEARCH("shaft",$J1232)),ISNUMBER(SEARCH("concreto",$F1232))),"TUBO CRAVADO","")))</f>
        <v/>
      </c>
      <c r="T1232">
        <f>IF($A1232="","",TEXT($A1232,"yyyymm")&amp;"|"&amp;$C1232&amp;"|"&amp;$F1232&amp;"|"&amp;$N1232&amp;"|"&amp;$R1232)</f>
        <v/>
      </c>
    </row>
    <row r="1233" ht="11.55" customHeight="1">
      <c r="A1233" s="10" t="n">
        <v>46093</v>
      </c>
      <c r="B1233" s="7" t="inlineStr">
        <is>
          <t>Quinta</t>
        </is>
      </c>
      <c r="C1233" s="7" t="inlineStr">
        <is>
          <t>CT ÁGUA VERMELHA M.E</t>
        </is>
      </c>
      <c r="D1233" s="7" t="inlineStr">
        <is>
          <t>FABIO E VALMIR</t>
        </is>
      </c>
      <c r="E1233" s="7" t="inlineStr">
        <is>
          <t>Marcelo</t>
        </is>
      </c>
      <c r="F1233" s="13" t="inlineStr">
        <is>
          <t>Shaft e Interligação PVE 10</t>
        </is>
      </c>
      <c r="G1233" s="7" t="inlineStr">
        <is>
          <t>10</t>
        </is>
      </c>
      <c r="H1233" s="7" t="n"/>
      <c r="I1233" s="7" t="inlineStr">
        <is>
          <t>10</t>
        </is>
      </c>
      <c r="J1233" s="7" t="inlineStr">
        <is>
          <t>Shaft</t>
        </is>
      </c>
      <c r="K1233" s="7" t="inlineStr">
        <is>
          <t>Planejamento</t>
        </is>
      </c>
      <c r="L1233" s="16" t="inlineStr">
        <is>
          <t>PDS-Março(1).docx</t>
        </is>
      </c>
      <c r="M1233">
        <f>IF($A1233="","",TEXT($A1233,"mmmm/yyyy"))</f>
        <v/>
      </c>
      <c r="P1233">
        <f>IFERROR(_xludf.XLOOKUP($N1233,Base_Enderecos!$A:$A,Base_Enderecos!$B:$B,""),"")</f>
        <v/>
      </c>
      <c r="Q1233">
        <f>IFERROR(_xludf.XLOOKUP($N1233,Base_Enderecos!$A:$A,Base_Enderecos!$C:$C,""),"")</f>
        <v/>
      </c>
      <c r="R1233">
        <f>IF(OR(ISNUMBER(SEARCH("HDD",$F1233)),ISNUMBER(SEARCH("MND",$F1233)),ISNUMBER(SEARCH("PEAD",$F1233)),ISNUMBER(SEARCH("Puxe",$J1233)),ISNUMBER(SEARCH("Apoio HDD",$F1233))),"MND",IF(OR(ISNUMBER(SEARCH("VCA",$F1233)),ISNUMBER(SEARCH("PVC",$F1233)),ISNUMBER(SEARCH("vca",$J1233)),ISNUMBER(SEARCH("Transformação",$J1233))),"VCA",IF(OR(ISNUMBER(SEARCH("crava",$F1233)),ISNUMBER(SEARCH("tubo cravado",$F1233)),ISNUMBER(SEARCH("shaft",$J1233)),ISNUMBER(SEARCH("concreto",$F1233))),"TUBO CRAVADO","")))</f>
        <v/>
      </c>
      <c r="T1233">
        <f>IF($A1233="","",TEXT($A1233,"yyyymm")&amp;"|"&amp;$C1233&amp;"|"&amp;$F1233&amp;"|"&amp;$N1233&amp;"|"&amp;$R1233)</f>
        <v/>
      </c>
    </row>
    <row r="1234" ht="11.55" customHeight="1">
      <c r="A1234" s="10" t="n">
        <v>46093</v>
      </c>
      <c r="B1234" s="7" t="inlineStr">
        <is>
          <t>Quinta</t>
        </is>
      </c>
      <c r="C1234" s="7" t="inlineStr">
        <is>
          <t>CT ÁGUA VERMELHA M.E</t>
        </is>
      </c>
      <c r="D1234" s="7" t="inlineStr">
        <is>
          <t>FABIO E VALMIR</t>
        </is>
      </c>
      <c r="E1234" s="7" t="inlineStr">
        <is>
          <t>Ricardo</t>
        </is>
      </c>
      <c r="F1234" s="13" t="inlineStr">
        <is>
          <t>Transformação PV 15</t>
        </is>
      </c>
      <c r="G1234" s="7" t="inlineStr">
        <is>
          <t>15</t>
        </is>
      </c>
      <c r="H1234" s="7" t="n"/>
      <c r="I1234" s="7" t="inlineStr">
        <is>
          <t>15</t>
        </is>
      </c>
      <c r="J1234" s="7" t="inlineStr">
        <is>
          <t>Transformação</t>
        </is>
      </c>
      <c r="K1234" s="7" t="inlineStr">
        <is>
          <t>Planejamento</t>
        </is>
      </c>
      <c r="L1234" s="16" t="inlineStr">
        <is>
          <t>PDS-Março(1).docx</t>
        </is>
      </c>
      <c r="M1234">
        <f>IF($A1234="","",TEXT($A1234,"mmmm/yyyy"))</f>
        <v/>
      </c>
      <c r="P1234">
        <f>IFERROR(_xludf.XLOOKUP($N1234,Base_Enderecos!$A:$A,Base_Enderecos!$B:$B,""),"")</f>
        <v/>
      </c>
      <c r="Q1234">
        <f>IFERROR(_xludf.XLOOKUP($N1234,Base_Enderecos!$A:$A,Base_Enderecos!$C:$C,""),"")</f>
        <v/>
      </c>
      <c r="R1234">
        <f>IF(OR(ISNUMBER(SEARCH("HDD",$F1234)),ISNUMBER(SEARCH("MND",$F1234)),ISNUMBER(SEARCH("PEAD",$F1234)),ISNUMBER(SEARCH("Puxe",$J1234)),ISNUMBER(SEARCH("Apoio HDD",$F1234))),"MND",IF(OR(ISNUMBER(SEARCH("VCA",$F1234)),ISNUMBER(SEARCH("PVC",$F1234)),ISNUMBER(SEARCH("vca",$J1234)),ISNUMBER(SEARCH("Transformação",$J1234))),"VCA",IF(OR(ISNUMBER(SEARCH("crava",$F1234)),ISNUMBER(SEARCH("tubo cravado",$F1234)),ISNUMBER(SEARCH("shaft",$J1234)),ISNUMBER(SEARCH("concreto",$F1234))),"TUBO CRAVADO","")))</f>
        <v/>
      </c>
      <c r="T1234">
        <f>IF($A1234="","",TEXT($A1234,"yyyymm")&amp;"|"&amp;$C1234&amp;"|"&amp;$F1234&amp;"|"&amp;$N1234&amp;"|"&amp;$R1234)</f>
        <v/>
      </c>
    </row>
    <row r="1235" ht="11.55" customHeight="1">
      <c r="A1235" s="10" t="n">
        <v>46093</v>
      </c>
      <c r="B1235" s="7" t="inlineStr">
        <is>
          <t>Quinta</t>
        </is>
      </c>
      <c r="C1235" s="7" t="inlineStr">
        <is>
          <t>Vacal</t>
        </is>
      </c>
      <c r="D1235" s="7" t="n"/>
      <c r="E1235" s="7" t="inlineStr">
        <is>
          <t>Conceição</t>
        </is>
      </c>
      <c r="F1235" s="13" t="inlineStr">
        <is>
          <t>Apoio Vacal</t>
        </is>
      </c>
      <c r="G1235" s="7" t="n"/>
      <c r="H1235" s="7" t="n"/>
      <c r="I1235" s="7" t="n"/>
      <c r="J1235" s="7" t="inlineStr">
        <is>
          <t>Vacal</t>
        </is>
      </c>
      <c r="K1235" s="7" t="inlineStr">
        <is>
          <t>Apoio</t>
        </is>
      </c>
      <c r="L1235" s="16" t="inlineStr">
        <is>
          <t>PDS-Março(1).docx</t>
        </is>
      </c>
      <c r="M1235">
        <f>IF($A1235="","",TEXT($A1235,"mmmm/yyyy"))</f>
        <v/>
      </c>
      <c r="P1235">
        <f>IFERROR(_xludf.XLOOKUP($N1235,Base_Enderecos!$A:$A,Base_Enderecos!$B:$B,""),"")</f>
        <v/>
      </c>
      <c r="Q1235">
        <f>IFERROR(_xludf.XLOOKUP($N1235,Base_Enderecos!$A:$A,Base_Enderecos!$C:$C,""),"")</f>
        <v/>
      </c>
      <c r="R1235">
        <f>IF(OR(ISNUMBER(SEARCH("HDD",$F1235)),ISNUMBER(SEARCH("MND",$F1235)),ISNUMBER(SEARCH("PEAD",$F1235)),ISNUMBER(SEARCH("Puxe",$J1235)),ISNUMBER(SEARCH("Apoio HDD",$F1235))),"MND",IF(OR(ISNUMBER(SEARCH("VCA",$F1235)),ISNUMBER(SEARCH("PVC",$F1235)),ISNUMBER(SEARCH("vca",$J1235)),ISNUMBER(SEARCH("Transformação",$J1235))),"VCA",IF(OR(ISNUMBER(SEARCH("crava",$F1235)),ISNUMBER(SEARCH("tubo cravado",$F1235)),ISNUMBER(SEARCH("shaft",$J1235)),ISNUMBER(SEARCH("concreto",$F1235))),"TUBO CRAVADO","")))</f>
        <v/>
      </c>
      <c r="T1235">
        <f>IF($A1235="","",TEXT($A1235,"yyyymm")&amp;"|"&amp;$C1235&amp;"|"&amp;$F1235&amp;"|"&amp;$N1235&amp;"|"&amp;$R1235)</f>
        <v/>
      </c>
    </row>
    <row r="1236" ht="11.55" customHeight="1">
      <c r="A1236" s="10" t="n">
        <v>46093</v>
      </c>
      <c r="B1236" s="7" t="inlineStr">
        <is>
          <t>Quinta</t>
        </is>
      </c>
      <c r="C1236" s="7" t="inlineStr">
        <is>
          <t>Vacal</t>
        </is>
      </c>
      <c r="D1236" s="7" t="n"/>
      <c r="E1236" s="7" t="inlineStr">
        <is>
          <t>Conceição</t>
        </is>
      </c>
      <c r="F1236" s="13" t="inlineStr">
        <is>
          <t>Apoio Vacal</t>
        </is>
      </c>
      <c r="G1236" s="7" t="n"/>
      <c r="H1236" s="7" t="n"/>
      <c r="I1236" s="7" t="n"/>
      <c r="J1236" s="7" t="inlineStr">
        <is>
          <t>Vacal</t>
        </is>
      </c>
      <c r="K1236" s="7" t="inlineStr">
        <is>
          <t>Apoio</t>
        </is>
      </c>
      <c r="L1236" s="16" t="inlineStr">
        <is>
          <t>PDS-Março(1).docx</t>
        </is>
      </c>
      <c r="M1236">
        <f>IF($A1236="","",TEXT($A1236,"mmmm/yyyy"))</f>
        <v/>
      </c>
      <c r="P1236">
        <f>IFERROR(_xludf.XLOOKUP($N1236,Base_Enderecos!$A:$A,Base_Enderecos!$B:$B,""),"")</f>
        <v/>
      </c>
      <c r="Q1236">
        <f>IFERROR(_xludf.XLOOKUP($N1236,Base_Enderecos!$A:$A,Base_Enderecos!$C:$C,""),"")</f>
        <v/>
      </c>
      <c r="R1236">
        <f>IF(OR(ISNUMBER(SEARCH("HDD",$F1236)),ISNUMBER(SEARCH("MND",$F1236)),ISNUMBER(SEARCH("PEAD",$F1236)),ISNUMBER(SEARCH("Puxe",$J1236)),ISNUMBER(SEARCH("Apoio HDD",$F1236))),"MND",IF(OR(ISNUMBER(SEARCH("VCA",$F1236)),ISNUMBER(SEARCH("PVC",$F1236)),ISNUMBER(SEARCH("vca",$J1236)),ISNUMBER(SEARCH("Transformação",$J1236))),"VCA",IF(OR(ISNUMBER(SEARCH("crava",$F1236)),ISNUMBER(SEARCH("tubo cravado",$F1236)),ISNUMBER(SEARCH("shaft",$J1236)),ISNUMBER(SEARCH("concreto",$F1236))),"TUBO CRAVADO","")))</f>
        <v/>
      </c>
      <c r="T1236">
        <f>IF($A1236="","",TEXT($A1236,"yyyymm")&amp;"|"&amp;$C1236&amp;"|"&amp;$F1236&amp;"|"&amp;$N1236&amp;"|"&amp;$R1236)</f>
        <v/>
      </c>
    </row>
    <row r="1237" ht="11.55" customHeight="1">
      <c r="A1237" s="10" t="n">
        <v>46093</v>
      </c>
      <c r="B1237" s="7" t="inlineStr">
        <is>
          <t>Quinta</t>
        </is>
      </c>
      <c r="C1237" s="7" t="inlineStr">
        <is>
          <t>Vacal</t>
        </is>
      </c>
      <c r="D1237" s="7" t="n"/>
      <c r="E1237" s="7" t="inlineStr">
        <is>
          <t>Água Vermelha</t>
        </is>
      </c>
      <c r="F1237" s="13" t="inlineStr">
        <is>
          <t>Apoio Vacal</t>
        </is>
      </c>
      <c r="G1237" s="7" t="n"/>
      <c r="H1237" s="7" t="n"/>
      <c r="I1237" s="7" t="n"/>
      <c r="J1237" s="7" t="inlineStr">
        <is>
          <t>Vacal</t>
        </is>
      </c>
      <c r="K1237" s="7" t="inlineStr">
        <is>
          <t>Apoio</t>
        </is>
      </c>
      <c r="L1237" s="16" t="inlineStr">
        <is>
          <t>PDS-Março(1).docx</t>
        </is>
      </c>
      <c r="M1237">
        <f>IF($A1237="","",TEXT($A1237,"mmmm/yyyy"))</f>
        <v/>
      </c>
      <c r="P1237">
        <f>IFERROR(_xludf.XLOOKUP($N1237,Base_Enderecos!$A:$A,Base_Enderecos!$B:$B,""),"")</f>
        <v/>
      </c>
      <c r="Q1237">
        <f>IFERROR(_xludf.XLOOKUP($N1237,Base_Enderecos!$A:$A,Base_Enderecos!$C:$C,""),"")</f>
        <v/>
      </c>
      <c r="R1237">
        <f>IF(OR(ISNUMBER(SEARCH("HDD",$F1237)),ISNUMBER(SEARCH("MND",$F1237)),ISNUMBER(SEARCH("PEAD",$F1237)),ISNUMBER(SEARCH("Puxe",$J1237)),ISNUMBER(SEARCH("Apoio HDD",$F1237))),"MND",IF(OR(ISNUMBER(SEARCH("VCA",$F1237)),ISNUMBER(SEARCH("PVC",$F1237)),ISNUMBER(SEARCH("vca",$J1237)),ISNUMBER(SEARCH("Transformação",$J1237))),"VCA",IF(OR(ISNUMBER(SEARCH("crava",$F1237)),ISNUMBER(SEARCH("tubo cravado",$F1237)),ISNUMBER(SEARCH("shaft",$J1237)),ISNUMBER(SEARCH("concreto",$F1237))),"TUBO CRAVADO","")))</f>
        <v/>
      </c>
      <c r="T1237">
        <f>IF($A1237="","",TEXT($A1237,"yyyymm")&amp;"|"&amp;$C1237&amp;"|"&amp;$F1237&amp;"|"&amp;$N1237&amp;"|"&amp;$R1237)</f>
        <v/>
      </c>
    </row>
    <row r="1238" ht="11.55" customHeight="1">
      <c r="A1238" s="10" t="n">
        <v>46093</v>
      </c>
      <c r="B1238" s="7" t="inlineStr">
        <is>
          <t>Quinta</t>
        </is>
      </c>
      <c r="C1238" s="7" t="inlineStr">
        <is>
          <t>Vacal</t>
        </is>
      </c>
      <c r="D1238" s="7" t="n"/>
      <c r="E1238" s="7" t="inlineStr">
        <is>
          <t>Água Vermelha</t>
        </is>
      </c>
      <c r="F1238" s="13" t="inlineStr">
        <is>
          <t>Apoio Vacal</t>
        </is>
      </c>
      <c r="G1238" s="7" t="n"/>
      <c r="H1238" s="7" t="n"/>
      <c r="I1238" s="7" t="n"/>
      <c r="J1238" s="7" t="inlineStr">
        <is>
          <t>Vacal</t>
        </is>
      </c>
      <c r="K1238" s="7" t="inlineStr">
        <is>
          <t>Apoio</t>
        </is>
      </c>
      <c r="L1238" s="16" t="inlineStr">
        <is>
          <t>PDS-Março(1).docx</t>
        </is>
      </c>
      <c r="M1238">
        <f>IF($A1238="","",TEXT($A1238,"mmmm/yyyy"))</f>
        <v/>
      </c>
      <c r="P1238">
        <f>IFERROR(_xludf.XLOOKUP($N1238,Base_Enderecos!$A:$A,Base_Enderecos!$B:$B,""),"")</f>
        <v/>
      </c>
      <c r="Q1238">
        <f>IFERROR(_xludf.XLOOKUP($N1238,Base_Enderecos!$A:$A,Base_Enderecos!$C:$C,""),"")</f>
        <v/>
      </c>
      <c r="R1238">
        <f>IF(OR(ISNUMBER(SEARCH("HDD",$F1238)),ISNUMBER(SEARCH("MND",$F1238)),ISNUMBER(SEARCH("PEAD",$F1238)),ISNUMBER(SEARCH("Puxe",$J1238)),ISNUMBER(SEARCH("Apoio HDD",$F1238))),"MND",IF(OR(ISNUMBER(SEARCH("VCA",$F1238)),ISNUMBER(SEARCH("PVC",$F1238)),ISNUMBER(SEARCH("vca",$J1238)),ISNUMBER(SEARCH("Transformação",$J1238))),"VCA",IF(OR(ISNUMBER(SEARCH("crava",$F1238)),ISNUMBER(SEARCH("tubo cravado",$F1238)),ISNUMBER(SEARCH("shaft",$J1238)),ISNUMBER(SEARCH("concreto",$F1238))),"TUBO CRAVADO","")))</f>
        <v/>
      </c>
      <c r="T1238">
        <f>IF($A1238="","",TEXT($A1238,"yyyymm")&amp;"|"&amp;$C1238&amp;"|"&amp;$F1238&amp;"|"&amp;$N1238&amp;"|"&amp;$R1238)</f>
        <v/>
      </c>
    </row>
    <row r="1239" ht="11.55" customHeight="1">
      <c r="A1239" s="10" t="n">
        <v>46093</v>
      </c>
      <c r="B1239" s="7" t="inlineStr">
        <is>
          <t>Quinta</t>
        </is>
      </c>
      <c r="C1239" s="7" t="inlineStr">
        <is>
          <t>Guindauto</t>
        </is>
      </c>
      <c r="D1239" s="7" t="n"/>
      <c r="E1239" s="7" t="inlineStr">
        <is>
          <t>Rodrigo</t>
        </is>
      </c>
      <c r="F1239" s="13" t="inlineStr">
        <is>
          <t>Rodrigo - Apoio as equipes</t>
        </is>
      </c>
      <c r="G1239" s="7" t="n"/>
      <c r="H1239" s="7" t="n"/>
      <c r="I1239" s="7" t="n"/>
      <c r="J1239" s="7" t="inlineStr">
        <is>
          <t>Guindauto</t>
        </is>
      </c>
      <c r="K1239" s="7" t="inlineStr">
        <is>
          <t>Apoio</t>
        </is>
      </c>
      <c r="L1239" s="16" t="inlineStr">
        <is>
          <t>PDS-Março(1).docx</t>
        </is>
      </c>
      <c r="M1239">
        <f>IF($A1239="","",TEXT($A1239,"mmmm/yyyy"))</f>
        <v/>
      </c>
      <c r="P1239">
        <f>IFERROR(_xludf.XLOOKUP($N1239,Base_Enderecos!$A:$A,Base_Enderecos!$B:$B,""),"")</f>
        <v/>
      </c>
      <c r="Q1239">
        <f>IFERROR(_xludf.XLOOKUP($N1239,Base_Enderecos!$A:$A,Base_Enderecos!$C:$C,""),"")</f>
        <v/>
      </c>
      <c r="R1239">
        <f>IF(OR(ISNUMBER(SEARCH("HDD",$F1239)),ISNUMBER(SEARCH("MND",$F1239)),ISNUMBER(SEARCH("PEAD",$F1239)),ISNUMBER(SEARCH("Puxe",$J1239)),ISNUMBER(SEARCH("Apoio HDD",$F1239))),"MND",IF(OR(ISNUMBER(SEARCH("VCA",$F1239)),ISNUMBER(SEARCH("PVC",$F1239)),ISNUMBER(SEARCH("vca",$J1239)),ISNUMBER(SEARCH("Transformação",$J1239))),"VCA",IF(OR(ISNUMBER(SEARCH("crava",$F1239)),ISNUMBER(SEARCH("tubo cravado",$F1239)),ISNUMBER(SEARCH("shaft",$J1239)),ISNUMBER(SEARCH("concreto",$F1239))),"TUBO CRAVADO","")))</f>
        <v/>
      </c>
      <c r="T1239">
        <f>IF($A1239="","",TEXT($A1239,"yyyymm")&amp;"|"&amp;$C1239&amp;"|"&amp;$F1239&amp;"|"&amp;$N1239&amp;"|"&amp;$R1239)</f>
        <v/>
      </c>
    </row>
    <row r="1240" ht="11.55" customHeight="1">
      <c r="A1240" s="10" t="n">
        <v>46093</v>
      </c>
      <c r="B1240" s="7" t="inlineStr">
        <is>
          <t>Quinta</t>
        </is>
      </c>
      <c r="C1240" s="7" t="inlineStr">
        <is>
          <t>Guindauto</t>
        </is>
      </c>
      <c r="D1240" s="7" t="n"/>
      <c r="E1240" s="7" t="inlineStr">
        <is>
          <t>Marcio</t>
        </is>
      </c>
      <c r="F1240" s="13" t="inlineStr">
        <is>
          <t>Marcio - Apoio as equipes</t>
        </is>
      </c>
      <c r="G1240" s="7" t="n"/>
      <c r="H1240" s="7" t="n"/>
      <c r="I1240" s="7" t="n"/>
      <c r="J1240" s="7" t="inlineStr">
        <is>
          <t>Guindauto</t>
        </is>
      </c>
      <c r="K1240" s="7" t="inlineStr">
        <is>
          <t>Apoio</t>
        </is>
      </c>
      <c r="L1240" s="16" t="inlineStr">
        <is>
          <t>PDS-Março(1).docx</t>
        </is>
      </c>
      <c r="M1240">
        <f>IF($A1240="","",TEXT($A1240,"mmmm/yyyy"))</f>
        <v/>
      </c>
      <c r="P1240">
        <f>IFERROR(_xludf.XLOOKUP($N1240,Base_Enderecos!$A:$A,Base_Enderecos!$B:$B,""),"")</f>
        <v/>
      </c>
      <c r="Q1240">
        <f>IFERROR(_xludf.XLOOKUP($N1240,Base_Enderecos!$A:$A,Base_Enderecos!$C:$C,""),"")</f>
        <v/>
      </c>
      <c r="R1240">
        <f>IF(OR(ISNUMBER(SEARCH("HDD",$F1240)),ISNUMBER(SEARCH("MND",$F1240)),ISNUMBER(SEARCH("PEAD",$F1240)),ISNUMBER(SEARCH("Puxe",$J1240)),ISNUMBER(SEARCH("Apoio HDD",$F1240))),"MND",IF(OR(ISNUMBER(SEARCH("VCA",$F1240)),ISNUMBER(SEARCH("PVC",$F1240)),ISNUMBER(SEARCH("vca",$J1240)),ISNUMBER(SEARCH("Transformação",$J1240))),"VCA",IF(OR(ISNUMBER(SEARCH("crava",$F1240)),ISNUMBER(SEARCH("tubo cravado",$F1240)),ISNUMBER(SEARCH("shaft",$J1240)),ISNUMBER(SEARCH("concreto",$F1240))),"TUBO CRAVADO","")))</f>
        <v/>
      </c>
      <c r="T1240">
        <f>IF($A1240="","",TEXT($A1240,"yyyymm")&amp;"|"&amp;$C1240&amp;"|"&amp;$F1240&amp;"|"&amp;$N1240&amp;"|"&amp;$R1240)</f>
        <v/>
      </c>
    </row>
    <row r="1241" ht="11.55" customHeight="1">
      <c r="A1241" s="10" t="n">
        <v>46094</v>
      </c>
      <c r="B1241" s="7" t="inlineStr">
        <is>
          <t>Sexta</t>
        </is>
      </c>
      <c r="C1241" s="7" t="inlineStr">
        <is>
          <t>CTS CONCEIÇÃO</t>
        </is>
      </c>
      <c r="D1241" s="7" t="inlineStr">
        <is>
          <t>LEANDRO,SILVESTRE E ROBSON</t>
        </is>
      </c>
      <c r="E1241" s="7" t="inlineStr">
        <is>
          <t>Goiânia Drill</t>
        </is>
      </c>
      <c r="F1241" s="13" t="inlineStr">
        <is>
          <t>Puxe PV 01 a PV 02</t>
        </is>
      </c>
      <c r="G1241" s="7" t="inlineStr">
        <is>
          <t>01</t>
        </is>
      </c>
      <c r="H1241" s="7" t="inlineStr">
        <is>
          <t>02</t>
        </is>
      </c>
      <c r="I1241" s="7" t="inlineStr">
        <is>
          <t>01, 02</t>
        </is>
      </c>
      <c r="J1241" s="7" t="inlineStr">
        <is>
          <t>Puxe</t>
        </is>
      </c>
      <c r="K1241" s="7" t="inlineStr">
        <is>
          <t>Planejamento</t>
        </is>
      </c>
      <c r="L1241" s="16" t="inlineStr">
        <is>
          <t>PDS-Março(1).docx</t>
        </is>
      </c>
      <c r="M1241">
        <f>IF($A1241="","",TEXT($A1241,"mmmm/yyyy"))</f>
        <v/>
      </c>
      <c r="P1241">
        <f>IFERROR(_xludf.XLOOKUP($N1241,Base_Enderecos!$A:$A,Base_Enderecos!$B:$B,""),"")</f>
        <v/>
      </c>
      <c r="Q1241">
        <f>IFERROR(_xludf.XLOOKUP($N1241,Base_Enderecos!$A:$A,Base_Enderecos!$C:$C,""),"")</f>
        <v/>
      </c>
      <c r="R1241">
        <f>IF(OR(ISNUMBER(SEARCH("HDD",$F1241)),ISNUMBER(SEARCH("MND",$F1241)),ISNUMBER(SEARCH("PEAD",$F1241)),ISNUMBER(SEARCH("Puxe",$J1241)),ISNUMBER(SEARCH("Apoio HDD",$F1241))),"MND",IF(OR(ISNUMBER(SEARCH("VCA",$F1241)),ISNUMBER(SEARCH("PVC",$F1241)),ISNUMBER(SEARCH("vca",$J1241)),ISNUMBER(SEARCH("Transformação",$J1241))),"VCA",IF(OR(ISNUMBER(SEARCH("crava",$F1241)),ISNUMBER(SEARCH("tubo cravado",$F1241)),ISNUMBER(SEARCH("shaft",$J1241)),ISNUMBER(SEARCH("concreto",$F1241))),"TUBO CRAVADO","")))</f>
        <v/>
      </c>
      <c r="T1241">
        <f>IF($A1241="","",TEXT($A1241,"yyyymm")&amp;"|"&amp;$C1241&amp;"|"&amp;$F1241&amp;"|"&amp;$N1241&amp;"|"&amp;$R1241)</f>
        <v/>
      </c>
    </row>
    <row r="1242" ht="11.55" customHeight="1">
      <c r="A1242" s="10" t="n">
        <v>46094</v>
      </c>
      <c r="B1242" s="7" t="inlineStr">
        <is>
          <t>Sexta</t>
        </is>
      </c>
      <c r="C1242" s="7" t="inlineStr">
        <is>
          <t>CTS CONCEIÇÃO</t>
        </is>
      </c>
      <c r="D1242" s="7" t="inlineStr">
        <is>
          <t>LEANDRO,SILVESTRE E ROBSON</t>
        </is>
      </c>
      <c r="E1242" s="7" t="inlineStr">
        <is>
          <t>Carlos</t>
        </is>
      </c>
      <c r="F1242" s="13" t="inlineStr">
        <is>
          <t>Apoio HDD PV 01 a PV 02</t>
        </is>
      </c>
      <c r="G1242" s="7" t="inlineStr">
        <is>
          <t>01</t>
        </is>
      </c>
      <c r="H1242" s="7" t="inlineStr">
        <is>
          <t>02</t>
        </is>
      </c>
      <c r="I1242" s="7" t="inlineStr">
        <is>
          <t>01, 02</t>
        </is>
      </c>
      <c r="J1242" s="7" t="inlineStr">
        <is>
          <t>Apoio HDD</t>
        </is>
      </c>
      <c r="K1242" s="7" t="inlineStr">
        <is>
          <t>Planejamento</t>
        </is>
      </c>
      <c r="L1242" s="16" t="inlineStr">
        <is>
          <t>PDS-Março(1).docx</t>
        </is>
      </c>
      <c r="M1242">
        <f>IF($A1242="","",TEXT($A1242,"mmmm/yyyy"))</f>
        <v/>
      </c>
      <c r="P1242">
        <f>IFERROR(_xludf.XLOOKUP($N1242,Base_Enderecos!$A:$A,Base_Enderecos!$B:$B,""),"")</f>
        <v/>
      </c>
      <c r="Q1242">
        <f>IFERROR(_xludf.XLOOKUP($N1242,Base_Enderecos!$A:$A,Base_Enderecos!$C:$C,""),"")</f>
        <v/>
      </c>
      <c r="R1242">
        <f>IF(OR(ISNUMBER(SEARCH("HDD",$F1242)),ISNUMBER(SEARCH("MND",$F1242)),ISNUMBER(SEARCH("PEAD",$F1242)),ISNUMBER(SEARCH("Puxe",$J1242)),ISNUMBER(SEARCH("Apoio HDD",$F1242))),"MND",IF(OR(ISNUMBER(SEARCH("VCA",$F1242)),ISNUMBER(SEARCH("PVC",$F1242)),ISNUMBER(SEARCH("vca",$J1242)),ISNUMBER(SEARCH("Transformação",$J1242))),"VCA",IF(OR(ISNUMBER(SEARCH("crava",$F1242)),ISNUMBER(SEARCH("tubo cravado",$F1242)),ISNUMBER(SEARCH("shaft",$J1242)),ISNUMBER(SEARCH("concreto",$F1242))),"TUBO CRAVADO","")))</f>
        <v/>
      </c>
      <c r="T1242">
        <f>IF($A1242="","",TEXT($A1242,"yyyymm")&amp;"|"&amp;$C1242&amp;"|"&amp;$F1242&amp;"|"&amp;$N1242&amp;"|"&amp;$R1242)</f>
        <v/>
      </c>
    </row>
    <row r="1243" ht="11.55" customHeight="1">
      <c r="A1243" s="10" t="n">
        <v>46094</v>
      </c>
      <c r="B1243" s="7" t="inlineStr">
        <is>
          <t>Sexta</t>
        </is>
      </c>
      <c r="C1243" s="7" t="inlineStr">
        <is>
          <t>CTS CONCEIÇÃO</t>
        </is>
      </c>
      <c r="D1243" s="7" t="inlineStr">
        <is>
          <t>LEANDRO,SILVESTRE E ROBSON</t>
        </is>
      </c>
      <c r="E1243" s="7" t="inlineStr">
        <is>
          <t>Paulo</t>
        </is>
      </c>
      <c r="F1243" s="13" t="inlineStr">
        <is>
          <t>Shaft PV 02</t>
        </is>
      </c>
      <c r="G1243" s="7" t="inlineStr">
        <is>
          <t>02</t>
        </is>
      </c>
      <c r="H1243" s="7" t="n"/>
      <c r="I1243" s="7" t="inlineStr">
        <is>
          <t>02</t>
        </is>
      </c>
      <c r="J1243" s="7" t="inlineStr">
        <is>
          <t>Shaft</t>
        </is>
      </c>
      <c r="K1243" s="7" t="inlineStr">
        <is>
          <t>Planejamento</t>
        </is>
      </c>
      <c r="L1243" s="16" t="inlineStr">
        <is>
          <t>PDS-Março(1).docx</t>
        </is>
      </c>
      <c r="M1243">
        <f>IF($A1243="","",TEXT($A1243,"mmmm/yyyy"))</f>
        <v/>
      </c>
      <c r="P1243">
        <f>IFERROR(_xludf.XLOOKUP($N1243,Base_Enderecos!$A:$A,Base_Enderecos!$B:$B,""),"")</f>
        <v/>
      </c>
      <c r="Q1243">
        <f>IFERROR(_xludf.XLOOKUP($N1243,Base_Enderecos!$A:$A,Base_Enderecos!$C:$C,""),"")</f>
        <v/>
      </c>
      <c r="R1243">
        <f>IF(OR(ISNUMBER(SEARCH("HDD",$F1243)),ISNUMBER(SEARCH("MND",$F1243)),ISNUMBER(SEARCH("PEAD",$F1243)),ISNUMBER(SEARCH("Puxe",$J1243)),ISNUMBER(SEARCH("Apoio HDD",$F1243))),"MND",IF(OR(ISNUMBER(SEARCH("VCA",$F1243)),ISNUMBER(SEARCH("PVC",$F1243)),ISNUMBER(SEARCH("vca",$J1243)),ISNUMBER(SEARCH("Transformação",$J1243))),"VCA",IF(OR(ISNUMBER(SEARCH("crava",$F1243)),ISNUMBER(SEARCH("tubo cravado",$F1243)),ISNUMBER(SEARCH("shaft",$J1243)),ISNUMBER(SEARCH("concreto",$F1243))),"TUBO CRAVADO","")))</f>
        <v/>
      </c>
      <c r="T1243">
        <f>IF($A1243="","",TEXT($A1243,"yyyymm")&amp;"|"&amp;$C1243&amp;"|"&amp;$F1243&amp;"|"&amp;$N1243&amp;"|"&amp;$R1243)</f>
        <v/>
      </c>
    </row>
    <row r="1244" ht="11.55" customHeight="1">
      <c r="A1244" s="10" t="n">
        <v>46094</v>
      </c>
      <c r="B1244" s="7" t="inlineStr">
        <is>
          <t>Sexta</t>
        </is>
      </c>
      <c r="C1244" s="7" t="inlineStr">
        <is>
          <t>CTS CONCEIÇÃO</t>
        </is>
      </c>
      <c r="D1244" s="7" t="inlineStr">
        <is>
          <t>LEANDRO,SILVESTRE E ROBSON</t>
        </is>
      </c>
      <c r="E1244" s="7" t="inlineStr">
        <is>
          <t>Adilson</t>
        </is>
      </c>
      <c r="F1244" s="13" t="inlineStr">
        <is>
          <t>Preparação terreno</t>
        </is>
      </c>
      <c r="G1244" s="7" t="n"/>
      <c r="H1244" s="7" t="n"/>
      <c r="I1244" s="7" t="n"/>
      <c r="J1244" s="7" t="n"/>
      <c r="K1244" s="7" t="inlineStr">
        <is>
          <t>Planejamento</t>
        </is>
      </c>
      <c r="L1244" s="16" t="inlineStr">
        <is>
          <t>PDS-Março(1).docx</t>
        </is>
      </c>
      <c r="M1244">
        <f>IF($A1244="","",TEXT($A1244,"mmmm/yyyy"))</f>
        <v/>
      </c>
      <c r="P1244">
        <f>IFERROR(_xludf.XLOOKUP($N1244,Base_Enderecos!$A:$A,Base_Enderecos!$B:$B,""),"")</f>
        <v/>
      </c>
      <c r="Q1244">
        <f>IFERROR(_xludf.XLOOKUP($N1244,Base_Enderecos!$A:$A,Base_Enderecos!$C:$C,""),"")</f>
        <v/>
      </c>
      <c r="R1244">
        <f>IF(OR(ISNUMBER(SEARCH("HDD",$F1244)),ISNUMBER(SEARCH("MND",$F1244)),ISNUMBER(SEARCH("PEAD",$F1244)),ISNUMBER(SEARCH("Puxe",$J1244)),ISNUMBER(SEARCH("Apoio HDD",$F1244))),"MND",IF(OR(ISNUMBER(SEARCH("VCA",$F1244)),ISNUMBER(SEARCH("PVC",$F1244)),ISNUMBER(SEARCH("vca",$J1244)),ISNUMBER(SEARCH("Transformação",$J1244))),"VCA",IF(OR(ISNUMBER(SEARCH("crava",$F1244)),ISNUMBER(SEARCH("tubo cravado",$F1244)),ISNUMBER(SEARCH("shaft",$J1244)),ISNUMBER(SEARCH("concreto",$F1244))),"TUBO CRAVADO","")))</f>
        <v/>
      </c>
      <c r="T1244">
        <f>IF($A1244="","",TEXT($A1244,"yyyymm")&amp;"|"&amp;$C1244&amp;"|"&amp;$F1244&amp;"|"&amp;$N1244&amp;"|"&amp;$R1244)</f>
        <v/>
      </c>
    </row>
    <row r="1245" ht="11.55" customHeight="1">
      <c r="A1245" s="10" t="n">
        <v>46094</v>
      </c>
      <c r="B1245" s="7" t="inlineStr">
        <is>
          <t>Sexta</t>
        </is>
      </c>
      <c r="C1245" s="7" t="inlineStr">
        <is>
          <t>CTS CONCEIÇÃO</t>
        </is>
      </c>
      <c r="D1245" s="7" t="inlineStr">
        <is>
          <t>LEANDRO,SILVESTRE E ROBSON</t>
        </is>
      </c>
      <c r="E1245" s="7" t="inlineStr">
        <is>
          <t>GR Drill</t>
        </is>
      </c>
      <c r="F1245" s="13" t="inlineStr">
        <is>
          <t>Puxe PV 04 a PV 06</t>
        </is>
      </c>
      <c r="G1245" s="7" t="inlineStr">
        <is>
          <t>04</t>
        </is>
      </c>
      <c r="H1245" s="7" t="inlineStr">
        <is>
          <t>06</t>
        </is>
      </c>
      <c r="I1245" s="7" t="inlineStr">
        <is>
          <t>04, 06</t>
        </is>
      </c>
      <c r="J1245" s="7" t="inlineStr">
        <is>
          <t>Puxe</t>
        </is>
      </c>
      <c r="K1245" s="7" t="inlineStr">
        <is>
          <t>Planejamento</t>
        </is>
      </c>
      <c r="L1245" s="16" t="inlineStr">
        <is>
          <t>PDS-Março(1).docx</t>
        </is>
      </c>
      <c r="M1245">
        <f>IF($A1245="","",TEXT($A1245,"mmmm/yyyy"))</f>
        <v/>
      </c>
      <c r="P1245">
        <f>IFERROR(_xludf.XLOOKUP($N1245,Base_Enderecos!$A:$A,Base_Enderecos!$B:$B,""),"")</f>
        <v/>
      </c>
      <c r="Q1245">
        <f>IFERROR(_xludf.XLOOKUP($N1245,Base_Enderecos!$A:$A,Base_Enderecos!$C:$C,""),"")</f>
        <v/>
      </c>
      <c r="R1245">
        <f>IF(OR(ISNUMBER(SEARCH("HDD",$F1245)),ISNUMBER(SEARCH("MND",$F1245)),ISNUMBER(SEARCH("PEAD",$F1245)),ISNUMBER(SEARCH("Puxe",$J1245)),ISNUMBER(SEARCH("Apoio HDD",$F1245))),"MND",IF(OR(ISNUMBER(SEARCH("VCA",$F1245)),ISNUMBER(SEARCH("PVC",$F1245)),ISNUMBER(SEARCH("vca",$J1245)),ISNUMBER(SEARCH("Transformação",$J1245))),"VCA",IF(OR(ISNUMBER(SEARCH("crava",$F1245)),ISNUMBER(SEARCH("tubo cravado",$F1245)),ISNUMBER(SEARCH("shaft",$J1245)),ISNUMBER(SEARCH("concreto",$F1245))),"TUBO CRAVADO","")))</f>
        <v/>
      </c>
      <c r="T1245">
        <f>IF($A1245="","",TEXT($A1245,"yyyymm")&amp;"|"&amp;$C1245&amp;"|"&amp;$F1245&amp;"|"&amp;$N1245&amp;"|"&amp;$R1245)</f>
        <v/>
      </c>
    </row>
    <row r="1246" ht="11.55" customHeight="1">
      <c r="A1246" s="10" t="n">
        <v>46094</v>
      </c>
      <c r="B1246" s="7" t="inlineStr">
        <is>
          <t>Sexta</t>
        </is>
      </c>
      <c r="C1246" s="7" t="inlineStr">
        <is>
          <t>CTS CONCEIÇÃO</t>
        </is>
      </c>
      <c r="D1246" s="7" t="inlineStr">
        <is>
          <t>LEANDRO,SILVESTRE E ROBSON</t>
        </is>
      </c>
      <c r="E1246" s="7" t="inlineStr">
        <is>
          <t>Medeiros</t>
        </is>
      </c>
      <c r="F1246" s="13" t="inlineStr">
        <is>
          <t>Apoio HDD PV 04 ao 06</t>
        </is>
      </c>
      <c r="G1246" s="7" t="inlineStr">
        <is>
          <t>04</t>
        </is>
      </c>
      <c r="H1246" s="7" t="n"/>
      <c r="I1246" s="7" t="inlineStr">
        <is>
          <t>04</t>
        </is>
      </c>
      <c r="J1246" s="7" t="inlineStr">
        <is>
          <t>Apoio HDD</t>
        </is>
      </c>
      <c r="K1246" s="7" t="inlineStr">
        <is>
          <t>Planejamento</t>
        </is>
      </c>
      <c r="L1246" s="16" t="inlineStr">
        <is>
          <t>PDS-Março(1).docx</t>
        </is>
      </c>
      <c r="M1246">
        <f>IF($A1246="","",TEXT($A1246,"mmmm/yyyy"))</f>
        <v/>
      </c>
      <c r="P1246">
        <f>IFERROR(_xludf.XLOOKUP($N1246,Base_Enderecos!$A:$A,Base_Enderecos!$B:$B,""),"")</f>
        <v/>
      </c>
      <c r="Q1246">
        <f>IFERROR(_xludf.XLOOKUP($N1246,Base_Enderecos!$A:$A,Base_Enderecos!$C:$C,""),"")</f>
        <v/>
      </c>
      <c r="R1246">
        <f>IF(OR(ISNUMBER(SEARCH("HDD",$F1246)),ISNUMBER(SEARCH("MND",$F1246)),ISNUMBER(SEARCH("PEAD",$F1246)),ISNUMBER(SEARCH("Puxe",$J1246)),ISNUMBER(SEARCH("Apoio HDD",$F1246))),"MND",IF(OR(ISNUMBER(SEARCH("VCA",$F1246)),ISNUMBER(SEARCH("PVC",$F1246)),ISNUMBER(SEARCH("vca",$J1246)),ISNUMBER(SEARCH("Transformação",$J1246))),"VCA",IF(OR(ISNUMBER(SEARCH("crava",$F1246)),ISNUMBER(SEARCH("tubo cravado",$F1246)),ISNUMBER(SEARCH("shaft",$J1246)),ISNUMBER(SEARCH("concreto",$F1246))),"TUBO CRAVADO","")))</f>
        <v/>
      </c>
      <c r="T1246">
        <f>IF($A1246="","",TEXT($A1246,"yyyymm")&amp;"|"&amp;$C1246&amp;"|"&amp;$F1246&amp;"|"&amp;$N1246&amp;"|"&amp;$R1246)</f>
        <v/>
      </c>
    </row>
    <row r="1247" ht="11.55" customHeight="1">
      <c r="A1247" s="10" t="n">
        <v>46094</v>
      </c>
      <c r="B1247" s="7" t="inlineStr">
        <is>
          <t>Sexta</t>
        </is>
      </c>
      <c r="C1247" s="7" t="inlineStr">
        <is>
          <t>CTS CONCEIÇÃO</t>
        </is>
      </c>
      <c r="D1247" s="7" t="inlineStr">
        <is>
          <t>LEANDRO,SILVESTRE E ROBSON</t>
        </is>
      </c>
      <c r="E1247" s="7" t="inlineStr">
        <is>
          <t>Valter</t>
        </is>
      </c>
      <c r="F1247" s="13" t="inlineStr">
        <is>
          <t>Shaft PV 4.2</t>
        </is>
      </c>
      <c r="G1247" s="7" t="inlineStr">
        <is>
          <t>4.2</t>
        </is>
      </c>
      <c r="H1247" s="7" t="n"/>
      <c r="I1247" s="7" t="inlineStr">
        <is>
          <t>4.2</t>
        </is>
      </c>
      <c r="J1247" s="7" t="inlineStr">
        <is>
          <t>Shaft</t>
        </is>
      </c>
      <c r="K1247" s="7" t="inlineStr">
        <is>
          <t>Planejamento</t>
        </is>
      </c>
      <c r="L1247" s="16" t="inlineStr">
        <is>
          <t>PDS-Março(1).docx</t>
        </is>
      </c>
      <c r="M1247">
        <f>IF($A1247="","",TEXT($A1247,"mmmm/yyyy"))</f>
        <v/>
      </c>
      <c r="P1247">
        <f>IFERROR(_xludf.XLOOKUP($N1247,Base_Enderecos!$A:$A,Base_Enderecos!$B:$B,""),"")</f>
        <v/>
      </c>
      <c r="Q1247">
        <f>IFERROR(_xludf.XLOOKUP($N1247,Base_Enderecos!$A:$A,Base_Enderecos!$C:$C,""),"")</f>
        <v/>
      </c>
      <c r="R1247">
        <f>IF(OR(ISNUMBER(SEARCH("HDD",$F1247)),ISNUMBER(SEARCH("MND",$F1247)),ISNUMBER(SEARCH("PEAD",$F1247)),ISNUMBER(SEARCH("Puxe",$J1247)),ISNUMBER(SEARCH("Apoio HDD",$F1247))),"MND",IF(OR(ISNUMBER(SEARCH("VCA",$F1247)),ISNUMBER(SEARCH("PVC",$F1247)),ISNUMBER(SEARCH("vca",$J1247)),ISNUMBER(SEARCH("Transformação",$J1247))),"VCA",IF(OR(ISNUMBER(SEARCH("crava",$F1247)),ISNUMBER(SEARCH("tubo cravado",$F1247)),ISNUMBER(SEARCH("shaft",$J1247)),ISNUMBER(SEARCH("concreto",$F1247))),"TUBO CRAVADO","")))</f>
        <v/>
      </c>
      <c r="T1247">
        <f>IF($A1247="","",TEXT($A1247,"yyyymm")&amp;"|"&amp;$C1247&amp;"|"&amp;$F1247&amp;"|"&amp;$N1247&amp;"|"&amp;$R1247)</f>
        <v/>
      </c>
    </row>
    <row r="1248" ht="11.55" customHeight="1">
      <c r="A1248" s="10" t="n">
        <v>46094</v>
      </c>
      <c r="B1248" s="7" t="inlineStr">
        <is>
          <t>Sexta</t>
        </is>
      </c>
      <c r="C1248" s="7" t="inlineStr">
        <is>
          <t>RCE ARARIBA</t>
        </is>
      </c>
      <c r="D1248" s="7" t="n"/>
      <c r="E1248" s="7" t="inlineStr">
        <is>
          <t>Sergio</t>
        </is>
      </c>
      <c r="F1248" s="13" t="inlineStr">
        <is>
          <t>Adequação PV 10</t>
        </is>
      </c>
      <c r="G1248" s="7" t="inlineStr">
        <is>
          <t>10</t>
        </is>
      </c>
      <c r="H1248" s="7" t="n"/>
      <c r="I1248" s="7" t="inlineStr">
        <is>
          <t>10</t>
        </is>
      </c>
      <c r="J1248" s="7" t="inlineStr">
        <is>
          <t>Adequação</t>
        </is>
      </c>
      <c r="K1248" s="7" t="inlineStr">
        <is>
          <t>Planejamento</t>
        </is>
      </c>
      <c r="L1248" s="16" t="inlineStr">
        <is>
          <t>PDS-Março(1).docx</t>
        </is>
      </c>
      <c r="M1248">
        <f>IF($A1248="","",TEXT($A1248,"mmmm/yyyy"))</f>
        <v/>
      </c>
      <c r="P1248">
        <f>IFERROR(_xludf.XLOOKUP($N1248,Base_Enderecos!$A:$A,Base_Enderecos!$B:$B,""),"")</f>
        <v/>
      </c>
      <c r="Q1248">
        <f>IFERROR(_xludf.XLOOKUP($N1248,Base_Enderecos!$A:$A,Base_Enderecos!$C:$C,""),"")</f>
        <v/>
      </c>
      <c r="R1248">
        <f>IF(OR(ISNUMBER(SEARCH("HDD",$F1248)),ISNUMBER(SEARCH("MND",$F1248)),ISNUMBER(SEARCH("PEAD",$F1248)),ISNUMBER(SEARCH("Puxe",$J1248)),ISNUMBER(SEARCH("Apoio HDD",$F1248))),"MND",IF(OR(ISNUMBER(SEARCH("VCA",$F1248)),ISNUMBER(SEARCH("PVC",$F1248)),ISNUMBER(SEARCH("vca",$J1248)),ISNUMBER(SEARCH("Transformação",$J1248))),"VCA",IF(OR(ISNUMBER(SEARCH("crava",$F1248)),ISNUMBER(SEARCH("tubo cravado",$F1248)),ISNUMBER(SEARCH("shaft",$J1248)),ISNUMBER(SEARCH("concreto",$F1248))),"TUBO CRAVADO","")))</f>
        <v/>
      </c>
      <c r="T1248">
        <f>IF($A1248="","",TEXT($A1248,"yyyymm")&amp;"|"&amp;$C1248&amp;"|"&amp;$F1248&amp;"|"&amp;$N1248&amp;"|"&amp;$R1248)</f>
        <v/>
      </c>
    </row>
    <row r="1249" ht="11.55" customHeight="1">
      <c r="A1249" s="10" t="n">
        <v>46094</v>
      </c>
      <c r="B1249" s="7" t="inlineStr">
        <is>
          <t>Sexta</t>
        </is>
      </c>
      <c r="C1249" s="7" t="inlineStr">
        <is>
          <t>CT ÁGUA VERMELHA M.D</t>
        </is>
      </c>
      <c r="D1249" s="7" t="inlineStr">
        <is>
          <t>FABIO E VALMIR</t>
        </is>
      </c>
      <c r="E1249" s="7" t="inlineStr">
        <is>
          <t>Antonio</t>
        </is>
      </c>
      <c r="F1249" s="13" t="inlineStr">
        <is>
          <t>Transformação PVD 04</t>
        </is>
      </c>
      <c r="G1249" s="7" t="inlineStr">
        <is>
          <t>04</t>
        </is>
      </c>
      <c r="H1249" s="7" t="n"/>
      <c r="I1249" s="7" t="inlineStr">
        <is>
          <t>04</t>
        </is>
      </c>
      <c r="J1249" s="7" t="inlineStr">
        <is>
          <t>Transformação</t>
        </is>
      </c>
      <c r="K1249" s="7" t="inlineStr">
        <is>
          <t>Planejamento</t>
        </is>
      </c>
      <c r="L1249" s="16" t="inlineStr">
        <is>
          <t>PDS-Março(1).docx</t>
        </is>
      </c>
      <c r="M1249">
        <f>IF($A1249="","",TEXT($A1249,"mmmm/yyyy"))</f>
        <v/>
      </c>
      <c r="P1249">
        <f>IFERROR(_xludf.XLOOKUP($N1249,Base_Enderecos!$A:$A,Base_Enderecos!$B:$B,""),"")</f>
        <v/>
      </c>
      <c r="Q1249">
        <f>IFERROR(_xludf.XLOOKUP($N1249,Base_Enderecos!$A:$A,Base_Enderecos!$C:$C,""),"")</f>
        <v/>
      </c>
      <c r="R1249">
        <f>IF(OR(ISNUMBER(SEARCH("HDD",$F1249)),ISNUMBER(SEARCH("MND",$F1249)),ISNUMBER(SEARCH("PEAD",$F1249)),ISNUMBER(SEARCH("Puxe",$J1249)),ISNUMBER(SEARCH("Apoio HDD",$F1249))),"MND",IF(OR(ISNUMBER(SEARCH("VCA",$F1249)),ISNUMBER(SEARCH("PVC",$F1249)),ISNUMBER(SEARCH("vca",$J1249)),ISNUMBER(SEARCH("Transformação",$J1249))),"VCA",IF(OR(ISNUMBER(SEARCH("crava",$F1249)),ISNUMBER(SEARCH("tubo cravado",$F1249)),ISNUMBER(SEARCH("shaft",$J1249)),ISNUMBER(SEARCH("concreto",$F1249))),"TUBO CRAVADO","")))</f>
        <v/>
      </c>
      <c r="T1249">
        <f>IF($A1249="","",TEXT($A1249,"yyyymm")&amp;"|"&amp;$C1249&amp;"|"&amp;$F1249&amp;"|"&amp;$N1249&amp;"|"&amp;$R1249)</f>
        <v/>
      </c>
    </row>
    <row r="1250" ht="11.55" customHeight="1">
      <c r="A1250" s="10" t="n">
        <v>46094</v>
      </c>
      <c r="B1250" s="7" t="inlineStr">
        <is>
          <t>Sexta</t>
        </is>
      </c>
      <c r="C1250" s="7" t="inlineStr">
        <is>
          <t>CT ÁGUA VERMELHA M.D</t>
        </is>
      </c>
      <c r="D1250" s="7" t="inlineStr">
        <is>
          <t>FABIO E VALMIR</t>
        </is>
      </c>
      <c r="E1250" s="7" t="inlineStr">
        <is>
          <t>Jhonatan</t>
        </is>
      </c>
      <c r="F1250" s="13" t="inlineStr">
        <is>
          <t>Transformação PVD 05</t>
        </is>
      </c>
      <c r="G1250" s="7" t="inlineStr">
        <is>
          <t>05</t>
        </is>
      </c>
      <c r="H1250" s="7" t="n"/>
      <c r="I1250" s="7" t="inlineStr">
        <is>
          <t>05</t>
        </is>
      </c>
      <c r="J1250" s="7" t="inlineStr">
        <is>
          <t>Transformação</t>
        </is>
      </c>
      <c r="K1250" s="7" t="inlineStr">
        <is>
          <t>Planejamento</t>
        </is>
      </c>
      <c r="L1250" s="16" t="inlineStr">
        <is>
          <t>PDS-Março(1).docx</t>
        </is>
      </c>
      <c r="M1250">
        <f>IF($A1250="","",TEXT($A1250,"mmmm/yyyy"))</f>
        <v/>
      </c>
      <c r="P1250">
        <f>IFERROR(_xludf.XLOOKUP($N1250,Base_Enderecos!$A:$A,Base_Enderecos!$B:$B,""),"")</f>
        <v/>
      </c>
      <c r="Q1250">
        <f>IFERROR(_xludf.XLOOKUP($N1250,Base_Enderecos!$A:$A,Base_Enderecos!$C:$C,""),"")</f>
        <v/>
      </c>
      <c r="R1250">
        <f>IF(OR(ISNUMBER(SEARCH("HDD",$F1250)),ISNUMBER(SEARCH("MND",$F1250)),ISNUMBER(SEARCH("PEAD",$F1250)),ISNUMBER(SEARCH("Puxe",$J1250)),ISNUMBER(SEARCH("Apoio HDD",$F1250))),"MND",IF(OR(ISNUMBER(SEARCH("VCA",$F1250)),ISNUMBER(SEARCH("PVC",$F1250)),ISNUMBER(SEARCH("vca",$J1250)),ISNUMBER(SEARCH("Transformação",$J1250))),"VCA",IF(OR(ISNUMBER(SEARCH("crava",$F1250)),ISNUMBER(SEARCH("tubo cravado",$F1250)),ISNUMBER(SEARCH("shaft",$J1250)),ISNUMBER(SEARCH("concreto",$F1250))),"TUBO CRAVADO","")))</f>
        <v/>
      </c>
      <c r="T1250">
        <f>IF($A1250="","",TEXT($A1250,"yyyymm")&amp;"|"&amp;$C1250&amp;"|"&amp;$F1250&amp;"|"&amp;$N1250&amp;"|"&amp;$R1250)</f>
        <v/>
      </c>
    </row>
    <row r="1251" ht="11.55" customHeight="1">
      <c r="A1251" s="10" t="n">
        <v>46094</v>
      </c>
      <c r="B1251" s="7" t="inlineStr">
        <is>
          <t>Sexta</t>
        </is>
      </c>
      <c r="C1251" s="7" t="inlineStr">
        <is>
          <t>CT ÁGUA VERMELHA M.D</t>
        </is>
      </c>
      <c r="D1251" s="7" t="inlineStr">
        <is>
          <t>FABIO E VALMIR</t>
        </is>
      </c>
      <c r="E1251" s="7" t="inlineStr">
        <is>
          <t>Cesar</t>
        </is>
      </c>
      <c r="F1251" s="13" t="inlineStr">
        <is>
          <t>Transformação PVD 07</t>
        </is>
      </c>
      <c r="G1251" s="7" t="inlineStr">
        <is>
          <t>07</t>
        </is>
      </c>
      <c r="H1251" s="7" t="n"/>
      <c r="I1251" s="7" t="inlineStr">
        <is>
          <t>07</t>
        </is>
      </c>
      <c r="J1251" s="7" t="inlineStr">
        <is>
          <t>Transformação</t>
        </is>
      </c>
      <c r="K1251" s="7" t="inlineStr">
        <is>
          <t>Planejamento</t>
        </is>
      </c>
      <c r="L1251" s="16" t="inlineStr">
        <is>
          <t>PDS-Março(1).docx</t>
        </is>
      </c>
      <c r="M1251">
        <f>IF($A1251="","",TEXT($A1251,"mmmm/yyyy"))</f>
        <v/>
      </c>
      <c r="P1251">
        <f>IFERROR(_xludf.XLOOKUP($N1251,Base_Enderecos!$A:$A,Base_Enderecos!$B:$B,""),"")</f>
        <v/>
      </c>
      <c r="Q1251">
        <f>IFERROR(_xludf.XLOOKUP($N1251,Base_Enderecos!$A:$A,Base_Enderecos!$C:$C,""),"")</f>
        <v/>
      </c>
      <c r="R1251">
        <f>IF(OR(ISNUMBER(SEARCH("HDD",$F1251)),ISNUMBER(SEARCH("MND",$F1251)),ISNUMBER(SEARCH("PEAD",$F1251)),ISNUMBER(SEARCH("Puxe",$J1251)),ISNUMBER(SEARCH("Apoio HDD",$F1251))),"MND",IF(OR(ISNUMBER(SEARCH("VCA",$F1251)),ISNUMBER(SEARCH("PVC",$F1251)),ISNUMBER(SEARCH("vca",$J1251)),ISNUMBER(SEARCH("Transformação",$J1251))),"VCA",IF(OR(ISNUMBER(SEARCH("crava",$F1251)),ISNUMBER(SEARCH("tubo cravado",$F1251)),ISNUMBER(SEARCH("shaft",$J1251)),ISNUMBER(SEARCH("concreto",$F1251))),"TUBO CRAVADO","")))</f>
        <v/>
      </c>
      <c r="T1251">
        <f>IF($A1251="","",TEXT($A1251,"yyyymm")&amp;"|"&amp;$C1251&amp;"|"&amp;$F1251&amp;"|"&amp;$N1251&amp;"|"&amp;$R1251)</f>
        <v/>
      </c>
    </row>
    <row r="1252" ht="11.55" customHeight="1">
      <c r="A1252" s="10" t="n">
        <v>46094</v>
      </c>
      <c r="B1252" s="7" t="inlineStr">
        <is>
          <t>Sexta</t>
        </is>
      </c>
      <c r="C1252" s="7" t="inlineStr">
        <is>
          <t>CT ÁGUA VERMELHA M.E</t>
        </is>
      </c>
      <c r="D1252" s="7" t="inlineStr">
        <is>
          <t>FABIO E VALMIR</t>
        </is>
      </c>
      <c r="E1252" s="7" t="inlineStr">
        <is>
          <t>Edvando</t>
        </is>
      </c>
      <c r="F1252" s="13" t="inlineStr">
        <is>
          <t>Transformação 25</t>
        </is>
      </c>
      <c r="G1252" s="7" t="n"/>
      <c r="H1252" s="7" t="n"/>
      <c r="I1252" s="7" t="n"/>
      <c r="J1252" s="7" t="inlineStr">
        <is>
          <t>Transformação</t>
        </is>
      </c>
      <c r="K1252" s="7" t="inlineStr">
        <is>
          <t>Planejamento</t>
        </is>
      </c>
      <c r="L1252" s="16" t="inlineStr">
        <is>
          <t>PDS-Março(1).docx</t>
        </is>
      </c>
      <c r="M1252">
        <f>IF($A1252="","",TEXT($A1252,"mmmm/yyyy"))</f>
        <v/>
      </c>
      <c r="P1252">
        <f>IFERROR(_xludf.XLOOKUP($N1252,Base_Enderecos!$A:$A,Base_Enderecos!$B:$B,""),"")</f>
        <v/>
      </c>
      <c r="Q1252">
        <f>IFERROR(_xludf.XLOOKUP($N1252,Base_Enderecos!$A:$A,Base_Enderecos!$C:$C,""),"")</f>
        <v/>
      </c>
      <c r="R1252">
        <f>IF(OR(ISNUMBER(SEARCH("HDD",$F1252)),ISNUMBER(SEARCH("MND",$F1252)),ISNUMBER(SEARCH("PEAD",$F1252)),ISNUMBER(SEARCH("Puxe",$J1252)),ISNUMBER(SEARCH("Apoio HDD",$F1252))),"MND",IF(OR(ISNUMBER(SEARCH("VCA",$F1252)),ISNUMBER(SEARCH("PVC",$F1252)),ISNUMBER(SEARCH("vca",$J1252)),ISNUMBER(SEARCH("Transformação",$J1252))),"VCA",IF(OR(ISNUMBER(SEARCH("crava",$F1252)),ISNUMBER(SEARCH("tubo cravado",$F1252)),ISNUMBER(SEARCH("shaft",$J1252)),ISNUMBER(SEARCH("concreto",$F1252))),"TUBO CRAVADO","")))</f>
        <v/>
      </c>
      <c r="T1252">
        <f>IF($A1252="","",TEXT($A1252,"yyyymm")&amp;"|"&amp;$C1252&amp;"|"&amp;$F1252&amp;"|"&amp;$N1252&amp;"|"&amp;$R1252)</f>
        <v/>
      </c>
    </row>
    <row r="1253" ht="11.55" customHeight="1">
      <c r="A1253" s="10" t="n">
        <v>46094</v>
      </c>
      <c r="B1253" s="7" t="inlineStr">
        <is>
          <t>Sexta</t>
        </is>
      </c>
      <c r="C1253" s="7" t="inlineStr">
        <is>
          <t>CT ÁGUA VERMELHA M.E</t>
        </is>
      </c>
      <c r="D1253" s="7" t="inlineStr">
        <is>
          <t>FABIO E VALMIR</t>
        </is>
      </c>
      <c r="E1253" s="7" t="inlineStr">
        <is>
          <t>Cidão</t>
        </is>
      </c>
      <c r="F1253" s="13" t="inlineStr">
        <is>
          <t>Transformação PVE 21</t>
        </is>
      </c>
      <c r="G1253" s="7" t="inlineStr">
        <is>
          <t>21</t>
        </is>
      </c>
      <c r="H1253" s="7" t="n"/>
      <c r="I1253" s="7" t="inlineStr">
        <is>
          <t>21</t>
        </is>
      </c>
      <c r="J1253" s="7" t="inlineStr">
        <is>
          <t>Transformação</t>
        </is>
      </c>
      <c r="K1253" s="7" t="inlineStr">
        <is>
          <t>Planejamento</t>
        </is>
      </c>
      <c r="L1253" s="16" t="inlineStr">
        <is>
          <t>PDS-Março(1).docx</t>
        </is>
      </c>
      <c r="M1253">
        <f>IF($A1253="","",TEXT($A1253,"mmmm/yyyy"))</f>
        <v/>
      </c>
      <c r="P1253">
        <f>IFERROR(_xludf.XLOOKUP($N1253,Base_Enderecos!$A:$A,Base_Enderecos!$B:$B,""),"")</f>
        <v/>
      </c>
      <c r="Q1253">
        <f>IFERROR(_xludf.XLOOKUP($N1253,Base_Enderecos!$A:$A,Base_Enderecos!$C:$C,""),"")</f>
        <v/>
      </c>
      <c r="R1253">
        <f>IF(OR(ISNUMBER(SEARCH("HDD",$F1253)),ISNUMBER(SEARCH("MND",$F1253)),ISNUMBER(SEARCH("PEAD",$F1253)),ISNUMBER(SEARCH("Puxe",$J1253)),ISNUMBER(SEARCH("Apoio HDD",$F1253))),"MND",IF(OR(ISNUMBER(SEARCH("VCA",$F1253)),ISNUMBER(SEARCH("PVC",$F1253)),ISNUMBER(SEARCH("vca",$J1253)),ISNUMBER(SEARCH("Transformação",$J1253))),"VCA",IF(OR(ISNUMBER(SEARCH("crava",$F1253)),ISNUMBER(SEARCH("tubo cravado",$F1253)),ISNUMBER(SEARCH("shaft",$J1253)),ISNUMBER(SEARCH("concreto",$F1253))),"TUBO CRAVADO","")))</f>
        <v/>
      </c>
      <c r="T1253">
        <f>IF($A1253="","",TEXT($A1253,"yyyymm")&amp;"|"&amp;$C1253&amp;"|"&amp;$F1253&amp;"|"&amp;$N1253&amp;"|"&amp;$R1253)</f>
        <v/>
      </c>
    </row>
    <row r="1254" ht="11.55" customHeight="1">
      <c r="A1254" s="10" t="n">
        <v>46094</v>
      </c>
      <c r="B1254" s="7" t="inlineStr">
        <is>
          <t>Sexta</t>
        </is>
      </c>
      <c r="C1254" s="7" t="inlineStr">
        <is>
          <t>CT ÁGUA VERMELHA M.E</t>
        </is>
      </c>
      <c r="D1254" s="7" t="inlineStr">
        <is>
          <t>FABIO E VALMIR</t>
        </is>
      </c>
      <c r="E1254" s="7" t="inlineStr">
        <is>
          <t>Marcelo</t>
        </is>
      </c>
      <c r="F1254" s="13" t="inlineStr">
        <is>
          <t>Shaft e Interligação PVE 10</t>
        </is>
      </c>
      <c r="G1254" s="7" t="inlineStr">
        <is>
          <t>10</t>
        </is>
      </c>
      <c r="H1254" s="7" t="n"/>
      <c r="I1254" s="7" t="inlineStr">
        <is>
          <t>10</t>
        </is>
      </c>
      <c r="J1254" s="7" t="inlineStr">
        <is>
          <t>Shaft</t>
        </is>
      </c>
      <c r="K1254" s="7" t="inlineStr">
        <is>
          <t>Planejamento</t>
        </is>
      </c>
      <c r="L1254" s="16" t="inlineStr">
        <is>
          <t>PDS-Março(1).docx</t>
        </is>
      </c>
      <c r="M1254">
        <f>IF($A1254="","",TEXT($A1254,"mmmm/yyyy"))</f>
        <v/>
      </c>
      <c r="P1254">
        <f>IFERROR(_xludf.XLOOKUP($N1254,Base_Enderecos!$A:$A,Base_Enderecos!$B:$B,""),"")</f>
        <v/>
      </c>
      <c r="Q1254">
        <f>IFERROR(_xludf.XLOOKUP($N1254,Base_Enderecos!$A:$A,Base_Enderecos!$C:$C,""),"")</f>
        <v/>
      </c>
      <c r="R1254">
        <f>IF(OR(ISNUMBER(SEARCH("HDD",$F1254)),ISNUMBER(SEARCH("MND",$F1254)),ISNUMBER(SEARCH("PEAD",$F1254)),ISNUMBER(SEARCH("Puxe",$J1254)),ISNUMBER(SEARCH("Apoio HDD",$F1254))),"MND",IF(OR(ISNUMBER(SEARCH("VCA",$F1254)),ISNUMBER(SEARCH("PVC",$F1254)),ISNUMBER(SEARCH("vca",$J1254)),ISNUMBER(SEARCH("Transformação",$J1254))),"VCA",IF(OR(ISNUMBER(SEARCH("crava",$F1254)),ISNUMBER(SEARCH("tubo cravado",$F1254)),ISNUMBER(SEARCH("shaft",$J1254)),ISNUMBER(SEARCH("concreto",$F1254))),"TUBO CRAVADO","")))</f>
        <v/>
      </c>
      <c r="T1254">
        <f>IF($A1254="","",TEXT($A1254,"yyyymm")&amp;"|"&amp;$C1254&amp;"|"&amp;$F1254&amp;"|"&amp;$N1254&amp;"|"&amp;$R1254)</f>
        <v/>
      </c>
    </row>
    <row r="1255" ht="11.55" customHeight="1">
      <c r="A1255" s="10" t="n">
        <v>46094</v>
      </c>
      <c r="B1255" s="7" t="inlineStr">
        <is>
          <t>Sexta</t>
        </is>
      </c>
      <c r="C1255" s="7" t="inlineStr">
        <is>
          <t>CT ÁGUA VERMELHA M.E</t>
        </is>
      </c>
      <c r="D1255" s="7" t="inlineStr">
        <is>
          <t>FABIO E VALMIR</t>
        </is>
      </c>
      <c r="E1255" s="7" t="inlineStr">
        <is>
          <t>Higor</t>
        </is>
      </c>
      <c r="F1255" s="13" t="inlineStr">
        <is>
          <t>Transformação PV 15</t>
        </is>
      </c>
      <c r="G1255" s="7" t="inlineStr">
        <is>
          <t>15</t>
        </is>
      </c>
      <c r="H1255" s="7" t="n"/>
      <c r="I1255" s="7" t="inlineStr">
        <is>
          <t>15</t>
        </is>
      </c>
      <c r="J1255" s="7" t="inlineStr">
        <is>
          <t>Transformação</t>
        </is>
      </c>
      <c r="K1255" s="7" t="inlineStr">
        <is>
          <t>Planejamento</t>
        </is>
      </c>
      <c r="L1255" s="16" t="inlineStr">
        <is>
          <t>PDS-Março(1).docx</t>
        </is>
      </c>
      <c r="M1255">
        <f>IF($A1255="","",TEXT($A1255,"mmmm/yyyy"))</f>
        <v/>
      </c>
      <c r="P1255">
        <f>IFERROR(_xludf.XLOOKUP($N1255,Base_Enderecos!$A:$A,Base_Enderecos!$B:$B,""),"")</f>
        <v/>
      </c>
      <c r="Q1255">
        <f>IFERROR(_xludf.XLOOKUP($N1255,Base_Enderecos!$A:$A,Base_Enderecos!$C:$C,""),"")</f>
        <v/>
      </c>
      <c r="R1255">
        <f>IF(OR(ISNUMBER(SEARCH("HDD",$F1255)),ISNUMBER(SEARCH("MND",$F1255)),ISNUMBER(SEARCH("PEAD",$F1255)),ISNUMBER(SEARCH("Puxe",$J1255)),ISNUMBER(SEARCH("Apoio HDD",$F1255))),"MND",IF(OR(ISNUMBER(SEARCH("VCA",$F1255)),ISNUMBER(SEARCH("PVC",$F1255)),ISNUMBER(SEARCH("vca",$J1255)),ISNUMBER(SEARCH("Transformação",$J1255))),"VCA",IF(OR(ISNUMBER(SEARCH("crava",$F1255)),ISNUMBER(SEARCH("tubo cravado",$F1255)),ISNUMBER(SEARCH("shaft",$J1255)),ISNUMBER(SEARCH("concreto",$F1255))),"TUBO CRAVADO","")))</f>
        <v/>
      </c>
      <c r="T1255">
        <f>IF($A1255="","",TEXT($A1255,"yyyymm")&amp;"|"&amp;$C1255&amp;"|"&amp;$F1255&amp;"|"&amp;$N1255&amp;"|"&amp;$R1255)</f>
        <v/>
      </c>
    </row>
    <row r="1256" ht="11.55" customHeight="1">
      <c r="A1256" s="10" t="n">
        <v>46094</v>
      </c>
      <c r="B1256" s="7" t="inlineStr">
        <is>
          <t>Sexta</t>
        </is>
      </c>
      <c r="C1256" s="7" t="inlineStr">
        <is>
          <t>CT ÁGUA VERMELHA M.E</t>
        </is>
      </c>
      <c r="D1256" s="7" t="inlineStr">
        <is>
          <t>FABIO E VALMIR</t>
        </is>
      </c>
      <c r="E1256" s="7" t="inlineStr">
        <is>
          <t>Higor</t>
        </is>
      </c>
      <c r="F1256" s="13" t="inlineStr">
        <is>
          <t>Transformação PV 18</t>
        </is>
      </c>
      <c r="G1256" s="7" t="inlineStr">
        <is>
          <t>18</t>
        </is>
      </c>
      <c r="H1256" s="7" t="n"/>
      <c r="I1256" s="7" t="inlineStr">
        <is>
          <t>18</t>
        </is>
      </c>
      <c r="J1256" s="7" t="inlineStr">
        <is>
          <t>Transformação</t>
        </is>
      </c>
      <c r="K1256" s="7" t="inlineStr">
        <is>
          <t>Planejamento</t>
        </is>
      </c>
      <c r="L1256" s="16" t="inlineStr">
        <is>
          <t>PDS-Março(1).docx</t>
        </is>
      </c>
      <c r="M1256">
        <f>IF($A1256="","",TEXT($A1256,"mmmm/yyyy"))</f>
        <v/>
      </c>
      <c r="P1256">
        <f>IFERROR(_xludf.XLOOKUP($N1256,Base_Enderecos!$A:$A,Base_Enderecos!$B:$B,""),"")</f>
        <v/>
      </c>
      <c r="Q1256">
        <f>IFERROR(_xludf.XLOOKUP($N1256,Base_Enderecos!$A:$A,Base_Enderecos!$C:$C,""),"")</f>
        <v/>
      </c>
      <c r="R1256">
        <f>IF(OR(ISNUMBER(SEARCH("HDD",$F1256)),ISNUMBER(SEARCH("MND",$F1256)),ISNUMBER(SEARCH("PEAD",$F1256)),ISNUMBER(SEARCH("Puxe",$J1256)),ISNUMBER(SEARCH("Apoio HDD",$F1256))),"MND",IF(OR(ISNUMBER(SEARCH("VCA",$F1256)),ISNUMBER(SEARCH("PVC",$F1256)),ISNUMBER(SEARCH("vca",$J1256)),ISNUMBER(SEARCH("Transformação",$J1256))),"VCA",IF(OR(ISNUMBER(SEARCH("crava",$F1256)),ISNUMBER(SEARCH("tubo cravado",$F1256)),ISNUMBER(SEARCH("shaft",$J1256)),ISNUMBER(SEARCH("concreto",$F1256))),"TUBO CRAVADO","")))</f>
        <v/>
      </c>
      <c r="T1256">
        <f>IF($A1256="","",TEXT($A1256,"yyyymm")&amp;"|"&amp;$C1256&amp;"|"&amp;$F1256&amp;"|"&amp;$N1256&amp;"|"&amp;$R1256)</f>
        <v/>
      </c>
    </row>
    <row r="1257" ht="11.55" customHeight="1">
      <c r="A1257" s="10" t="n">
        <v>46094</v>
      </c>
      <c r="B1257" s="7" t="inlineStr">
        <is>
          <t>Sexta</t>
        </is>
      </c>
      <c r="C1257" s="7" t="inlineStr">
        <is>
          <t>CT ÁGUA VERMELHA M.E</t>
        </is>
      </c>
      <c r="D1257" s="7" t="inlineStr">
        <is>
          <t>FABIO E VALMIR</t>
        </is>
      </c>
      <c r="E1257" s="7" t="inlineStr">
        <is>
          <t>Marcio</t>
        </is>
      </c>
      <c r="F1257" s="13" t="inlineStr">
        <is>
          <t>Transformação PV 11</t>
        </is>
      </c>
      <c r="G1257" s="7" t="inlineStr">
        <is>
          <t>11</t>
        </is>
      </c>
      <c r="H1257" s="7" t="n"/>
      <c r="I1257" s="7" t="inlineStr">
        <is>
          <t>11</t>
        </is>
      </c>
      <c r="J1257" s="7" t="inlineStr">
        <is>
          <t>Transformação</t>
        </is>
      </c>
      <c r="K1257" s="7" t="inlineStr">
        <is>
          <t>Planejamento</t>
        </is>
      </c>
      <c r="L1257" s="16" t="inlineStr">
        <is>
          <t>PDS-Março(1).docx</t>
        </is>
      </c>
      <c r="M1257">
        <f>IF($A1257="","",TEXT($A1257,"mmmm/yyyy"))</f>
        <v/>
      </c>
      <c r="P1257">
        <f>IFERROR(_xludf.XLOOKUP($N1257,Base_Enderecos!$A:$A,Base_Enderecos!$B:$B,""),"")</f>
        <v/>
      </c>
      <c r="Q1257">
        <f>IFERROR(_xludf.XLOOKUP($N1257,Base_Enderecos!$A:$A,Base_Enderecos!$C:$C,""),"")</f>
        <v/>
      </c>
      <c r="R1257">
        <f>IF(OR(ISNUMBER(SEARCH("HDD",$F1257)),ISNUMBER(SEARCH("MND",$F1257)),ISNUMBER(SEARCH("PEAD",$F1257)),ISNUMBER(SEARCH("Puxe",$J1257)),ISNUMBER(SEARCH("Apoio HDD",$F1257))),"MND",IF(OR(ISNUMBER(SEARCH("VCA",$F1257)),ISNUMBER(SEARCH("PVC",$F1257)),ISNUMBER(SEARCH("vca",$J1257)),ISNUMBER(SEARCH("Transformação",$J1257))),"VCA",IF(OR(ISNUMBER(SEARCH("crava",$F1257)),ISNUMBER(SEARCH("tubo cravado",$F1257)),ISNUMBER(SEARCH("shaft",$J1257)),ISNUMBER(SEARCH("concreto",$F1257))),"TUBO CRAVADO","")))</f>
        <v/>
      </c>
      <c r="T1257">
        <f>IF($A1257="","",TEXT($A1257,"yyyymm")&amp;"|"&amp;$C1257&amp;"|"&amp;$F1257&amp;"|"&amp;$N1257&amp;"|"&amp;$R1257)</f>
        <v/>
      </c>
    </row>
    <row r="1258" ht="11.55" customHeight="1">
      <c r="A1258" s="10" t="n">
        <v>46094</v>
      </c>
      <c r="B1258" s="7" t="inlineStr">
        <is>
          <t>Sexta</t>
        </is>
      </c>
      <c r="C1258" s="7" t="inlineStr">
        <is>
          <t>Vacal</t>
        </is>
      </c>
      <c r="D1258" s="7" t="n"/>
      <c r="E1258" s="7" t="inlineStr">
        <is>
          <t>Conceição</t>
        </is>
      </c>
      <c r="F1258" s="13" t="inlineStr">
        <is>
          <t>Apoio Vacal</t>
        </is>
      </c>
      <c r="G1258" s="7" t="n"/>
      <c r="H1258" s="7" t="n"/>
      <c r="I1258" s="7" t="n"/>
      <c r="J1258" s="7" t="inlineStr">
        <is>
          <t>Vacal</t>
        </is>
      </c>
      <c r="K1258" s="7" t="inlineStr">
        <is>
          <t>Apoio</t>
        </is>
      </c>
      <c r="L1258" s="16" t="inlineStr">
        <is>
          <t>PDS-Março(1).docx</t>
        </is>
      </c>
      <c r="M1258">
        <f>IF($A1258="","",TEXT($A1258,"mmmm/yyyy"))</f>
        <v/>
      </c>
      <c r="P1258">
        <f>IFERROR(_xludf.XLOOKUP($N1258,Base_Enderecos!$A:$A,Base_Enderecos!$B:$B,""),"")</f>
        <v/>
      </c>
      <c r="Q1258">
        <f>IFERROR(_xludf.XLOOKUP($N1258,Base_Enderecos!$A:$A,Base_Enderecos!$C:$C,""),"")</f>
        <v/>
      </c>
      <c r="R1258">
        <f>IF(OR(ISNUMBER(SEARCH("HDD",$F1258)),ISNUMBER(SEARCH("MND",$F1258)),ISNUMBER(SEARCH("PEAD",$F1258)),ISNUMBER(SEARCH("Puxe",$J1258)),ISNUMBER(SEARCH("Apoio HDD",$F1258))),"MND",IF(OR(ISNUMBER(SEARCH("VCA",$F1258)),ISNUMBER(SEARCH("PVC",$F1258)),ISNUMBER(SEARCH("vca",$J1258)),ISNUMBER(SEARCH("Transformação",$J1258))),"VCA",IF(OR(ISNUMBER(SEARCH("crava",$F1258)),ISNUMBER(SEARCH("tubo cravado",$F1258)),ISNUMBER(SEARCH("shaft",$J1258)),ISNUMBER(SEARCH("concreto",$F1258))),"TUBO CRAVADO","")))</f>
        <v/>
      </c>
      <c r="T1258">
        <f>IF($A1258="","",TEXT($A1258,"yyyymm")&amp;"|"&amp;$C1258&amp;"|"&amp;$F1258&amp;"|"&amp;$N1258&amp;"|"&amp;$R1258)</f>
        <v/>
      </c>
    </row>
    <row r="1259" ht="11.55" customHeight="1">
      <c r="A1259" s="10" t="n">
        <v>46094</v>
      </c>
      <c r="B1259" s="7" t="inlineStr">
        <is>
          <t>Sexta</t>
        </is>
      </c>
      <c r="C1259" s="7" t="inlineStr">
        <is>
          <t>Vacal</t>
        </is>
      </c>
      <c r="D1259" s="7" t="n"/>
      <c r="E1259" s="7" t="inlineStr">
        <is>
          <t>Conceição</t>
        </is>
      </c>
      <c r="F1259" s="13" t="inlineStr">
        <is>
          <t>Apoio Vacal</t>
        </is>
      </c>
      <c r="G1259" s="7" t="n"/>
      <c r="H1259" s="7" t="n"/>
      <c r="I1259" s="7" t="n"/>
      <c r="J1259" s="7" t="inlineStr">
        <is>
          <t>Vacal</t>
        </is>
      </c>
      <c r="K1259" s="7" t="inlineStr">
        <is>
          <t>Apoio</t>
        </is>
      </c>
      <c r="L1259" s="16" t="inlineStr">
        <is>
          <t>PDS-Março(1).docx</t>
        </is>
      </c>
      <c r="M1259">
        <f>IF($A1259="","",TEXT($A1259,"mmmm/yyyy"))</f>
        <v/>
      </c>
      <c r="P1259">
        <f>IFERROR(_xludf.XLOOKUP($N1259,Base_Enderecos!$A:$A,Base_Enderecos!$B:$B,""),"")</f>
        <v/>
      </c>
      <c r="Q1259">
        <f>IFERROR(_xludf.XLOOKUP($N1259,Base_Enderecos!$A:$A,Base_Enderecos!$C:$C,""),"")</f>
        <v/>
      </c>
      <c r="R1259">
        <f>IF(OR(ISNUMBER(SEARCH("HDD",$F1259)),ISNUMBER(SEARCH("MND",$F1259)),ISNUMBER(SEARCH("PEAD",$F1259)),ISNUMBER(SEARCH("Puxe",$J1259)),ISNUMBER(SEARCH("Apoio HDD",$F1259))),"MND",IF(OR(ISNUMBER(SEARCH("VCA",$F1259)),ISNUMBER(SEARCH("PVC",$F1259)),ISNUMBER(SEARCH("vca",$J1259)),ISNUMBER(SEARCH("Transformação",$J1259))),"VCA",IF(OR(ISNUMBER(SEARCH("crava",$F1259)),ISNUMBER(SEARCH("tubo cravado",$F1259)),ISNUMBER(SEARCH("shaft",$J1259)),ISNUMBER(SEARCH("concreto",$F1259))),"TUBO CRAVADO","")))</f>
        <v/>
      </c>
      <c r="T1259">
        <f>IF($A1259="","",TEXT($A1259,"yyyymm")&amp;"|"&amp;$C1259&amp;"|"&amp;$F1259&amp;"|"&amp;$N1259&amp;"|"&amp;$R1259)</f>
        <v/>
      </c>
    </row>
    <row r="1260" ht="11.55" customHeight="1">
      <c r="A1260" s="10" t="n">
        <v>46094</v>
      </c>
      <c r="B1260" s="7" t="inlineStr">
        <is>
          <t>Sexta</t>
        </is>
      </c>
      <c r="C1260" s="7" t="inlineStr">
        <is>
          <t>Vacal</t>
        </is>
      </c>
      <c r="D1260" s="7" t="n"/>
      <c r="E1260" s="7" t="inlineStr">
        <is>
          <t>Água Vermelha</t>
        </is>
      </c>
      <c r="F1260" s="13" t="inlineStr">
        <is>
          <t>Apoio Vacal</t>
        </is>
      </c>
      <c r="G1260" s="7" t="n"/>
      <c r="H1260" s="7" t="n"/>
      <c r="I1260" s="7" t="n"/>
      <c r="J1260" s="7" t="inlineStr">
        <is>
          <t>Vacal</t>
        </is>
      </c>
      <c r="K1260" s="7" t="inlineStr">
        <is>
          <t>Apoio</t>
        </is>
      </c>
      <c r="L1260" s="16" t="inlineStr">
        <is>
          <t>PDS-Março(1).docx</t>
        </is>
      </c>
      <c r="M1260">
        <f>IF($A1260="","",TEXT($A1260,"mmmm/yyyy"))</f>
        <v/>
      </c>
      <c r="P1260">
        <f>IFERROR(_xludf.XLOOKUP($N1260,Base_Enderecos!$A:$A,Base_Enderecos!$B:$B,""),"")</f>
        <v/>
      </c>
      <c r="Q1260">
        <f>IFERROR(_xludf.XLOOKUP($N1260,Base_Enderecos!$A:$A,Base_Enderecos!$C:$C,""),"")</f>
        <v/>
      </c>
      <c r="R1260">
        <f>IF(OR(ISNUMBER(SEARCH("HDD",$F1260)),ISNUMBER(SEARCH("MND",$F1260)),ISNUMBER(SEARCH("PEAD",$F1260)),ISNUMBER(SEARCH("Puxe",$J1260)),ISNUMBER(SEARCH("Apoio HDD",$F1260))),"MND",IF(OR(ISNUMBER(SEARCH("VCA",$F1260)),ISNUMBER(SEARCH("PVC",$F1260)),ISNUMBER(SEARCH("vca",$J1260)),ISNUMBER(SEARCH("Transformação",$J1260))),"VCA",IF(OR(ISNUMBER(SEARCH("crava",$F1260)),ISNUMBER(SEARCH("tubo cravado",$F1260)),ISNUMBER(SEARCH("shaft",$J1260)),ISNUMBER(SEARCH("concreto",$F1260))),"TUBO CRAVADO","")))</f>
        <v/>
      </c>
      <c r="T1260">
        <f>IF($A1260="","",TEXT($A1260,"yyyymm")&amp;"|"&amp;$C1260&amp;"|"&amp;$F1260&amp;"|"&amp;$N1260&amp;"|"&amp;$R1260)</f>
        <v/>
      </c>
    </row>
    <row r="1261" ht="11.55" customHeight="1">
      <c r="A1261" s="10" t="n">
        <v>46094</v>
      </c>
      <c r="B1261" s="7" t="inlineStr">
        <is>
          <t>Sexta</t>
        </is>
      </c>
      <c r="C1261" s="7" t="inlineStr">
        <is>
          <t>Vacal</t>
        </is>
      </c>
      <c r="D1261" s="7" t="n"/>
      <c r="E1261" s="7" t="inlineStr">
        <is>
          <t>Água Vermelha</t>
        </is>
      </c>
      <c r="F1261" s="13" t="inlineStr">
        <is>
          <t>Apoio Vacal</t>
        </is>
      </c>
      <c r="G1261" s="7" t="n"/>
      <c r="H1261" s="7" t="n"/>
      <c r="I1261" s="7" t="n"/>
      <c r="J1261" s="7" t="inlineStr">
        <is>
          <t>Vacal</t>
        </is>
      </c>
      <c r="K1261" s="7" t="inlineStr">
        <is>
          <t>Apoio</t>
        </is>
      </c>
      <c r="L1261" s="16" t="inlineStr">
        <is>
          <t>PDS-Março(1).docx</t>
        </is>
      </c>
      <c r="M1261">
        <f>IF($A1261="","",TEXT($A1261,"mmmm/yyyy"))</f>
        <v/>
      </c>
      <c r="P1261">
        <f>IFERROR(_xludf.XLOOKUP($N1261,Base_Enderecos!$A:$A,Base_Enderecos!$B:$B,""),"")</f>
        <v/>
      </c>
      <c r="Q1261">
        <f>IFERROR(_xludf.XLOOKUP($N1261,Base_Enderecos!$A:$A,Base_Enderecos!$C:$C,""),"")</f>
        <v/>
      </c>
      <c r="R1261">
        <f>IF(OR(ISNUMBER(SEARCH("HDD",$F1261)),ISNUMBER(SEARCH("MND",$F1261)),ISNUMBER(SEARCH("PEAD",$F1261)),ISNUMBER(SEARCH("Puxe",$J1261)),ISNUMBER(SEARCH("Apoio HDD",$F1261))),"MND",IF(OR(ISNUMBER(SEARCH("VCA",$F1261)),ISNUMBER(SEARCH("PVC",$F1261)),ISNUMBER(SEARCH("vca",$J1261)),ISNUMBER(SEARCH("Transformação",$J1261))),"VCA",IF(OR(ISNUMBER(SEARCH("crava",$F1261)),ISNUMBER(SEARCH("tubo cravado",$F1261)),ISNUMBER(SEARCH("shaft",$J1261)),ISNUMBER(SEARCH("concreto",$F1261))),"TUBO CRAVADO","")))</f>
        <v/>
      </c>
      <c r="T1261">
        <f>IF($A1261="","",TEXT($A1261,"yyyymm")&amp;"|"&amp;$C1261&amp;"|"&amp;$F1261&amp;"|"&amp;$N1261&amp;"|"&amp;$R1261)</f>
        <v/>
      </c>
    </row>
    <row r="1262" ht="11.55" customHeight="1">
      <c r="A1262" s="10" t="n">
        <v>46094</v>
      </c>
      <c r="B1262" s="7" t="inlineStr">
        <is>
          <t>Sexta</t>
        </is>
      </c>
      <c r="C1262" s="7" t="inlineStr">
        <is>
          <t>Guindauto</t>
        </is>
      </c>
      <c r="D1262" s="7" t="n"/>
      <c r="E1262" s="7" t="inlineStr">
        <is>
          <t>Rodrigo</t>
        </is>
      </c>
      <c r="F1262" s="13" t="inlineStr">
        <is>
          <t>Rodrigo - Apoio as equipes</t>
        </is>
      </c>
      <c r="G1262" s="7" t="n"/>
      <c r="H1262" s="7" t="n"/>
      <c r="I1262" s="7" t="n"/>
      <c r="J1262" s="7" t="inlineStr">
        <is>
          <t>Guindauto</t>
        </is>
      </c>
      <c r="K1262" s="7" t="inlineStr">
        <is>
          <t>Apoio</t>
        </is>
      </c>
      <c r="L1262" s="16" t="inlineStr">
        <is>
          <t>PDS-Março(1).docx</t>
        </is>
      </c>
      <c r="M1262">
        <f>IF($A1262="","",TEXT($A1262,"mmmm/yyyy"))</f>
        <v/>
      </c>
      <c r="P1262">
        <f>IFERROR(_xludf.XLOOKUP($N1262,Base_Enderecos!$A:$A,Base_Enderecos!$B:$B,""),"")</f>
        <v/>
      </c>
      <c r="Q1262">
        <f>IFERROR(_xludf.XLOOKUP($N1262,Base_Enderecos!$A:$A,Base_Enderecos!$C:$C,""),"")</f>
        <v/>
      </c>
      <c r="R1262">
        <f>IF(OR(ISNUMBER(SEARCH("HDD",$F1262)),ISNUMBER(SEARCH("MND",$F1262)),ISNUMBER(SEARCH("PEAD",$F1262)),ISNUMBER(SEARCH("Puxe",$J1262)),ISNUMBER(SEARCH("Apoio HDD",$F1262))),"MND",IF(OR(ISNUMBER(SEARCH("VCA",$F1262)),ISNUMBER(SEARCH("PVC",$F1262)),ISNUMBER(SEARCH("vca",$J1262)),ISNUMBER(SEARCH("Transformação",$J1262))),"VCA",IF(OR(ISNUMBER(SEARCH("crava",$F1262)),ISNUMBER(SEARCH("tubo cravado",$F1262)),ISNUMBER(SEARCH("shaft",$J1262)),ISNUMBER(SEARCH("concreto",$F1262))),"TUBO CRAVADO","")))</f>
        <v/>
      </c>
      <c r="T1262">
        <f>IF($A1262="","",TEXT($A1262,"yyyymm")&amp;"|"&amp;$C1262&amp;"|"&amp;$F1262&amp;"|"&amp;$N1262&amp;"|"&amp;$R1262)</f>
        <v/>
      </c>
    </row>
    <row r="1263" ht="11.55" customHeight="1">
      <c r="A1263" s="10" t="n">
        <v>46094</v>
      </c>
      <c r="B1263" s="7" t="inlineStr">
        <is>
          <t>Sexta</t>
        </is>
      </c>
      <c r="C1263" s="7" t="inlineStr">
        <is>
          <t>Guindauto</t>
        </is>
      </c>
      <c r="D1263" s="7" t="n"/>
      <c r="E1263" s="7" t="inlineStr">
        <is>
          <t>Marcio</t>
        </is>
      </c>
      <c r="F1263" s="13" t="inlineStr">
        <is>
          <t>Marcio - Apoio as equipes</t>
        </is>
      </c>
      <c r="G1263" s="7" t="n"/>
      <c r="H1263" s="7" t="n"/>
      <c r="I1263" s="7" t="n"/>
      <c r="J1263" s="7" t="inlineStr">
        <is>
          <t>Guindauto</t>
        </is>
      </c>
      <c r="K1263" s="7" t="inlineStr">
        <is>
          <t>Apoio</t>
        </is>
      </c>
      <c r="L1263" s="16" t="inlineStr">
        <is>
          <t>PDS-Março(1).docx</t>
        </is>
      </c>
      <c r="M1263">
        <f>IF($A1263="","",TEXT($A1263,"mmmm/yyyy"))</f>
        <v/>
      </c>
      <c r="P1263">
        <f>IFERROR(_xludf.XLOOKUP($N1263,Base_Enderecos!$A:$A,Base_Enderecos!$B:$B,""),"")</f>
        <v/>
      </c>
      <c r="Q1263">
        <f>IFERROR(_xludf.XLOOKUP($N1263,Base_Enderecos!$A:$A,Base_Enderecos!$C:$C,""),"")</f>
        <v/>
      </c>
      <c r="R1263">
        <f>IF(OR(ISNUMBER(SEARCH("HDD",$F1263)),ISNUMBER(SEARCH("MND",$F1263)),ISNUMBER(SEARCH("PEAD",$F1263)),ISNUMBER(SEARCH("Puxe",$J1263)),ISNUMBER(SEARCH("Apoio HDD",$F1263))),"MND",IF(OR(ISNUMBER(SEARCH("VCA",$F1263)),ISNUMBER(SEARCH("PVC",$F1263)),ISNUMBER(SEARCH("vca",$J1263)),ISNUMBER(SEARCH("Transformação",$J1263))),"VCA",IF(OR(ISNUMBER(SEARCH("crava",$F1263)),ISNUMBER(SEARCH("tubo cravado",$F1263)),ISNUMBER(SEARCH("shaft",$J1263)),ISNUMBER(SEARCH("concreto",$F1263))),"TUBO CRAVADO","")))</f>
        <v/>
      </c>
      <c r="T1263">
        <f>IF($A1263="","",TEXT($A1263,"yyyymm")&amp;"|"&amp;$C1263&amp;"|"&amp;$F1263&amp;"|"&amp;$N1263&amp;"|"&amp;$R1263)</f>
        <v/>
      </c>
    </row>
    <row r="1264" ht="11.55" customHeight="1">
      <c r="A1264" s="10" t="n">
        <v>46095</v>
      </c>
      <c r="B1264" s="7" t="n"/>
      <c r="C1264" s="7" t="inlineStr">
        <is>
          <t>CTS CONCEIÇÃO</t>
        </is>
      </c>
      <c r="D1264" s="7" t="inlineStr">
        <is>
          <t>LEANDRO,SILVESTRE E ROBSON</t>
        </is>
      </c>
      <c r="E1264" s="7" t="inlineStr">
        <is>
          <t>WJ 2</t>
        </is>
      </c>
      <c r="F1264" s="13" t="inlineStr">
        <is>
          <t>Puxe PV 04 a PV 4.2</t>
        </is>
      </c>
      <c r="G1264" s="7" t="inlineStr">
        <is>
          <t>04</t>
        </is>
      </c>
      <c r="H1264" s="7" t="inlineStr">
        <is>
          <t>4.2</t>
        </is>
      </c>
      <c r="I1264" s="7" t="inlineStr">
        <is>
          <t>04, 4.2</t>
        </is>
      </c>
      <c r="J1264" s="7" t="inlineStr">
        <is>
          <t>Puxe</t>
        </is>
      </c>
      <c r="K1264" s="7" t="inlineStr">
        <is>
          <t>Planejamento</t>
        </is>
      </c>
      <c r="L1264" s="16" t="inlineStr">
        <is>
          <t>PDS-Março(1).docx</t>
        </is>
      </c>
      <c r="M1264">
        <f>IF($A1264="","",TEXT($A1264,"mmmm/yyyy"))</f>
        <v/>
      </c>
      <c r="P1264">
        <f>IFERROR(_xludf.XLOOKUP($N1264,Base_Enderecos!$A:$A,Base_Enderecos!$B:$B,""),"")</f>
        <v/>
      </c>
      <c r="Q1264">
        <f>IFERROR(_xludf.XLOOKUP($N1264,Base_Enderecos!$A:$A,Base_Enderecos!$C:$C,""),"")</f>
        <v/>
      </c>
      <c r="R1264">
        <f>IF(OR(ISNUMBER(SEARCH("HDD",$F1264)),ISNUMBER(SEARCH("MND",$F1264)),ISNUMBER(SEARCH("PEAD",$F1264)),ISNUMBER(SEARCH("Puxe",$J1264)),ISNUMBER(SEARCH("Apoio HDD",$F1264))),"MND",IF(OR(ISNUMBER(SEARCH("VCA",$F1264)),ISNUMBER(SEARCH("PVC",$F1264)),ISNUMBER(SEARCH("vca",$J1264)),ISNUMBER(SEARCH("Transformação",$J1264))),"VCA",IF(OR(ISNUMBER(SEARCH("crava",$F1264)),ISNUMBER(SEARCH("tubo cravado",$F1264)),ISNUMBER(SEARCH("shaft",$J1264)),ISNUMBER(SEARCH("concreto",$F1264))),"TUBO CRAVADO","")))</f>
        <v/>
      </c>
      <c r="T1264">
        <f>IF($A1264="","",TEXT($A1264,"yyyymm")&amp;"|"&amp;$C1264&amp;"|"&amp;$F1264&amp;"|"&amp;$N1264&amp;"|"&amp;$R1264)</f>
        <v/>
      </c>
    </row>
    <row r="1265" ht="11.55" customHeight="1">
      <c r="A1265" s="10" t="n">
        <v>46095</v>
      </c>
      <c r="B1265" s="7" t="n"/>
      <c r="C1265" s="7" t="inlineStr">
        <is>
          <t>CTS CONCEIÇÃO</t>
        </is>
      </c>
      <c r="D1265" s="7" t="inlineStr">
        <is>
          <t>LEANDRO,SILVESTRE E ROBSON</t>
        </is>
      </c>
      <c r="E1265" s="7" t="inlineStr">
        <is>
          <t>Higor</t>
        </is>
      </c>
      <c r="F1265" s="13" t="inlineStr">
        <is>
          <t>Apoio HDD PV 04 a PV 4.2</t>
        </is>
      </c>
      <c r="G1265" s="7" t="inlineStr">
        <is>
          <t>04</t>
        </is>
      </c>
      <c r="H1265" s="7" t="inlineStr">
        <is>
          <t>4.2</t>
        </is>
      </c>
      <c r="I1265" s="7" t="inlineStr">
        <is>
          <t>04, 4.2</t>
        </is>
      </c>
      <c r="J1265" s="7" t="inlineStr">
        <is>
          <t>Apoio HDD</t>
        </is>
      </c>
      <c r="K1265" s="7" t="inlineStr">
        <is>
          <t>Planejamento</t>
        </is>
      </c>
      <c r="L1265" s="16" t="inlineStr">
        <is>
          <t>PDS-Março(1).docx</t>
        </is>
      </c>
      <c r="M1265">
        <f>IF($A1265="","",TEXT($A1265,"mmmm/yyyy"))</f>
        <v/>
      </c>
      <c r="P1265">
        <f>IFERROR(_xludf.XLOOKUP($N1265,Base_Enderecos!$A:$A,Base_Enderecos!$B:$B,""),"")</f>
        <v/>
      </c>
      <c r="Q1265">
        <f>IFERROR(_xludf.XLOOKUP($N1265,Base_Enderecos!$A:$A,Base_Enderecos!$C:$C,""),"")</f>
        <v/>
      </c>
      <c r="R1265">
        <f>IF(OR(ISNUMBER(SEARCH("HDD",$F1265)),ISNUMBER(SEARCH("MND",$F1265)),ISNUMBER(SEARCH("PEAD",$F1265)),ISNUMBER(SEARCH("Puxe",$J1265)),ISNUMBER(SEARCH("Apoio HDD",$F1265))),"MND",IF(OR(ISNUMBER(SEARCH("VCA",$F1265)),ISNUMBER(SEARCH("PVC",$F1265)),ISNUMBER(SEARCH("vca",$J1265)),ISNUMBER(SEARCH("Transformação",$J1265))),"VCA",IF(OR(ISNUMBER(SEARCH("crava",$F1265)),ISNUMBER(SEARCH("tubo cravado",$F1265)),ISNUMBER(SEARCH("shaft",$J1265)),ISNUMBER(SEARCH("concreto",$F1265))),"TUBO CRAVADO","")))</f>
        <v/>
      </c>
      <c r="T1265">
        <f>IF($A1265="","",TEXT($A1265,"yyyymm")&amp;"|"&amp;$C1265&amp;"|"&amp;$F1265&amp;"|"&amp;$N1265&amp;"|"&amp;$R1265)</f>
        <v/>
      </c>
    </row>
    <row r="1266" ht="11.55" customHeight="1">
      <c r="A1266" s="10" t="n">
        <v>46095</v>
      </c>
      <c r="B1266" s="7" t="n"/>
      <c r="C1266" s="7" t="inlineStr">
        <is>
          <t>CTS CONCEIÇÃO</t>
        </is>
      </c>
      <c r="D1266" s="7" t="inlineStr">
        <is>
          <t>LEANDRO,SILVESTRE E ROBSON</t>
        </is>
      </c>
      <c r="E1266" s="7" t="inlineStr">
        <is>
          <t>Paulo</t>
        </is>
      </c>
      <c r="F1266" s="13" t="inlineStr">
        <is>
          <t>Shaft PV 08</t>
        </is>
      </c>
      <c r="G1266" s="7" t="inlineStr">
        <is>
          <t>08</t>
        </is>
      </c>
      <c r="H1266" s="7" t="n"/>
      <c r="I1266" s="7" t="inlineStr">
        <is>
          <t>08</t>
        </is>
      </c>
      <c r="J1266" s="7" t="inlineStr">
        <is>
          <t>Shaft</t>
        </is>
      </c>
      <c r="K1266" s="7" t="inlineStr">
        <is>
          <t>Planejamento</t>
        </is>
      </c>
      <c r="L1266" s="16" t="inlineStr">
        <is>
          <t>PDS-Março(1).docx</t>
        </is>
      </c>
      <c r="M1266">
        <f>IF($A1266="","",TEXT($A1266,"mmmm/yyyy"))</f>
        <v/>
      </c>
      <c r="P1266">
        <f>IFERROR(_xludf.XLOOKUP($N1266,Base_Enderecos!$A:$A,Base_Enderecos!$B:$B,""),"")</f>
        <v/>
      </c>
      <c r="Q1266">
        <f>IFERROR(_xludf.XLOOKUP($N1266,Base_Enderecos!$A:$A,Base_Enderecos!$C:$C,""),"")</f>
        <v/>
      </c>
      <c r="R1266">
        <f>IF(OR(ISNUMBER(SEARCH("HDD",$F1266)),ISNUMBER(SEARCH("MND",$F1266)),ISNUMBER(SEARCH("PEAD",$F1266)),ISNUMBER(SEARCH("Puxe",$J1266)),ISNUMBER(SEARCH("Apoio HDD",$F1266))),"MND",IF(OR(ISNUMBER(SEARCH("VCA",$F1266)),ISNUMBER(SEARCH("PVC",$F1266)),ISNUMBER(SEARCH("vca",$J1266)),ISNUMBER(SEARCH("Transformação",$J1266))),"VCA",IF(OR(ISNUMBER(SEARCH("crava",$F1266)),ISNUMBER(SEARCH("tubo cravado",$F1266)),ISNUMBER(SEARCH("shaft",$J1266)),ISNUMBER(SEARCH("concreto",$F1266))),"TUBO CRAVADO","")))</f>
        <v/>
      </c>
      <c r="T1266">
        <f>IF($A1266="","",TEXT($A1266,"yyyymm")&amp;"|"&amp;$C1266&amp;"|"&amp;$F1266&amp;"|"&amp;$N1266&amp;"|"&amp;$R1266)</f>
        <v/>
      </c>
    </row>
    <row r="1267" ht="11.55" customHeight="1">
      <c r="A1267" s="10" t="n">
        <v>46095</v>
      </c>
      <c r="B1267" s="7" t="n"/>
      <c r="C1267" s="7" t="inlineStr">
        <is>
          <t>CTS CONCEIÇÃO</t>
        </is>
      </c>
      <c r="D1267" s="7" t="inlineStr">
        <is>
          <t>LEANDRO,SILVESTRE E ROBSON</t>
        </is>
      </c>
      <c r="E1267" s="7" t="inlineStr">
        <is>
          <t>Valter</t>
        </is>
      </c>
      <c r="F1267" s="13" t="inlineStr">
        <is>
          <t>Shaft PV 4.2</t>
        </is>
      </c>
      <c r="G1267" s="7" t="inlineStr">
        <is>
          <t>4.2</t>
        </is>
      </c>
      <c r="H1267" s="7" t="n"/>
      <c r="I1267" s="7" t="inlineStr">
        <is>
          <t>4.2</t>
        </is>
      </c>
      <c r="J1267" s="7" t="inlineStr">
        <is>
          <t>Shaft</t>
        </is>
      </c>
      <c r="K1267" s="7" t="inlineStr">
        <is>
          <t>Planejamento</t>
        </is>
      </c>
      <c r="L1267" s="16" t="inlineStr">
        <is>
          <t>PDS-Março(1).docx</t>
        </is>
      </c>
      <c r="M1267">
        <f>IF($A1267="","",TEXT($A1267,"mmmm/yyyy"))</f>
        <v/>
      </c>
      <c r="P1267">
        <f>IFERROR(_xludf.XLOOKUP($N1267,Base_Enderecos!$A:$A,Base_Enderecos!$B:$B,""),"")</f>
        <v/>
      </c>
      <c r="Q1267">
        <f>IFERROR(_xludf.XLOOKUP($N1267,Base_Enderecos!$A:$A,Base_Enderecos!$C:$C,""),"")</f>
        <v/>
      </c>
      <c r="R1267">
        <f>IF(OR(ISNUMBER(SEARCH("HDD",$F1267)),ISNUMBER(SEARCH("MND",$F1267)),ISNUMBER(SEARCH("PEAD",$F1267)),ISNUMBER(SEARCH("Puxe",$J1267)),ISNUMBER(SEARCH("Apoio HDD",$F1267))),"MND",IF(OR(ISNUMBER(SEARCH("VCA",$F1267)),ISNUMBER(SEARCH("PVC",$F1267)),ISNUMBER(SEARCH("vca",$J1267)),ISNUMBER(SEARCH("Transformação",$J1267))),"VCA",IF(OR(ISNUMBER(SEARCH("crava",$F1267)),ISNUMBER(SEARCH("tubo cravado",$F1267)),ISNUMBER(SEARCH("shaft",$J1267)),ISNUMBER(SEARCH("concreto",$F1267))),"TUBO CRAVADO","")))</f>
        <v/>
      </c>
      <c r="T1267">
        <f>IF($A1267="","",TEXT($A1267,"yyyymm")&amp;"|"&amp;$C1267&amp;"|"&amp;$F1267&amp;"|"&amp;$N1267&amp;"|"&amp;$R1267)</f>
        <v/>
      </c>
    </row>
    <row r="1268" ht="11.55" customHeight="1">
      <c r="A1268" s="10" t="n">
        <v>46095</v>
      </c>
      <c r="B1268" s="7" t="n"/>
      <c r="C1268" s="7" t="inlineStr">
        <is>
          <t>CT ÁGUA VERMELHA M.D</t>
        </is>
      </c>
      <c r="D1268" s="7" t="inlineStr">
        <is>
          <t>FABIO E VALMIR</t>
        </is>
      </c>
      <c r="E1268" s="7" t="inlineStr">
        <is>
          <t>Jhonatan</t>
        </is>
      </c>
      <c r="F1268" s="13" t="inlineStr">
        <is>
          <t>Transformação PVD 05</t>
        </is>
      </c>
      <c r="G1268" s="7" t="inlineStr">
        <is>
          <t>05</t>
        </is>
      </c>
      <c r="H1268" s="7" t="n"/>
      <c r="I1268" s="7" t="inlineStr">
        <is>
          <t>05</t>
        </is>
      </c>
      <c r="J1268" s="7" t="inlineStr">
        <is>
          <t>Transformação</t>
        </is>
      </c>
      <c r="K1268" s="7" t="inlineStr">
        <is>
          <t>Planejamento</t>
        </is>
      </c>
      <c r="L1268" s="16" t="inlineStr">
        <is>
          <t>PDS-Março(1).docx</t>
        </is>
      </c>
      <c r="M1268">
        <f>IF($A1268="","",TEXT($A1268,"mmmm/yyyy"))</f>
        <v/>
      </c>
      <c r="P1268">
        <f>IFERROR(_xludf.XLOOKUP($N1268,Base_Enderecos!$A:$A,Base_Enderecos!$B:$B,""),"")</f>
        <v/>
      </c>
      <c r="Q1268">
        <f>IFERROR(_xludf.XLOOKUP($N1268,Base_Enderecos!$A:$A,Base_Enderecos!$C:$C,""),"")</f>
        <v/>
      </c>
      <c r="R1268">
        <f>IF(OR(ISNUMBER(SEARCH("HDD",$F1268)),ISNUMBER(SEARCH("MND",$F1268)),ISNUMBER(SEARCH("PEAD",$F1268)),ISNUMBER(SEARCH("Puxe",$J1268)),ISNUMBER(SEARCH("Apoio HDD",$F1268))),"MND",IF(OR(ISNUMBER(SEARCH("VCA",$F1268)),ISNUMBER(SEARCH("PVC",$F1268)),ISNUMBER(SEARCH("vca",$J1268)),ISNUMBER(SEARCH("Transformação",$J1268))),"VCA",IF(OR(ISNUMBER(SEARCH("crava",$F1268)),ISNUMBER(SEARCH("tubo cravado",$F1268)),ISNUMBER(SEARCH("shaft",$J1268)),ISNUMBER(SEARCH("concreto",$F1268))),"TUBO CRAVADO","")))</f>
        <v/>
      </c>
      <c r="T1268">
        <f>IF($A1268="","",TEXT($A1268,"yyyymm")&amp;"|"&amp;$C1268&amp;"|"&amp;$F1268&amp;"|"&amp;$N1268&amp;"|"&amp;$R1268)</f>
        <v/>
      </c>
    </row>
    <row r="1269" ht="11.55" customHeight="1">
      <c r="A1269" s="10" t="n">
        <v>46095</v>
      </c>
      <c r="B1269" s="7" t="n"/>
      <c r="C1269" s="7" t="inlineStr">
        <is>
          <t>CT ÁGUA VERMELHA M.E</t>
        </is>
      </c>
      <c r="D1269" s="7" t="inlineStr">
        <is>
          <t>FABIO E VALMIR</t>
        </is>
      </c>
      <c r="E1269" s="7" t="inlineStr">
        <is>
          <t>Cidão</t>
        </is>
      </c>
      <c r="F1269" s="13" t="inlineStr">
        <is>
          <t>Transformação PVE 21</t>
        </is>
      </c>
      <c r="G1269" s="7" t="inlineStr">
        <is>
          <t>21</t>
        </is>
      </c>
      <c r="H1269" s="7" t="n"/>
      <c r="I1269" s="7" t="inlineStr">
        <is>
          <t>21</t>
        </is>
      </c>
      <c r="J1269" s="7" t="inlineStr">
        <is>
          <t>Transformação</t>
        </is>
      </c>
      <c r="K1269" s="7" t="inlineStr">
        <is>
          <t>Planejamento</t>
        </is>
      </c>
      <c r="L1269" s="16" t="inlineStr">
        <is>
          <t>PDS-Março(1).docx</t>
        </is>
      </c>
      <c r="M1269">
        <f>IF($A1269="","",TEXT($A1269,"mmmm/yyyy"))</f>
        <v/>
      </c>
      <c r="P1269">
        <f>IFERROR(_xludf.XLOOKUP($N1269,Base_Enderecos!$A:$A,Base_Enderecos!$B:$B,""),"")</f>
        <v/>
      </c>
      <c r="Q1269">
        <f>IFERROR(_xludf.XLOOKUP($N1269,Base_Enderecos!$A:$A,Base_Enderecos!$C:$C,""),"")</f>
        <v/>
      </c>
      <c r="R1269">
        <f>IF(OR(ISNUMBER(SEARCH("HDD",$F1269)),ISNUMBER(SEARCH("MND",$F1269)),ISNUMBER(SEARCH("PEAD",$F1269)),ISNUMBER(SEARCH("Puxe",$J1269)),ISNUMBER(SEARCH("Apoio HDD",$F1269))),"MND",IF(OR(ISNUMBER(SEARCH("VCA",$F1269)),ISNUMBER(SEARCH("PVC",$F1269)),ISNUMBER(SEARCH("vca",$J1269)),ISNUMBER(SEARCH("Transformação",$J1269))),"VCA",IF(OR(ISNUMBER(SEARCH("crava",$F1269)),ISNUMBER(SEARCH("tubo cravado",$F1269)),ISNUMBER(SEARCH("shaft",$J1269)),ISNUMBER(SEARCH("concreto",$F1269))),"TUBO CRAVADO","")))</f>
        <v/>
      </c>
      <c r="T1269">
        <f>IF($A1269="","",TEXT($A1269,"yyyymm")&amp;"|"&amp;$C1269&amp;"|"&amp;$F1269&amp;"|"&amp;$N1269&amp;"|"&amp;$R1269)</f>
        <v/>
      </c>
    </row>
    <row r="1270" ht="11.55" customHeight="1">
      <c r="A1270" s="10" t="n">
        <v>46095</v>
      </c>
      <c r="B1270" s="7" t="n"/>
      <c r="C1270" s="7" t="inlineStr">
        <is>
          <t>CT ÁGUA VERMELHA M.E</t>
        </is>
      </c>
      <c r="D1270" s="7" t="inlineStr">
        <is>
          <t>FABIO E VALMIR</t>
        </is>
      </c>
      <c r="E1270" s="7" t="inlineStr">
        <is>
          <t>Marcelo</t>
        </is>
      </c>
      <c r="F1270" s="13" t="inlineStr">
        <is>
          <t>Shaft e Interligação PVE 10</t>
        </is>
      </c>
      <c r="G1270" s="7" t="inlineStr">
        <is>
          <t>10</t>
        </is>
      </c>
      <c r="H1270" s="7" t="n"/>
      <c r="I1270" s="7" t="inlineStr">
        <is>
          <t>10</t>
        </is>
      </c>
      <c r="J1270" s="7" t="inlineStr">
        <is>
          <t>Shaft</t>
        </is>
      </c>
      <c r="K1270" s="7" t="inlineStr">
        <is>
          <t>Planejamento</t>
        </is>
      </c>
      <c r="L1270" s="16" t="inlineStr">
        <is>
          <t>PDS-Março(1).docx</t>
        </is>
      </c>
      <c r="M1270">
        <f>IF($A1270="","",TEXT($A1270,"mmmm/yyyy"))</f>
        <v/>
      </c>
      <c r="P1270">
        <f>IFERROR(_xludf.XLOOKUP($N1270,Base_Enderecos!$A:$A,Base_Enderecos!$B:$B,""),"")</f>
        <v/>
      </c>
      <c r="Q1270">
        <f>IFERROR(_xludf.XLOOKUP($N1270,Base_Enderecos!$A:$A,Base_Enderecos!$C:$C,""),"")</f>
        <v/>
      </c>
      <c r="R1270">
        <f>IF(OR(ISNUMBER(SEARCH("HDD",$F1270)),ISNUMBER(SEARCH("MND",$F1270)),ISNUMBER(SEARCH("PEAD",$F1270)),ISNUMBER(SEARCH("Puxe",$J1270)),ISNUMBER(SEARCH("Apoio HDD",$F1270))),"MND",IF(OR(ISNUMBER(SEARCH("VCA",$F1270)),ISNUMBER(SEARCH("PVC",$F1270)),ISNUMBER(SEARCH("vca",$J1270)),ISNUMBER(SEARCH("Transformação",$J1270))),"VCA",IF(OR(ISNUMBER(SEARCH("crava",$F1270)),ISNUMBER(SEARCH("tubo cravado",$F1270)),ISNUMBER(SEARCH("shaft",$J1270)),ISNUMBER(SEARCH("concreto",$F1270))),"TUBO CRAVADO","")))</f>
        <v/>
      </c>
      <c r="T1270">
        <f>IF($A1270="","",TEXT($A1270,"yyyymm")&amp;"|"&amp;$C1270&amp;"|"&amp;$F1270&amp;"|"&amp;$N1270&amp;"|"&amp;$R1270)</f>
        <v/>
      </c>
    </row>
    <row r="1271" ht="11.55" customHeight="1">
      <c r="A1271" s="10" t="n">
        <v>46095</v>
      </c>
      <c r="B1271" s="7" t="n"/>
      <c r="C1271" s="7" t="inlineStr">
        <is>
          <t>CT ÁGUA VERMELHA M.E</t>
        </is>
      </c>
      <c r="D1271" s="7" t="inlineStr">
        <is>
          <t>FABIO E VALMIR</t>
        </is>
      </c>
      <c r="E1271" s="7" t="inlineStr">
        <is>
          <t>Ricardo</t>
        </is>
      </c>
      <c r="F1271" s="13" t="inlineStr">
        <is>
          <t>Transformação PV 18</t>
        </is>
      </c>
      <c r="G1271" s="7" t="inlineStr">
        <is>
          <t>18</t>
        </is>
      </c>
      <c r="H1271" s="7" t="n"/>
      <c r="I1271" s="7" t="inlineStr">
        <is>
          <t>18</t>
        </is>
      </c>
      <c r="J1271" s="7" t="inlineStr">
        <is>
          <t>Transformação</t>
        </is>
      </c>
      <c r="K1271" s="7" t="inlineStr">
        <is>
          <t>Planejamento</t>
        </is>
      </c>
      <c r="L1271" s="16" t="inlineStr">
        <is>
          <t>PDS-Março(1).docx</t>
        </is>
      </c>
      <c r="M1271">
        <f>IF($A1271="","",TEXT($A1271,"mmmm/yyyy"))</f>
        <v/>
      </c>
      <c r="P1271">
        <f>IFERROR(_xludf.XLOOKUP($N1271,Base_Enderecos!$A:$A,Base_Enderecos!$B:$B,""),"")</f>
        <v/>
      </c>
      <c r="Q1271">
        <f>IFERROR(_xludf.XLOOKUP($N1271,Base_Enderecos!$A:$A,Base_Enderecos!$C:$C,""),"")</f>
        <v/>
      </c>
      <c r="R1271">
        <f>IF(OR(ISNUMBER(SEARCH("HDD",$F1271)),ISNUMBER(SEARCH("MND",$F1271)),ISNUMBER(SEARCH("PEAD",$F1271)),ISNUMBER(SEARCH("Puxe",$J1271)),ISNUMBER(SEARCH("Apoio HDD",$F1271))),"MND",IF(OR(ISNUMBER(SEARCH("VCA",$F1271)),ISNUMBER(SEARCH("PVC",$F1271)),ISNUMBER(SEARCH("vca",$J1271)),ISNUMBER(SEARCH("Transformação",$J1271))),"VCA",IF(OR(ISNUMBER(SEARCH("crava",$F1271)),ISNUMBER(SEARCH("tubo cravado",$F1271)),ISNUMBER(SEARCH("shaft",$J1271)),ISNUMBER(SEARCH("concreto",$F1271))),"TUBO CRAVADO","")))</f>
        <v/>
      </c>
      <c r="T1271">
        <f>IF($A1271="","",TEXT($A1271,"yyyymm")&amp;"|"&amp;$C1271&amp;"|"&amp;$F1271&amp;"|"&amp;$N1271&amp;"|"&amp;$R1271)</f>
        <v/>
      </c>
    </row>
    <row r="1272" ht="11.55" customHeight="1">
      <c r="A1272" s="10" t="n">
        <v>46095</v>
      </c>
      <c r="B1272" s="7" t="n"/>
      <c r="C1272" s="7" t="inlineStr">
        <is>
          <t>CT ÁGUA VERMELHA M.E</t>
        </is>
      </c>
      <c r="D1272" s="7" t="inlineStr">
        <is>
          <t>FABIO E VALMIR</t>
        </is>
      </c>
      <c r="E1272" s="7" t="inlineStr">
        <is>
          <t>Marcio</t>
        </is>
      </c>
      <c r="F1272" s="13" t="inlineStr">
        <is>
          <t>Transformação PV 11</t>
        </is>
      </c>
      <c r="G1272" s="7" t="inlineStr">
        <is>
          <t>11</t>
        </is>
      </c>
      <c r="H1272" s="7" t="n"/>
      <c r="I1272" s="7" t="inlineStr">
        <is>
          <t>11</t>
        </is>
      </c>
      <c r="J1272" s="7" t="inlineStr">
        <is>
          <t>Transformação</t>
        </is>
      </c>
      <c r="K1272" s="7" t="inlineStr">
        <is>
          <t>Planejamento</t>
        </is>
      </c>
      <c r="L1272" s="16" t="inlineStr">
        <is>
          <t>PDS-Março(1).docx</t>
        </is>
      </c>
      <c r="M1272">
        <f>IF($A1272="","",TEXT($A1272,"mmmm/yyyy"))</f>
        <v/>
      </c>
      <c r="P1272">
        <f>IFERROR(_xludf.XLOOKUP($N1272,Base_Enderecos!$A:$A,Base_Enderecos!$B:$B,""),"")</f>
        <v/>
      </c>
      <c r="Q1272">
        <f>IFERROR(_xludf.XLOOKUP($N1272,Base_Enderecos!$A:$A,Base_Enderecos!$C:$C,""),"")</f>
        <v/>
      </c>
      <c r="R1272">
        <f>IF(OR(ISNUMBER(SEARCH("HDD",$F1272)),ISNUMBER(SEARCH("MND",$F1272)),ISNUMBER(SEARCH("PEAD",$F1272)),ISNUMBER(SEARCH("Puxe",$J1272)),ISNUMBER(SEARCH("Apoio HDD",$F1272))),"MND",IF(OR(ISNUMBER(SEARCH("VCA",$F1272)),ISNUMBER(SEARCH("PVC",$F1272)),ISNUMBER(SEARCH("vca",$J1272)),ISNUMBER(SEARCH("Transformação",$J1272))),"VCA",IF(OR(ISNUMBER(SEARCH("crava",$F1272)),ISNUMBER(SEARCH("tubo cravado",$F1272)),ISNUMBER(SEARCH("shaft",$J1272)),ISNUMBER(SEARCH("concreto",$F1272))),"TUBO CRAVADO","")))</f>
        <v/>
      </c>
      <c r="T1272">
        <f>IF($A1272="","",TEXT($A1272,"yyyymm")&amp;"|"&amp;$C1272&amp;"|"&amp;$F1272&amp;"|"&amp;$N1272&amp;"|"&amp;$R1272)</f>
        <v/>
      </c>
    </row>
    <row r="1273" ht="11.55" customHeight="1">
      <c r="A1273" s="10" t="n">
        <v>46095</v>
      </c>
      <c r="B1273" s="7" t="n"/>
      <c r="C1273" s="7" t="inlineStr">
        <is>
          <t>Vacal</t>
        </is>
      </c>
      <c r="D1273" s="7" t="n"/>
      <c r="E1273" s="7" t="inlineStr">
        <is>
          <t>Conceição</t>
        </is>
      </c>
      <c r="F1273" s="13" t="inlineStr">
        <is>
          <t>Apoio Vacal</t>
        </is>
      </c>
      <c r="G1273" s="7" t="n"/>
      <c r="H1273" s="7" t="n"/>
      <c r="I1273" s="7" t="n"/>
      <c r="J1273" s="7" t="inlineStr">
        <is>
          <t>Vacal</t>
        </is>
      </c>
      <c r="K1273" s="7" t="inlineStr">
        <is>
          <t>Apoio</t>
        </is>
      </c>
      <c r="L1273" s="16" t="inlineStr">
        <is>
          <t>PDS-Março(1).docx</t>
        </is>
      </c>
      <c r="M1273">
        <f>IF($A1273="","",TEXT($A1273,"mmmm/yyyy"))</f>
        <v/>
      </c>
      <c r="P1273">
        <f>IFERROR(_xludf.XLOOKUP($N1273,Base_Enderecos!$A:$A,Base_Enderecos!$B:$B,""),"")</f>
        <v/>
      </c>
      <c r="Q1273">
        <f>IFERROR(_xludf.XLOOKUP($N1273,Base_Enderecos!$A:$A,Base_Enderecos!$C:$C,""),"")</f>
        <v/>
      </c>
      <c r="R1273">
        <f>IF(OR(ISNUMBER(SEARCH("HDD",$F1273)),ISNUMBER(SEARCH("MND",$F1273)),ISNUMBER(SEARCH("PEAD",$F1273)),ISNUMBER(SEARCH("Puxe",$J1273)),ISNUMBER(SEARCH("Apoio HDD",$F1273))),"MND",IF(OR(ISNUMBER(SEARCH("VCA",$F1273)),ISNUMBER(SEARCH("PVC",$F1273)),ISNUMBER(SEARCH("vca",$J1273)),ISNUMBER(SEARCH("Transformação",$J1273))),"VCA",IF(OR(ISNUMBER(SEARCH("crava",$F1273)),ISNUMBER(SEARCH("tubo cravado",$F1273)),ISNUMBER(SEARCH("shaft",$J1273)),ISNUMBER(SEARCH("concreto",$F1273))),"TUBO CRAVADO","")))</f>
        <v/>
      </c>
      <c r="T1273">
        <f>IF($A1273="","",TEXT($A1273,"yyyymm")&amp;"|"&amp;$C1273&amp;"|"&amp;$F1273&amp;"|"&amp;$N1273&amp;"|"&amp;$R1273)</f>
        <v/>
      </c>
    </row>
    <row r="1274" ht="11.55" customHeight="1">
      <c r="A1274" s="10" t="n">
        <v>46095</v>
      </c>
      <c r="B1274" s="7" t="n"/>
      <c r="C1274" s="7" t="inlineStr">
        <is>
          <t>Vacal</t>
        </is>
      </c>
      <c r="D1274" s="7" t="n"/>
      <c r="E1274" s="7" t="inlineStr">
        <is>
          <t>Conceição</t>
        </is>
      </c>
      <c r="F1274" s="13" t="inlineStr">
        <is>
          <t>Apoio Vacal</t>
        </is>
      </c>
      <c r="G1274" s="7" t="n"/>
      <c r="H1274" s="7" t="n"/>
      <c r="I1274" s="7" t="n"/>
      <c r="J1274" s="7" t="inlineStr">
        <is>
          <t>Vacal</t>
        </is>
      </c>
      <c r="K1274" s="7" t="inlineStr">
        <is>
          <t>Apoio</t>
        </is>
      </c>
      <c r="L1274" s="16" t="inlineStr">
        <is>
          <t>PDS-Março(1).docx</t>
        </is>
      </c>
      <c r="M1274">
        <f>IF($A1274="","",TEXT($A1274,"mmmm/yyyy"))</f>
        <v/>
      </c>
      <c r="P1274">
        <f>IFERROR(_xludf.XLOOKUP($N1274,Base_Enderecos!$A:$A,Base_Enderecos!$B:$B,""),"")</f>
        <v/>
      </c>
      <c r="Q1274">
        <f>IFERROR(_xludf.XLOOKUP($N1274,Base_Enderecos!$A:$A,Base_Enderecos!$C:$C,""),"")</f>
        <v/>
      </c>
      <c r="R1274">
        <f>IF(OR(ISNUMBER(SEARCH("HDD",$F1274)),ISNUMBER(SEARCH("MND",$F1274)),ISNUMBER(SEARCH("PEAD",$F1274)),ISNUMBER(SEARCH("Puxe",$J1274)),ISNUMBER(SEARCH("Apoio HDD",$F1274))),"MND",IF(OR(ISNUMBER(SEARCH("VCA",$F1274)),ISNUMBER(SEARCH("PVC",$F1274)),ISNUMBER(SEARCH("vca",$J1274)),ISNUMBER(SEARCH("Transformação",$J1274))),"VCA",IF(OR(ISNUMBER(SEARCH("crava",$F1274)),ISNUMBER(SEARCH("tubo cravado",$F1274)),ISNUMBER(SEARCH("shaft",$J1274)),ISNUMBER(SEARCH("concreto",$F1274))),"TUBO CRAVADO","")))</f>
        <v/>
      </c>
      <c r="T1274">
        <f>IF($A1274="","",TEXT($A1274,"yyyymm")&amp;"|"&amp;$C1274&amp;"|"&amp;$F1274&amp;"|"&amp;$N1274&amp;"|"&amp;$R1274)</f>
        <v/>
      </c>
    </row>
    <row r="1275" ht="11.55" customHeight="1">
      <c r="A1275" s="10" t="n">
        <v>46095</v>
      </c>
      <c r="B1275" s="7" t="n"/>
      <c r="C1275" s="7" t="inlineStr">
        <is>
          <t>Vacal</t>
        </is>
      </c>
      <c r="D1275" s="7" t="n"/>
      <c r="E1275" s="7" t="inlineStr">
        <is>
          <t>Água Vermelha</t>
        </is>
      </c>
      <c r="F1275" s="13" t="inlineStr">
        <is>
          <t>Apoio Vacal</t>
        </is>
      </c>
      <c r="G1275" s="7" t="n"/>
      <c r="H1275" s="7" t="n"/>
      <c r="I1275" s="7" t="n"/>
      <c r="J1275" s="7" t="inlineStr">
        <is>
          <t>Vacal</t>
        </is>
      </c>
      <c r="K1275" s="7" t="inlineStr">
        <is>
          <t>Apoio</t>
        </is>
      </c>
      <c r="L1275" s="16" t="inlineStr">
        <is>
          <t>PDS-Março(1).docx</t>
        </is>
      </c>
      <c r="M1275">
        <f>IF($A1275="","",TEXT($A1275,"mmmm/yyyy"))</f>
        <v/>
      </c>
      <c r="P1275">
        <f>IFERROR(_xludf.XLOOKUP($N1275,Base_Enderecos!$A:$A,Base_Enderecos!$B:$B,""),"")</f>
        <v/>
      </c>
      <c r="Q1275">
        <f>IFERROR(_xludf.XLOOKUP($N1275,Base_Enderecos!$A:$A,Base_Enderecos!$C:$C,""),"")</f>
        <v/>
      </c>
      <c r="R1275">
        <f>IF(OR(ISNUMBER(SEARCH("HDD",$F1275)),ISNUMBER(SEARCH("MND",$F1275)),ISNUMBER(SEARCH("PEAD",$F1275)),ISNUMBER(SEARCH("Puxe",$J1275)),ISNUMBER(SEARCH("Apoio HDD",$F1275))),"MND",IF(OR(ISNUMBER(SEARCH("VCA",$F1275)),ISNUMBER(SEARCH("PVC",$F1275)),ISNUMBER(SEARCH("vca",$J1275)),ISNUMBER(SEARCH("Transformação",$J1275))),"VCA",IF(OR(ISNUMBER(SEARCH("crava",$F1275)),ISNUMBER(SEARCH("tubo cravado",$F1275)),ISNUMBER(SEARCH("shaft",$J1275)),ISNUMBER(SEARCH("concreto",$F1275))),"TUBO CRAVADO","")))</f>
        <v/>
      </c>
      <c r="T1275">
        <f>IF($A1275="","",TEXT($A1275,"yyyymm")&amp;"|"&amp;$C1275&amp;"|"&amp;$F1275&amp;"|"&amp;$N1275&amp;"|"&amp;$R1275)</f>
        <v/>
      </c>
    </row>
    <row r="1276" ht="11.55" customHeight="1">
      <c r="A1276" s="10" t="n">
        <v>46095</v>
      </c>
      <c r="B1276" s="7" t="n"/>
      <c r="C1276" s="7" t="inlineStr">
        <is>
          <t>Vacal</t>
        </is>
      </c>
      <c r="D1276" s="7" t="n"/>
      <c r="E1276" s="7" t="inlineStr">
        <is>
          <t>Água Vermelha</t>
        </is>
      </c>
      <c r="F1276" s="13" t="inlineStr">
        <is>
          <t>Apoio Vacal</t>
        </is>
      </c>
      <c r="G1276" s="7" t="n"/>
      <c r="H1276" s="7" t="n"/>
      <c r="I1276" s="7" t="n"/>
      <c r="J1276" s="7" t="inlineStr">
        <is>
          <t>Vacal</t>
        </is>
      </c>
      <c r="K1276" s="7" t="inlineStr">
        <is>
          <t>Apoio</t>
        </is>
      </c>
      <c r="L1276" s="16" t="inlineStr">
        <is>
          <t>PDS-Março(1).docx</t>
        </is>
      </c>
      <c r="M1276">
        <f>IF($A1276="","",TEXT($A1276,"mmmm/yyyy"))</f>
        <v/>
      </c>
      <c r="P1276">
        <f>IFERROR(_xludf.XLOOKUP($N1276,Base_Enderecos!$A:$A,Base_Enderecos!$B:$B,""),"")</f>
        <v/>
      </c>
      <c r="Q1276">
        <f>IFERROR(_xludf.XLOOKUP($N1276,Base_Enderecos!$A:$A,Base_Enderecos!$C:$C,""),"")</f>
        <v/>
      </c>
      <c r="R1276">
        <f>IF(OR(ISNUMBER(SEARCH("HDD",$F1276)),ISNUMBER(SEARCH("MND",$F1276)),ISNUMBER(SEARCH("PEAD",$F1276)),ISNUMBER(SEARCH("Puxe",$J1276)),ISNUMBER(SEARCH("Apoio HDD",$F1276))),"MND",IF(OR(ISNUMBER(SEARCH("VCA",$F1276)),ISNUMBER(SEARCH("PVC",$F1276)),ISNUMBER(SEARCH("vca",$J1276)),ISNUMBER(SEARCH("Transformação",$J1276))),"VCA",IF(OR(ISNUMBER(SEARCH("crava",$F1276)),ISNUMBER(SEARCH("tubo cravado",$F1276)),ISNUMBER(SEARCH("shaft",$J1276)),ISNUMBER(SEARCH("concreto",$F1276))),"TUBO CRAVADO","")))</f>
        <v/>
      </c>
      <c r="T1276">
        <f>IF($A1276="","",TEXT($A1276,"yyyymm")&amp;"|"&amp;$C1276&amp;"|"&amp;$F1276&amp;"|"&amp;$N1276&amp;"|"&amp;$R1276)</f>
        <v/>
      </c>
    </row>
    <row r="1277" ht="11.55" customHeight="1">
      <c r="A1277" s="10" t="n">
        <v>46095</v>
      </c>
      <c r="B1277" s="7" t="n"/>
      <c r="C1277" s="7" t="inlineStr">
        <is>
          <t>Guindauto</t>
        </is>
      </c>
      <c r="D1277" s="7" t="n"/>
      <c r="E1277" s="7" t="inlineStr">
        <is>
          <t>Rodrigo</t>
        </is>
      </c>
      <c r="F1277" s="13" t="inlineStr">
        <is>
          <t>Rodrigo - Apoio as equipes</t>
        </is>
      </c>
      <c r="G1277" s="7" t="n"/>
      <c r="H1277" s="7" t="n"/>
      <c r="I1277" s="7" t="n"/>
      <c r="J1277" s="7" t="inlineStr">
        <is>
          <t>Guindauto</t>
        </is>
      </c>
      <c r="K1277" s="7" t="inlineStr">
        <is>
          <t>Apoio</t>
        </is>
      </c>
      <c r="L1277" s="16" t="inlineStr">
        <is>
          <t>PDS-Março(1).docx</t>
        </is>
      </c>
      <c r="M1277">
        <f>IF($A1277="","",TEXT($A1277,"mmmm/yyyy"))</f>
        <v/>
      </c>
      <c r="P1277">
        <f>IFERROR(_xludf.XLOOKUP($N1277,Base_Enderecos!$A:$A,Base_Enderecos!$B:$B,""),"")</f>
        <v/>
      </c>
      <c r="Q1277">
        <f>IFERROR(_xludf.XLOOKUP($N1277,Base_Enderecos!$A:$A,Base_Enderecos!$C:$C,""),"")</f>
        <v/>
      </c>
      <c r="R1277">
        <f>IF(OR(ISNUMBER(SEARCH("HDD",$F1277)),ISNUMBER(SEARCH("MND",$F1277)),ISNUMBER(SEARCH("PEAD",$F1277)),ISNUMBER(SEARCH("Puxe",$J1277)),ISNUMBER(SEARCH("Apoio HDD",$F1277))),"MND",IF(OR(ISNUMBER(SEARCH("VCA",$F1277)),ISNUMBER(SEARCH("PVC",$F1277)),ISNUMBER(SEARCH("vca",$J1277)),ISNUMBER(SEARCH("Transformação",$J1277))),"VCA",IF(OR(ISNUMBER(SEARCH("crava",$F1277)),ISNUMBER(SEARCH("tubo cravado",$F1277)),ISNUMBER(SEARCH("shaft",$J1277)),ISNUMBER(SEARCH("concreto",$F1277))),"TUBO CRAVADO","")))</f>
        <v/>
      </c>
      <c r="T1277">
        <f>IF($A1277="","",TEXT($A1277,"yyyymm")&amp;"|"&amp;$C1277&amp;"|"&amp;$F1277&amp;"|"&amp;$N1277&amp;"|"&amp;$R1277)</f>
        <v/>
      </c>
    </row>
    <row r="1278" ht="11.55" customHeight="1">
      <c r="A1278" s="10" t="n">
        <v>46095</v>
      </c>
      <c r="B1278" s="7" t="n"/>
      <c r="C1278" s="7" t="inlineStr">
        <is>
          <t>Guindauto</t>
        </is>
      </c>
      <c r="D1278" s="7" t="n"/>
      <c r="E1278" s="7" t="inlineStr">
        <is>
          <t>Marcio</t>
        </is>
      </c>
      <c r="F1278" s="13" t="inlineStr">
        <is>
          <t>Marcio - Apoio as equipes</t>
        </is>
      </c>
      <c r="G1278" s="7" t="n"/>
      <c r="H1278" s="7" t="n"/>
      <c r="I1278" s="7" t="n"/>
      <c r="J1278" s="7" t="inlineStr">
        <is>
          <t>Guindauto</t>
        </is>
      </c>
      <c r="K1278" s="7" t="inlineStr">
        <is>
          <t>Apoio</t>
        </is>
      </c>
      <c r="L1278" s="16" t="inlineStr">
        <is>
          <t>PDS-Março(1).docx</t>
        </is>
      </c>
      <c r="M1278">
        <f>IF($A1278="","",TEXT($A1278,"mmmm/yyyy"))</f>
        <v/>
      </c>
      <c r="P1278">
        <f>IFERROR(_xludf.XLOOKUP($N1278,Base_Enderecos!$A:$A,Base_Enderecos!$B:$B,""),"")</f>
        <v/>
      </c>
      <c r="Q1278">
        <f>IFERROR(_xludf.XLOOKUP($N1278,Base_Enderecos!$A:$A,Base_Enderecos!$C:$C,""),"")</f>
        <v/>
      </c>
      <c r="R1278">
        <f>IF(OR(ISNUMBER(SEARCH("HDD",$F1278)),ISNUMBER(SEARCH("MND",$F1278)),ISNUMBER(SEARCH("PEAD",$F1278)),ISNUMBER(SEARCH("Puxe",$J1278)),ISNUMBER(SEARCH("Apoio HDD",$F1278))),"MND",IF(OR(ISNUMBER(SEARCH("VCA",$F1278)),ISNUMBER(SEARCH("PVC",$F1278)),ISNUMBER(SEARCH("vca",$J1278)),ISNUMBER(SEARCH("Transformação",$J1278))),"VCA",IF(OR(ISNUMBER(SEARCH("crava",$F1278)),ISNUMBER(SEARCH("tubo cravado",$F1278)),ISNUMBER(SEARCH("shaft",$J1278)),ISNUMBER(SEARCH("concreto",$F1278))),"TUBO CRAVADO","")))</f>
        <v/>
      </c>
      <c r="T1278">
        <f>IF($A1278="","",TEXT($A1278,"yyyymm")&amp;"|"&amp;$C1278&amp;"|"&amp;$F1278&amp;"|"&amp;$N1278&amp;"|"&amp;$R1278)</f>
        <v/>
      </c>
    </row>
    <row r="1279" ht="11.55" customHeight="1">
      <c r="A1279" s="10" t="n">
        <v>46097</v>
      </c>
      <c r="B1279" s="7" t="inlineStr">
        <is>
          <t>Segunda</t>
        </is>
      </c>
      <c r="C1279" s="7" t="inlineStr">
        <is>
          <t>CTS CONCEIÇÃO</t>
        </is>
      </c>
      <c r="D1279" s="7" t="inlineStr">
        <is>
          <t>LEANDRO, SILVESTRE E ROBSON</t>
        </is>
      </c>
      <c r="E1279" s="7" t="inlineStr">
        <is>
          <t>Goiânia Drill</t>
        </is>
      </c>
      <c r="F1279" s="13" t="inlineStr">
        <is>
          <t>Piloto entre PV 02 ao 04</t>
        </is>
      </c>
      <c r="G1279" s="7" t="inlineStr">
        <is>
          <t>02</t>
        </is>
      </c>
      <c r="H1279" s="7" t="n"/>
      <c r="I1279" s="7" t="inlineStr">
        <is>
          <t>02</t>
        </is>
      </c>
      <c r="J1279" s="7" t="n"/>
      <c r="K1279" s="7" t="inlineStr">
        <is>
          <t>Planejamento</t>
        </is>
      </c>
      <c r="L1279" s="16" t="inlineStr">
        <is>
          <t>PDS-Março(1).docx</t>
        </is>
      </c>
      <c r="M1279">
        <f>IF($A1279="","",TEXT($A1279,"mmmm/yyyy"))</f>
        <v/>
      </c>
      <c r="P1279">
        <f>IFERROR(_xludf.XLOOKUP($N1279,Base_Enderecos!$A:$A,Base_Enderecos!$B:$B,""),"")</f>
        <v/>
      </c>
      <c r="Q1279">
        <f>IFERROR(_xludf.XLOOKUP($N1279,Base_Enderecos!$A:$A,Base_Enderecos!$C:$C,""),"")</f>
        <v/>
      </c>
      <c r="R1279">
        <f>IF(OR(ISNUMBER(SEARCH("HDD",$F1279)),ISNUMBER(SEARCH("MND",$F1279)),ISNUMBER(SEARCH("PEAD",$F1279)),ISNUMBER(SEARCH("Puxe",$J1279)),ISNUMBER(SEARCH("Apoio HDD",$F1279))),"MND",IF(OR(ISNUMBER(SEARCH("VCA",$F1279)),ISNUMBER(SEARCH("PVC",$F1279)),ISNUMBER(SEARCH("vca",$J1279)),ISNUMBER(SEARCH("Transformação",$J1279))),"VCA",IF(OR(ISNUMBER(SEARCH("crava",$F1279)),ISNUMBER(SEARCH("tubo cravado",$F1279)),ISNUMBER(SEARCH("shaft",$J1279)),ISNUMBER(SEARCH("concreto",$F1279))),"TUBO CRAVADO","")))</f>
        <v/>
      </c>
      <c r="T1279">
        <f>IF($A1279="","",TEXT($A1279,"yyyymm")&amp;"|"&amp;$C1279&amp;"|"&amp;$F1279&amp;"|"&amp;$N1279&amp;"|"&amp;$R1279)</f>
        <v/>
      </c>
    </row>
    <row r="1280" ht="11.55" customHeight="1">
      <c r="A1280" s="10" t="n">
        <v>46097</v>
      </c>
      <c r="B1280" s="7" t="inlineStr">
        <is>
          <t>Segunda</t>
        </is>
      </c>
      <c r="C1280" s="7" t="inlineStr">
        <is>
          <t>CTS CONCEIÇÃO</t>
        </is>
      </c>
      <c r="D1280" s="7" t="inlineStr">
        <is>
          <t>LEANDRO, SILVESTRE E ROBSON</t>
        </is>
      </c>
      <c r="E1280" s="7" t="inlineStr">
        <is>
          <t>Medeiros</t>
        </is>
      </c>
      <c r="F1280" s="13" t="inlineStr">
        <is>
          <t>Apoio HDD entre PV 02 ao 04</t>
        </is>
      </c>
      <c r="G1280" s="7" t="inlineStr">
        <is>
          <t>02</t>
        </is>
      </c>
      <c r="H1280" s="7" t="n"/>
      <c r="I1280" s="7" t="inlineStr">
        <is>
          <t>02</t>
        </is>
      </c>
      <c r="J1280" s="7" t="inlineStr">
        <is>
          <t>Apoio HDD</t>
        </is>
      </c>
      <c r="K1280" s="7" t="inlineStr">
        <is>
          <t>Planejamento</t>
        </is>
      </c>
      <c r="L1280" s="16" t="inlineStr">
        <is>
          <t>PDS-Março(1).docx</t>
        </is>
      </c>
      <c r="M1280">
        <f>IF($A1280="","",TEXT($A1280,"mmmm/yyyy"))</f>
        <v/>
      </c>
      <c r="P1280">
        <f>IFERROR(_xludf.XLOOKUP($N1280,Base_Enderecos!$A:$A,Base_Enderecos!$B:$B,""),"")</f>
        <v/>
      </c>
      <c r="Q1280">
        <f>IFERROR(_xludf.XLOOKUP($N1280,Base_Enderecos!$A:$A,Base_Enderecos!$C:$C,""),"")</f>
        <v/>
      </c>
      <c r="R1280">
        <f>IF(OR(ISNUMBER(SEARCH("HDD",$F1280)),ISNUMBER(SEARCH("MND",$F1280)),ISNUMBER(SEARCH("PEAD",$F1280)),ISNUMBER(SEARCH("Puxe",$J1280)),ISNUMBER(SEARCH("Apoio HDD",$F1280))),"MND",IF(OR(ISNUMBER(SEARCH("VCA",$F1280)),ISNUMBER(SEARCH("PVC",$F1280)),ISNUMBER(SEARCH("vca",$J1280)),ISNUMBER(SEARCH("Transformação",$J1280))),"VCA",IF(OR(ISNUMBER(SEARCH("crava",$F1280)),ISNUMBER(SEARCH("tubo cravado",$F1280)),ISNUMBER(SEARCH("shaft",$J1280)),ISNUMBER(SEARCH("concreto",$F1280))),"TUBO CRAVADO","")))</f>
        <v/>
      </c>
      <c r="T1280">
        <f>IF($A1280="","",TEXT($A1280,"yyyymm")&amp;"|"&amp;$C1280&amp;"|"&amp;$F1280&amp;"|"&amp;$N1280&amp;"|"&amp;$R1280)</f>
        <v/>
      </c>
    </row>
    <row r="1281" ht="11.55" customHeight="1">
      <c r="A1281" s="10" t="n">
        <v>46097</v>
      </c>
      <c r="B1281" s="7" t="inlineStr">
        <is>
          <t>Segunda</t>
        </is>
      </c>
      <c r="C1281" s="7" t="inlineStr">
        <is>
          <t>CTS CONCEIÇÃO</t>
        </is>
      </c>
      <c r="D1281" s="7" t="inlineStr">
        <is>
          <t>LEANDRO, SILVESTRE E ROBSON</t>
        </is>
      </c>
      <c r="E1281" s="7" t="inlineStr">
        <is>
          <t>WJ 2</t>
        </is>
      </c>
      <c r="F1281" s="13" t="inlineStr">
        <is>
          <t>Puxe PV 04 a PV 4.2</t>
        </is>
      </c>
      <c r="G1281" s="7" t="inlineStr">
        <is>
          <t>04</t>
        </is>
      </c>
      <c r="H1281" s="7" t="inlineStr">
        <is>
          <t>4.2</t>
        </is>
      </c>
      <c r="I1281" s="7" t="inlineStr">
        <is>
          <t>04, 4.2</t>
        </is>
      </c>
      <c r="J1281" s="7" t="inlineStr">
        <is>
          <t>Puxe</t>
        </is>
      </c>
      <c r="K1281" s="7" t="inlineStr">
        <is>
          <t>Planejamento</t>
        </is>
      </c>
      <c r="L1281" s="16" t="inlineStr">
        <is>
          <t>PDS-Março(1).docx</t>
        </is>
      </c>
      <c r="M1281">
        <f>IF($A1281="","",TEXT($A1281,"mmmm/yyyy"))</f>
        <v/>
      </c>
      <c r="P1281">
        <f>IFERROR(_xludf.XLOOKUP($N1281,Base_Enderecos!$A:$A,Base_Enderecos!$B:$B,""),"")</f>
        <v/>
      </c>
      <c r="Q1281">
        <f>IFERROR(_xludf.XLOOKUP($N1281,Base_Enderecos!$A:$A,Base_Enderecos!$C:$C,""),"")</f>
        <v/>
      </c>
      <c r="R1281">
        <f>IF(OR(ISNUMBER(SEARCH("HDD",$F1281)),ISNUMBER(SEARCH("MND",$F1281)),ISNUMBER(SEARCH("PEAD",$F1281)),ISNUMBER(SEARCH("Puxe",$J1281)),ISNUMBER(SEARCH("Apoio HDD",$F1281))),"MND",IF(OR(ISNUMBER(SEARCH("VCA",$F1281)),ISNUMBER(SEARCH("PVC",$F1281)),ISNUMBER(SEARCH("vca",$J1281)),ISNUMBER(SEARCH("Transformação",$J1281))),"VCA",IF(OR(ISNUMBER(SEARCH("crava",$F1281)),ISNUMBER(SEARCH("tubo cravado",$F1281)),ISNUMBER(SEARCH("shaft",$J1281)),ISNUMBER(SEARCH("concreto",$F1281))),"TUBO CRAVADO","")))</f>
        <v/>
      </c>
      <c r="T1281">
        <f>IF($A1281="","",TEXT($A1281,"yyyymm")&amp;"|"&amp;$C1281&amp;"|"&amp;$F1281&amp;"|"&amp;$N1281&amp;"|"&amp;$R1281)</f>
        <v/>
      </c>
    </row>
    <row r="1282" ht="11.55" customHeight="1">
      <c r="A1282" s="10" t="n">
        <v>46097</v>
      </c>
      <c r="B1282" s="7" t="inlineStr">
        <is>
          <t>Segunda</t>
        </is>
      </c>
      <c r="C1282" s="7" t="inlineStr">
        <is>
          <t>CTS CONCEIÇÃO</t>
        </is>
      </c>
      <c r="D1282" s="7" t="inlineStr">
        <is>
          <t>LEANDRO, SILVESTRE E ROBSON</t>
        </is>
      </c>
      <c r="E1282" s="7" t="inlineStr">
        <is>
          <t>Adilson</t>
        </is>
      </c>
      <c r="F1282" s="13" t="inlineStr">
        <is>
          <t>Apoio HDD PV 04 a PV 4.2</t>
        </is>
      </c>
      <c r="G1282" s="7" t="inlineStr">
        <is>
          <t>04</t>
        </is>
      </c>
      <c r="H1282" s="7" t="inlineStr">
        <is>
          <t>4.2</t>
        </is>
      </c>
      <c r="I1282" s="7" t="inlineStr">
        <is>
          <t>04, 4.2</t>
        </is>
      </c>
      <c r="J1282" s="7" t="inlineStr">
        <is>
          <t>Apoio HDD</t>
        </is>
      </c>
      <c r="K1282" s="7" t="inlineStr">
        <is>
          <t>Planejamento</t>
        </is>
      </c>
      <c r="L1282" s="16" t="inlineStr">
        <is>
          <t>PDS-Março(1).docx</t>
        </is>
      </c>
      <c r="M1282">
        <f>IF($A1282="","",TEXT($A1282,"mmmm/yyyy"))</f>
        <v/>
      </c>
      <c r="P1282">
        <f>IFERROR(_xludf.XLOOKUP($N1282,Base_Enderecos!$A:$A,Base_Enderecos!$B:$B,""),"")</f>
        <v/>
      </c>
      <c r="Q1282">
        <f>IFERROR(_xludf.XLOOKUP($N1282,Base_Enderecos!$A:$A,Base_Enderecos!$C:$C,""),"")</f>
        <v/>
      </c>
      <c r="R1282">
        <f>IF(OR(ISNUMBER(SEARCH("HDD",$F1282)),ISNUMBER(SEARCH("MND",$F1282)),ISNUMBER(SEARCH("PEAD",$F1282)),ISNUMBER(SEARCH("Puxe",$J1282)),ISNUMBER(SEARCH("Apoio HDD",$F1282))),"MND",IF(OR(ISNUMBER(SEARCH("VCA",$F1282)),ISNUMBER(SEARCH("PVC",$F1282)),ISNUMBER(SEARCH("vca",$J1282)),ISNUMBER(SEARCH("Transformação",$J1282))),"VCA",IF(OR(ISNUMBER(SEARCH("crava",$F1282)),ISNUMBER(SEARCH("tubo cravado",$F1282)),ISNUMBER(SEARCH("shaft",$J1282)),ISNUMBER(SEARCH("concreto",$F1282))),"TUBO CRAVADO","")))</f>
        <v/>
      </c>
      <c r="T1282">
        <f>IF($A1282="","",TEXT($A1282,"yyyymm")&amp;"|"&amp;$C1282&amp;"|"&amp;$F1282&amp;"|"&amp;$N1282&amp;"|"&amp;$R1282)</f>
        <v/>
      </c>
    </row>
    <row r="1283" ht="11.55" customHeight="1">
      <c r="A1283" s="10" t="n">
        <v>46097</v>
      </c>
      <c r="B1283" s="7" t="inlineStr">
        <is>
          <t>Segunda</t>
        </is>
      </c>
      <c r="C1283" s="7" t="inlineStr">
        <is>
          <t>CTS CONCEIÇÃO</t>
        </is>
      </c>
      <c r="D1283" s="7" t="inlineStr">
        <is>
          <t>LEANDRO, SILVESTRE E ROBSON</t>
        </is>
      </c>
      <c r="E1283" s="7" t="inlineStr">
        <is>
          <t>Sergio</t>
        </is>
      </c>
      <c r="F1283" s="13" t="inlineStr">
        <is>
          <t>Shaft PV 08</t>
        </is>
      </c>
      <c r="G1283" s="7" t="inlineStr">
        <is>
          <t>08</t>
        </is>
      </c>
      <c r="H1283" s="7" t="n"/>
      <c r="I1283" s="7" t="inlineStr">
        <is>
          <t>08</t>
        </is>
      </c>
      <c r="J1283" s="7" t="inlineStr">
        <is>
          <t>Shaft</t>
        </is>
      </c>
      <c r="K1283" s="7" t="inlineStr">
        <is>
          <t>Planejamento</t>
        </is>
      </c>
      <c r="L1283" s="16" t="inlineStr">
        <is>
          <t>PDS-Março(1).docx</t>
        </is>
      </c>
      <c r="M1283">
        <f>IF($A1283="","",TEXT($A1283,"mmmm/yyyy"))</f>
        <v/>
      </c>
      <c r="P1283">
        <f>IFERROR(_xludf.XLOOKUP($N1283,Base_Enderecos!$A:$A,Base_Enderecos!$B:$B,""),"")</f>
        <v/>
      </c>
      <c r="Q1283">
        <f>IFERROR(_xludf.XLOOKUP($N1283,Base_Enderecos!$A:$A,Base_Enderecos!$C:$C,""),"")</f>
        <v/>
      </c>
      <c r="R1283">
        <f>IF(OR(ISNUMBER(SEARCH("HDD",$F1283)),ISNUMBER(SEARCH("MND",$F1283)),ISNUMBER(SEARCH("PEAD",$F1283)),ISNUMBER(SEARCH("Puxe",$J1283)),ISNUMBER(SEARCH("Apoio HDD",$F1283))),"MND",IF(OR(ISNUMBER(SEARCH("VCA",$F1283)),ISNUMBER(SEARCH("PVC",$F1283)),ISNUMBER(SEARCH("vca",$J1283)),ISNUMBER(SEARCH("Transformação",$J1283))),"VCA",IF(OR(ISNUMBER(SEARCH("crava",$F1283)),ISNUMBER(SEARCH("tubo cravado",$F1283)),ISNUMBER(SEARCH("shaft",$J1283)),ISNUMBER(SEARCH("concreto",$F1283))),"TUBO CRAVADO","")))</f>
        <v/>
      </c>
      <c r="T1283">
        <f>IF($A1283="","",TEXT($A1283,"yyyymm")&amp;"|"&amp;$C1283&amp;"|"&amp;$F1283&amp;"|"&amp;$N1283&amp;"|"&amp;$R1283)</f>
        <v/>
      </c>
    </row>
    <row r="1284" ht="11.55" customHeight="1">
      <c r="A1284" s="10" t="n">
        <v>46097</v>
      </c>
      <c r="B1284" s="7" t="inlineStr">
        <is>
          <t>Segunda</t>
        </is>
      </c>
      <c r="C1284" s="7" t="inlineStr">
        <is>
          <t>CTS CONCEIÇÃO</t>
        </is>
      </c>
      <c r="D1284" s="7" t="inlineStr">
        <is>
          <t>LEANDRO, SILVESTRE E ROBSON</t>
        </is>
      </c>
      <c r="E1284" s="7" t="inlineStr">
        <is>
          <t>Valter</t>
        </is>
      </c>
      <c r="F1284" s="13" t="inlineStr">
        <is>
          <t>Shaft PV 10</t>
        </is>
      </c>
      <c r="G1284" s="7" t="inlineStr">
        <is>
          <t>10</t>
        </is>
      </c>
      <c r="H1284" s="7" t="n"/>
      <c r="I1284" s="7" t="inlineStr">
        <is>
          <t>10</t>
        </is>
      </c>
      <c r="J1284" s="7" t="inlineStr">
        <is>
          <t>Shaft</t>
        </is>
      </c>
      <c r="K1284" s="7" t="inlineStr">
        <is>
          <t>Planejamento</t>
        </is>
      </c>
      <c r="L1284" s="16" t="inlineStr">
        <is>
          <t>PDS-Março(1).docx</t>
        </is>
      </c>
      <c r="M1284">
        <f>IF($A1284="","",TEXT($A1284,"mmmm/yyyy"))</f>
        <v/>
      </c>
      <c r="P1284">
        <f>IFERROR(_xludf.XLOOKUP($N1284,Base_Enderecos!$A:$A,Base_Enderecos!$B:$B,""),"")</f>
        <v/>
      </c>
      <c r="Q1284">
        <f>IFERROR(_xludf.XLOOKUP($N1284,Base_Enderecos!$A:$A,Base_Enderecos!$C:$C,""),"")</f>
        <v/>
      </c>
      <c r="R1284">
        <f>IF(OR(ISNUMBER(SEARCH("HDD",$F1284)),ISNUMBER(SEARCH("MND",$F1284)),ISNUMBER(SEARCH("PEAD",$F1284)),ISNUMBER(SEARCH("Puxe",$J1284)),ISNUMBER(SEARCH("Apoio HDD",$F1284))),"MND",IF(OR(ISNUMBER(SEARCH("VCA",$F1284)),ISNUMBER(SEARCH("PVC",$F1284)),ISNUMBER(SEARCH("vca",$J1284)),ISNUMBER(SEARCH("Transformação",$J1284))),"VCA",IF(OR(ISNUMBER(SEARCH("crava",$F1284)),ISNUMBER(SEARCH("tubo cravado",$F1284)),ISNUMBER(SEARCH("shaft",$J1284)),ISNUMBER(SEARCH("concreto",$F1284))),"TUBO CRAVADO","")))</f>
        <v/>
      </c>
      <c r="T1284">
        <f>IF($A1284="","",TEXT($A1284,"yyyymm")&amp;"|"&amp;$C1284&amp;"|"&amp;$F1284&amp;"|"&amp;$N1284&amp;"|"&amp;$R1284)</f>
        <v/>
      </c>
    </row>
    <row r="1285" ht="11.55" customHeight="1">
      <c r="A1285" s="10" t="n">
        <v>46097</v>
      </c>
      <c r="B1285" s="7" t="inlineStr">
        <is>
          <t>Segunda</t>
        </is>
      </c>
      <c r="C1285" s="7" t="inlineStr">
        <is>
          <t>CTS CONCEIÇÃO</t>
        </is>
      </c>
      <c r="D1285" s="7" t="inlineStr">
        <is>
          <t>LEANDRO, SILVESTRE E ROBSON</t>
        </is>
      </c>
      <c r="E1285" s="7" t="inlineStr">
        <is>
          <t>Carlos</t>
        </is>
      </c>
      <c r="F1285" s="13" t="inlineStr">
        <is>
          <t>Transformação PV 01</t>
        </is>
      </c>
      <c r="G1285" s="7" t="inlineStr">
        <is>
          <t>01</t>
        </is>
      </c>
      <c r="H1285" s="7" t="n"/>
      <c r="I1285" s="7" t="inlineStr">
        <is>
          <t>01</t>
        </is>
      </c>
      <c r="J1285" s="7" t="inlineStr">
        <is>
          <t>Transformação</t>
        </is>
      </c>
      <c r="K1285" s="7" t="inlineStr">
        <is>
          <t>Planejamento</t>
        </is>
      </c>
      <c r="L1285" s="16" t="inlineStr">
        <is>
          <t>PDS-Março(1).docx</t>
        </is>
      </c>
      <c r="M1285">
        <f>IF($A1285="","",TEXT($A1285,"mmmm/yyyy"))</f>
        <v/>
      </c>
      <c r="P1285">
        <f>IFERROR(_xludf.XLOOKUP($N1285,Base_Enderecos!$A:$A,Base_Enderecos!$B:$B,""),"")</f>
        <v/>
      </c>
      <c r="Q1285">
        <f>IFERROR(_xludf.XLOOKUP($N1285,Base_Enderecos!$A:$A,Base_Enderecos!$C:$C,""),"")</f>
        <v/>
      </c>
      <c r="R1285">
        <f>IF(OR(ISNUMBER(SEARCH("HDD",$F1285)),ISNUMBER(SEARCH("MND",$F1285)),ISNUMBER(SEARCH("PEAD",$F1285)),ISNUMBER(SEARCH("Puxe",$J1285)),ISNUMBER(SEARCH("Apoio HDD",$F1285))),"MND",IF(OR(ISNUMBER(SEARCH("VCA",$F1285)),ISNUMBER(SEARCH("PVC",$F1285)),ISNUMBER(SEARCH("vca",$J1285)),ISNUMBER(SEARCH("Transformação",$J1285))),"VCA",IF(OR(ISNUMBER(SEARCH("crava",$F1285)),ISNUMBER(SEARCH("tubo cravado",$F1285)),ISNUMBER(SEARCH("shaft",$J1285)),ISNUMBER(SEARCH("concreto",$F1285))),"TUBO CRAVADO","")))</f>
        <v/>
      </c>
      <c r="T1285">
        <f>IF($A1285="","",TEXT($A1285,"yyyymm")&amp;"|"&amp;$C1285&amp;"|"&amp;$F1285&amp;"|"&amp;$N1285&amp;"|"&amp;$R1285)</f>
        <v/>
      </c>
    </row>
    <row r="1286" ht="11.55" customHeight="1">
      <c r="A1286" s="10" t="n">
        <v>46097</v>
      </c>
      <c r="B1286" s="7" t="inlineStr">
        <is>
          <t>Segunda</t>
        </is>
      </c>
      <c r="C1286" s="7" t="inlineStr">
        <is>
          <t>CT ÁGUA VERMELHA M.D</t>
        </is>
      </c>
      <c r="D1286" s="7" t="inlineStr">
        <is>
          <t>FABIO E VALMIR</t>
        </is>
      </c>
      <c r="E1286" s="7" t="inlineStr">
        <is>
          <t>Jhonatan</t>
        </is>
      </c>
      <c r="F1286" s="13" t="inlineStr">
        <is>
          <t>Transformação PVD 05</t>
        </is>
      </c>
      <c r="G1286" s="7" t="inlineStr">
        <is>
          <t>05</t>
        </is>
      </c>
      <c r="H1286" s="7" t="n"/>
      <c r="I1286" s="7" t="inlineStr">
        <is>
          <t>05</t>
        </is>
      </c>
      <c r="J1286" s="7" t="inlineStr">
        <is>
          <t>Transformação</t>
        </is>
      </c>
      <c r="K1286" s="7" t="inlineStr">
        <is>
          <t>Planejamento</t>
        </is>
      </c>
      <c r="L1286" s="16" t="inlineStr">
        <is>
          <t>PDS-Março(1).docx</t>
        </is>
      </c>
      <c r="M1286">
        <f>IF($A1286="","",TEXT($A1286,"mmmm/yyyy"))</f>
        <v/>
      </c>
      <c r="P1286">
        <f>IFERROR(_xludf.XLOOKUP($N1286,Base_Enderecos!$A:$A,Base_Enderecos!$B:$B,""),"")</f>
        <v/>
      </c>
      <c r="Q1286">
        <f>IFERROR(_xludf.XLOOKUP($N1286,Base_Enderecos!$A:$A,Base_Enderecos!$C:$C,""),"")</f>
        <v/>
      </c>
      <c r="R1286">
        <f>IF(OR(ISNUMBER(SEARCH("HDD",$F1286)),ISNUMBER(SEARCH("MND",$F1286)),ISNUMBER(SEARCH("PEAD",$F1286)),ISNUMBER(SEARCH("Puxe",$J1286)),ISNUMBER(SEARCH("Apoio HDD",$F1286))),"MND",IF(OR(ISNUMBER(SEARCH("VCA",$F1286)),ISNUMBER(SEARCH("PVC",$F1286)),ISNUMBER(SEARCH("vca",$J1286)),ISNUMBER(SEARCH("Transformação",$J1286))),"VCA",IF(OR(ISNUMBER(SEARCH("crava",$F1286)),ISNUMBER(SEARCH("tubo cravado",$F1286)),ISNUMBER(SEARCH("shaft",$J1286)),ISNUMBER(SEARCH("concreto",$F1286))),"TUBO CRAVADO","")))</f>
        <v/>
      </c>
      <c r="T1286">
        <f>IF($A1286="","",TEXT($A1286,"yyyymm")&amp;"|"&amp;$C1286&amp;"|"&amp;$F1286&amp;"|"&amp;$N1286&amp;"|"&amp;$R1286)</f>
        <v/>
      </c>
    </row>
    <row r="1287" ht="11.55" customHeight="1">
      <c r="A1287" s="10" t="n">
        <v>46097</v>
      </c>
      <c r="B1287" s="7" t="inlineStr">
        <is>
          <t>Segunda</t>
        </is>
      </c>
      <c r="C1287" s="7" t="inlineStr">
        <is>
          <t>CT ÁGUA VERMELHA M.D</t>
        </is>
      </c>
      <c r="D1287" s="7" t="inlineStr">
        <is>
          <t>FABIO E VALMIR</t>
        </is>
      </c>
      <c r="E1287" s="7" t="inlineStr">
        <is>
          <t>Cidão</t>
        </is>
      </c>
      <c r="F1287" s="13" t="inlineStr">
        <is>
          <t>Transformação PVE 17</t>
        </is>
      </c>
      <c r="G1287" s="7" t="inlineStr">
        <is>
          <t>17</t>
        </is>
      </c>
      <c r="H1287" s="7" t="n"/>
      <c r="I1287" s="7" t="inlineStr">
        <is>
          <t>17</t>
        </is>
      </c>
      <c r="J1287" s="7" t="inlineStr">
        <is>
          <t>Transformação</t>
        </is>
      </c>
      <c r="K1287" s="7" t="inlineStr">
        <is>
          <t>Planejamento</t>
        </is>
      </c>
      <c r="L1287" s="16" t="inlineStr">
        <is>
          <t>PDS-Março(1).docx</t>
        </is>
      </c>
      <c r="M1287">
        <f>IF($A1287="","",TEXT($A1287,"mmmm/yyyy"))</f>
        <v/>
      </c>
      <c r="P1287">
        <f>IFERROR(_xludf.XLOOKUP($N1287,Base_Enderecos!$A:$A,Base_Enderecos!$B:$B,""),"")</f>
        <v/>
      </c>
      <c r="Q1287">
        <f>IFERROR(_xludf.XLOOKUP($N1287,Base_Enderecos!$A:$A,Base_Enderecos!$C:$C,""),"")</f>
        <v/>
      </c>
      <c r="R1287">
        <f>IF(OR(ISNUMBER(SEARCH("HDD",$F1287)),ISNUMBER(SEARCH("MND",$F1287)),ISNUMBER(SEARCH("PEAD",$F1287)),ISNUMBER(SEARCH("Puxe",$J1287)),ISNUMBER(SEARCH("Apoio HDD",$F1287))),"MND",IF(OR(ISNUMBER(SEARCH("VCA",$F1287)),ISNUMBER(SEARCH("PVC",$F1287)),ISNUMBER(SEARCH("vca",$J1287)),ISNUMBER(SEARCH("Transformação",$J1287))),"VCA",IF(OR(ISNUMBER(SEARCH("crava",$F1287)),ISNUMBER(SEARCH("tubo cravado",$F1287)),ISNUMBER(SEARCH("shaft",$J1287)),ISNUMBER(SEARCH("concreto",$F1287))),"TUBO CRAVADO","")))</f>
        <v/>
      </c>
      <c r="T1287">
        <f>IF($A1287="","",TEXT($A1287,"yyyymm")&amp;"|"&amp;$C1287&amp;"|"&amp;$F1287&amp;"|"&amp;$N1287&amp;"|"&amp;$R1287)</f>
        <v/>
      </c>
    </row>
    <row r="1288" ht="11.55" customHeight="1">
      <c r="A1288" s="10" t="n">
        <v>46097</v>
      </c>
      <c r="B1288" s="7" t="inlineStr">
        <is>
          <t>Segunda</t>
        </is>
      </c>
      <c r="C1288" s="7" t="inlineStr">
        <is>
          <t>CT ÁGUA VERMELHA M.D</t>
        </is>
      </c>
      <c r="D1288" s="7" t="inlineStr">
        <is>
          <t>FABIO E VALMIR</t>
        </is>
      </c>
      <c r="E1288" s="7" t="inlineStr">
        <is>
          <t>Marcelo</t>
        </is>
      </c>
      <c r="F1288" s="13" t="inlineStr">
        <is>
          <t>Trans e Interligação PVE 10</t>
        </is>
      </c>
      <c r="G1288" s="7" t="inlineStr">
        <is>
          <t>10</t>
        </is>
      </c>
      <c r="H1288" s="7" t="n"/>
      <c r="I1288" s="7" t="inlineStr">
        <is>
          <t>10</t>
        </is>
      </c>
      <c r="J1288" s="7" t="inlineStr">
        <is>
          <t>Interligação</t>
        </is>
      </c>
      <c r="K1288" s="7" t="inlineStr">
        <is>
          <t>Planejamento</t>
        </is>
      </c>
      <c r="L1288" s="16" t="inlineStr">
        <is>
          <t>PDS-Março(1).docx</t>
        </is>
      </c>
      <c r="M1288">
        <f>IF($A1288="","",TEXT($A1288,"mmmm/yyyy"))</f>
        <v/>
      </c>
      <c r="P1288">
        <f>IFERROR(_xludf.XLOOKUP($N1288,Base_Enderecos!$A:$A,Base_Enderecos!$B:$B,""),"")</f>
        <v/>
      </c>
      <c r="Q1288">
        <f>IFERROR(_xludf.XLOOKUP($N1288,Base_Enderecos!$A:$A,Base_Enderecos!$C:$C,""),"")</f>
        <v/>
      </c>
      <c r="R1288">
        <f>IF(OR(ISNUMBER(SEARCH("HDD",$F1288)),ISNUMBER(SEARCH("MND",$F1288)),ISNUMBER(SEARCH("PEAD",$F1288)),ISNUMBER(SEARCH("Puxe",$J1288)),ISNUMBER(SEARCH("Apoio HDD",$F1288))),"MND",IF(OR(ISNUMBER(SEARCH("VCA",$F1288)),ISNUMBER(SEARCH("PVC",$F1288)),ISNUMBER(SEARCH("vca",$J1288)),ISNUMBER(SEARCH("Transformação",$J1288))),"VCA",IF(OR(ISNUMBER(SEARCH("crava",$F1288)),ISNUMBER(SEARCH("tubo cravado",$F1288)),ISNUMBER(SEARCH("shaft",$J1288)),ISNUMBER(SEARCH("concreto",$F1288))),"TUBO CRAVADO","")))</f>
        <v/>
      </c>
      <c r="T1288">
        <f>IF($A1288="","",TEXT($A1288,"yyyymm")&amp;"|"&amp;$C1288&amp;"|"&amp;$F1288&amp;"|"&amp;$N1288&amp;"|"&amp;$R1288)</f>
        <v/>
      </c>
    </row>
    <row r="1289" ht="11.55" customHeight="1">
      <c r="A1289" s="10" t="n">
        <v>46097</v>
      </c>
      <c r="B1289" s="7" t="inlineStr">
        <is>
          <t>Segunda</t>
        </is>
      </c>
      <c r="C1289" s="7" t="inlineStr">
        <is>
          <t>CT ÁGUA VERMELHA M.D</t>
        </is>
      </c>
      <c r="D1289" s="7" t="inlineStr">
        <is>
          <t>FABIO E VALMIR</t>
        </is>
      </c>
      <c r="E1289" s="7" t="inlineStr">
        <is>
          <t>Ricardo</t>
        </is>
      </c>
      <c r="F1289" s="13" t="inlineStr">
        <is>
          <t>Transformação PVE 18</t>
        </is>
      </c>
      <c r="G1289" s="7" t="inlineStr">
        <is>
          <t>18</t>
        </is>
      </c>
      <c r="H1289" s="7" t="n"/>
      <c r="I1289" s="7" t="inlineStr">
        <is>
          <t>18</t>
        </is>
      </c>
      <c r="J1289" s="7" t="inlineStr">
        <is>
          <t>Transformação</t>
        </is>
      </c>
      <c r="K1289" s="7" t="inlineStr">
        <is>
          <t>Planejamento</t>
        </is>
      </c>
      <c r="L1289" s="16" t="inlineStr">
        <is>
          <t>PDS-Março(1).docx</t>
        </is>
      </c>
      <c r="M1289">
        <f>IF($A1289="","",TEXT($A1289,"mmmm/yyyy"))</f>
        <v/>
      </c>
      <c r="P1289">
        <f>IFERROR(_xludf.XLOOKUP($N1289,Base_Enderecos!$A:$A,Base_Enderecos!$B:$B,""),"")</f>
        <v/>
      </c>
      <c r="Q1289">
        <f>IFERROR(_xludf.XLOOKUP($N1289,Base_Enderecos!$A:$A,Base_Enderecos!$C:$C,""),"")</f>
        <v/>
      </c>
      <c r="R1289">
        <f>IF(OR(ISNUMBER(SEARCH("HDD",$F1289)),ISNUMBER(SEARCH("MND",$F1289)),ISNUMBER(SEARCH("PEAD",$F1289)),ISNUMBER(SEARCH("Puxe",$J1289)),ISNUMBER(SEARCH("Apoio HDD",$F1289))),"MND",IF(OR(ISNUMBER(SEARCH("VCA",$F1289)),ISNUMBER(SEARCH("PVC",$F1289)),ISNUMBER(SEARCH("vca",$J1289)),ISNUMBER(SEARCH("Transformação",$J1289))),"VCA",IF(OR(ISNUMBER(SEARCH("crava",$F1289)),ISNUMBER(SEARCH("tubo cravado",$F1289)),ISNUMBER(SEARCH("shaft",$J1289)),ISNUMBER(SEARCH("concreto",$F1289))),"TUBO CRAVADO","")))</f>
        <v/>
      </c>
      <c r="T1289">
        <f>IF($A1289="","",TEXT($A1289,"yyyymm")&amp;"|"&amp;$C1289&amp;"|"&amp;$F1289&amp;"|"&amp;$N1289&amp;"|"&amp;$R1289)</f>
        <v/>
      </c>
    </row>
    <row r="1290" ht="11.55" customHeight="1">
      <c r="A1290" s="10" t="n">
        <v>46097</v>
      </c>
      <c r="B1290" s="7" t="inlineStr">
        <is>
          <t>Segunda</t>
        </is>
      </c>
      <c r="C1290" s="7" t="inlineStr">
        <is>
          <t>CT ÁGUA VERMELHA M.D</t>
        </is>
      </c>
      <c r="D1290" s="7" t="inlineStr">
        <is>
          <t>FABIO E VALMIR</t>
        </is>
      </c>
      <c r="E1290" s="7" t="inlineStr">
        <is>
          <t>Marcio</t>
        </is>
      </c>
      <c r="F1290" s="13" t="inlineStr">
        <is>
          <t>Transformação PVE 11</t>
        </is>
      </c>
      <c r="G1290" s="7" t="inlineStr">
        <is>
          <t>11</t>
        </is>
      </c>
      <c r="H1290" s="7" t="n"/>
      <c r="I1290" s="7" t="inlineStr">
        <is>
          <t>11</t>
        </is>
      </c>
      <c r="J1290" s="7" t="inlineStr">
        <is>
          <t>Transformação</t>
        </is>
      </c>
      <c r="K1290" s="7" t="inlineStr">
        <is>
          <t>Planejamento</t>
        </is>
      </c>
      <c r="L1290" s="16" t="inlineStr">
        <is>
          <t>PDS-Março(1).docx</t>
        </is>
      </c>
      <c r="M1290">
        <f>IF($A1290="","",TEXT($A1290,"mmmm/yyyy"))</f>
        <v/>
      </c>
      <c r="P1290">
        <f>IFERROR(_xludf.XLOOKUP($N1290,Base_Enderecos!$A:$A,Base_Enderecos!$B:$B,""),"")</f>
        <v/>
      </c>
      <c r="Q1290">
        <f>IFERROR(_xludf.XLOOKUP($N1290,Base_Enderecos!$A:$A,Base_Enderecos!$C:$C,""),"")</f>
        <v/>
      </c>
      <c r="R1290">
        <f>IF(OR(ISNUMBER(SEARCH("HDD",$F1290)),ISNUMBER(SEARCH("MND",$F1290)),ISNUMBER(SEARCH("PEAD",$F1290)),ISNUMBER(SEARCH("Puxe",$J1290)),ISNUMBER(SEARCH("Apoio HDD",$F1290))),"MND",IF(OR(ISNUMBER(SEARCH("VCA",$F1290)),ISNUMBER(SEARCH("PVC",$F1290)),ISNUMBER(SEARCH("vca",$J1290)),ISNUMBER(SEARCH("Transformação",$J1290))),"VCA",IF(OR(ISNUMBER(SEARCH("crava",$F1290)),ISNUMBER(SEARCH("tubo cravado",$F1290)),ISNUMBER(SEARCH("shaft",$J1290)),ISNUMBER(SEARCH("concreto",$F1290))),"TUBO CRAVADO","")))</f>
        <v/>
      </c>
      <c r="T1290">
        <f>IF($A1290="","",TEXT($A1290,"yyyymm")&amp;"|"&amp;$C1290&amp;"|"&amp;$F1290&amp;"|"&amp;$N1290&amp;"|"&amp;$R1290)</f>
        <v/>
      </c>
    </row>
    <row r="1291" ht="11.55" customHeight="1">
      <c r="A1291" s="10" t="n">
        <v>46097</v>
      </c>
      <c r="B1291" s="7" t="inlineStr">
        <is>
          <t>Segunda</t>
        </is>
      </c>
      <c r="C1291" s="7" t="inlineStr">
        <is>
          <t>CT ÁGUA VERMELHA M.D</t>
        </is>
      </c>
      <c r="D1291" s="7" t="inlineStr">
        <is>
          <t>FABIO E VALMIR</t>
        </is>
      </c>
      <c r="E1291" s="7" t="inlineStr">
        <is>
          <t>Edivando</t>
        </is>
      </c>
      <c r="F1291" s="13" t="inlineStr">
        <is>
          <t>Trans e Interligação PVE 23</t>
        </is>
      </c>
      <c r="G1291" s="7" t="inlineStr">
        <is>
          <t>23</t>
        </is>
      </c>
      <c r="H1291" s="7" t="n"/>
      <c r="I1291" s="7" t="inlineStr">
        <is>
          <t>23</t>
        </is>
      </c>
      <c r="J1291" s="7" t="inlineStr">
        <is>
          <t>Interligação</t>
        </is>
      </c>
      <c r="K1291" s="7" t="inlineStr">
        <is>
          <t>Planejamento</t>
        </is>
      </c>
      <c r="L1291" s="16" t="inlineStr">
        <is>
          <t>PDS-Março(1).docx</t>
        </is>
      </c>
      <c r="M1291">
        <f>IF($A1291="","",TEXT($A1291,"mmmm/yyyy"))</f>
        <v/>
      </c>
      <c r="P1291">
        <f>IFERROR(_xludf.XLOOKUP($N1291,Base_Enderecos!$A:$A,Base_Enderecos!$B:$B,""),"")</f>
        <v/>
      </c>
      <c r="Q1291">
        <f>IFERROR(_xludf.XLOOKUP($N1291,Base_Enderecos!$A:$A,Base_Enderecos!$C:$C,""),"")</f>
        <v/>
      </c>
      <c r="R1291">
        <f>IF(OR(ISNUMBER(SEARCH("HDD",$F1291)),ISNUMBER(SEARCH("MND",$F1291)),ISNUMBER(SEARCH("PEAD",$F1291)),ISNUMBER(SEARCH("Puxe",$J1291)),ISNUMBER(SEARCH("Apoio HDD",$F1291))),"MND",IF(OR(ISNUMBER(SEARCH("VCA",$F1291)),ISNUMBER(SEARCH("PVC",$F1291)),ISNUMBER(SEARCH("vca",$J1291)),ISNUMBER(SEARCH("Transformação",$J1291))),"VCA",IF(OR(ISNUMBER(SEARCH("crava",$F1291)),ISNUMBER(SEARCH("tubo cravado",$F1291)),ISNUMBER(SEARCH("shaft",$J1291)),ISNUMBER(SEARCH("concreto",$F1291))),"TUBO CRAVADO","")))</f>
        <v/>
      </c>
      <c r="T1291">
        <f>IF($A1291="","",TEXT($A1291,"yyyymm")&amp;"|"&amp;$C1291&amp;"|"&amp;$F1291&amp;"|"&amp;$N1291&amp;"|"&amp;$R1291)</f>
        <v/>
      </c>
    </row>
    <row r="1292" ht="11.55" customHeight="1">
      <c r="A1292" s="10" t="n">
        <v>46097</v>
      </c>
      <c r="B1292" s="7" t="inlineStr">
        <is>
          <t>Segunda</t>
        </is>
      </c>
      <c r="C1292" s="7" t="inlineStr">
        <is>
          <t>CT ÁGUA VERMELHA M.D</t>
        </is>
      </c>
      <c r="D1292" s="7" t="inlineStr">
        <is>
          <t>FABIO E VALMIR</t>
        </is>
      </c>
      <c r="E1292" s="7" t="inlineStr">
        <is>
          <t>Cesar</t>
        </is>
      </c>
      <c r="F1292" s="13" t="inlineStr">
        <is>
          <t>Transformação PVE 13</t>
        </is>
      </c>
      <c r="G1292" s="7" t="inlineStr">
        <is>
          <t>13</t>
        </is>
      </c>
      <c r="H1292" s="7" t="n"/>
      <c r="I1292" s="7" t="inlineStr">
        <is>
          <t>13</t>
        </is>
      </c>
      <c r="J1292" s="7" t="inlineStr">
        <is>
          <t>Transformação</t>
        </is>
      </c>
      <c r="K1292" s="7" t="inlineStr">
        <is>
          <t>Planejamento</t>
        </is>
      </c>
      <c r="L1292" s="16" t="inlineStr">
        <is>
          <t>PDS-Março(1).docx</t>
        </is>
      </c>
      <c r="M1292">
        <f>IF($A1292="","",TEXT($A1292,"mmmm/yyyy"))</f>
        <v/>
      </c>
      <c r="P1292">
        <f>IFERROR(_xludf.XLOOKUP($N1292,Base_Enderecos!$A:$A,Base_Enderecos!$B:$B,""),"")</f>
        <v/>
      </c>
      <c r="Q1292">
        <f>IFERROR(_xludf.XLOOKUP($N1292,Base_Enderecos!$A:$A,Base_Enderecos!$C:$C,""),"")</f>
        <v/>
      </c>
      <c r="R1292">
        <f>IF(OR(ISNUMBER(SEARCH("HDD",$F1292)),ISNUMBER(SEARCH("MND",$F1292)),ISNUMBER(SEARCH("PEAD",$F1292)),ISNUMBER(SEARCH("Puxe",$J1292)),ISNUMBER(SEARCH("Apoio HDD",$F1292))),"MND",IF(OR(ISNUMBER(SEARCH("VCA",$F1292)),ISNUMBER(SEARCH("PVC",$F1292)),ISNUMBER(SEARCH("vca",$J1292)),ISNUMBER(SEARCH("Transformação",$J1292))),"VCA",IF(OR(ISNUMBER(SEARCH("crava",$F1292)),ISNUMBER(SEARCH("tubo cravado",$F1292)),ISNUMBER(SEARCH("shaft",$J1292)),ISNUMBER(SEARCH("concreto",$F1292))),"TUBO CRAVADO","")))</f>
        <v/>
      </c>
      <c r="T1292">
        <f>IF($A1292="","",TEXT($A1292,"yyyymm")&amp;"|"&amp;$C1292&amp;"|"&amp;$F1292&amp;"|"&amp;$N1292&amp;"|"&amp;$R1292)</f>
        <v/>
      </c>
    </row>
    <row r="1293" ht="11.55" customHeight="1">
      <c r="A1293" s="10" t="n">
        <v>46097</v>
      </c>
      <c r="B1293" s="7" t="inlineStr">
        <is>
          <t>Segunda</t>
        </is>
      </c>
      <c r="C1293" s="7" t="inlineStr">
        <is>
          <t>CT ÁGUA VERMELHA M.D</t>
        </is>
      </c>
      <c r="D1293" s="7" t="inlineStr">
        <is>
          <t>FABIO E VALMIR</t>
        </is>
      </c>
      <c r="E1293" s="7" t="inlineStr">
        <is>
          <t>Higor</t>
        </is>
      </c>
      <c r="F1293" s="13" t="inlineStr">
        <is>
          <t>Transformação PVE 12</t>
        </is>
      </c>
      <c r="G1293" s="7" t="inlineStr">
        <is>
          <t>12</t>
        </is>
      </c>
      <c r="H1293" s="7" t="n"/>
      <c r="I1293" s="7" t="inlineStr">
        <is>
          <t>12</t>
        </is>
      </c>
      <c r="J1293" s="7" t="inlineStr">
        <is>
          <t>Transformação</t>
        </is>
      </c>
      <c r="K1293" s="7" t="inlineStr">
        <is>
          <t>Planejamento</t>
        </is>
      </c>
      <c r="L1293" s="16" t="inlineStr">
        <is>
          <t>PDS-Março(1).docx</t>
        </is>
      </c>
      <c r="M1293">
        <f>IF($A1293="","",TEXT($A1293,"mmmm/yyyy"))</f>
        <v/>
      </c>
      <c r="P1293">
        <f>IFERROR(_xludf.XLOOKUP($N1293,Base_Enderecos!$A:$A,Base_Enderecos!$B:$B,""),"")</f>
        <v/>
      </c>
      <c r="Q1293">
        <f>IFERROR(_xludf.XLOOKUP($N1293,Base_Enderecos!$A:$A,Base_Enderecos!$C:$C,""),"")</f>
        <v/>
      </c>
      <c r="R1293">
        <f>IF(OR(ISNUMBER(SEARCH("HDD",$F1293)),ISNUMBER(SEARCH("MND",$F1293)),ISNUMBER(SEARCH("PEAD",$F1293)),ISNUMBER(SEARCH("Puxe",$J1293)),ISNUMBER(SEARCH("Apoio HDD",$F1293))),"MND",IF(OR(ISNUMBER(SEARCH("VCA",$F1293)),ISNUMBER(SEARCH("PVC",$F1293)),ISNUMBER(SEARCH("vca",$J1293)),ISNUMBER(SEARCH("Transformação",$J1293))),"VCA",IF(OR(ISNUMBER(SEARCH("crava",$F1293)),ISNUMBER(SEARCH("tubo cravado",$F1293)),ISNUMBER(SEARCH("shaft",$J1293)),ISNUMBER(SEARCH("concreto",$F1293))),"TUBO CRAVADO","")))</f>
        <v/>
      </c>
      <c r="T1293">
        <f>IF($A1293="","",TEXT($A1293,"yyyymm")&amp;"|"&amp;$C1293&amp;"|"&amp;$F1293&amp;"|"&amp;$N1293&amp;"|"&amp;$R1293)</f>
        <v/>
      </c>
    </row>
    <row r="1294" ht="11.55" customHeight="1">
      <c r="A1294" s="10" t="n">
        <v>46097</v>
      </c>
      <c r="B1294" s="7" t="inlineStr">
        <is>
          <t>Segunda</t>
        </is>
      </c>
      <c r="C1294" s="7" t="inlineStr">
        <is>
          <t>CT ÁGUA VERMELHA M.D</t>
        </is>
      </c>
      <c r="D1294" s="7" t="inlineStr">
        <is>
          <t>FABIO E VALMIR</t>
        </is>
      </c>
      <c r="E1294" s="7" t="inlineStr">
        <is>
          <t>Antônio</t>
        </is>
      </c>
      <c r="F1294" s="13" t="inlineStr">
        <is>
          <t>Transformação PVE 04</t>
        </is>
      </c>
      <c r="G1294" s="7" t="inlineStr">
        <is>
          <t>04</t>
        </is>
      </c>
      <c r="H1294" s="7" t="n"/>
      <c r="I1294" s="7" t="inlineStr">
        <is>
          <t>04</t>
        </is>
      </c>
      <c r="J1294" s="7" t="inlineStr">
        <is>
          <t>Transformação</t>
        </is>
      </c>
      <c r="K1294" s="7" t="inlineStr">
        <is>
          <t>Planejamento</t>
        </is>
      </c>
      <c r="L1294" s="16" t="inlineStr">
        <is>
          <t>PDS-Março(1).docx</t>
        </is>
      </c>
      <c r="M1294">
        <f>IF($A1294="","",TEXT($A1294,"mmmm/yyyy"))</f>
        <v/>
      </c>
      <c r="P1294">
        <f>IFERROR(_xludf.XLOOKUP($N1294,Base_Enderecos!$A:$A,Base_Enderecos!$B:$B,""),"")</f>
        <v/>
      </c>
      <c r="Q1294">
        <f>IFERROR(_xludf.XLOOKUP($N1294,Base_Enderecos!$A:$A,Base_Enderecos!$C:$C,""),"")</f>
        <v/>
      </c>
      <c r="R1294">
        <f>IF(OR(ISNUMBER(SEARCH("HDD",$F1294)),ISNUMBER(SEARCH("MND",$F1294)),ISNUMBER(SEARCH("PEAD",$F1294)),ISNUMBER(SEARCH("Puxe",$J1294)),ISNUMBER(SEARCH("Apoio HDD",$F1294))),"MND",IF(OR(ISNUMBER(SEARCH("VCA",$F1294)),ISNUMBER(SEARCH("PVC",$F1294)),ISNUMBER(SEARCH("vca",$J1294)),ISNUMBER(SEARCH("Transformação",$J1294))),"VCA",IF(OR(ISNUMBER(SEARCH("crava",$F1294)),ISNUMBER(SEARCH("tubo cravado",$F1294)),ISNUMBER(SEARCH("shaft",$J1294)),ISNUMBER(SEARCH("concreto",$F1294))),"TUBO CRAVADO","")))</f>
        <v/>
      </c>
      <c r="T1294">
        <f>IF($A1294="","",TEXT($A1294,"yyyymm")&amp;"|"&amp;$C1294&amp;"|"&amp;$F1294&amp;"|"&amp;$N1294&amp;"|"&amp;$R1294)</f>
        <v/>
      </c>
    </row>
    <row r="1295" ht="11.55" customHeight="1">
      <c r="A1295" s="10" t="n">
        <v>46097</v>
      </c>
      <c r="B1295" s="7" t="inlineStr">
        <is>
          <t>Segunda</t>
        </is>
      </c>
      <c r="C1295" s="7" t="inlineStr">
        <is>
          <t>Vacal</t>
        </is>
      </c>
      <c r="D1295" s="7" t="n"/>
      <c r="E1295" s="7" t="inlineStr">
        <is>
          <t>Conceição</t>
        </is>
      </c>
      <c r="F1295" s="13" t="inlineStr">
        <is>
          <t>Apoio Vacal</t>
        </is>
      </c>
      <c r="G1295" s="7" t="n"/>
      <c r="H1295" s="7" t="n"/>
      <c r="I1295" s="7" t="n"/>
      <c r="J1295" s="7" t="inlineStr">
        <is>
          <t>Vacal</t>
        </is>
      </c>
      <c r="K1295" s="7" t="inlineStr">
        <is>
          <t>Apoio</t>
        </is>
      </c>
      <c r="L1295" s="16" t="inlineStr">
        <is>
          <t>PDS-Março(1).docx</t>
        </is>
      </c>
      <c r="M1295">
        <f>IF($A1295="","",TEXT($A1295,"mmmm/yyyy"))</f>
        <v/>
      </c>
      <c r="P1295">
        <f>IFERROR(_xludf.XLOOKUP($N1295,Base_Enderecos!$A:$A,Base_Enderecos!$B:$B,""),"")</f>
        <v/>
      </c>
      <c r="Q1295">
        <f>IFERROR(_xludf.XLOOKUP($N1295,Base_Enderecos!$A:$A,Base_Enderecos!$C:$C,""),"")</f>
        <v/>
      </c>
      <c r="R1295">
        <f>IF(OR(ISNUMBER(SEARCH("HDD",$F1295)),ISNUMBER(SEARCH("MND",$F1295)),ISNUMBER(SEARCH("PEAD",$F1295)),ISNUMBER(SEARCH("Puxe",$J1295)),ISNUMBER(SEARCH("Apoio HDD",$F1295))),"MND",IF(OR(ISNUMBER(SEARCH("VCA",$F1295)),ISNUMBER(SEARCH("PVC",$F1295)),ISNUMBER(SEARCH("vca",$J1295)),ISNUMBER(SEARCH("Transformação",$J1295))),"VCA",IF(OR(ISNUMBER(SEARCH("crava",$F1295)),ISNUMBER(SEARCH("tubo cravado",$F1295)),ISNUMBER(SEARCH("shaft",$J1295)),ISNUMBER(SEARCH("concreto",$F1295))),"TUBO CRAVADO","")))</f>
        <v/>
      </c>
      <c r="T1295">
        <f>IF($A1295="","",TEXT($A1295,"yyyymm")&amp;"|"&amp;$C1295&amp;"|"&amp;$F1295&amp;"|"&amp;$N1295&amp;"|"&amp;$R1295)</f>
        <v/>
      </c>
    </row>
    <row r="1296" ht="11.55" customHeight="1">
      <c r="A1296" s="10" t="n">
        <v>46097</v>
      </c>
      <c r="B1296" s="7" t="inlineStr">
        <is>
          <t>Segunda</t>
        </is>
      </c>
      <c r="C1296" s="7" t="inlineStr">
        <is>
          <t>Vacal</t>
        </is>
      </c>
      <c r="D1296" s="7" t="n"/>
      <c r="E1296" s="7" t="inlineStr">
        <is>
          <t>Conceição</t>
        </is>
      </c>
      <c r="F1296" s="13" t="inlineStr">
        <is>
          <t>Apoio Vacal</t>
        </is>
      </c>
      <c r="G1296" s="7" t="n"/>
      <c r="H1296" s="7" t="n"/>
      <c r="I1296" s="7" t="n"/>
      <c r="J1296" s="7" t="inlineStr">
        <is>
          <t>Vacal</t>
        </is>
      </c>
      <c r="K1296" s="7" t="inlineStr">
        <is>
          <t>Apoio</t>
        </is>
      </c>
      <c r="L1296" s="16" t="inlineStr">
        <is>
          <t>PDS-Março(1).docx</t>
        </is>
      </c>
      <c r="M1296">
        <f>IF($A1296="","",TEXT($A1296,"mmmm/yyyy"))</f>
        <v/>
      </c>
      <c r="P1296">
        <f>IFERROR(_xludf.XLOOKUP($N1296,Base_Enderecos!$A:$A,Base_Enderecos!$B:$B,""),"")</f>
        <v/>
      </c>
      <c r="Q1296">
        <f>IFERROR(_xludf.XLOOKUP($N1296,Base_Enderecos!$A:$A,Base_Enderecos!$C:$C,""),"")</f>
        <v/>
      </c>
      <c r="R1296">
        <f>IF(OR(ISNUMBER(SEARCH("HDD",$F1296)),ISNUMBER(SEARCH("MND",$F1296)),ISNUMBER(SEARCH("PEAD",$F1296)),ISNUMBER(SEARCH("Puxe",$J1296)),ISNUMBER(SEARCH("Apoio HDD",$F1296))),"MND",IF(OR(ISNUMBER(SEARCH("VCA",$F1296)),ISNUMBER(SEARCH("PVC",$F1296)),ISNUMBER(SEARCH("vca",$J1296)),ISNUMBER(SEARCH("Transformação",$J1296))),"VCA",IF(OR(ISNUMBER(SEARCH("crava",$F1296)),ISNUMBER(SEARCH("tubo cravado",$F1296)),ISNUMBER(SEARCH("shaft",$J1296)),ISNUMBER(SEARCH("concreto",$F1296))),"TUBO CRAVADO","")))</f>
        <v/>
      </c>
      <c r="T1296">
        <f>IF($A1296="","",TEXT($A1296,"yyyymm")&amp;"|"&amp;$C1296&amp;"|"&amp;$F1296&amp;"|"&amp;$N1296&amp;"|"&amp;$R1296)</f>
        <v/>
      </c>
    </row>
    <row r="1297" ht="11.55" customHeight="1">
      <c r="A1297" s="10" t="n">
        <v>46097</v>
      </c>
      <c r="B1297" s="7" t="inlineStr">
        <is>
          <t>Segunda</t>
        </is>
      </c>
      <c r="C1297" s="7" t="inlineStr">
        <is>
          <t>Vacal</t>
        </is>
      </c>
      <c r="D1297" s="7" t="n"/>
      <c r="E1297" s="7" t="inlineStr">
        <is>
          <t>Água Vermelha</t>
        </is>
      </c>
      <c r="F1297" s="13" t="inlineStr">
        <is>
          <t>Apoio Vacal</t>
        </is>
      </c>
      <c r="G1297" s="7" t="n"/>
      <c r="H1297" s="7" t="n"/>
      <c r="I1297" s="7" t="n"/>
      <c r="J1297" s="7" t="inlineStr">
        <is>
          <t>Vacal</t>
        </is>
      </c>
      <c r="K1297" s="7" t="inlineStr">
        <is>
          <t>Apoio</t>
        </is>
      </c>
      <c r="L1297" s="16" t="inlineStr">
        <is>
          <t>PDS-Março(1).docx</t>
        </is>
      </c>
      <c r="M1297">
        <f>IF($A1297="","",TEXT($A1297,"mmmm/yyyy"))</f>
        <v/>
      </c>
      <c r="P1297">
        <f>IFERROR(_xludf.XLOOKUP($N1297,Base_Enderecos!$A:$A,Base_Enderecos!$B:$B,""),"")</f>
        <v/>
      </c>
      <c r="Q1297">
        <f>IFERROR(_xludf.XLOOKUP($N1297,Base_Enderecos!$A:$A,Base_Enderecos!$C:$C,""),"")</f>
        <v/>
      </c>
      <c r="R1297">
        <f>IF(OR(ISNUMBER(SEARCH("HDD",$F1297)),ISNUMBER(SEARCH("MND",$F1297)),ISNUMBER(SEARCH("PEAD",$F1297)),ISNUMBER(SEARCH("Puxe",$J1297)),ISNUMBER(SEARCH("Apoio HDD",$F1297))),"MND",IF(OR(ISNUMBER(SEARCH("VCA",$F1297)),ISNUMBER(SEARCH("PVC",$F1297)),ISNUMBER(SEARCH("vca",$J1297)),ISNUMBER(SEARCH("Transformação",$J1297))),"VCA",IF(OR(ISNUMBER(SEARCH("crava",$F1297)),ISNUMBER(SEARCH("tubo cravado",$F1297)),ISNUMBER(SEARCH("shaft",$J1297)),ISNUMBER(SEARCH("concreto",$F1297))),"TUBO CRAVADO","")))</f>
        <v/>
      </c>
      <c r="T1297">
        <f>IF($A1297="","",TEXT($A1297,"yyyymm")&amp;"|"&amp;$C1297&amp;"|"&amp;$F1297&amp;"|"&amp;$N1297&amp;"|"&amp;$R1297)</f>
        <v/>
      </c>
    </row>
    <row r="1298" ht="11.55" customHeight="1">
      <c r="A1298" s="10" t="n">
        <v>46097</v>
      </c>
      <c r="B1298" s="7" t="inlineStr">
        <is>
          <t>Segunda</t>
        </is>
      </c>
      <c r="C1298" s="7" t="inlineStr">
        <is>
          <t>Vacal</t>
        </is>
      </c>
      <c r="D1298" s="7" t="n"/>
      <c r="E1298" s="7" t="inlineStr">
        <is>
          <t>Água Vermelha</t>
        </is>
      </c>
      <c r="F1298" s="13" t="inlineStr">
        <is>
          <t>Apoio Vacal</t>
        </is>
      </c>
      <c r="G1298" s="7" t="n"/>
      <c r="H1298" s="7" t="n"/>
      <c r="I1298" s="7" t="n"/>
      <c r="J1298" s="7" t="inlineStr">
        <is>
          <t>Vacal</t>
        </is>
      </c>
      <c r="K1298" s="7" t="inlineStr">
        <is>
          <t>Apoio</t>
        </is>
      </c>
      <c r="L1298" s="16" t="inlineStr">
        <is>
          <t>PDS-Março(1).docx</t>
        </is>
      </c>
      <c r="M1298">
        <f>IF($A1298="","",TEXT($A1298,"mmmm/yyyy"))</f>
        <v/>
      </c>
      <c r="P1298">
        <f>IFERROR(_xludf.XLOOKUP($N1298,Base_Enderecos!$A:$A,Base_Enderecos!$B:$B,""),"")</f>
        <v/>
      </c>
      <c r="Q1298">
        <f>IFERROR(_xludf.XLOOKUP($N1298,Base_Enderecos!$A:$A,Base_Enderecos!$C:$C,""),"")</f>
        <v/>
      </c>
      <c r="R1298">
        <f>IF(OR(ISNUMBER(SEARCH("HDD",$F1298)),ISNUMBER(SEARCH("MND",$F1298)),ISNUMBER(SEARCH("PEAD",$F1298)),ISNUMBER(SEARCH("Puxe",$J1298)),ISNUMBER(SEARCH("Apoio HDD",$F1298))),"MND",IF(OR(ISNUMBER(SEARCH("VCA",$F1298)),ISNUMBER(SEARCH("PVC",$F1298)),ISNUMBER(SEARCH("vca",$J1298)),ISNUMBER(SEARCH("Transformação",$J1298))),"VCA",IF(OR(ISNUMBER(SEARCH("crava",$F1298)),ISNUMBER(SEARCH("tubo cravado",$F1298)),ISNUMBER(SEARCH("shaft",$J1298)),ISNUMBER(SEARCH("concreto",$F1298))),"TUBO CRAVADO","")))</f>
        <v/>
      </c>
      <c r="T1298">
        <f>IF($A1298="","",TEXT($A1298,"yyyymm")&amp;"|"&amp;$C1298&amp;"|"&amp;$F1298&amp;"|"&amp;$N1298&amp;"|"&amp;$R1298)</f>
        <v/>
      </c>
    </row>
    <row r="1299" ht="11.55" customHeight="1">
      <c r="A1299" s="10" t="n">
        <v>46097</v>
      </c>
      <c r="B1299" s="7" t="inlineStr">
        <is>
          <t>Segunda</t>
        </is>
      </c>
      <c r="C1299" s="7" t="inlineStr">
        <is>
          <t>Guindauto</t>
        </is>
      </c>
      <c r="D1299" s="7" t="n"/>
      <c r="E1299" s="7" t="inlineStr">
        <is>
          <t>Rodrigo</t>
        </is>
      </c>
      <c r="F1299" s="13" t="inlineStr">
        <is>
          <t>Rodrigo - Apoio as equipes</t>
        </is>
      </c>
      <c r="G1299" s="7" t="n"/>
      <c r="H1299" s="7" t="n"/>
      <c r="I1299" s="7" t="n"/>
      <c r="J1299" s="7" t="inlineStr">
        <is>
          <t>Guindauto</t>
        </is>
      </c>
      <c r="K1299" s="7" t="inlineStr">
        <is>
          <t>Apoio</t>
        </is>
      </c>
      <c r="L1299" s="16" t="inlineStr">
        <is>
          <t>PDS-Março(1).docx</t>
        </is>
      </c>
      <c r="M1299">
        <f>IF($A1299="","",TEXT($A1299,"mmmm/yyyy"))</f>
        <v/>
      </c>
      <c r="P1299">
        <f>IFERROR(_xludf.XLOOKUP($N1299,Base_Enderecos!$A:$A,Base_Enderecos!$B:$B,""),"")</f>
        <v/>
      </c>
      <c r="Q1299">
        <f>IFERROR(_xludf.XLOOKUP($N1299,Base_Enderecos!$A:$A,Base_Enderecos!$C:$C,""),"")</f>
        <v/>
      </c>
      <c r="R1299">
        <f>IF(OR(ISNUMBER(SEARCH("HDD",$F1299)),ISNUMBER(SEARCH("MND",$F1299)),ISNUMBER(SEARCH("PEAD",$F1299)),ISNUMBER(SEARCH("Puxe",$J1299)),ISNUMBER(SEARCH("Apoio HDD",$F1299))),"MND",IF(OR(ISNUMBER(SEARCH("VCA",$F1299)),ISNUMBER(SEARCH("PVC",$F1299)),ISNUMBER(SEARCH("vca",$J1299)),ISNUMBER(SEARCH("Transformação",$J1299))),"VCA",IF(OR(ISNUMBER(SEARCH("crava",$F1299)),ISNUMBER(SEARCH("tubo cravado",$F1299)),ISNUMBER(SEARCH("shaft",$J1299)),ISNUMBER(SEARCH("concreto",$F1299))),"TUBO CRAVADO","")))</f>
        <v/>
      </c>
      <c r="T1299">
        <f>IF($A1299="","",TEXT($A1299,"yyyymm")&amp;"|"&amp;$C1299&amp;"|"&amp;$F1299&amp;"|"&amp;$N1299&amp;"|"&amp;$R1299)</f>
        <v/>
      </c>
    </row>
    <row r="1300" ht="11.55" customHeight="1">
      <c r="A1300" s="10" t="n">
        <v>46097</v>
      </c>
      <c r="B1300" s="7" t="inlineStr">
        <is>
          <t>Segunda</t>
        </is>
      </c>
      <c r="C1300" s="7" t="inlineStr">
        <is>
          <t>Guindauto</t>
        </is>
      </c>
      <c r="D1300" s="7" t="n"/>
      <c r="E1300" s="7" t="inlineStr">
        <is>
          <t>Marcio</t>
        </is>
      </c>
      <c r="F1300" s="13" t="inlineStr">
        <is>
          <t>Marcio - Apoio as equipes</t>
        </is>
      </c>
      <c r="G1300" s="7" t="n"/>
      <c r="H1300" s="7" t="n"/>
      <c r="I1300" s="7" t="n"/>
      <c r="J1300" s="7" t="inlineStr">
        <is>
          <t>Guindauto</t>
        </is>
      </c>
      <c r="K1300" s="7" t="inlineStr">
        <is>
          <t>Apoio</t>
        </is>
      </c>
      <c r="L1300" s="16" t="inlineStr">
        <is>
          <t>PDS-Março(1).docx</t>
        </is>
      </c>
      <c r="M1300">
        <f>IF($A1300="","",TEXT($A1300,"mmmm/yyyy"))</f>
        <v/>
      </c>
      <c r="P1300">
        <f>IFERROR(_xludf.XLOOKUP($N1300,Base_Enderecos!$A:$A,Base_Enderecos!$B:$B,""),"")</f>
        <v/>
      </c>
      <c r="Q1300">
        <f>IFERROR(_xludf.XLOOKUP($N1300,Base_Enderecos!$A:$A,Base_Enderecos!$C:$C,""),"")</f>
        <v/>
      </c>
      <c r="R1300">
        <f>IF(OR(ISNUMBER(SEARCH("HDD",$F1300)),ISNUMBER(SEARCH("MND",$F1300)),ISNUMBER(SEARCH("PEAD",$F1300)),ISNUMBER(SEARCH("Puxe",$J1300)),ISNUMBER(SEARCH("Apoio HDD",$F1300))),"MND",IF(OR(ISNUMBER(SEARCH("VCA",$F1300)),ISNUMBER(SEARCH("PVC",$F1300)),ISNUMBER(SEARCH("vca",$J1300)),ISNUMBER(SEARCH("Transformação",$J1300))),"VCA",IF(OR(ISNUMBER(SEARCH("crava",$F1300)),ISNUMBER(SEARCH("tubo cravado",$F1300)),ISNUMBER(SEARCH("shaft",$J1300)),ISNUMBER(SEARCH("concreto",$F1300))),"TUBO CRAVADO","")))</f>
        <v/>
      </c>
      <c r="T1300">
        <f>IF($A1300="","",TEXT($A1300,"yyyymm")&amp;"|"&amp;$C1300&amp;"|"&amp;$F1300&amp;"|"&amp;$N1300&amp;"|"&amp;$R1300)</f>
        <v/>
      </c>
    </row>
    <row r="1301" ht="11.55" customHeight="1">
      <c r="A1301" s="10" t="n">
        <v>46098</v>
      </c>
      <c r="B1301" s="7" t="inlineStr">
        <is>
          <t>Terça</t>
        </is>
      </c>
      <c r="C1301" s="7" t="inlineStr">
        <is>
          <t>CTS CONCEIÇÃO</t>
        </is>
      </c>
      <c r="D1301" s="7" t="inlineStr">
        <is>
          <t>LEANDRO E SILVESTRE</t>
        </is>
      </c>
      <c r="E1301" s="7" t="inlineStr">
        <is>
          <t>Goiânia Drill (WJ ou GR Drill)</t>
        </is>
      </c>
      <c r="F1301" s="13" t="inlineStr">
        <is>
          <t>Piloto entre PV 02 ao 04</t>
        </is>
      </c>
      <c r="G1301" s="7" t="inlineStr">
        <is>
          <t>02</t>
        </is>
      </c>
      <c r="H1301" s="7" t="n"/>
      <c r="I1301" s="7" t="inlineStr">
        <is>
          <t>02</t>
        </is>
      </c>
      <c r="J1301" s="7" t="n"/>
      <c r="K1301" s="7" t="inlineStr">
        <is>
          <t>Planejamento</t>
        </is>
      </c>
      <c r="L1301" s="16" t="inlineStr">
        <is>
          <t>PDS-Março(1).docx</t>
        </is>
      </c>
      <c r="M1301">
        <f>IF($A1301="","",TEXT($A1301,"mmmm/yyyy"))</f>
        <v/>
      </c>
      <c r="P1301">
        <f>IFERROR(_xludf.XLOOKUP($N1301,Base_Enderecos!$A:$A,Base_Enderecos!$B:$B,""),"")</f>
        <v/>
      </c>
      <c r="Q1301">
        <f>IFERROR(_xludf.XLOOKUP($N1301,Base_Enderecos!$A:$A,Base_Enderecos!$C:$C,""),"")</f>
        <v/>
      </c>
      <c r="R1301">
        <f>IF(OR(ISNUMBER(SEARCH("HDD",$F1301)),ISNUMBER(SEARCH("MND",$F1301)),ISNUMBER(SEARCH("PEAD",$F1301)),ISNUMBER(SEARCH("Puxe",$J1301)),ISNUMBER(SEARCH("Apoio HDD",$F1301))),"MND",IF(OR(ISNUMBER(SEARCH("VCA",$F1301)),ISNUMBER(SEARCH("PVC",$F1301)),ISNUMBER(SEARCH("vca",$J1301)),ISNUMBER(SEARCH("Transformação",$J1301))),"VCA",IF(OR(ISNUMBER(SEARCH("crava",$F1301)),ISNUMBER(SEARCH("tubo cravado",$F1301)),ISNUMBER(SEARCH("shaft",$J1301)),ISNUMBER(SEARCH("concreto",$F1301))),"TUBO CRAVADO","")))</f>
        <v/>
      </c>
      <c r="T1301">
        <f>IF($A1301="","",TEXT($A1301,"yyyymm")&amp;"|"&amp;$C1301&amp;"|"&amp;$F1301&amp;"|"&amp;$N1301&amp;"|"&amp;$R1301)</f>
        <v/>
      </c>
    </row>
    <row r="1302" ht="11.55" customHeight="1">
      <c r="A1302" s="10" t="n">
        <v>46098</v>
      </c>
      <c r="B1302" s="7" t="inlineStr">
        <is>
          <t>Terça</t>
        </is>
      </c>
      <c r="C1302" s="7" t="inlineStr">
        <is>
          <t>CTS CONCEIÇÃO</t>
        </is>
      </c>
      <c r="D1302" s="7" t="inlineStr">
        <is>
          <t>LEANDRO E SILVESTRE</t>
        </is>
      </c>
      <c r="E1302" s="7" t="inlineStr">
        <is>
          <t>Medeiros</t>
        </is>
      </c>
      <c r="F1302" s="13" t="inlineStr">
        <is>
          <t>Apoio HDD entre PV 02 ao 04</t>
        </is>
      </c>
      <c r="G1302" s="7" t="inlineStr">
        <is>
          <t>02</t>
        </is>
      </c>
      <c r="H1302" s="7" t="n"/>
      <c r="I1302" s="7" t="inlineStr">
        <is>
          <t>02</t>
        </is>
      </c>
      <c r="J1302" s="7" t="inlineStr">
        <is>
          <t>Apoio HDD</t>
        </is>
      </c>
      <c r="K1302" s="7" t="inlineStr">
        <is>
          <t>Planejamento</t>
        </is>
      </c>
      <c r="L1302" s="16" t="inlineStr">
        <is>
          <t>PDS-Março(1).docx</t>
        </is>
      </c>
      <c r="M1302">
        <f>IF($A1302="","",TEXT($A1302,"mmmm/yyyy"))</f>
        <v/>
      </c>
      <c r="P1302">
        <f>IFERROR(_xludf.XLOOKUP($N1302,Base_Enderecos!$A:$A,Base_Enderecos!$B:$B,""),"")</f>
        <v/>
      </c>
      <c r="Q1302">
        <f>IFERROR(_xludf.XLOOKUP($N1302,Base_Enderecos!$A:$A,Base_Enderecos!$C:$C,""),"")</f>
        <v/>
      </c>
      <c r="R1302">
        <f>IF(OR(ISNUMBER(SEARCH("HDD",$F1302)),ISNUMBER(SEARCH("MND",$F1302)),ISNUMBER(SEARCH("PEAD",$F1302)),ISNUMBER(SEARCH("Puxe",$J1302)),ISNUMBER(SEARCH("Apoio HDD",$F1302))),"MND",IF(OR(ISNUMBER(SEARCH("VCA",$F1302)),ISNUMBER(SEARCH("PVC",$F1302)),ISNUMBER(SEARCH("vca",$J1302)),ISNUMBER(SEARCH("Transformação",$J1302))),"VCA",IF(OR(ISNUMBER(SEARCH("crava",$F1302)),ISNUMBER(SEARCH("tubo cravado",$F1302)),ISNUMBER(SEARCH("shaft",$J1302)),ISNUMBER(SEARCH("concreto",$F1302))),"TUBO CRAVADO","")))</f>
        <v/>
      </c>
      <c r="T1302">
        <f>IF($A1302="","",TEXT($A1302,"yyyymm")&amp;"|"&amp;$C1302&amp;"|"&amp;$F1302&amp;"|"&amp;$N1302&amp;"|"&amp;$R1302)</f>
        <v/>
      </c>
    </row>
    <row r="1303" ht="11.55" customHeight="1">
      <c r="A1303" s="10" t="n">
        <v>46098</v>
      </c>
      <c r="B1303" s="7" t="inlineStr">
        <is>
          <t>Terça</t>
        </is>
      </c>
      <c r="C1303" s="7" t="inlineStr">
        <is>
          <t>CTS CONCEIÇÃO</t>
        </is>
      </c>
      <c r="D1303" s="7" t="inlineStr">
        <is>
          <t>LEANDRO E SILVESTRE</t>
        </is>
      </c>
      <c r="E1303" s="7" t="inlineStr">
        <is>
          <t>Sergio</t>
        </is>
      </c>
      <c r="F1303" s="13" t="inlineStr">
        <is>
          <t>Shaft PV 08</t>
        </is>
      </c>
      <c r="G1303" s="7" t="inlineStr">
        <is>
          <t>08</t>
        </is>
      </c>
      <c r="H1303" s="7" t="n"/>
      <c r="I1303" s="7" t="inlineStr">
        <is>
          <t>08</t>
        </is>
      </c>
      <c r="J1303" s="7" t="inlineStr">
        <is>
          <t>Shaft</t>
        </is>
      </c>
      <c r="K1303" s="7" t="inlineStr">
        <is>
          <t>Planejamento</t>
        </is>
      </c>
      <c r="L1303" s="16" t="inlineStr">
        <is>
          <t>PDS-Março(1).docx</t>
        </is>
      </c>
      <c r="M1303">
        <f>IF($A1303="","",TEXT($A1303,"mmmm/yyyy"))</f>
        <v/>
      </c>
      <c r="P1303">
        <f>IFERROR(_xludf.XLOOKUP($N1303,Base_Enderecos!$A:$A,Base_Enderecos!$B:$B,""),"")</f>
        <v/>
      </c>
      <c r="Q1303">
        <f>IFERROR(_xludf.XLOOKUP($N1303,Base_Enderecos!$A:$A,Base_Enderecos!$C:$C,""),"")</f>
        <v/>
      </c>
      <c r="R1303">
        <f>IF(OR(ISNUMBER(SEARCH("HDD",$F1303)),ISNUMBER(SEARCH("MND",$F1303)),ISNUMBER(SEARCH("PEAD",$F1303)),ISNUMBER(SEARCH("Puxe",$J1303)),ISNUMBER(SEARCH("Apoio HDD",$F1303))),"MND",IF(OR(ISNUMBER(SEARCH("VCA",$F1303)),ISNUMBER(SEARCH("PVC",$F1303)),ISNUMBER(SEARCH("vca",$J1303)),ISNUMBER(SEARCH("Transformação",$J1303))),"VCA",IF(OR(ISNUMBER(SEARCH("crava",$F1303)),ISNUMBER(SEARCH("tubo cravado",$F1303)),ISNUMBER(SEARCH("shaft",$J1303)),ISNUMBER(SEARCH("concreto",$F1303))),"TUBO CRAVADO","")))</f>
        <v/>
      </c>
      <c r="T1303">
        <f>IF($A1303="","",TEXT($A1303,"yyyymm")&amp;"|"&amp;$C1303&amp;"|"&amp;$F1303&amp;"|"&amp;$N1303&amp;"|"&amp;$R1303)</f>
        <v/>
      </c>
    </row>
    <row r="1304" ht="11.55" customHeight="1">
      <c r="A1304" s="10" t="n">
        <v>46098</v>
      </c>
      <c r="B1304" s="7" t="inlineStr">
        <is>
          <t>Terça</t>
        </is>
      </c>
      <c r="C1304" s="7" t="inlineStr">
        <is>
          <t>CTS CONCEIÇÃO</t>
        </is>
      </c>
      <c r="D1304" s="7" t="inlineStr">
        <is>
          <t>LEANDRO E SILVESTRE</t>
        </is>
      </c>
      <c r="E1304" s="7" t="inlineStr">
        <is>
          <t>Carlos</t>
        </is>
      </c>
      <c r="F1304" s="13" t="inlineStr">
        <is>
          <t>Shaft PV 09</t>
        </is>
      </c>
      <c r="G1304" s="7" t="inlineStr">
        <is>
          <t>09</t>
        </is>
      </c>
      <c r="H1304" s="7" t="n"/>
      <c r="I1304" s="7" t="inlineStr">
        <is>
          <t>09</t>
        </is>
      </c>
      <c r="J1304" s="7" t="inlineStr">
        <is>
          <t>Shaft</t>
        </is>
      </c>
      <c r="K1304" s="7" t="inlineStr">
        <is>
          <t>Planejamento</t>
        </is>
      </c>
      <c r="L1304" s="16" t="inlineStr">
        <is>
          <t>PDS-Março(1).docx</t>
        </is>
      </c>
      <c r="M1304">
        <f>IF($A1304="","",TEXT($A1304,"mmmm/yyyy"))</f>
        <v/>
      </c>
      <c r="P1304">
        <f>IFERROR(_xludf.XLOOKUP($N1304,Base_Enderecos!$A:$A,Base_Enderecos!$B:$B,""),"")</f>
        <v/>
      </c>
      <c r="Q1304">
        <f>IFERROR(_xludf.XLOOKUP($N1304,Base_Enderecos!$A:$A,Base_Enderecos!$C:$C,""),"")</f>
        <v/>
      </c>
      <c r="R1304">
        <f>IF(OR(ISNUMBER(SEARCH("HDD",$F1304)),ISNUMBER(SEARCH("MND",$F1304)),ISNUMBER(SEARCH("PEAD",$F1304)),ISNUMBER(SEARCH("Puxe",$J1304)),ISNUMBER(SEARCH("Apoio HDD",$F1304))),"MND",IF(OR(ISNUMBER(SEARCH("VCA",$F1304)),ISNUMBER(SEARCH("PVC",$F1304)),ISNUMBER(SEARCH("vca",$J1304)),ISNUMBER(SEARCH("Transformação",$J1304))),"VCA",IF(OR(ISNUMBER(SEARCH("crava",$F1304)),ISNUMBER(SEARCH("tubo cravado",$F1304)),ISNUMBER(SEARCH("shaft",$J1304)),ISNUMBER(SEARCH("concreto",$F1304))),"TUBO CRAVADO","")))</f>
        <v/>
      </c>
      <c r="T1304">
        <f>IF($A1304="","",TEXT($A1304,"yyyymm")&amp;"|"&amp;$C1304&amp;"|"&amp;$F1304&amp;"|"&amp;$N1304&amp;"|"&amp;$R1304)</f>
        <v/>
      </c>
    </row>
    <row r="1305" ht="11.55" customHeight="1">
      <c r="A1305" s="10" t="n">
        <v>46098</v>
      </c>
      <c r="B1305" s="7" t="inlineStr">
        <is>
          <t>Terça</t>
        </is>
      </c>
      <c r="C1305" s="7" t="inlineStr">
        <is>
          <t>CTS CONCEIÇÃO</t>
        </is>
      </c>
      <c r="D1305" s="7" t="inlineStr">
        <is>
          <t>LEANDRO E SILVESTRE</t>
        </is>
      </c>
      <c r="E1305" s="7" t="inlineStr">
        <is>
          <t>Adilson</t>
        </is>
      </c>
      <c r="F1305" s="13" t="inlineStr">
        <is>
          <t>Shaft PV 10</t>
        </is>
      </c>
      <c r="G1305" s="7" t="inlineStr">
        <is>
          <t>10</t>
        </is>
      </c>
      <c r="H1305" s="7" t="n"/>
      <c r="I1305" s="7" t="inlineStr">
        <is>
          <t>10</t>
        </is>
      </c>
      <c r="J1305" s="7" t="inlineStr">
        <is>
          <t>Shaft</t>
        </is>
      </c>
      <c r="K1305" s="7" t="inlineStr">
        <is>
          <t>Planejamento</t>
        </is>
      </c>
      <c r="L1305" s="16" t="inlineStr">
        <is>
          <t>PDS-Março(1).docx</t>
        </is>
      </c>
      <c r="M1305">
        <f>IF($A1305="","",TEXT($A1305,"mmmm/yyyy"))</f>
        <v/>
      </c>
      <c r="P1305">
        <f>IFERROR(_xludf.XLOOKUP($N1305,Base_Enderecos!$A:$A,Base_Enderecos!$B:$B,""),"")</f>
        <v/>
      </c>
      <c r="Q1305">
        <f>IFERROR(_xludf.XLOOKUP($N1305,Base_Enderecos!$A:$A,Base_Enderecos!$C:$C,""),"")</f>
        <v/>
      </c>
      <c r="R1305">
        <f>IF(OR(ISNUMBER(SEARCH("HDD",$F1305)),ISNUMBER(SEARCH("MND",$F1305)),ISNUMBER(SEARCH("PEAD",$F1305)),ISNUMBER(SEARCH("Puxe",$J1305)),ISNUMBER(SEARCH("Apoio HDD",$F1305))),"MND",IF(OR(ISNUMBER(SEARCH("VCA",$F1305)),ISNUMBER(SEARCH("PVC",$F1305)),ISNUMBER(SEARCH("vca",$J1305)),ISNUMBER(SEARCH("Transformação",$J1305))),"VCA",IF(OR(ISNUMBER(SEARCH("crava",$F1305)),ISNUMBER(SEARCH("tubo cravado",$F1305)),ISNUMBER(SEARCH("shaft",$J1305)),ISNUMBER(SEARCH("concreto",$F1305))),"TUBO CRAVADO","")))</f>
        <v/>
      </c>
      <c r="T1305">
        <f>IF($A1305="","",TEXT($A1305,"yyyymm")&amp;"|"&amp;$C1305&amp;"|"&amp;$F1305&amp;"|"&amp;$N1305&amp;"|"&amp;$R1305)</f>
        <v/>
      </c>
    </row>
    <row r="1306" ht="11.55" customHeight="1">
      <c r="A1306" s="10" t="n">
        <v>46098</v>
      </c>
      <c r="B1306" s="7" t="inlineStr">
        <is>
          <t>Terça</t>
        </is>
      </c>
      <c r="C1306" s="7" t="inlineStr">
        <is>
          <t>CT ÁGUA VERMELHA M.D.</t>
        </is>
      </c>
      <c r="D1306" s="7" t="inlineStr">
        <is>
          <t>FABIO E VALMIR</t>
        </is>
      </c>
      <c r="E1306" s="7" t="inlineStr">
        <is>
          <t>Jhonatan</t>
        </is>
      </c>
      <c r="F1306" s="13" t="inlineStr">
        <is>
          <t>Transformação PVD 05</t>
        </is>
      </c>
      <c r="G1306" s="7" t="inlineStr">
        <is>
          <t>05</t>
        </is>
      </c>
      <c r="H1306" s="7" t="n"/>
      <c r="I1306" s="7" t="inlineStr">
        <is>
          <t>05</t>
        </is>
      </c>
      <c r="J1306" s="7" t="inlineStr">
        <is>
          <t>Transformação</t>
        </is>
      </c>
      <c r="K1306" s="7" t="inlineStr">
        <is>
          <t>Planejamento</t>
        </is>
      </c>
      <c r="L1306" s="16" t="inlineStr">
        <is>
          <t>PDS-Março(1).docx</t>
        </is>
      </c>
      <c r="M1306">
        <f>IF($A1306="","",TEXT($A1306,"mmmm/yyyy"))</f>
        <v/>
      </c>
      <c r="P1306">
        <f>IFERROR(_xludf.XLOOKUP($N1306,Base_Enderecos!$A:$A,Base_Enderecos!$B:$B,""),"")</f>
        <v/>
      </c>
      <c r="Q1306">
        <f>IFERROR(_xludf.XLOOKUP($N1306,Base_Enderecos!$A:$A,Base_Enderecos!$C:$C,""),"")</f>
        <v/>
      </c>
      <c r="R1306">
        <f>IF(OR(ISNUMBER(SEARCH("HDD",$F1306)),ISNUMBER(SEARCH("MND",$F1306)),ISNUMBER(SEARCH("PEAD",$F1306)),ISNUMBER(SEARCH("Puxe",$J1306)),ISNUMBER(SEARCH("Apoio HDD",$F1306))),"MND",IF(OR(ISNUMBER(SEARCH("VCA",$F1306)),ISNUMBER(SEARCH("PVC",$F1306)),ISNUMBER(SEARCH("vca",$J1306)),ISNUMBER(SEARCH("Transformação",$J1306))),"VCA",IF(OR(ISNUMBER(SEARCH("crava",$F1306)),ISNUMBER(SEARCH("tubo cravado",$F1306)),ISNUMBER(SEARCH("shaft",$J1306)),ISNUMBER(SEARCH("concreto",$F1306))),"TUBO CRAVADO","")))</f>
        <v/>
      </c>
      <c r="T1306">
        <f>IF($A1306="","",TEXT($A1306,"yyyymm")&amp;"|"&amp;$C1306&amp;"|"&amp;$F1306&amp;"|"&amp;$N1306&amp;"|"&amp;$R1306)</f>
        <v/>
      </c>
    </row>
    <row r="1307" ht="11.55" customHeight="1">
      <c r="A1307" s="10" t="n">
        <v>46098</v>
      </c>
      <c r="B1307" s="7" t="inlineStr">
        <is>
          <t>Terça</t>
        </is>
      </c>
      <c r="C1307" s="7" t="inlineStr">
        <is>
          <t>CT ÁGUA VERMELHA M.D.</t>
        </is>
      </c>
      <c r="D1307" s="7" t="inlineStr">
        <is>
          <t>FABIO E VALMIR</t>
        </is>
      </c>
      <c r="E1307" s="7" t="inlineStr">
        <is>
          <t>Antônio</t>
        </is>
      </c>
      <c r="F1307" s="13" t="inlineStr">
        <is>
          <t>Transformação PVD 04</t>
        </is>
      </c>
      <c r="G1307" s="7" t="inlineStr">
        <is>
          <t>04</t>
        </is>
      </c>
      <c r="H1307" s="7" t="n"/>
      <c r="I1307" s="7" t="inlineStr">
        <is>
          <t>04</t>
        </is>
      </c>
      <c r="J1307" s="7" t="inlineStr">
        <is>
          <t>Transformação</t>
        </is>
      </c>
      <c r="K1307" s="7" t="inlineStr">
        <is>
          <t>Planejamento</t>
        </is>
      </c>
      <c r="L1307" s="16" t="inlineStr">
        <is>
          <t>PDS-Março(1).docx</t>
        </is>
      </c>
      <c r="M1307">
        <f>IF($A1307="","",TEXT($A1307,"mmmm/yyyy"))</f>
        <v/>
      </c>
      <c r="P1307">
        <f>IFERROR(_xludf.XLOOKUP($N1307,Base_Enderecos!$A:$A,Base_Enderecos!$B:$B,""),"")</f>
        <v/>
      </c>
      <c r="Q1307">
        <f>IFERROR(_xludf.XLOOKUP($N1307,Base_Enderecos!$A:$A,Base_Enderecos!$C:$C,""),"")</f>
        <v/>
      </c>
      <c r="R1307">
        <f>IF(OR(ISNUMBER(SEARCH("HDD",$F1307)),ISNUMBER(SEARCH("MND",$F1307)),ISNUMBER(SEARCH("PEAD",$F1307)),ISNUMBER(SEARCH("Puxe",$J1307)),ISNUMBER(SEARCH("Apoio HDD",$F1307))),"MND",IF(OR(ISNUMBER(SEARCH("VCA",$F1307)),ISNUMBER(SEARCH("PVC",$F1307)),ISNUMBER(SEARCH("vca",$J1307)),ISNUMBER(SEARCH("Transformação",$J1307))),"VCA",IF(OR(ISNUMBER(SEARCH("crava",$F1307)),ISNUMBER(SEARCH("tubo cravado",$F1307)),ISNUMBER(SEARCH("shaft",$J1307)),ISNUMBER(SEARCH("concreto",$F1307))),"TUBO CRAVADO","")))</f>
        <v/>
      </c>
      <c r="T1307">
        <f>IF($A1307="","",TEXT($A1307,"yyyymm")&amp;"|"&amp;$C1307&amp;"|"&amp;$F1307&amp;"|"&amp;$N1307&amp;"|"&amp;$R1307)</f>
        <v/>
      </c>
    </row>
    <row r="1308" ht="11.55" customHeight="1">
      <c r="A1308" s="10" t="n">
        <v>46098</v>
      </c>
      <c r="B1308" s="7" t="inlineStr">
        <is>
          <t>Terça</t>
        </is>
      </c>
      <c r="C1308" s="7" t="inlineStr">
        <is>
          <t>CT ÁGUA VERMELHA M.D.</t>
        </is>
      </c>
      <c r="D1308" s="7" t="inlineStr">
        <is>
          <t>FABIO E VALMIR</t>
        </is>
      </c>
      <c r="E1308" s="7" t="inlineStr">
        <is>
          <t>Marcelo</t>
        </is>
      </c>
      <c r="F1308" s="13" t="inlineStr">
        <is>
          <t>Transformação PVD 10</t>
        </is>
      </c>
      <c r="G1308" s="7" t="inlineStr">
        <is>
          <t>10</t>
        </is>
      </c>
      <c r="H1308" s="7" t="n"/>
      <c r="I1308" s="7" t="inlineStr">
        <is>
          <t>10</t>
        </is>
      </c>
      <c r="J1308" s="7" t="inlineStr">
        <is>
          <t>Transformação</t>
        </is>
      </c>
      <c r="K1308" s="7" t="inlineStr">
        <is>
          <t>Planejamento</t>
        </is>
      </c>
      <c r="L1308" s="16" t="inlineStr">
        <is>
          <t>PDS-Março(1).docx</t>
        </is>
      </c>
      <c r="M1308">
        <f>IF($A1308="","",TEXT($A1308,"mmmm/yyyy"))</f>
        <v/>
      </c>
      <c r="P1308">
        <f>IFERROR(_xludf.XLOOKUP($N1308,Base_Enderecos!$A:$A,Base_Enderecos!$B:$B,""),"")</f>
        <v/>
      </c>
      <c r="Q1308">
        <f>IFERROR(_xludf.XLOOKUP($N1308,Base_Enderecos!$A:$A,Base_Enderecos!$C:$C,""),"")</f>
        <v/>
      </c>
      <c r="R1308">
        <f>IF(OR(ISNUMBER(SEARCH("HDD",$F1308)),ISNUMBER(SEARCH("MND",$F1308)),ISNUMBER(SEARCH("PEAD",$F1308)),ISNUMBER(SEARCH("Puxe",$J1308)),ISNUMBER(SEARCH("Apoio HDD",$F1308))),"MND",IF(OR(ISNUMBER(SEARCH("VCA",$F1308)),ISNUMBER(SEARCH("PVC",$F1308)),ISNUMBER(SEARCH("vca",$J1308)),ISNUMBER(SEARCH("Transformação",$J1308))),"VCA",IF(OR(ISNUMBER(SEARCH("crava",$F1308)),ISNUMBER(SEARCH("tubo cravado",$F1308)),ISNUMBER(SEARCH("shaft",$J1308)),ISNUMBER(SEARCH("concreto",$F1308))),"TUBO CRAVADO","")))</f>
        <v/>
      </c>
      <c r="T1308">
        <f>IF($A1308="","",TEXT($A1308,"yyyymm")&amp;"|"&amp;$C1308&amp;"|"&amp;$F1308&amp;"|"&amp;$N1308&amp;"|"&amp;$R1308)</f>
        <v/>
      </c>
    </row>
    <row r="1309" ht="11.55" customHeight="1">
      <c r="A1309" s="10" t="n">
        <v>46098</v>
      </c>
      <c r="B1309" s="7" t="inlineStr">
        <is>
          <t>Terça</t>
        </is>
      </c>
      <c r="C1309" s="7" t="inlineStr">
        <is>
          <t>CT ÁGUA VERMELHA M.D.</t>
        </is>
      </c>
      <c r="D1309" s="7" t="inlineStr">
        <is>
          <t>FABIO E VALMIR</t>
        </is>
      </c>
      <c r="E1309" s="7" t="inlineStr">
        <is>
          <t>Ricardo***</t>
        </is>
      </c>
      <c r="F1309" s="13" t="inlineStr">
        <is>
          <t>Transformação PVD 13</t>
        </is>
      </c>
      <c r="G1309" s="7" t="inlineStr">
        <is>
          <t>13</t>
        </is>
      </c>
      <c r="H1309" s="7" t="n"/>
      <c r="I1309" s="7" t="inlineStr">
        <is>
          <t>13</t>
        </is>
      </c>
      <c r="J1309" s="7" t="inlineStr">
        <is>
          <t>Transformação</t>
        </is>
      </c>
      <c r="K1309" s="7" t="inlineStr">
        <is>
          <t>Planejamento</t>
        </is>
      </c>
      <c r="L1309" s="16" t="inlineStr">
        <is>
          <t>PDS-Março(1).docx</t>
        </is>
      </c>
      <c r="M1309">
        <f>IF($A1309="","",TEXT($A1309,"mmmm/yyyy"))</f>
        <v/>
      </c>
      <c r="P1309">
        <f>IFERROR(_xludf.XLOOKUP($N1309,Base_Enderecos!$A:$A,Base_Enderecos!$B:$B,""),"")</f>
        <v/>
      </c>
      <c r="Q1309">
        <f>IFERROR(_xludf.XLOOKUP($N1309,Base_Enderecos!$A:$A,Base_Enderecos!$C:$C,""),"")</f>
        <v/>
      </c>
      <c r="R1309">
        <f>IF(OR(ISNUMBER(SEARCH("HDD",$F1309)),ISNUMBER(SEARCH("MND",$F1309)),ISNUMBER(SEARCH("PEAD",$F1309)),ISNUMBER(SEARCH("Puxe",$J1309)),ISNUMBER(SEARCH("Apoio HDD",$F1309))),"MND",IF(OR(ISNUMBER(SEARCH("VCA",$F1309)),ISNUMBER(SEARCH("PVC",$F1309)),ISNUMBER(SEARCH("vca",$J1309)),ISNUMBER(SEARCH("Transformação",$J1309))),"VCA",IF(OR(ISNUMBER(SEARCH("crava",$F1309)),ISNUMBER(SEARCH("tubo cravado",$F1309)),ISNUMBER(SEARCH("shaft",$J1309)),ISNUMBER(SEARCH("concreto",$F1309))),"TUBO CRAVADO","")))</f>
        <v/>
      </c>
      <c r="T1309">
        <f>IF($A1309="","",TEXT($A1309,"yyyymm")&amp;"|"&amp;$C1309&amp;"|"&amp;$F1309&amp;"|"&amp;$N1309&amp;"|"&amp;$R1309)</f>
        <v/>
      </c>
    </row>
    <row r="1310" ht="11.55" customHeight="1">
      <c r="A1310" s="10" t="n">
        <v>46098</v>
      </c>
      <c r="B1310" s="7" t="inlineStr">
        <is>
          <t>Terça</t>
        </is>
      </c>
      <c r="C1310" s="7" t="inlineStr">
        <is>
          <t>CT ÁGUA VERMELHA M.E.</t>
        </is>
      </c>
      <c r="D1310" s="7" t="inlineStr">
        <is>
          <t>FABIO E VALMIR</t>
        </is>
      </c>
      <c r="E1310" s="7" t="inlineStr">
        <is>
          <t>Cidão</t>
        </is>
      </c>
      <c r="F1310" s="13" t="inlineStr">
        <is>
          <t>Transformação PVE 17</t>
        </is>
      </c>
      <c r="G1310" s="7" t="inlineStr">
        <is>
          <t>17</t>
        </is>
      </c>
      <c r="H1310" s="7" t="n"/>
      <c r="I1310" s="7" t="inlineStr">
        <is>
          <t>17</t>
        </is>
      </c>
      <c r="J1310" s="7" t="inlineStr">
        <is>
          <t>Transformação</t>
        </is>
      </c>
      <c r="K1310" s="7" t="inlineStr">
        <is>
          <t>Planejamento</t>
        </is>
      </c>
      <c r="L1310" s="16" t="inlineStr">
        <is>
          <t>PDS-Março(1).docx</t>
        </is>
      </c>
      <c r="M1310">
        <f>IF($A1310="","",TEXT($A1310,"mmmm/yyyy"))</f>
        <v/>
      </c>
      <c r="P1310">
        <f>IFERROR(_xludf.XLOOKUP($N1310,Base_Enderecos!$A:$A,Base_Enderecos!$B:$B,""),"")</f>
        <v/>
      </c>
      <c r="Q1310">
        <f>IFERROR(_xludf.XLOOKUP($N1310,Base_Enderecos!$A:$A,Base_Enderecos!$C:$C,""),"")</f>
        <v/>
      </c>
      <c r="R1310">
        <f>IF(OR(ISNUMBER(SEARCH("HDD",$F1310)),ISNUMBER(SEARCH("MND",$F1310)),ISNUMBER(SEARCH("PEAD",$F1310)),ISNUMBER(SEARCH("Puxe",$J1310)),ISNUMBER(SEARCH("Apoio HDD",$F1310))),"MND",IF(OR(ISNUMBER(SEARCH("VCA",$F1310)),ISNUMBER(SEARCH("PVC",$F1310)),ISNUMBER(SEARCH("vca",$J1310)),ISNUMBER(SEARCH("Transformação",$J1310))),"VCA",IF(OR(ISNUMBER(SEARCH("crava",$F1310)),ISNUMBER(SEARCH("tubo cravado",$F1310)),ISNUMBER(SEARCH("shaft",$J1310)),ISNUMBER(SEARCH("concreto",$F1310))),"TUBO CRAVADO","")))</f>
        <v/>
      </c>
      <c r="T1310">
        <f>IF($A1310="","",TEXT($A1310,"yyyymm")&amp;"|"&amp;$C1310&amp;"|"&amp;$F1310&amp;"|"&amp;$N1310&amp;"|"&amp;$R1310)</f>
        <v/>
      </c>
    </row>
    <row r="1311" ht="11.55" customHeight="1">
      <c r="A1311" s="10" t="n">
        <v>46098</v>
      </c>
      <c r="B1311" s="7" t="inlineStr">
        <is>
          <t>Terça</t>
        </is>
      </c>
      <c r="C1311" s="7" t="inlineStr">
        <is>
          <t>CT ÁGUA VERMELHA M.E.</t>
        </is>
      </c>
      <c r="D1311" s="7" t="inlineStr">
        <is>
          <t>FABIO E VALMIR</t>
        </is>
      </c>
      <c r="E1311" s="7" t="inlineStr">
        <is>
          <t>Marcio</t>
        </is>
      </c>
      <c r="F1311" s="13" t="inlineStr">
        <is>
          <t>Transformação PVE 11</t>
        </is>
      </c>
      <c r="G1311" s="7" t="inlineStr">
        <is>
          <t>11</t>
        </is>
      </c>
      <c r="H1311" s="7" t="n"/>
      <c r="I1311" s="7" t="inlineStr">
        <is>
          <t>11</t>
        </is>
      </c>
      <c r="J1311" s="7" t="inlineStr">
        <is>
          <t>Transformação</t>
        </is>
      </c>
      <c r="K1311" s="7" t="inlineStr">
        <is>
          <t>Planejamento</t>
        </is>
      </c>
      <c r="L1311" s="16" t="inlineStr">
        <is>
          <t>PDS-Março(1).docx</t>
        </is>
      </c>
      <c r="M1311">
        <f>IF($A1311="","",TEXT($A1311,"mmmm/yyyy"))</f>
        <v/>
      </c>
      <c r="P1311">
        <f>IFERROR(_xludf.XLOOKUP($N1311,Base_Enderecos!$A:$A,Base_Enderecos!$B:$B,""),"")</f>
        <v/>
      </c>
      <c r="Q1311">
        <f>IFERROR(_xludf.XLOOKUP($N1311,Base_Enderecos!$A:$A,Base_Enderecos!$C:$C,""),"")</f>
        <v/>
      </c>
      <c r="R1311">
        <f>IF(OR(ISNUMBER(SEARCH("HDD",$F1311)),ISNUMBER(SEARCH("MND",$F1311)),ISNUMBER(SEARCH("PEAD",$F1311)),ISNUMBER(SEARCH("Puxe",$J1311)),ISNUMBER(SEARCH("Apoio HDD",$F1311))),"MND",IF(OR(ISNUMBER(SEARCH("VCA",$F1311)),ISNUMBER(SEARCH("PVC",$F1311)),ISNUMBER(SEARCH("vca",$J1311)),ISNUMBER(SEARCH("Transformação",$J1311))),"VCA",IF(OR(ISNUMBER(SEARCH("crava",$F1311)),ISNUMBER(SEARCH("tubo cravado",$F1311)),ISNUMBER(SEARCH("shaft",$J1311)),ISNUMBER(SEARCH("concreto",$F1311))),"TUBO CRAVADO","")))</f>
        <v/>
      </c>
      <c r="T1311">
        <f>IF($A1311="","",TEXT($A1311,"yyyymm")&amp;"|"&amp;$C1311&amp;"|"&amp;$F1311&amp;"|"&amp;$N1311&amp;"|"&amp;$R1311)</f>
        <v/>
      </c>
    </row>
    <row r="1312" ht="11.55" customHeight="1">
      <c r="A1312" s="10" t="n">
        <v>46098</v>
      </c>
      <c r="B1312" s="7" t="inlineStr">
        <is>
          <t>Terça</t>
        </is>
      </c>
      <c r="C1312" s="7" t="inlineStr">
        <is>
          <t>CT ÁGUA VERMELHA M.E.</t>
        </is>
      </c>
      <c r="D1312" s="7" t="inlineStr">
        <is>
          <t>FABIO E VALMIR</t>
        </is>
      </c>
      <c r="E1312" s="7" t="inlineStr">
        <is>
          <t>Edivando</t>
        </is>
      </c>
      <c r="F1312" s="13" t="inlineStr">
        <is>
          <t>Transformação PVE 23</t>
        </is>
      </c>
      <c r="G1312" s="7" t="inlineStr">
        <is>
          <t>23</t>
        </is>
      </c>
      <c r="H1312" s="7" t="n"/>
      <c r="I1312" s="7" t="inlineStr">
        <is>
          <t>23</t>
        </is>
      </c>
      <c r="J1312" s="7" t="inlineStr">
        <is>
          <t>Transformação</t>
        </is>
      </c>
      <c r="K1312" s="7" t="inlineStr">
        <is>
          <t>Planejamento</t>
        </is>
      </c>
      <c r="L1312" s="16" t="inlineStr">
        <is>
          <t>PDS-Março(1).docx</t>
        </is>
      </c>
      <c r="M1312">
        <f>IF($A1312="","",TEXT($A1312,"mmmm/yyyy"))</f>
        <v/>
      </c>
      <c r="P1312">
        <f>IFERROR(_xludf.XLOOKUP($N1312,Base_Enderecos!$A:$A,Base_Enderecos!$B:$B,""),"")</f>
        <v/>
      </c>
      <c r="Q1312">
        <f>IFERROR(_xludf.XLOOKUP($N1312,Base_Enderecos!$A:$A,Base_Enderecos!$C:$C,""),"")</f>
        <v/>
      </c>
      <c r="R1312">
        <f>IF(OR(ISNUMBER(SEARCH("HDD",$F1312)),ISNUMBER(SEARCH("MND",$F1312)),ISNUMBER(SEARCH("PEAD",$F1312)),ISNUMBER(SEARCH("Puxe",$J1312)),ISNUMBER(SEARCH("Apoio HDD",$F1312))),"MND",IF(OR(ISNUMBER(SEARCH("VCA",$F1312)),ISNUMBER(SEARCH("PVC",$F1312)),ISNUMBER(SEARCH("vca",$J1312)),ISNUMBER(SEARCH("Transformação",$J1312))),"VCA",IF(OR(ISNUMBER(SEARCH("crava",$F1312)),ISNUMBER(SEARCH("tubo cravado",$F1312)),ISNUMBER(SEARCH("shaft",$J1312)),ISNUMBER(SEARCH("concreto",$F1312))),"TUBO CRAVADO","")))</f>
        <v/>
      </c>
      <c r="T1312">
        <f>IF($A1312="","",TEXT($A1312,"yyyymm")&amp;"|"&amp;$C1312&amp;"|"&amp;$F1312&amp;"|"&amp;$N1312&amp;"|"&amp;$R1312)</f>
        <v/>
      </c>
    </row>
    <row r="1313" ht="11.55" customHeight="1">
      <c r="A1313" s="10" t="n">
        <v>46098</v>
      </c>
      <c r="B1313" s="7" t="inlineStr">
        <is>
          <t>Terça</t>
        </is>
      </c>
      <c r="C1313" s="7" t="inlineStr">
        <is>
          <t>CT ÁGUA VERMELHA M.E.</t>
        </is>
      </c>
      <c r="D1313" s="7" t="inlineStr">
        <is>
          <t>FABIO E VALMIR</t>
        </is>
      </c>
      <c r="E1313" s="7" t="inlineStr">
        <is>
          <t>Cesar</t>
        </is>
      </c>
      <c r="F1313" s="13" t="inlineStr">
        <is>
          <t>Transformação PVE 13</t>
        </is>
      </c>
      <c r="G1313" s="7" t="inlineStr">
        <is>
          <t>13</t>
        </is>
      </c>
      <c r="H1313" s="7" t="n"/>
      <c r="I1313" s="7" t="inlineStr">
        <is>
          <t>13</t>
        </is>
      </c>
      <c r="J1313" s="7" t="inlineStr">
        <is>
          <t>Transformação</t>
        </is>
      </c>
      <c r="K1313" s="7" t="inlineStr">
        <is>
          <t>Planejamento</t>
        </is>
      </c>
      <c r="L1313" s="16" t="inlineStr">
        <is>
          <t>PDS-Março(1).docx</t>
        </is>
      </c>
      <c r="M1313">
        <f>IF($A1313="","",TEXT($A1313,"mmmm/yyyy"))</f>
        <v/>
      </c>
      <c r="P1313">
        <f>IFERROR(_xludf.XLOOKUP($N1313,Base_Enderecos!$A:$A,Base_Enderecos!$B:$B,""),"")</f>
        <v/>
      </c>
      <c r="Q1313">
        <f>IFERROR(_xludf.XLOOKUP($N1313,Base_Enderecos!$A:$A,Base_Enderecos!$C:$C,""),"")</f>
        <v/>
      </c>
      <c r="R1313">
        <f>IF(OR(ISNUMBER(SEARCH("HDD",$F1313)),ISNUMBER(SEARCH("MND",$F1313)),ISNUMBER(SEARCH("PEAD",$F1313)),ISNUMBER(SEARCH("Puxe",$J1313)),ISNUMBER(SEARCH("Apoio HDD",$F1313))),"MND",IF(OR(ISNUMBER(SEARCH("VCA",$F1313)),ISNUMBER(SEARCH("PVC",$F1313)),ISNUMBER(SEARCH("vca",$J1313)),ISNUMBER(SEARCH("Transformação",$J1313))),"VCA",IF(OR(ISNUMBER(SEARCH("crava",$F1313)),ISNUMBER(SEARCH("tubo cravado",$F1313)),ISNUMBER(SEARCH("shaft",$J1313)),ISNUMBER(SEARCH("concreto",$F1313))),"TUBO CRAVADO","")))</f>
        <v/>
      </c>
      <c r="T1313">
        <f>IF($A1313="","",TEXT($A1313,"yyyymm")&amp;"|"&amp;$C1313&amp;"|"&amp;$F1313&amp;"|"&amp;$N1313&amp;"|"&amp;$R1313)</f>
        <v/>
      </c>
    </row>
    <row r="1314" ht="11.55" customHeight="1">
      <c r="A1314" s="10" t="n">
        <v>46098</v>
      </c>
      <c r="B1314" s="7" t="inlineStr">
        <is>
          <t>Terça</t>
        </is>
      </c>
      <c r="C1314" s="7" t="inlineStr">
        <is>
          <t>CT ÁGUA VERMELHA M.E.</t>
        </is>
      </c>
      <c r="D1314" s="7" t="inlineStr">
        <is>
          <t>FABIO E VALMIR</t>
        </is>
      </c>
      <c r="E1314" s="7" t="inlineStr">
        <is>
          <t>Higor</t>
        </is>
      </c>
      <c r="F1314" s="13" t="inlineStr">
        <is>
          <t>Transformação PVE 12</t>
        </is>
      </c>
      <c r="G1314" s="7" t="inlineStr">
        <is>
          <t>12</t>
        </is>
      </c>
      <c r="H1314" s="7" t="n"/>
      <c r="I1314" s="7" t="inlineStr">
        <is>
          <t>12</t>
        </is>
      </c>
      <c r="J1314" s="7" t="inlineStr">
        <is>
          <t>Transformação</t>
        </is>
      </c>
      <c r="K1314" s="7" t="inlineStr">
        <is>
          <t>Planejamento</t>
        </is>
      </c>
      <c r="L1314" s="16" t="inlineStr">
        <is>
          <t>PDS-Março(1).docx</t>
        </is>
      </c>
      <c r="M1314">
        <f>IF($A1314="","",TEXT($A1314,"mmmm/yyyy"))</f>
        <v/>
      </c>
      <c r="P1314">
        <f>IFERROR(_xludf.XLOOKUP($N1314,Base_Enderecos!$A:$A,Base_Enderecos!$B:$B,""),"")</f>
        <v/>
      </c>
      <c r="Q1314">
        <f>IFERROR(_xludf.XLOOKUP($N1314,Base_Enderecos!$A:$A,Base_Enderecos!$C:$C,""),"")</f>
        <v/>
      </c>
      <c r="R1314">
        <f>IF(OR(ISNUMBER(SEARCH("HDD",$F1314)),ISNUMBER(SEARCH("MND",$F1314)),ISNUMBER(SEARCH("PEAD",$F1314)),ISNUMBER(SEARCH("Puxe",$J1314)),ISNUMBER(SEARCH("Apoio HDD",$F1314))),"MND",IF(OR(ISNUMBER(SEARCH("VCA",$F1314)),ISNUMBER(SEARCH("PVC",$F1314)),ISNUMBER(SEARCH("vca",$J1314)),ISNUMBER(SEARCH("Transformação",$J1314))),"VCA",IF(OR(ISNUMBER(SEARCH("crava",$F1314)),ISNUMBER(SEARCH("tubo cravado",$F1314)),ISNUMBER(SEARCH("shaft",$J1314)),ISNUMBER(SEARCH("concreto",$F1314))),"TUBO CRAVADO","")))</f>
        <v/>
      </c>
      <c r="T1314">
        <f>IF($A1314="","",TEXT($A1314,"yyyymm")&amp;"|"&amp;$C1314&amp;"|"&amp;$F1314&amp;"|"&amp;$N1314&amp;"|"&amp;$R1314)</f>
        <v/>
      </c>
    </row>
    <row r="1315" ht="11.55" customHeight="1">
      <c r="A1315" s="10" t="n">
        <v>46098</v>
      </c>
      <c r="B1315" s="7" t="inlineStr">
        <is>
          <t>Terça</t>
        </is>
      </c>
      <c r="C1315" s="7" t="inlineStr">
        <is>
          <t>RCE FCO. SOUTO MAIOR</t>
        </is>
      </c>
      <c r="D1315" s="7" t="inlineStr">
        <is>
          <t>ROBSON</t>
        </is>
      </c>
      <c r="E1315" s="7" t="inlineStr">
        <is>
          <t>Valter</t>
        </is>
      </c>
      <c r="F1315" s="13" t="inlineStr">
        <is>
          <t>VCA e Ligações – Rua Canto da Serra</t>
        </is>
      </c>
      <c r="G1315" s="7" t="n"/>
      <c r="H1315" s="7" t="n"/>
      <c r="I1315" s="7" t="n"/>
      <c r="J1315" s="7" t="inlineStr">
        <is>
          <t>VCA</t>
        </is>
      </c>
      <c r="K1315" s="7" t="inlineStr">
        <is>
          <t>Planejamento</t>
        </is>
      </c>
      <c r="L1315" s="16" t="inlineStr">
        <is>
          <t>PDS-Março(1).docx</t>
        </is>
      </c>
      <c r="M1315">
        <f>IF($A1315="","",TEXT($A1315,"mmmm/yyyy"))</f>
        <v/>
      </c>
      <c r="P1315">
        <f>IFERROR(_xludf.XLOOKUP($N1315,Base_Enderecos!$A:$A,Base_Enderecos!$B:$B,""),"")</f>
        <v/>
      </c>
      <c r="Q1315">
        <f>IFERROR(_xludf.XLOOKUP($N1315,Base_Enderecos!$A:$A,Base_Enderecos!$C:$C,""),"")</f>
        <v/>
      </c>
      <c r="R1315">
        <f>IF(OR(ISNUMBER(SEARCH("HDD",$F1315)),ISNUMBER(SEARCH("MND",$F1315)),ISNUMBER(SEARCH("PEAD",$F1315)),ISNUMBER(SEARCH("Puxe",$J1315)),ISNUMBER(SEARCH("Apoio HDD",$F1315))),"MND",IF(OR(ISNUMBER(SEARCH("VCA",$F1315)),ISNUMBER(SEARCH("PVC",$F1315)),ISNUMBER(SEARCH("vca",$J1315)),ISNUMBER(SEARCH("Transformação",$J1315))),"VCA",IF(OR(ISNUMBER(SEARCH("crava",$F1315)),ISNUMBER(SEARCH("tubo cravado",$F1315)),ISNUMBER(SEARCH("shaft",$J1315)),ISNUMBER(SEARCH("concreto",$F1315))),"TUBO CRAVADO","")))</f>
        <v/>
      </c>
      <c r="T1315">
        <f>IF($A1315="","",TEXT($A1315,"yyyymm")&amp;"|"&amp;$C1315&amp;"|"&amp;$F1315&amp;"|"&amp;$N1315&amp;"|"&amp;$R1315)</f>
        <v/>
      </c>
    </row>
    <row r="1316" ht="11.55" customHeight="1">
      <c r="A1316" s="10" t="n">
        <v>46098</v>
      </c>
      <c r="B1316" s="7" t="inlineStr">
        <is>
          <t>Terça</t>
        </is>
      </c>
      <c r="C1316" s="7" t="inlineStr">
        <is>
          <t>Vacal</t>
        </is>
      </c>
      <c r="D1316" s="7" t="n"/>
      <c r="E1316" s="7" t="inlineStr">
        <is>
          <t>Conceição</t>
        </is>
      </c>
      <c r="F1316" s="13" t="inlineStr">
        <is>
          <t>Apoio Vacal</t>
        </is>
      </c>
      <c r="G1316" s="7" t="n"/>
      <c r="H1316" s="7" t="n"/>
      <c r="I1316" s="7" t="n"/>
      <c r="J1316" s="7" t="inlineStr">
        <is>
          <t>Vacal</t>
        </is>
      </c>
      <c r="K1316" s="7" t="inlineStr">
        <is>
          <t>Apoio</t>
        </is>
      </c>
      <c r="L1316" s="16" t="inlineStr">
        <is>
          <t>PDS-Março(1).docx</t>
        </is>
      </c>
      <c r="M1316">
        <f>IF($A1316="","",TEXT($A1316,"mmmm/yyyy"))</f>
        <v/>
      </c>
      <c r="P1316">
        <f>IFERROR(_xludf.XLOOKUP($N1316,Base_Enderecos!$A:$A,Base_Enderecos!$B:$B,""),"")</f>
        <v/>
      </c>
      <c r="Q1316">
        <f>IFERROR(_xludf.XLOOKUP($N1316,Base_Enderecos!$A:$A,Base_Enderecos!$C:$C,""),"")</f>
        <v/>
      </c>
      <c r="R1316">
        <f>IF(OR(ISNUMBER(SEARCH("HDD",$F1316)),ISNUMBER(SEARCH("MND",$F1316)),ISNUMBER(SEARCH("PEAD",$F1316)),ISNUMBER(SEARCH("Puxe",$J1316)),ISNUMBER(SEARCH("Apoio HDD",$F1316))),"MND",IF(OR(ISNUMBER(SEARCH("VCA",$F1316)),ISNUMBER(SEARCH("PVC",$F1316)),ISNUMBER(SEARCH("vca",$J1316)),ISNUMBER(SEARCH("Transformação",$J1316))),"VCA",IF(OR(ISNUMBER(SEARCH("crava",$F1316)),ISNUMBER(SEARCH("tubo cravado",$F1316)),ISNUMBER(SEARCH("shaft",$J1316)),ISNUMBER(SEARCH("concreto",$F1316))),"TUBO CRAVADO","")))</f>
        <v/>
      </c>
      <c r="T1316">
        <f>IF($A1316="","",TEXT($A1316,"yyyymm")&amp;"|"&amp;$C1316&amp;"|"&amp;$F1316&amp;"|"&amp;$N1316&amp;"|"&amp;$R1316)</f>
        <v/>
      </c>
    </row>
    <row r="1317" ht="11.55" customHeight="1">
      <c r="A1317" s="10" t="n">
        <v>46098</v>
      </c>
      <c r="B1317" s="7" t="inlineStr">
        <is>
          <t>Terça</t>
        </is>
      </c>
      <c r="C1317" s="7" t="inlineStr">
        <is>
          <t>Vacal</t>
        </is>
      </c>
      <c r="D1317" s="7" t="n"/>
      <c r="E1317" s="7" t="inlineStr">
        <is>
          <t>Conceição</t>
        </is>
      </c>
      <c r="F1317" s="13" t="inlineStr">
        <is>
          <t>Apoio Vacal</t>
        </is>
      </c>
      <c r="G1317" s="7" t="n"/>
      <c r="H1317" s="7" t="n"/>
      <c r="I1317" s="7" t="n"/>
      <c r="J1317" s="7" t="inlineStr">
        <is>
          <t>Vacal</t>
        </is>
      </c>
      <c r="K1317" s="7" t="inlineStr">
        <is>
          <t>Apoio</t>
        </is>
      </c>
      <c r="L1317" s="16" t="inlineStr">
        <is>
          <t>PDS-Março(1).docx</t>
        </is>
      </c>
      <c r="M1317">
        <f>IF($A1317="","",TEXT($A1317,"mmmm/yyyy"))</f>
        <v/>
      </c>
      <c r="P1317">
        <f>IFERROR(_xludf.XLOOKUP($N1317,Base_Enderecos!$A:$A,Base_Enderecos!$B:$B,""),"")</f>
        <v/>
      </c>
      <c r="Q1317">
        <f>IFERROR(_xludf.XLOOKUP($N1317,Base_Enderecos!$A:$A,Base_Enderecos!$C:$C,""),"")</f>
        <v/>
      </c>
      <c r="R1317">
        <f>IF(OR(ISNUMBER(SEARCH("HDD",$F1317)),ISNUMBER(SEARCH("MND",$F1317)),ISNUMBER(SEARCH("PEAD",$F1317)),ISNUMBER(SEARCH("Puxe",$J1317)),ISNUMBER(SEARCH("Apoio HDD",$F1317))),"MND",IF(OR(ISNUMBER(SEARCH("VCA",$F1317)),ISNUMBER(SEARCH("PVC",$F1317)),ISNUMBER(SEARCH("vca",$J1317)),ISNUMBER(SEARCH("Transformação",$J1317))),"VCA",IF(OR(ISNUMBER(SEARCH("crava",$F1317)),ISNUMBER(SEARCH("tubo cravado",$F1317)),ISNUMBER(SEARCH("shaft",$J1317)),ISNUMBER(SEARCH("concreto",$F1317))),"TUBO CRAVADO","")))</f>
        <v/>
      </c>
      <c r="T1317">
        <f>IF($A1317="","",TEXT($A1317,"yyyymm")&amp;"|"&amp;$C1317&amp;"|"&amp;$F1317&amp;"|"&amp;$N1317&amp;"|"&amp;$R1317)</f>
        <v/>
      </c>
    </row>
    <row r="1318" ht="11.55" customHeight="1">
      <c r="A1318" s="10" t="n">
        <v>46098</v>
      </c>
      <c r="B1318" s="7" t="inlineStr">
        <is>
          <t>Terça</t>
        </is>
      </c>
      <c r="C1318" s="7" t="inlineStr">
        <is>
          <t>Vacal</t>
        </is>
      </c>
      <c r="D1318" s="7" t="n"/>
      <c r="E1318" s="7" t="inlineStr">
        <is>
          <t>Água Vermelha</t>
        </is>
      </c>
      <c r="F1318" s="13" t="inlineStr">
        <is>
          <t>Apoio Vacal</t>
        </is>
      </c>
      <c r="G1318" s="7" t="n"/>
      <c r="H1318" s="7" t="n"/>
      <c r="I1318" s="7" t="n"/>
      <c r="J1318" s="7" t="inlineStr">
        <is>
          <t>Vacal</t>
        </is>
      </c>
      <c r="K1318" s="7" t="inlineStr">
        <is>
          <t>Apoio</t>
        </is>
      </c>
      <c r="L1318" s="16" t="inlineStr">
        <is>
          <t>PDS-Março(1).docx</t>
        </is>
      </c>
      <c r="M1318">
        <f>IF($A1318="","",TEXT($A1318,"mmmm/yyyy"))</f>
        <v/>
      </c>
      <c r="P1318">
        <f>IFERROR(_xludf.XLOOKUP($N1318,Base_Enderecos!$A:$A,Base_Enderecos!$B:$B,""),"")</f>
        <v/>
      </c>
      <c r="Q1318">
        <f>IFERROR(_xludf.XLOOKUP($N1318,Base_Enderecos!$A:$A,Base_Enderecos!$C:$C,""),"")</f>
        <v/>
      </c>
      <c r="R1318">
        <f>IF(OR(ISNUMBER(SEARCH("HDD",$F1318)),ISNUMBER(SEARCH("MND",$F1318)),ISNUMBER(SEARCH("PEAD",$F1318)),ISNUMBER(SEARCH("Puxe",$J1318)),ISNUMBER(SEARCH("Apoio HDD",$F1318))),"MND",IF(OR(ISNUMBER(SEARCH("VCA",$F1318)),ISNUMBER(SEARCH("PVC",$F1318)),ISNUMBER(SEARCH("vca",$J1318)),ISNUMBER(SEARCH("Transformação",$J1318))),"VCA",IF(OR(ISNUMBER(SEARCH("crava",$F1318)),ISNUMBER(SEARCH("tubo cravado",$F1318)),ISNUMBER(SEARCH("shaft",$J1318)),ISNUMBER(SEARCH("concreto",$F1318))),"TUBO CRAVADO","")))</f>
        <v/>
      </c>
      <c r="T1318">
        <f>IF($A1318="","",TEXT($A1318,"yyyymm")&amp;"|"&amp;$C1318&amp;"|"&amp;$F1318&amp;"|"&amp;$N1318&amp;"|"&amp;$R1318)</f>
        <v/>
      </c>
    </row>
    <row r="1319" ht="11.55" customHeight="1">
      <c r="A1319" s="10" t="n">
        <v>46098</v>
      </c>
      <c r="B1319" s="7" t="inlineStr">
        <is>
          <t>Terça</t>
        </is>
      </c>
      <c r="C1319" s="7" t="inlineStr">
        <is>
          <t>Vacal</t>
        </is>
      </c>
      <c r="D1319" s="7" t="n"/>
      <c r="E1319" s="7" t="inlineStr">
        <is>
          <t>Água Vermelha</t>
        </is>
      </c>
      <c r="F1319" s="13" t="inlineStr">
        <is>
          <t>Apoio Vacal</t>
        </is>
      </c>
      <c r="G1319" s="7" t="n"/>
      <c r="H1319" s="7" t="n"/>
      <c r="I1319" s="7" t="n"/>
      <c r="J1319" s="7" t="inlineStr">
        <is>
          <t>Vacal</t>
        </is>
      </c>
      <c r="K1319" s="7" t="inlineStr">
        <is>
          <t>Apoio</t>
        </is>
      </c>
      <c r="L1319" s="16" t="inlineStr">
        <is>
          <t>PDS-Março(1).docx</t>
        </is>
      </c>
      <c r="M1319">
        <f>IF($A1319="","",TEXT($A1319,"mmmm/yyyy"))</f>
        <v/>
      </c>
      <c r="P1319">
        <f>IFERROR(_xludf.XLOOKUP($N1319,Base_Enderecos!$A:$A,Base_Enderecos!$B:$B,""),"")</f>
        <v/>
      </c>
      <c r="Q1319">
        <f>IFERROR(_xludf.XLOOKUP($N1319,Base_Enderecos!$A:$A,Base_Enderecos!$C:$C,""),"")</f>
        <v/>
      </c>
      <c r="R1319">
        <f>IF(OR(ISNUMBER(SEARCH("HDD",$F1319)),ISNUMBER(SEARCH("MND",$F1319)),ISNUMBER(SEARCH("PEAD",$F1319)),ISNUMBER(SEARCH("Puxe",$J1319)),ISNUMBER(SEARCH("Apoio HDD",$F1319))),"MND",IF(OR(ISNUMBER(SEARCH("VCA",$F1319)),ISNUMBER(SEARCH("PVC",$F1319)),ISNUMBER(SEARCH("vca",$J1319)),ISNUMBER(SEARCH("Transformação",$J1319))),"VCA",IF(OR(ISNUMBER(SEARCH("crava",$F1319)),ISNUMBER(SEARCH("tubo cravado",$F1319)),ISNUMBER(SEARCH("shaft",$J1319)),ISNUMBER(SEARCH("concreto",$F1319))),"TUBO CRAVADO","")))</f>
        <v/>
      </c>
      <c r="T1319">
        <f>IF($A1319="","",TEXT($A1319,"yyyymm")&amp;"|"&amp;$C1319&amp;"|"&amp;$F1319&amp;"|"&amp;$N1319&amp;"|"&amp;$R1319)</f>
        <v/>
      </c>
    </row>
    <row r="1320" ht="11.55" customHeight="1">
      <c r="A1320" s="10" t="n">
        <v>46098</v>
      </c>
      <c r="B1320" s="7" t="inlineStr">
        <is>
          <t>Terça</t>
        </is>
      </c>
      <c r="C1320" s="7" t="inlineStr">
        <is>
          <t>Guindauto</t>
        </is>
      </c>
      <c r="D1320" s="7" t="n"/>
      <c r="E1320" s="7" t="inlineStr">
        <is>
          <t>Rodrigo</t>
        </is>
      </c>
      <c r="F1320" s="13" t="inlineStr">
        <is>
          <t>Rodrigo - Apoio as equipes</t>
        </is>
      </c>
      <c r="G1320" s="7" t="n"/>
      <c r="H1320" s="7" t="n"/>
      <c r="I1320" s="7" t="n"/>
      <c r="J1320" s="7" t="inlineStr">
        <is>
          <t>Guindauto</t>
        </is>
      </c>
      <c r="K1320" s="7" t="inlineStr">
        <is>
          <t>Apoio</t>
        </is>
      </c>
      <c r="L1320" s="16" t="inlineStr">
        <is>
          <t>PDS-Março(1).docx</t>
        </is>
      </c>
      <c r="M1320">
        <f>IF($A1320="","",TEXT($A1320,"mmmm/yyyy"))</f>
        <v/>
      </c>
      <c r="P1320">
        <f>IFERROR(_xludf.XLOOKUP($N1320,Base_Enderecos!$A:$A,Base_Enderecos!$B:$B,""),"")</f>
        <v/>
      </c>
      <c r="Q1320">
        <f>IFERROR(_xludf.XLOOKUP($N1320,Base_Enderecos!$A:$A,Base_Enderecos!$C:$C,""),"")</f>
        <v/>
      </c>
      <c r="R1320">
        <f>IF(OR(ISNUMBER(SEARCH("HDD",$F1320)),ISNUMBER(SEARCH("MND",$F1320)),ISNUMBER(SEARCH("PEAD",$F1320)),ISNUMBER(SEARCH("Puxe",$J1320)),ISNUMBER(SEARCH("Apoio HDD",$F1320))),"MND",IF(OR(ISNUMBER(SEARCH("VCA",$F1320)),ISNUMBER(SEARCH("PVC",$F1320)),ISNUMBER(SEARCH("vca",$J1320)),ISNUMBER(SEARCH("Transformação",$J1320))),"VCA",IF(OR(ISNUMBER(SEARCH("crava",$F1320)),ISNUMBER(SEARCH("tubo cravado",$F1320)),ISNUMBER(SEARCH("shaft",$J1320)),ISNUMBER(SEARCH("concreto",$F1320))),"TUBO CRAVADO","")))</f>
        <v/>
      </c>
      <c r="T1320">
        <f>IF($A1320="","",TEXT($A1320,"yyyymm")&amp;"|"&amp;$C1320&amp;"|"&amp;$F1320&amp;"|"&amp;$N1320&amp;"|"&amp;$R1320)</f>
        <v/>
      </c>
    </row>
    <row r="1321" ht="11.55" customHeight="1">
      <c r="A1321" s="10" t="n">
        <v>46098</v>
      </c>
      <c r="B1321" s="7" t="inlineStr">
        <is>
          <t>Terça</t>
        </is>
      </c>
      <c r="C1321" s="7" t="inlineStr">
        <is>
          <t>Guindauto</t>
        </is>
      </c>
      <c r="D1321" s="7" t="n"/>
      <c r="E1321" s="7" t="inlineStr">
        <is>
          <t>Marcio</t>
        </is>
      </c>
      <c r="F1321" s="13" t="inlineStr">
        <is>
          <t>Marcio - Apoio as equipes</t>
        </is>
      </c>
      <c r="G1321" s="7" t="n"/>
      <c r="H1321" s="7" t="n"/>
      <c r="I1321" s="7" t="n"/>
      <c r="J1321" s="7" t="inlineStr">
        <is>
          <t>Guindauto</t>
        </is>
      </c>
      <c r="K1321" s="7" t="inlineStr">
        <is>
          <t>Apoio</t>
        </is>
      </c>
      <c r="L1321" s="16" t="inlineStr">
        <is>
          <t>PDS-Março(1).docx</t>
        </is>
      </c>
      <c r="M1321">
        <f>IF($A1321="","",TEXT($A1321,"mmmm/yyyy"))</f>
        <v/>
      </c>
      <c r="P1321">
        <f>IFERROR(_xludf.XLOOKUP($N1321,Base_Enderecos!$A:$A,Base_Enderecos!$B:$B,""),"")</f>
        <v/>
      </c>
      <c r="Q1321">
        <f>IFERROR(_xludf.XLOOKUP($N1321,Base_Enderecos!$A:$A,Base_Enderecos!$C:$C,""),"")</f>
        <v/>
      </c>
      <c r="R1321">
        <f>IF(OR(ISNUMBER(SEARCH("HDD",$F1321)),ISNUMBER(SEARCH("MND",$F1321)),ISNUMBER(SEARCH("PEAD",$F1321)),ISNUMBER(SEARCH("Puxe",$J1321)),ISNUMBER(SEARCH("Apoio HDD",$F1321))),"MND",IF(OR(ISNUMBER(SEARCH("VCA",$F1321)),ISNUMBER(SEARCH("PVC",$F1321)),ISNUMBER(SEARCH("vca",$J1321)),ISNUMBER(SEARCH("Transformação",$J1321))),"VCA",IF(OR(ISNUMBER(SEARCH("crava",$F1321)),ISNUMBER(SEARCH("tubo cravado",$F1321)),ISNUMBER(SEARCH("shaft",$J1321)),ISNUMBER(SEARCH("concreto",$F1321))),"TUBO CRAVADO","")))</f>
        <v/>
      </c>
      <c r="T1321">
        <f>IF($A1321="","",TEXT($A1321,"yyyymm")&amp;"|"&amp;$C1321&amp;"|"&amp;$F1321&amp;"|"&amp;$N1321&amp;"|"&amp;$R1321)</f>
        <v/>
      </c>
    </row>
    <row r="1322" ht="11.55" customHeight="1">
      <c r="A1322" s="10" t="n">
        <v>46099</v>
      </c>
      <c r="B1322" s="7" t="inlineStr">
        <is>
          <t>Quarta</t>
        </is>
      </c>
      <c r="C1322" s="7" t="inlineStr">
        <is>
          <t>CTS CONCEIÇÃO</t>
        </is>
      </c>
      <c r="D1322" s="7" t="inlineStr">
        <is>
          <t>LEANDRO E SILVESTRE</t>
        </is>
      </c>
      <c r="E1322" s="7" t="inlineStr">
        <is>
          <t>Goiânia Drill</t>
        </is>
      </c>
      <c r="F1322" s="13" t="inlineStr">
        <is>
          <t>Piloto e puxe entre PV 02 ao 04</t>
        </is>
      </c>
      <c r="G1322" s="7" t="inlineStr">
        <is>
          <t>02</t>
        </is>
      </c>
      <c r="H1322" s="7" t="n"/>
      <c r="I1322" s="7" t="inlineStr">
        <is>
          <t>02</t>
        </is>
      </c>
      <c r="J1322" s="7" t="inlineStr">
        <is>
          <t>Piloto e puxe</t>
        </is>
      </c>
      <c r="K1322" s="7" t="inlineStr">
        <is>
          <t>Planejamento</t>
        </is>
      </c>
      <c r="L1322" s="16" t="inlineStr">
        <is>
          <t>PDS-Março(1).docx</t>
        </is>
      </c>
      <c r="M1322">
        <f>IF($A1322="","",TEXT($A1322,"mmmm/yyyy"))</f>
        <v/>
      </c>
      <c r="P1322">
        <f>IFERROR(_xludf.XLOOKUP($N1322,Base_Enderecos!$A:$A,Base_Enderecos!$B:$B,""),"")</f>
        <v/>
      </c>
      <c r="Q1322">
        <f>IFERROR(_xludf.XLOOKUP($N1322,Base_Enderecos!$A:$A,Base_Enderecos!$C:$C,""),"")</f>
        <v/>
      </c>
      <c r="R1322">
        <f>IF(OR(ISNUMBER(SEARCH("HDD",$F1322)),ISNUMBER(SEARCH("MND",$F1322)),ISNUMBER(SEARCH("PEAD",$F1322)),ISNUMBER(SEARCH("Puxe",$J1322)),ISNUMBER(SEARCH("Apoio HDD",$F1322))),"MND",IF(OR(ISNUMBER(SEARCH("VCA",$F1322)),ISNUMBER(SEARCH("PVC",$F1322)),ISNUMBER(SEARCH("vca",$J1322)),ISNUMBER(SEARCH("Transformação",$J1322))),"VCA",IF(OR(ISNUMBER(SEARCH("crava",$F1322)),ISNUMBER(SEARCH("tubo cravado",$F1322)),ISNUMBER(SEARCH("shaft",$J1322)),ISNUMBER(SEARCH("concreto",$F1322))),"TUBO CRAVADO","")))</f>
        <v/>
      </c>
      <c r="T1322">
        <f>IF($A1322="","",TEXT($A1322,"yyyymm")&amp;"|"&amp;$C1322&amp;"|"&amp;$F1322&amp;"|"&amp;$N1322&amp;"|"&amp;$R1322)</f>
        <v/>
      </c>
    </row>
    <row r="1323" ht="11.55" customHeight="1">
      <c r="A1323" s="10" t="n">
        <v>46099</v>
      </c>
      <c r="B1323" s="7" t="inlineStr">
        <is>
          <t>Quarta</t>
        </is>
      </c>
      <c r="C1323" s="7" t="inlineStr">
        <is>
          <t>CTS CONCEIÇÃO</t>
        </is>
      </c>
      <c r="D1323" s="7" t="inlineStr">
        <is>
          <t>LEANDRO E SILVESTRE</t>
        </is>
      </c>
      <c r="E1323" s="7" t="inlineStr">
        <is>
          <t>Medeiros</t>
        </is>
      </c>
      <c r="F1323" s="13" t="inlineStr">
        <is>
          <t>Apoio HDD entre PV 02 ao 04</t>
        </is>
      </c>
      <c r="G1323" s="7" t="inlineStr">
        <is>
          <t>02</t>
        </is>
      </c>
      <c r="H1323" s="7" t="n"/>
      <c r="I1323" s="7" t="inlineStr">
        <is>
          <t>02</t>
        </is>
      </c>
      <c r="J1323" s="7" t="inlineStr">
        <is>
          <t>Apoio HDD</t>
        </is>
      </c>
      <c r="K1323" s="7" t="inlineStr">
        <is>
          <t>Planejamento</t>
        </is>
      </c>
      <c r="L1323" s="16" t="inlineStr">
        <is>
          <t>PDS-Março(1).docx</t>
        </is>
      </c>
      <c r="M1323">
        <f>IF($A1323="","",TEXT($A1323,"mmmm/yyyy"))</f>
        <v/>
      </c>
      <c r="P1323">
        <f>IFERROR(_xludf.XLOOKUP($N1323,Base_Enderecos!$A:$A,Base_Enderecos!$B:$B,""),"")</f>
        <v/>
      </c>
      <c r="Q1323">
        <f>IFERROR(_xludf.XLOOKUP($N1323,Base_Enderecos!$A:$A,Base_Enderecos!$C:$C,""),"")</f>
        <v/>
      </c>
      <c r="R1323">
        <f>IF(OR(ISNUMBER(SEARCH("HDD",$F1323)),ISNUMBER(SEARCH("MND",$F1323)),ISNUMBER(SEARCH("PEAD",$F1323)),ISNUMBER(SEARCH("Puxe",$J1323)),ISNUMBER(SEARCH("Apoio HDD",$F1323))),"MND",IF(OR(ISNUMBER(SEARCH("VCA",$F1323)),ISNUMBER(SEARCH("PVC",$F1323)),ISNUMBER(SEARCH("vca",$J1323)),ISNUMBER(SEARCH("Transformação",$J1323))),"VCA",IF(OR(ISNUMBER(SEARCH("crava",$F1323)),ISNUMBER(SEARCH("tubo cravado",$F1323)),ISNUMBER(SEARCH("shaft",$J1323)),ISNUMBER(SEARCH("concreto",$F1323))),"TUBO CRAVADO","")))</f>
        <v/>
      </c>
      <c r="T1323">
        <f>IF($A1323="","",TEXT($A1323,"yyyymm")&amp;"|"&amp;$C1323&amp;"|"&amp;$F1323&amp;"|"&amp;$N1323&amp;"|"&amp;$R1323)</f>
        <v/>
      </c>
    </row>
    <row r="1324" ht="11.55" customHeight="1">
      <c r="A1324" s="10" t="n">
        <v>46099</v>
      </c>
      <c r="B1324" s="7" t="inlineStr">
        <is>
          <t>Quarta</t>
        </is>
      </c>
      <c r="C1324" s="7" t="inlineStr">
        <is>
          <t>CTS CONCEIÇÃO</t>
        </is>
      </c>
      <c r="D1324" s="7" t="inlineStr">
        <is>
          <t>LEANDRO E SILVESTRE</t>
        </is>
      </c>
      <c r="E1324" s="7" t="inlineStr">
        <is>
          <t>WJ 02</t>
        </is>
      </c>
      <c r="F1324" s="13" t="inlineStr">
        <is>
          <t>Piloto e puxe entre PV 04 ao 4.2</t>
        </is>
      </c>
      <c r="G1324" s="7" t="inlineStr">
        <is>
          <t>04</t>
        </is>
      </c>
      <c r="H1324" s="7" t="n"/>
      <c r="I1324" s="7" t="inlineStr">
        <is>
          <t>04</t>
        </is>
      </c>
      <c r="J1324" s="7" t="inlineStr">
        <is>
          <t>Piloto e puxe</t>
        </is>
      </c>
      <c r="K1324" s="7" t="inlineStr">
        <is>
          <t>Planejamento</t>
        </is>
      </c>
      <c r="L1324" s="16" t="inlineStr">
        <is>
          <t>PDS-Março(1).docx</t>
        </is>
      </c>
      <c r="M1324">
        <f>IF($A1324="","",TEXT($A1324,"mmmm/yyyy"))</f>
        <v/>
      </c>
      <c r="P1324">
        <f>IFERROR(_xludf.XLOOKUP($N1324,Base_Enderecos!$A:$A,Base_Enderecos!$B:$B,""),"")</f>
        <v/>
      </c>
      <c r="Q1324">
        <f>IFERROR(_xludf.XLOOKUP($N1324,Base_Enderecos!$A:$A,Base_Enderecos!$C:$C,""),"")</f>
        <v/>
      </c>
      <c r="R1324">
        <f>IF(OR(ISNUMBER(SEARCH("HDD",$F1324)),ISNUMBER(SEARCH("MND",$F1324)),ISNUMBER(SEARCH("PEAD",$F1324)),ISNUMBER(SEARCH("Puxe",$J1324)),ISNUMBER(SEARCH("Apoio HDD",$F1324))),"MND",IF(OR(ISNUMBER(SEARCH("VCA",$F1324)),ISNUMBER(SEARCH("PVC",$F1324)),ISNUMBER(SEARCH("vca",$J1324)),ISNUMBER(SEARCH("Transformação",$J1324))),"VCA",IF(OR(ISNUMBER(SEARCH("crava",$F1324)),ISNUMBER(SEARCH("tubo cravado",$F1324)),ISNUMBER(SEARCH("shaft",$J1324)),ISNUMBER(SEARCH("concreto",$F1324))),"TUBO CRAVADO","")))</f>
        <v/>
      </c>
      <c r="T1324">
        <f>IF($A1324="","",TEXT($A1324,"yyyymm")&amp;"|"&amp;$C1324&amp;"|"&amp;$F1324&amp;"|"&amp;$N1324&amp;"|"&amp;$R1324)</f>
        <v/>
      </c>
    </row>
    <row r="1325" ht="11.55" customHeight="1">
      <c r="A1325" s="10" t="n">
        <v>46099</v>
      </c>
      <c r="B1325" s="7" t="inlineStr">
        <is>
          <t>Quarta</t>
        </is>
      </c>
      <c r="C1325" s="7" t="inlineStr">
        <is>
          <t>CTS CONCEIÇÃO</t>
        </is>
      </c>
      <c r="D1325" s="7" t="inlineStr">
        <is>
          <t>LEANDRO E SILVESTRE</t>
        </is>
      </c>
      <c r="E1325" s="7" t="inlineStr">
        <is>
          <t>Bruno</t>
        </is>
      </c>
      <c r="F1325" s="13" t="inlineStr">
        <is>
          <t>Apoio HDD entre PV 04 ao 4.2</t>
        </is>
      </c>
      <c r="G1325" s="7" t="inlineStr">
        <is>
          <t>04</t>
        </is>
      </c>
      <c r="H1325" s="7" t="n"/>
      <c r="I1325" s="7" t="inlineStr">
        <is>
          <t>04</t>
        </is>
      </c>
      <c r="J1325" s="7" t="inlineStr">
        <is>
          <t>Apoio HDD</t>
        </is>
      </c>
      <c r="K1325" s="7" t="inlineStr">
        <is>
          <t>Planejamento</t>
        </is>
      </c>
      <c r="L1325" s="16" t="inlineStr">
        <is>
          <t>PDS-Março(1).docx</t>
        </is>
      </c>
      <c r="M1325">
        <f>IF($A1325="","",TEXT($A1325,"mmmm/yyyy"))</f>
        <v/>
      </c>
      <c r="P1325">
        <f>IFERROR(_xludf.XLOOKUP($N1325,Base_Enderecos!$A:$A,Base_Enderecos!$B:$B,""),"")</f>
        <v/>
      </c>
      <c r="Q1325">
        <f>IFERROR(_xludf.XLOOKUP($N1325,Base_Enderecos!$A:$A,Base_Enderecos!$C:$C,""),"")</f>
        <v/>
      </c>
      <c r="R1325">
        <f>IF(OR(ISNUMBER(SEARCH("HDD",$F1325)),ISNUMBER(SEARCH("MND",$F1325)),ISNUMBER(SEARCH("PEAD",$F1325)),ISNUMBER(SEARCH("Puxe",$J1325)),ISNUMBER(SEARCH("Apoio HDD",$F1325))),"MND",IF(OR(ISNUMBER(SEARCH("VCA",$F1325)),ISNUMBER(SEARCH("PVC",$F1325)),ISNUMBER(SEARCH("vca",$J1325)),ISNUMBER(SEARCH("Transformação",$J1325))),"VCA",IF(OR(ISNUMBER(SEARCH("crava",$F1325)),ISNUMBER(SEARCH("tubo cravado",$F1325)),ISNUMBER(SEARCH("shaft",$J1325)),ISNUMBER(SEARCH("concreto",$F1325))),"TUBO CRAVADO","")))</f>
        <v/>
      </c>
      <c r="T1325">
        <f>IF($A1325="","",TEXT($A1325,"yyyymm")&amp;"|"&amp;$C1325&amp;"|"&amp;$F1325&amp;"|"&amp;$N1325&amp;"|"&amp;$R1325)</f>
        <v/>
      </c>
    </row>
    <row r="1326" ht="11.55" customHeight="1">
      <c r="A1326" s="10" t="n">
        <v>46099</v>
      </c>
      <c r="B1326" s="7" t="inlineStr">
        <is>
          <t>Quarta</t>
        </is>
      </c>
      <c r="C1326" s="7" t="inlineStr">
        <is>
          <t>CTS CONCEIÇÃO</t>
        </is>
      </c>
      <c r="D1326" s="7" t="inlineStr">
        <is>
          <t>LEANDRO E SILVESTRE</t>
        </is>
      </c>
      <c r="E1326" s="7" t="inlineStr">
        <is>
          <t>Sergio</t>
        </is>
      </c>
      <c r="F1326" s="13" t="inlineStr">
        <is>
          <t>Shaft PV 08</t>
        </is>
      </c>
      <c r="G1326" s="7" t="inlineStr">
        <is>
          <t>08</t>
        </is>
      </c>
      <c r="H1326" s="7" t="n"/>
      <c r="I1326" s="7" t="inlineStr">
        <is>
          <t>08</t>
        </is>
      </c>
      <c r="J1326" s="7" t="inlineStr">
        <is>
          <t>Shaft</t>
        </is>
      </c>
      <c r="K1326" s="7" t="inlineStr">
        <is>
          <t>Planejamento</t>
        </is>
      </c>
      <c r="L1326" s="16" t="inlineStr">
        <is>
          <t>PDS-Março(1).docx</t>
        </is>
      </c>
      <c r="M1326">
        <f>IF($A1326="","",TEXT($A1326,"mmmm/yyyy"))</f>
        <v/>
      </c>
      <c r="P1326">
        <f>IFERROR(_xludf.XLOOKUP($N1326,Base_Enderecos!$A:$A,Base_Enderecos!$B:$B,""),"")</f>
        <v/>
      </c>
      <c r="Q1326">
        <f>IFERROR(_xludf.XLOOKUP($N1326,Base_Enderecos!$A:$A,Base_Enderecos!$C:$C,""),"")</f>
        <v/>
      </c>
      <c r="R1326">
        <f>IF(OR(ISNUMBER(SEARCH("HDD",$F1326)),ISNUMBER(SEARCH("MND",$F1326)),ISNUMBER(SEARCH("PEAD",$F1326)),ISNUMBER(SEARCH("Puxe",$J1326)),ISNUMBER(SEARCH("Apoio HDD",$F1326))),"MND",IF(OR(ISNUMBER(SEARCH("VCA",$F1326)),ISNUMBER(SEARCH("PVC",$F1326)),ISNUMBER(SEARCH("vca",$J1326)),ISNUMBER(SEARCH("Transformação",$J1326))),"VCA",IF(OR(ISNUMBER(SEARCH("crava",$F1326)),ISNUMBER(SEARCH("tubo cravado",$F1326)),ISNUMBER(SEARCH("shaft",$J1326)),ISNUMBER(SEARCH("concreto",$F1326))),"TUBO CRAVADO","")))</f>
        <v/>
      </c>
      <c r="T1326">
        <f>IF($A1326="","",TEXT($A1326,"yyyymm")&amp;"|"&amp;$C1326&amp;"|"&amp;$F1326&amp;"|"&amp;$N1326&amp;"|"&amp;$R1326)</f>
        <v/>
      </c>
    </row>
    <row r="1327" ht="11.55" customHeight="1">
      <c r="A1327" s="10" t="n">
        <v>46099</v>
      </c>
      <c r="B1327" s="7" t="inlineStr">
        <is>
          <t>Quarta</t>
        </is>
      </c>
      <c r="C1327" s="7" t="inlineStr">
        <is>
          <t>CTS CONCEIÇÃO</t>
        </is>
      </c>
      <c r="D1327" s="7" t="inlineStr">
        <is>
          <t>LEANDRO E SILVESTRE</t>
        </is>
      </c>
      <c r="E1327" s="7" t="inlineStr">
        <is>
          <t>Carlos</t>
        </is>
      </c>
      <c r="F1327" s="13" t="inlineStr">
        <is>
          <t>Shaft PV 09</t>
        </is>
      </c>
      <c r="G1327" s="7" t="inlineStr">
        <is>
          <t>09</t>
        </is>
      </c>
      <c r="H1327" s="7" t="n"/>
      <c r="I1327" s="7" t="inlineStr">
        <is>
          <t>09</t>
        </is>
      </c>
      <c r="J1327" s="7" t="inlineStr">
        <is>
          <t>Shaft</t>
        </is>
      </c>
      <c r="K1327" s="7" t="inlineStr">
        <is>
          <t>Planejamento</t>
        </is>
      </c>
      <c r="L1327" s="16" t="inlineStr">
        <is>
          <t>PDS-Março(1).docx</t>
        </is>
      </c>
      <c r="M1327">
        <f>IF($A1327="","",TEXT($A1327,"mmmm/yyyy"))</f>
        <v/>
      </c>
      <c r="P1327">
        <f>IFERROR(_xludf.XLOOKUP($N1327,Base_Enderecos!$A:$A,Base_Enderecos!$B:$B,""),"")</f>
        <v/>
      </c>
      <c r="Q1327">
        <f>IFERROR(_xludf.XLOOKUP($N1327,Base_Enderecos!$A:$A,Base_Enderecos!$C:$C,""),"")</f>
        <v/>
      </c>
      <c r="R1327">
        <f>IF(OR(ISNUMBER(SEARCH("HDD",$F1327)),ISNUMBER(SEARCH("MND",$F1327)),ISNUMBER(SEARCH("PEAD",$F1327)),ISNUMBER(SEARCH("Puxe",$J1327)),ISNUMBER(SEARCH("Apoio HDD",$F1327))),"MND",IF(OR(ISNUMBER(SEARCH("VCA",$F1327)),ISNUMBER(SEARCH("PVC",$F1327)),ISNUMBER(SEARCH("vca",$J1327)),ISNUMBER(SEARCH("Transformação",$J1327))),"VCA",IF(OR(ISNUMBER(SEARCH("crava",$F1327)),ISNUMBER(SEARCH("tubo cravado",$F1327)),ISNUMBER(SEARCH("shaft",$J1327)),ISNUMBER(SEARCH("concreto",$F1327))),"TUBO CRAVADO","")))</f>
        <v/>
      </c>
      <c r="T1327">
        <f>IF($A1327="","",TEXT($A1327,"yyyymm")&amp;"|"&amp;$C1327&amp;"|"&amp;$F1327&amp;"|"&amp;$N1327&amp;"|"&amp;$R1327)</f>
        <v/>
      </c>
    </row>
    <row r="1328" ht="11.55" customHeight="1">
      <c r="A1328" s="10" t="n">
        <v>46099</v>
      </c>
      <c r="B1328" s="7" t="inlineStr">
        <is>
          <t>Quarta</t>
        </is>
      </c>
      <c r="C1328" s="7" t="inlineStr">
        <is>
          <t>CTS CONCEIÇÃO</t>
        </is>
      </c>
      <c r="D1328" s="7" t="inlineStr">
        <is>
          <t>LEANDRO E SILVESTRE</t>
        </is>
      </c>
      <c r="E1328" s="7" t="inlineStr">
        <is>
          <t>Adilson</t>
        </is>
      </c>
      <c r="F1328" s="13" t="inlineStr">
        <is>
          <t>Shaft PV 10</t>
        </is>
      </c>
      <c r="G1328" s="7" t="inlineStr">
        <is>
          <t>10</t>
        </is>
      </c>
      <c r="H1328" s="7" t="n"/>
      <c r="I1328" s="7" t="inlineStr">
        <is>
          <t>10</t>
        </is>
      </c>
      <c r="J1328" s="7" t="inlineStr">
        <is>
          <t>Shaft</t>
        </is>
      </c>
      <c r="K1328" s="7" t="inlineStr">
        <is>
          <t>Planejamento</t>
        </is>
      </c>
      <c r="L1328" s="16" t="inlineStr">
        <is>
          <t>PDS-Março(1).docx</t>
        </is>
      </c>
      <c r="M1328">
        <f>IF($A1328="","",TEXT($A1328,"mmmm/yyyy"))</f>
        <v/>
      </c>
      <c r="P1328">
        <f>IFERROR(_xludf.XLOOKUP($N1328,Base_Enderecos!$A:$A,Base_Enderecos!$B:$B,""),"")</f>
        <v/>
      </c>
      <c r="Q1328">
        <f>IFERROR(_xludf.XLOOKUP($N1328,Base_Enderecos!$A:$A,Base_Enderecos!$C:$C,""),"")</f>
        <v/>
      </c>
      <c r="R1328">
        <f>IF(OR(ISNUMBER(SEARCH("HDD",$F1328)),ISNUMBER(SEARCH("MND",$F1328)),ISNUMBER(SEARCH("PEAD",$F1328)),ISNUMBER(SEARCH("Puxe",$J1328)),ISNUMBER(SEARCH("Apoio HDD",$F1328))),"MND",IF(OR(ISNUMBER(SEARCH("VCA",$F1328)),ISNUMBER(SEARCH("PVC",$F1328)),ISNUMBER(SEARCH("vca",$J1328)),ISNUMBER(SEARCH("Transformação",$J1328))),"VCA",IF(OR(ISNUMBER(SEARCH("crava",$F1328)),ISNUMBER(SEARCH("tubo cravado",$F1328)),ISNUMBER(SEARCH("shaft",$J1328)),ISNUMBER(SEARCH("concreto",$F1328))),"TUBO CRAVADO","")))</f>
        <v/>
      </c>
      <c r="T1328">
        <f>IF($A1328="","",TEXT($A1328,"yyyymm")&amp;"|"&amp;$C1328&amp;"|"&amp;$F1328&amp;"|"&amp;$N1328&amp;"|"&amp;$R1328)</f>
        <v/>
      </c>
    </row>
    <row r="1329" ht="11.55" customHeight="1">
      <c r="A1329" s="10" t="n">
        <v>46099</v>
      </c>
      <c r="B1329" s="7" t="inlineStr">
        <is>
          <t>Quarta</t>
        </is>
      </c>
      <c r="C1329" s="7" t="inlineStr">
        <is>
          <t>CT ÁGUA VERMELHA M.D.</t>
        </is>
      </c>
      <c r="D1329" s="7" t="inlineStr">
        <is>
          <t>FABIO E VALMIR</t>
        </is>
      </c>
      <c r="E1329" s="7" t="inlineStr">
        <is>
          <t>Marcio</t>
        </is>
      </c>
      <c r="F1329" s="13" t="inlineStr">
        <is>
          <t>Transformação PVD 19</t>
        </is>
      </c>
      <c r="G1329" s="7" t="inlineStr">
        <is>
          <t>19</t>
        </is>
      </c>
      <c r="H1329" s="7" t="n"/>
      <c r="I1329" s="7" t="inlineStr">
        <is>
          <t>19</t>
        </is>
      </c>
      <c r="J1329" s="7" t="inlineStr">
        <is>
          <t>Transformação</t>
        </is>
      </c>
      <c r="K1329" s="7" t="inlineStr">
        <is>
          <t>Planejamento</t>
        </is>
      </c>
      <c r="L1329" s="16" t="inlineStr">
        <is>
          <t>PDS-Março(1).docx</t>
        </is>
      </c>
      <c r="M1329">
        <f>IF($A1329="","",TEXT($A1329,"mmmm/yyyy"))</f>
        <v/>
      </c>
      <c r="P1329">
        <f>IFERROR(_xludf.XLOOKUP($N1329,Base_Enderecos!$A:$A,Base_Enderecos!$B:$B,""),"")</f>
        <v/>
      </c>
      <c r="Q1329">
        <f>IFERROR(_xludf.XLOOKUP($N1329,Base_Enderecos!$A:$A,Base_Enderecos!$C:$C,""),"")</f>
        <v/>
      </c>
      <c r="R1329">
        <f>IF(OR(ISNUMBER(SEARCH("HDD",$F1329)),ISNUMBER(SEARCH("MND",$F1329)),ISNUMBER(SEARCH("PEAD",$F1329)),ISNUMBER(SEARCH("Puxe",$J1329)),ISNUMBER(SEARCH("Apoio HDD",$F1329))),"MND",IF(OR(ISNUMBER(SEARCH("VCA",$F1329)),ISNUMBER(SEARCH("PVC",$F1329)),ISNUMBER(SEARCH("vca",$J1329)),ISNUMBER(SEARCH("Transformação",$J1329))),"VCA",IF(OR(ISNUMBER(SEARCH("crava",$F1329)),ISNUMBER(SEARCH("tubo cravado",$F1329)),ISNUMBER(SEARCH("shaft",$J1329)),ISNUMBER(SEARCH("concreto",$F1329))),"TUBO CRAVADO","")))</f>
        <v/>
      </c>
      <c r="T1329">
        <f>IF($A1329="","",TEXT($A1329,"yyyymm")&amp;"|"&amp;$C1329&amp;"|"&amp;$F1329&amp;"|"&amp;$N1329&amp;"|"&amp;$R1329)</f>
        <v/>
      </c>
    </row>
    <row r="1330" ht="11.55" customHeight="1">
      <c r="A1330" s="10" t="n">
        <v>46099</v>
      </c>
      <c r="B1330" s="7" t="inlineStr">
        <is>
          <t>Quarta</t>
        </is>
      </c>
      <c r="C1330" s="7" t="inlineStr">
        <is>
          <t>CT ÁGUA VERMELHA M.D.</t>
        </is>
      </c>
      <c r="D1330" s="7" t="inlineStr">
        <is>
          <t>FABIO E VALMIR</t>
        </is>
      </c>
      <c r="E1330" s="7" t="inlineStr">
        <is>
          <t>Jhonatan</t>
        </is>
      </c>
      <c r="F1330" s="13" t="inlineStr">
        <is>
          <t>Transformação PVD 13</t>
        </is>
      </c>
      <c r="G1330" s="7" t="inlineStr">
        <is>
          <t>13</t>
        </is>
      </c>
      <c r="H1330" s="7" t="n"/>
      <c r="I1330" s="7" t="inlineStr">
        <is>
          <t>13</t>
        </is>
      </c>
      <c r="J1330" s="7" t="inlineStr">
        <is>
          <t>Transformação</t>
        </is>
      </c>
      <c r="K1330" s="7" t="inlineStr">
        <is>
          <t>Planejamento</t>
        </is>
      </c>
      <c r="L1330" s="16" t="inlineStr">
        <is>
          <t>PDS-Março(1).docx</t>
        </is>
      </c>
      <c r="M1330">
        <f>IF($A1330="","",TEXT($A1330,"mmmm/yyyy"))</f>
        <v/>
      </c>
      <c r="P1330">
        <f>IFERROR(_xludf.XLOOKUP($N1330,Base_Enderecos!$A:$A,Base_Enderecos!$B:$B,""),"")</f>
        <v/>
      </c>
      <c r="Q1330">
        <f>IFERROR(_xludf.XLOOKUP($N1330,Base_Enderecos!$A:$A,Base_Enderecos!$C:$C,""),"")</f>
        <v/>
      </c>
      <c r="R1330">
        <f>IF(OR(ISNUMBER(SEARCH("HDD",$F1330)),ISNUMBER(SEARCH("MND",$F1330)),ISNUMBER(SEARCH("PEAD",$F1330)),ISNUMBER(SEARCH("Puxe",$J1330)),ISNUMBER(SEARCH("Apoio HDD",$F1330))),"MND",IF(OR(ISNUMBER(SEARCH("VCA",$F1330)),ISNUMBER(SEARCH("PVC",$F1330)),ISNUMBER(SEARCH("vca",$J1330)),ISNUMBER(SEARCH("Transformação",$J1330))),"VCA",IF(OR(ISNUMBER(SEARCH("crava",$F1330)),ISNUMBER(SEARCH("tubo cravado",$F1330)),ISNUMBER(SEARCH("shaft",$J1330)),ISNUMBER(SEARCH("concreto",$F1330))),"TUBO CRAVADO","")))</f>
        <v/>
      </c>
      <c r="T1330">
        <f>IF($A1330="","",TEXT($A1330,"yyyymm")&amp;"|"&amp;$C1330&amp;"|"&amp;$F1330&amp;"|"&amp;$N1330&amp;"|"&amp;$R1330)</f>
        <v/>
      </c>
    </row>
    <row r="1331" ht="11.55" customHeight="1">
      <c r="A1331" s="10" t="n">
        <v>46099</v>
      </c>
      <c r="B1331" s="7" t="inlineStr">
        <is>
          <t>Quarta</t>
        </is>
      </c>
      <c r="C1331" s="7" t="inlineStr">
        <is>
          <t>CT ÁGUA VERMELHA M.D.</t>
        </is>
      </c>
      <c r="D1331" s="7" t="inlineStr">
        <is>
          <t>FABIO E VALMIR</t>
        </is>
      </c>
      <c r="E1331" s="7" t="inlineStr">
        <is>
          <t>Antônio</t>
        </is>
      </c>
      <c r="F1331" s="13" t="inlineStr">
        <is>
          <t>Transformação PVD 04</t>
        </is>
      </c>
      <c r="G1331" s="7" t="inlineStr">
        <is>
          <t>04</t>
        </is>
      </c>
      <c r="H1331" s="7" t="n"/>
      <c r="I1331" s="7" t="inlineStr">
        <is>
          <t>04</t>
        </is>
      </c>
      <c r="J1331" s="7" t="inlineStr">
        <is>
          <t>Transformação</t>
        </is>
      </c>
      <c r="K1331" s="7" t="inlineStr">
        <is>
          <t>Planejamento</t>
        </is>
      </c>
      <c r="L1331" s="16" t="inlineStr">
        <is>
          <t>PDS-Março(1).docx</t>
        </is>
      </c>
      <c r="M1331">
        <f>IF($A1331="","",TEXT($A1331,"mmmm/yyyy"))</f>
        <v/>
      </c>
      <c r="P1331">
        <f>IFERROR(_xludf.XLOOKUP($N1331,Base_Enderecos!$A:$A,Base_Enderecos!$B:$B,""),"")</f>
        <v/>
      </c>
      <c r="Q1331">
        <f>IFERROR(_xludf.XLOOKUP($N1331,Base_Enderecos!$A:$A,Base_Enderecos!$C:$C,""),"")</f>
        <v/>
      </c>
      <c r="R1331">
        <f>IF(OR(ISNUMBER(SEARCH("HDD",$F1331)),ISNUMBER(SEARCH("MND",$F1331)),ISNUMBER(SEARCH("PEAD",$F1331)),ISNUMBER(SEARCH("Puxe",$J1331)),ISNUMBER(SEARCH("Apoio HDD",$F1331))),"MND",IF(OR(ISNUMBER(SEARCH("VCA",$F1331)),ISNUMBER(SEARCH("PVC",$F1331)),ISNUMBER(SEARCH("vca",$J1331)),ISNUMBER(SEARCH("Transformação",$J1331))),"VCA",IF(OR(ISNUMBER(SEARCH("crava",$F1331)),ISNUMBER(SEARCH("tubo cravado",$F1331)),ISNUMBER(SEARCH("shaft",$J1331)),ISNUMBER(SEARCH("concreto",$F1331))),"TUBO CRAVADO","")))</f>
        <v/>
      </c>
      <c r="T1331">
        <f>IF($A1331="","",TEXT($A1331,"yyyymm")&amp;"|"&amp;$C1331&amp;"|"&amp;$F1331&amp;"|"&amp;$N1331&amp;"|"&amp;$R1331)</f>
        <v/>
      </c>
    </row>
    <row r="1332" ht="11.55" customHeight="1">
      <c r="A1332" s="10" t="n">
        <v>46099</v>
      </c>
      <c r="B1332" s="7" t="inlineStr">
        <is>
          <t>Quarta</t>
        </is>
      </c>
      <c r="C1332" s="7" t="inlineStr">
        <is>
          <t>CT ÁGUA VERMELHA M.D.</t>
        </is>
      </c>
      <c r="D1332" s="7" t="inlineStr">
        <is>
          <t>FABIO E VALMIR</t>
        </is>
      </c>
      <c r="E1332" s="7" t="inlineStr">
        <is>
          <t>Marcelo</t>
        </is>
      </c>
      <c r="F1332" s="13" t="inlineStr">
        <is>
          <t>Transformação PVD 10</t>
        </is>
      </c>
      <c r="G1332" s="7" t="inlineStr">
        <is>
          <t>10</t>
        </is>
      </c>
      <c r="H1332" s="7" t="n"/>
      <c r="I1332" s="7" t="inlineStr">
        <is>
          <t>10</t>
        </is>
      </c>
      <c r="J1332" s="7" t="inlineStr">
        <is>
          <t>Transformação</t>
        </is>
      </c>
      <c r="K1332" s="7" t="inlineStr">
        <is>
          <t>Planejamento</t>
        </is>
      </c>
      <c r="L1332" s="16" t="inlineStr">
        <is>
          <t>PDS-Março(1).docx</t>
        </is>
      </c>
      <c r="M1332">
        <f>IF($A1332="","",TEXT($A1332,"mmmm/yyyy"))</f>
        <v/>
      </c>
      <c r="P1332">
        <f>IFERROR(_xludf.XLOOKUP($N1332,Base_Enderecos!$A:$A,Base_Enderecos!$B:$B,""),"")</f>
        <v/>
      </c>
      <c r="Q1332">
        <f>IFERROR(_xludf.XLOOKUP($N1332,Base_Enderecos!$A:$A,Base_Enderecos!$C:$C,""),"")</f>
        <v/>
      </c>
      <c r="R1332">
        <f>IF(OR(ISNUMBER(SEARCH("HDD",$F1332)),ISNUMBER(SEARCH("MND",$F1332)),ISNUMBER(SEARCH("PEAD",$F1332)),ISNUMBER(SEARCH("Puxe",$J1332)),ISNUMBER(SEARCH("Apoio HDD",$F1332))),"MND",IF(OR(ISNUMBER(SEARCH("VCA",$F1332)),ISNUMBER(SEARCH("PVC",$F1332)),ISNUMBER(SEARCH("vca",$J1332)),ISNUMBER(SEARCH("Transformação",$J1332))),"VCA",IF(OR(ISNUMBER(SEARCH("crava",$F1332)),ISNUMBER(SEARCH("tubo cravado",$F1332)),ISNUMBER(SEARCH("shaft",$J1332)),ISNUMBER(SEARCH("concreto",$F1332))),"TUBO CRAVADO","")))</f>
        <v/>
      </c>
      <c r="T1332">
        <f>IF($A1332="","",TEXT($A1332,"yyyymm")&amp;"|"&amp;$C1332&amp;"|"&amp;$F1332&amp;"|"&amp;$N1332&amp;"|"&amp;$R1332)</f>
        <v/>
      </c>
    </row>
    <row r="1333" ht="11.55" customHeight="1">
      <c r="A1333" s="10" t="n">
        <v>46099</v>
      </c>
      <c r="B1333" s="7" t="inlineStr">
        <is>
          <t>Quarta</t>
        </is>
      </c>
      <c r="C1333" s="7" t="inlineStr">
        <is>
          <t>CT ÁGUA VERMELHA M.D.</t>
        </is>
      </c>
      <c r="D1333" s="7" t="inlineStr">
        <is>
          <t>FABIO E VALMIR</t>
        </is>
      </c>
      <c r="E1333" s="7" t="inlineStr">
        <is>
          <t>Ricardo</t>
        </is>
      </c>
      <c r="F1333" s="13" t="inlineStr">
        <is>
          <t>Apoio</t>
        </is>
      </c>
      <c r="G1333" s="7" t="n"/>
      <c r="H1333" s="7" t="n"/>
      <c r="I1333" s="7" t="n"/>
      <c r="J1333" s="7" t="n"/>
      <c r="K1333" s="7" t="inlineStr">
        <is>
          <t>Planejamento</t>
        </is>
      </c>
      <c r="L1333" s="16" t="inlineStr">
        <is>
          <t>PDS-Março(1).docx</t>
        </is>
      </c>
      <c r="M1333">
        <f>IF($A1333="","",TEXT($A1333,"mmmm/yyyy"))</f>
        <v/>
      </c>
      <c r="P1333">
        <f>IFERROR(_xludf.XLOOKUP($N1333,Base_Enderecos!$A:$A,Base_Enderecos!$B:$B,""),"")</f>
        <v/>
      </c>
      <c r="Q1333">
        <f>IFERROR(_xludf.XLOOKUP($N1333,Base_Enderecos!$A:$A,Base_Enderecos!$C:$C,""),"")</f>
        <v/>
      </c>
      <c r="R1333">
        <f>IF(OR(ISNUMBER(SEARCH("HDD",$F1333)),ISNUMBER(SEARCH("MND",$F1333)),ISNUMBER(SEARCH("PEAD",$F1333)),ISNUMBER(SEARCH("Puxe",$J1333)),ISNUMBER(SEARCH("Apoio HDD",$F1333))),"MND",IF(OR(ISNUMBER(SEARCH("VCA",$F1333)),ISNUMBER(SEARCH("PVC",$F1333)),ISNUMBER(SEARCH("vca",$J1333)),ISNUMBER(SEARCH("Transformação",$J1333))),"VCA",IF(OR(ISNUMBER(SEARCH("crava",$F1333)),ISNUMBER(SEARCH("tubo cravado",$F1333)),ISNUMBER(SEARCH("shaft",$J1333)),ISNUMBER(SEARCH("concreto",$F1333))),"TUBO CRAVADO","")))</f>
        <v/>
      </c>
      <c r="T1333">
        <f>IF($A1333="","",TEXT($A1333,"yyyymm")&amp;"|"&amp;$C1333&amp;"|"&amp;$F1333&amp;"|"&amp;$N1333&amp;"|"&amp;$R1333)</f>
        <v/>
      </c>
    </row>
    <row r="1334" ht="11.55" customHeight="1">
      <c r="A1334" s="10" t="n">
        <v>46099</v>
      </c>
      <c r="B1334" s="7" t="inlineStr">
        <is>
          <t>Quarta</t>
        </is>
      </c>
      <c r="C1334" s="7" t="inlineStr">
        <is>
          <t>CT ÁGUA VERMELHA M.E.</t>
        </is>
      </c>
      <c r="D1334" s="7" t="inlineStr">
        <is>
          <t>FABIO E VALMIR</t>
        </is>
      </c>
      <c r="E1334" s="7" t="inlineStr">
        <is>
          <t>Cidão</t>
        </is>
      </c>
      <c r="F1334" s="13" t="inlineStr">
        <is>
          <t>Transformação PVE 17</t>
        </is>
      </c>
      <c r="G1334" s="7" t="inlineStr">
        <is>
          <t>17</t>
        </is>
      </c>
      <c r="H1334" s="7" t="n"/>
      <c r="I1334" s="7" t="inlineStr">
        <is>
          <t>17</t>
        </is>
      </c>
      <c r="J1334" s="7" t="inlineStr">
        <is>
          <t>Transformação</t>
        </is>
      </c>
      <c r="K1334" s="7" t="inlineStr">
        <is>
          <t>Planejamento</t>
        </is>
      </c>
      <c r="L1334" s="16" t="inlineStr">
        <is>
          <t>PDS-Março(1).docx</t>
        </is>
      </c>
      <c r="M1334">
        <f>IF($A1334="","",TEXT($A1334,"mmmm/yyyy"))</f>
        <v/>
      </c>
      <c r="P1334">
        <f>IFERROR(_xludf.XLOOKUP($N1334,Base_Enderecos!$A:$A,Base_Enderecos!$B:$B,""),"")</f>
        <v/>
      </c>
      <c r="Q1334">
        <f>IFERROR(_xludf.XLOOKUP($N1334,Base_Enderecos!$A:$A,Base_Enderecos!$C:$C,""),"")</f>
        <v/>
      </c>
      <c r="R1334">
        <f>IF(OR(ISNUMBER(SEARCH("HDD",$F1334)),ISNUMBER(SEARCH("MND",$F1334)),ISNUMBER(SEARCH("PEAD",$F1334)),ISNUMBER(SEARCH("Puxe",$J1334)),ISNUMBER(SEARCH("Apoio HDD",$F1334))),"MND",IF(OR(ISNUMBER(SEARCH("VCA",$F1334)),ISNUMBER(SEARCH("PVC",$F1334)),ISNUMBER(SEARCH("vca",$J1334)),ISNUMBER(SEARCH("Transformação",$J1334))),"VCA",IF(OR(ISNUMBER(SEARCH("crava",$F1334)),ISNUMBER(SEARCH("tubo cravado",$F1334)),ISNUMBER(SEARCH("shaft",$J1334)),ISNUMBER(SEARCH("concreto",$F1334))),"TUBO CRAVADO","")))</f>
        <v/>
      </c>
      <c r="T1334">
        <f>IF($A1334="","",TEXT($A1334,"yyyymm")&amp;"|"&amp;$C1334&amp;"|"&amp;$F1334&amp;"|"&amp;$N1334&amp;"|"&amp;$R1334)</f>
        <v/>
      </c>
    </row>
    <row r="1335" ht="11.55" customHeight="1">
      <c r="A1335" s="10" t="n">
        <v>46099</v>
      </c>
      <c r="B1335" s="7" t="inlineStr">
        <is>
          <t>Quarta</t>
        </is>
      </c>
      <c r="C1335" s="7" t="inlineStr">
        <is>
          <t>CT ÁGUA VERMELHA M.E.</t>
        </is>
      </c>
      <c r="D1335" s="7" t="inlineStr">
        <is>
          <t>FABIO E VALMIR</t>
        </is>
      </c>
      <c r="E1335" s="7" t="inlineStr">
        <is>
          <t>Edivando</t>
        </is>
      </c>
      <c r="F1335" s="13" t="inlineStr">
        <is>
          <t>Transformação PVE 23</t>
        </is>
      </c>
      <c r="G1335" s="7" t="inlineStr">
        <is>
          <t>23</t>
        </is>
      </c>
      <c r="H1335" s="7" t="n"/>
      <c r="I1335" s="7" t="inlineStr">
        <is>
          <t>23</t>
        </is>
      </c>
      <c r="J1335" s="7" t="inlineStr">
        <is>
          <t>Transformação</t>
        </is>
      </c>
      <c r="K1335" s="7" t="inlineStr">
        <is>
          <t>Planejamento</t>
        </is>
      </c>
      <c r="L1335" s="16" t="inlineStr">
        <is>
          <t>PDS-Março(1).docx</t>
        </is>
      </c>
      <c r="M1335">
        <f>IF($A1335="","",TEXT($A1335,"mmmm/yyyy"))</f>
        <v/>
      </c>
      <c r="P1335">
        <f>IFERROR(_xludf.XLOOKUP($N1335,Base_Enderecos!$A:$A,Base_Enderecos!$B:$B,""),"")</f>
        <v/>
      </c>
      <c r="Q1335">
        <f>IFERROR(_xludf.XLOOKUP($N1335,Base_Enderecos!$A:$A,Base_Enderecos!$C:$C,""),"")</f>
        <v/>
      </c>
      <c r="R1335">
        <f>IF(OR(ISNUMBER(SEARCH("HDD",$F1335)),ISNUMBER(SEARCH("MND",$F1335)),ISNUMBER(SEARCH("PEAD",$F1335)),ISNUMBER(SEARCH("Puxe",$J1335)),ISNUMBER(SEARCH("Apoio HDD",$F1335))),"MND",IF(OR(ISNUMBER(SEARCH("VCA",$F1335)),ISNUMBER(SEARCH("PVC",$F1335)),ISNUMBER(SEARCH("vca",$J1335)),ISNUMBER(SEARCH("Transformação",$J1335))),"VCA",IF(OR(ISNUMBER(SEARCH("crava",$F1335)),ISNUMBER(SEARCH("tubo cravado",$F1335)),ISNUMBER(SEARCH("shaft",$J1335)),ISNUMBER(SEARCH("concreto",$F1335))),"TUBO CRAVADO","")))</f>
        <v/>
      </c>
      <c r="T1335">
        <f>IF($A1335="","",TEXT($A1335,"yyyymm")&amp;"|"&amp;$C1335&amp;"|"&amp;$F1335&amp;"|"&amp;$N1335&amp;"|"&amp;$R1335)</f>
        <v/>
      </c>
    </row>
    <row r="1336" ht="11.55" customHeight="1">
      <c r="A1336" s="10" t="n">
        <v>46099</v>
      </c>
      <c r="B1336" s="7" t="inlineStr">
        <is>
          <t>Quarta</t>
        </is>
      </c>
      <c r="C1336" s="7" t="inlineStr">
        <is>
          <t>CT ÁGUA VERMELHA M.E.</t>
        </is>
      </c>
      <c r="D1336" s="7" t="inlineStr">
        <is>
          <t>FABIO E VALMIR</t>
        </is>
      </c>
      <c r="E1336" s="7" t="inlineStr">
        <is>
          <t>Cesar</t>
        </is>
      </c>
      <c r="F1336" s="13" t="inlineStr">
        <is>
          <t>Transformação PVE 13</t>
        </is>
      </c>
      <c r="G1336" s="7" t="inlineStr">
        <is>
          <t>13</t>
        </is>
      </c>
      <c r="H1336" s="7" t="n"/>
      <c r="I1336" s="7" t="inlineStr">
        <is>
          <t>13</t>
        </is>
      </c>
      <c r="J1336" s="7" t="inlineStr">
        <is>
          <t>Transformação</t>
        </is>
      </c>
      <c r="K1336" s="7" t="inlineStr">
        <is>
          <t>Planejamento</t>
        </is>
      </c>
      <c r="L1336" s="16" t="inlineStr">
        <is>
          <t>PDS-Março(1).docx</t>
        </is>
      </c>
      <c r="M1336">
        <f>IF($A1336="","",TEXT($A1336,"mmmm/yyyy"))</f>
        <v/>
      </c>
      <c r="P1336">
        <f>IFERROR(_xludf.XLOOKUP($N1336,Base_Enderecos!$A:$A,Base_Enderecos!$B:$B,""),"")</f>
        <v/>
      </c>
      <c r="Q1336">
        <f>IFERROR(_xludf.XLOOKUP($N1336,Base_Enderecos!$A:$A,Base_Enderecos!$C:$C,""),"")</f>
        <v/>
      </c>
      <c r="R1336">
        <f>IF(OR(ISNUMBER(SEARCH("HDD",$F1336)),ISNUMBER(SEARCH("MND",$F1336)),ISNUMBER(SEARCH("PEAD",$F1336)),ISNUMBER(SEARCH("Puxe",$J1336)),ISNUMBER(SEARCH("Apoio HDD",$F1336))),"MND",IF(OR(ISNUMBER(SEARCH("VCA",$F1336)),ISNUMBER(SEARCH("PVC",$F1336)),ISNUMBER(SEARCH("vca",$J1336)),ISNUMBER(SEARCH("Transformação",$J1336))),"VCA",IF(OR(ISNUMBER(SEARCH("crava",$F1336)),ISNUMBER(SEARCH("tubo cravado",$F1336)),ISNUMBER(SEARCH("shaft",$J1336)),ISNUMBER(SEARCH("concreto",$F1336))),"TUBO CRAVADO","")))</f>
        <v/>
      </c>
      <c r="T1336">
        <f>IF($A1336="","",TEXT($A1336,"yyyymm")&amp;"|"&amp;$C1336&amp;"|"&amp;$F1336&amp;"|"&amp;$N1336&amp;"|"&amp;$R1336)</f>
        <v/>
      </c>
    </row>
    <row r="1337" ht="11.55" customHeight="1">
      <c r="A1337" s="10" t="n">
        <v>46099</v>
      </c>
      <c r="B1337" s="7" t="inlineStr">
        <is>
          <t>Quarta</t>
        </is>
      </c>
      <c r="C1337" s="7" t="inlineStr">
        <is>
          <t>CT ÁGUA VERMELHA M.E.</t>
        </is>
      </c>
      <c r="D1337" s="7" t="inlineStr">
        <is>
          <t>FABIO E VALMIR</t>
        </is>
      </c>
      <c r="E1337" s="7" t="inlineStr">
        <is>
          <t>Higor</t>
        </is>
      </c>
      <c r="F1337" s="13" t="inlineStr">
        <is>
          <t>Transformação PVE 12</t>
        </is>
      </c>
      <c r="G1337" s="7" t="inlineStr">
        <is>
          <t>12</t>
        </is>
      </c>
      <c r="H1337" s="7" t="n"/>
      <c r="I1337" s="7" t="inlineStr">
        <is>
          <t>12</t>
        </is>
      </c>
      <c r="J1337" s="7" t="inlineStr">
        <is>
          <t>Transformação</t>
        </is>
      </c>
      <c r="K1337" s="7" t="inlineStr">
        <is>
          <t>Planejamento</t>
        </is>
      </c>
      <c r="L1337" s="16" t="inlineStr">
        <is>
          <t>PDS-Março(1).docx</t>
        </is>
      </c>
      <c r="M1337">
        <f>IF($A1337="","",TEXT($A1337,"mmmm/yyyy"))</f>
        <v/>
      </c>
      <c r="P1337">
        <f>IFERROR(_xludf.XLOOKUP($N1337,Base_Enderecos!$A:$A,Base_Enderecos!$B:$B,""),"")</f>
        <v/>
      </c>
      <c r="Q1337">
        <f>IFERROR(_xludf.XLOOKUP($N1337,Base_Enderecos!$A:$A,Base_Enderecos!$C:$C,""),"")</f>
        <v/>
      </c>
      <c r="R1337">
        <f>IF(OR(ISNUMBER(SEARCH("HDD",$F1337)),ISNUMBER(SEARCH("MND",$F1337)),ISNUMBER(SEARCH("PEAD",$F1337)),ISNUMBER(SEARCH("Puxe",$J1337)),ISNUMBER(SEARCH("Apoio HDD",$F1337))),"MND",IF(OR(ISNUMBER(SEARCH("VCA",$F1337)),ISNUMBER(SEARCH("PVC",$F1337)),ISNUMBER(SEARCH("vca",$J1337)),ISNUMBER(SEARCH("Transformação",$J1337))),"VCA",IF(OR(ISNUMBER(SEARCH("crava",$F1337)),ISNUMBER(SEARCH("tubo cravado",$F1337)),ISNUMBER(SEARCH("shaft",$J1337)),ISNUMBER(SEARCH("concreto",$F1337))),"TUBO CRAVADO","")))</f>
        <v/>
      </c>
      <c r="T1337">
        <f>IF($A1337="","",TEXT($A1337,"yyyymm")&amp;"|"&amp;$C1337&amp;"|"&amp;$F1337&amp;"|"&amp;$N1337&amp;"|"&amp;$R1337)</f>
        <v/>
      </c>
    </row>
    <row r="1338" ht="11.55" customHeight="1">
      <c r="A1338" s="10" t="n">
        <v>46099</v>
      </c>
      <c r="B1338" s="7" t="inlineStr">
        <is>
          <t>Quarta</t>
        </is>
      </c>
      <c r="C1338" s="7" t="inlineStr">
        <is>
          <t>RCE FCO. SOUTO MAIOR</t>
        </is>
      </c>
      <c r="D1338" s="7" t="inlineStr">
        <is>
          <t>ROBSON</t>
        </is>
      </c>
      <c r="E1338" s="7" t="inlineStr">
        <is>
          <t>Valter</t>
        </is>
      </c>
      <c r="F1338" s="13" t="inlineStr">
        <is>
          <t>VCA e Ligações – Rua Canto da Serra</t>
        </is>
      </c>
      <c r="G1338" s="7" t="n"/>
      <c r="H1338" s="7" t="n"/>
      <c r="I1338" s="7" t="n"/>
      <c r="J1338" s="7" t="inlineStr">
        <is>
          <t>VCA</t>
        </is>
      </c>
      <c r="K1338" s="7" t="inlineStr">
        <is>
          <t>Planejamento</t>
        </is>
      </c>
      <c r="L1338" s="16" t="inlineStr">
        <is>
          <t>PDS-Março(1).docx</t>
        </is>
      </c>
      <c r="M1338">
        <f>IF($A1338="","",TEXT($A1338,"mmmm/yyyy"))</f>
        <v/>
      </c>
      <c r="P1338">
        <f>IFERROR(_xludf.XLOOKUP($N1338,Base_Enderecos!$A:$A,Base_Enderecos!$B:$B,""),"")</f>
        <v/>
      </c>
      <c r="Q1338">
        <f>IFERROR(_xludf.XLOOKUP($N1338,Base_Enderecos!$A:$A,Base_Enderecos!$C:$C,""),"")</f>
        <v/>
      </c>
      <c r="R1338">
        <f>IF(OR(ISNUMBER(SEARCH("HDD",$F1338)),ISNUMBER(SEARCH("MND",$F1338)),ISNUMBER(SEARCH("PEAD",$F1338)),ISNUMBER(SEARCH("Puxe",$J1338)),ISNUMBER(SEARCH("Apoio HDD",$F1338))),"MND",IF(OR(ISNUMBER(SEARCH("VCA",$F1338)),ISNUMBER(SEARCH("PVC",$F1338)),ISNUMBER(SEARCH("vca",$J1338)),ISNUMBER(SEARCH("Transformação",$J1338))),"VCA",IF(OR(ISNUMBER(SEARCH("crava",$F1338)),ISNUMBER(SEARCH("tubo cravado",$F1338)),ISNUMBER(SEARCH("shaft",$J1338)),ISNUMBER(SEARCH("concreto",$F1338))),"TUBO CRAVADO","")))</f>
        <v/>
      </c>
      <c r="T1338">
        <f>IF($A1338="","",TEXT($A1338,"yyyymm")&amp;"|"&amp;$C1338&amp;"|"&amp;$F1338&amp;"|"&amp;$N1338&amp;"|"&amp;$R1338)</f>
        <v/>
      </c>
    </row>
    <row r="1339" ht="11.55" customHeight="1">
      <c r="A1339" s="10" t="n">
        <v>46099</v>
      </c>
      <c r="B1339" s="7" t="inlineStr">
        <is>
          <t>Quarta</t>
        </is>
      </c>
      <c r="C1339" s="7" t="inlineStr">
        <is>
          <t>Vacal</t>
        </is>
      </c>
      <c r="D1339" s="7" t="n"/>
      <c r="E1339" s="7" t="inlineStr">
        <is>
          <t>Conceição</t>
        </is>
      </c>
      <c r="F1339" s="13" t="inlineStr">
        <is>
          <t>Apoio Vacal</t>
        </is>
      </c>
      <c r="G1339" s="7" t="n"/>
      <c r="H1339" s="7" t="n"/>
      <c r="I1339" s="7" t="n"/>
      <c r="J1339" s="7" t="inlineStr">
        <is>
          <t>Vacal</t>
        </is>
      </c>
      <c r="K1339" s="7" t="inlineStr">
        <is>
          <t>Apoio</t>
        </is>
      </c>
      <c r="L1339" s="16" t="inlineStr">
        <is>
          <t>PDS-Março(1).docx</t>
        </is>
      </c>
      <c r="M1339">
        <f>IF($A1339="","",TEXT($A1339,"mmmm/yyyy"))</f>
        <v/>
      </c>
      <c r="P1339">
        <f>IFERROR(_xludf.XLOOKUP($N1339,Base_Enderecos!$A:$A,Base_Enderecos!$B:$B,""),"")</f>
        <v/>
      </c>
      <c r="Q1339">
        <f>IFERROR(_xludf.XLOOKUP($N1339,Base_Enderecos!$A:$A,Base_Enderecos!$C:$C,""),"")</f>
        <v/>
      </c>
      <c r="R1339">
        <f>IF(OR(ISNUMBER(SEARCH("HDD",$F1339)),ISNUMBER(SEARCH("MND",$F1339)),ISNUMBER(SEARCH("PEAD",$F1339)),ISNUMBER(SEARCH("Puxe",$J1339)),ISNUMBER(SEARCH("Apoio HDD",$F1339))),"MND",IF(OR(ISNUMBER(SEARCH("VCA",$F1339)),ISNUMBER(SEARCH("PVC",$F1339)),ISNUMBER(SEARCH("vca",$J1339)),ISNUMBER(SEARCH("Transformação",$J1339))),"VCA",IF(OR(ISNUMBER(SEARCH("crava",$F1339)),ISNUMBER(SEARCH("tubo cravado",$F1339)),ISNUMBER(SEARCH("shaft",$J1339)),ISNUMBER(SEARCH("concreto",$F1339))),"TUBO CRAVADO","")))</f>
        <v/>
      </c>
      <c r="T1339">
        <f>IF($A1339="","",TEXT($A1339,"yyyymm")&amp;"|"&amp;$C1339&amp;"|"&amp;$F1339&amp;"|"&amp;$N1339&amp;"|"&amp;$R1339)</f>
        <v/>
      </c>
    </row>
    <row r="1340" ht="11.55" customHeight="1">
      <c r="A1340" s="10" t="n">
        <v>46099</v>
      </c>
      <c r="B1340" s="7" t="inlineStr">
        <is>
          <t>Quarta</t>
        </is>
      </c>
      <c r="C1340" s="7" t="inlineStr">
        <is>
          <t>Vacal</t>
        </is>
      </c>
      <c r="D1340" s="7" t="n"/>
      <c r="E1340" s="7" t="inlineStr">
        <is>
          <t>Conceição</t>
        </is>
      </c>
      <c r="F1340" s="13" t="inlineStr">
        <is>
          <t>Apoio Vacal</t>
        </is>
      </c>
      <c r="G1340" s="7" t="n"/>
      <c r="H1340" s="7" t="n"/>
      <c r="I1340" s="7" t="n"/>
      <c r="J1340" s="7" t="inlineStr">
        <is>
          <t>Vacal</t>
        </is>
      </c>
      <c r="K1340" s="7" t="inlineStr">
        <is>
          <t>Apoio</t>
        </is>
      </c>
      <c r="L1340" s="16" t="inlineStr">
        <is>
          <t>PDS-Março(1).docx</t>
        </is>
      </c>
      <c r="M1340">
        <f>IF($A1340="","",TEXT($A1340,"mmmm/yyyy"))</f>
        <v/>
      </c>
      <c r="P1340">
        <f>IFERROR(_xludf.XLOOKUP($N1340,Base_Enderecos!$A:$A,Base_Enderecos!$B:$B,""),"")</f>
        <v/>
      </c>
      <c r="Q1340">
        <f>IFERROR(_xludf.XLOOKUP($N1340,Base_Enderecos!$A:$A,Base_Enderecos!$C:$C,""),"")</f>
        <v/>
      </c>
      <c r="R1340">
        <f>IF(OR(ISNUMBER(SEARCH("HDD",$F1340)),ISNUMBER(SEARCH("MND",$F1340)),ISNUMBER(SEARCH("PEAD",$F1340)),ISNUMBER(SEARCH("Puxe",$J1340)),ISNUMBER(SEARCH("Apoio HDD",$F1340))),"MND",IF(OR(ISNUMBER(SEARCH("VCA",$F1340)),ISNUMBER(SEARCH("PVC",$F1340)),ISNUMBER(SEARCH("vca",$J1340)),ISNUMBER(SEARCH("Transformação",$J1340))),"VCA",IF(OR(ISNUMBER(SEARCH("crava",$F1340)),ISNUMBER(SEARCH("tubo cravado",$F1340)),ISNUMBER(SEARCH("shaft",$J1340)),ISNUMBER(SEARCH("concreto",$F1340))),"TUBO CRAVADO","")))</f>
        <v/>
      </c>
      <c r="T1340">
        <f>IF($A1340="","",TEXT($A1340,"yyyymm")&amp;"|"&amp;$C1340&amp;"|"&amp;$F1340&amp;"|"&amp;$N1340&amp;"|"&amp;$R1340)</f>
        <v/>
      </c>
    </row>
    <row r="1341" ht="11.55" customHeight="1">
      <c r="A1341" s="10" t="n">
        <v>46099</v>
      </c>
      <c r="B1341" s="7" t="inlineStr">
        <is>
          <t>Quarta</t>
        </is>
      </c>
      <c r="C1341" s="7" t="inlineStr">
        <is>
          <t>Vacal</t>
        </is>
      </c>
      <c r="D1341" s="7" t="n"/>
      <c r="E1341" s="7" t="inlineStr">
        <is>
          <t>Água Vermelha</t>
        </is>
      </c>
      <c r="F1341" s="13" t="inlineStr">
        <is>
          <t>Apoio Vacal</t>
        </is>
      </c>
      <c r="G1341" s="7" t="n"/>
      <c r="H1341" s="7" t="n"/>
      <c r="I1341" s="7" t="n"/>
      <c r="J1341" s="7" t="inlineStr">
        <is>
          <t>Vacal</t>
        </is>
      </c>
      <c r="K1341" s="7" t="inlineStr">
        <is>
          <t>Apoio</t>
        </is>
      </c>
      <c r="L1341" s="16" t="inlineStr">
        <is>
          <t>PDS-Março(1).docx</t>
        </is>
      </c>
      <c r="M1341">
        <f>IF($A1341="","",TEXT($A1341,"mmmm/yyyy"))</f>
        <v/>
      </c>
      <c r="P1341">
        <f>IFERROR(_xludf.XLOOKUP($N1341,Base_Enderecos!$A:$A,Base_Enderecos!$B:$B,""),"")</f>
        <v/>
      </c>
      <c r="Q1341">
        <f>IFERROR(_xludf.XLOOKUP($N1341,Base_Enderecos!$A:$A,Base_Enderecos!$C:$C,""),"")</f>
        <v/>
      </c>
      <c r="R1341">
        <f>IF(OR(ISNUMBER(SEARCH("HDD",$F1341)),ISNUMBER(SEARCH("MND",$F1341)),ISNUMBER(SEARCH("PEAD",$F1341)),ISNUMBER(SEARCH("Puxe",$J1341)),ISNUMBER(SEARCH("Apoio HDD",$F1341))),"MND",IF(OR(ISNUMBER(SEARCH("VCA",$F1341)),ISNUMBER(SEARCH("PVC",$F1341)),ISNUMBER(SEARCH("vca",$J1341)),ISNUMBER(SEARCH("Transformação",$J1341))),"VCA",IF(OR(ISNUMBER(SEARCH("crava",$F1341)),ISNUMBER(SEARCH("tubo cravado",$F1341)),ISNUMBER(SEARCH("shaft",$J1341)),ISNUMBER(SEARCH("concreto",$F1341))),"TUBO CRAVADO","")))</f>
        <v/>
      </c>
      <c r="T1341">
        <f>IF($A1341="","",TEXT($A1341,"yyyymm")&amp;"|"&amp;$C1341&amp;"|"&amp;$F1341&amp;"|"&amp;$N1341&amp;"|"&amp;$R1341)</f>
        <v/>
      </c>
    </row>
    <row r="1342" ht="11.55" customHeight="1">
      <c r="A1342" s="10" t="n">
        <v>46099</v>
      </c>
      <c r="B1342" s="7" t="inlineStr">
        <is>
          <t>Quarta</t>
        </is>
      </c>
      <c r="C1342" s="7" t="inlineStr">
        <is>
          <t>Vacal</t>
        </is>
      </c>
      <c r="D1342" s="7" t="n"/>
      <c r="E1342" s="7" t="inlineStr">
        <is>
          <t>Água Vermelha</t>
        </is>
      </c>
      <c r="F1342" s="13" t="inlineStr">
        <is>
          <t>Apoio Vacal</t>
        </is>
      </c>
      <c r="G1342" s="7" t="n"/>
      <c r="H1342" s="7" t="n"/>
      <c r="I1342" s="7" t="n"/>
      <c r="J1342" s="7" t="inlineStr">
        <is>
          <t>Vacal</t>
        </is>
      </c>
      <c r="K1342" s="7" t="inlineStr">
        <is>
          <t>Apoio</t>
        </is>
      </c>
      <c r="L1342" s="16" t="inlineStr">
        <is>
          <t>PDS-Março(1).docx</t>
        </is>
      </c>
      <c r="M1342">
        <f>IF($A1342="","",TEXT($A1342,"mmmm/yyyy"))</f>
        <v/>
      </c>
      <c r="P1342">
        <f>IFERROR(_xludf.XLOOKUP($N1342,Base_Enderecos!$A:$A,Base_Enderecos!$B:$B,""),"")</f>
        <v/>
      </c>
      <c r="Q1342">
        <f>IFERROR(_xludf.XLOOKUP($N1342,Base_Enderecos!$A:$A,Base_Enderecos!$C:$C,""),"")</f>
        <v/>
      </c>
      <c r="R1342">
        <f>IF(OR(ISNUMBER(SEARCH("HDD",$F1342)),ISNUMBER(SEARCH("MND",$F1342)),ISNUMBER(SEARCH("PEAD",$F1342)),ISNUMBER(SEARCH("Puxe",$J1342)),ISNUMBER(SEARCH("Apoio HDD",$F1342))),"MND",IF(OR(ISNUMBER(SEARCH("VCA",$F1342)),ISNUMBER(SEARCH("PVC",$F1342)),ISNUMBER(SEARCH("vca",$J1342)),ISNUMBER(SEARCH("Transformação",$J1342))),"VCA",IF(OR(ISNUMBER(SEARCH("crava",$F1342)),ISNUMBER(SEARCH("tubo cravado",$F1342)),ISNUMBER(SEARCH("shaft",$J1342)),ISNUMBER(SEARCH("concreto",$F1342))),"TUBO CRAVADO","")))</f>
        <v/>
      </c>
      <c r="T1342">
        <f>IF($A1342="","",TEXT($A1342,"yyyymm")&amp;"|"&amp;$C1342&amp;"|"&amp;$F1342&amp;"|"&amp;$N1342&amp;"|"&amp;$R1342)</f>
        <v/>
      </c>
    </row>
    <row r="1343" ht="11.55" customHeight="1">
      <c r="A1343" s="10" t="n">
        <v>46099</v>
      </c>
      <c r="B1343" s="7" t="inlineStr">
        <is>
          <t>Quarta</t>
        </is>
      </c>
      <c r="C1343" s="7" t="inlineStr">
        <is>
          <t>Guindauto</t>
        </is>
      </c>
      <c r="D1343" s="7" t="n"/>
      <c r="E1343" s="7" t="inlineStr">
        <is>
          <t>Rodrigo</t>
        </is>
      </c>
      <c r="F1343" s="13" t="inlineStr">
        <is>
          <t>Rodrigo - Apoio as equipes</t>
        </is>
      </c>
      <c r="G1343" s="7" t="n"/>
      <c r="H1343" s="7" t="n"/>
      <c r="I1343" s="7" t="n"/>
      <c r="J1343" s="7" t="inlineStr">
        <is>
          <t>Guindauto</t>
        </is>
      </c>
      <c r="K1343" s="7" t="inlineStr">
        <is>
          <t>Apoio</t>
        </is>
      </c>
      <c r="L1343" s="16" t="inlineStr">
        <is>
          <t>PDS-Março(1).docx</t>
        </is>
      </c>
      <c r="M1343">
        <f>IF($A1343="","",TEXT($A1343,"mmmm/yyyy"))</f>
        <v/>
      </c>
      <c r="P1343">
        <f>IFERROR(_xludf.XLOOKUP($N1343,Base_Enderecos!$A:$A,Base_Enderecos!$B:$B,""),"")</f>
        <v/>
      </c>
      <c r="Q1343">
        <f>IFERROR(_xludf.XLOOKUP($N1343,Base_Enderecos!$A:$A,Base_Enderecos!$C:$C,""),"")</f>
        <v/>
      </c>
      <c r="R1343">
        <f>IF(OR(ISNUMBER(SEARCH("HDD",$F1343)),ISNUMBER(SEARCH("MND",$F1343)),ISNUMBER(SEARCH("PEAD",$F1343)),ISNUMBER(SEARCH("Puxe",$J1343)),ISNUMBER(SEARCH("Apoio HDD",$F1343))),"MND",IF(OR(ISNUMBER(SEARCH("VCA",$F1343)),ISNUMBER(SEARCH("PVC",$F1343)),ISNUMBER(SEARCH("vca",$J1343)),ISNUMBER(SEARCH("Transformação",$J1343))),"VCA",IF(OR(ISNUMBER(SEARCH("crava",$F1343)),ISNUMBER(SEARCH("tubo cravado",$F1343)),ISNUMBER(SEARCH("shaft",$J1343)),ISNUMBER(SEARCH("concreto",$F1343))),"TUBO CRAVADO","")))</f>
        <v/>
      </c>
      <c r="T1343">
        <f>IF($A1343="","",TEXT($A1343,"yyyymm")&amp;"|"&amp;$C1343&amp;"|"&amp;$F1343&amp;"|"&amp;$N1343&amp;"|"&amp;$R1343)</f>
        <v/>
      </c>
    </row>
    <row r="1344" ht="11.55" customHeight="1">
      <c r="A1344" s="10" t="n">
        <v>46099</v>
      </c>
      <c r="B1344" s="7" t="inlineStr">
        <is>
          <t>Quarta</t>
        </is>
      </c>
      <c r="C1344" s="7" t="inlineStr">
        <is>
          <t>Guindauto</t>
        </is>
      </c>
      <c r="D1344" s="7" t="n"/>
      <c r="E1344" s="7" t="inlineStr">
        <is>
          <t>Marcio</t>
        </is>
      </c>
      <c r="F1344" s="13" t="inlineStr">
        <is>
          <t>Marcio - Apoio as equipes</t>
        </is>
      </c>
      <c r="G1344" s="7" t="n"/>
      <c r="H1344" s="7" t="n"/>
      <c r="I1344" s="7" t="n"/>
      <c r="J1344" s="7" t="inlineStr">
        <is>
          <t>Guindauto</t>
        </is>
      </c>
      <c r="K1344" s="7" t="inlineStr">
        <is>
          <t>Apoio</t>
        </is>
      </c>
      <c r="L1344" s="16" t="inlineStr">
        <is>
          <t>PDS-Março(1).docx</t>
        </is>
      </c>
      <c r="M1344">
        <f>IF($A1344="","",TEXT($A1344,"mmmm/yyyy"))</f>
        <v/>
      </c>
      <c r="P1344">
        <f>IFERROR(_xludf.XLOOKUP($N1344,Base_Enderecos!$A:$A,Base_Enderecos!$B:$B,""),"")</f>
        <v/>
      </c>
      <c r="Q1344">
        <f>IFERROR(_xludf.XLOOKUP($N1344,Base_Enderecos!$A:$A,Base_Enderecos!$C:$C,""),"")</f>
        <v/>
      </c>
      <c r="R1344">
        <f>IF(OR(ISNUMBER(SEARCH("HDD",$F1344)),ISNUMBER(SEARCH("MND",$F1344)),ISNUMBER(SEARCH("PEAD",$F1344)),ISNUMBER(SEARCH("Puxe",$J1344)),ISNUMBER(SEARCH("Apoio HDD",$F1344))),"MND",IF(OR(ISNUMBER(SEARCH("VCA",$F1344)),ISNUMBER(SEARCH("PVC",$F1344)),ISNUMBER(SEARCH("vca",$J1344)),ISNUMBER(SEARCH("Transformação",$J1344))),"VCA",IF(OR(ISNUMBER(SEARCH("crava",$F1344)),ISNUMBER(SEARCH("tubo cravado",$F1344)),ISNUMBER(SEARCH("shaft",$J1344)),ISNUMBER(SEARCH("concreto",$F1344))),"TUBO CRAVADO","")))</f>
        <v/>
      </c>
      <c r="T1344">
        <f>IF($A1344="","",TEXT($A1344,"yyyymm")&amp;"|"&amp;$C1344&amp;"|"&amp;$F1344&amp;"|"&amp;$N1344&amp;"|"&amp;$R1344)</f>
        <v/>
      </c>
    </row>
    <row r="1345" ht="11.55" customHeight="1">
      <c r="A1345" s="10" t="n">
        <v>46100</v>
      </c>
      <c r="B1345" s="7" t="inlineStr">
        <is>
          <t>Quinta</t>
        </is>
      </c>
      <c r="C1345" s="7" t="inlineStr">
        <is>
          <t>CTS CONCEIÇÃO</t>
        </is>
      </c>
      <c r="D1345" s="7" t="inlineStr">
        <is>
          <t>LEANDRO E SILVESTRE</t>
        </is>
      </c>
      <c r="E1345" s="7" t="inlineStr">
        <is>
          <t>GR DRILL</t>
        </is>
      </c>
      <c r="F1345" s="13" t="inlineStr">
        <is>
          <t>Piloto e puxe entre PV 02 ao 04</t>
        </is>
      </c>
      <c r="G1345" s="7" t="inlineStr">
        <is>
          <t>02</t>
        </is>
      </c>
      <c r="H1345" s="7" t="n"/>
      <c r="I1345" s="7" t="inlineStr">
        <is>
          <t>02</t>
        </is>
      </c>
      <c r="J1345" s="7" t="inlineStr">
        <is>
          <t>Piloto e puxe</t>
        </is>
      </c>
      <c r="K1345" s="7" t="inlineStr">
        <is>
          <t>Planejamento</t>
        </is>
      </c>
      <c r="L1345" s="16" t="inlineStr">
        <is>
          <t>PDS-Março(1).docx</t>
        </is>
      </c>
      <c r="M1345">
        <f>IF($A1345="","",TEXT($A1345,"mmmm/yyyy"))</f>
        <v/>
      </c>
      <c r="P1345">
        <f>IFERROR(_xludf.XLOOKUP($N1345,Base_Enderecos!$A:$A,Base_Enderecos!$B:$B,""),"")</f>
        <v/>
      </c>
      <c r="Q1345">
        <f>IFERROR(_xludf.XLOOKUP($N1345,Base_Enderecos!$A:$A,Base_Enderecos!$C:$C,""),"")</f>
        <v/>
      </c>
      <c r="R1345">
        <f>IF(OR(ISNUMBER(SEARCH("HDD",$F1345)),ISNUMBER(SEARCH("MND",$F1345)),ISNUMBER(SEARCH("PEAD",$F1345)),ISNUMBER(SEARCH("Puxe",$J1345)),ISNUMBER(SEARCH("Apoio HDD",$F1345))),"MND",IF(OR(ISNUMBER(SEARCH("VCA",$F1345)),ISNUMBER(SEARCH("PVC",$F1345)),ISNUMBER(SEARCH("vca",$J1345)),ISNUMBER(SEARCH("Transformação",$J1345))),"VCA",IF(OR(ISNUMBER(SEARCH("crava",$F1345)),ISNUMBER(SEARCH("tubo cravado",$F1345)),ISNUMBER(SEARCH("shaft",$J1345)),ISNUMBER(SEARCH("concreto",$F1345))),"TUBO CRAVADO","")))</f>
        <v/>
      </c>
      <c r="T1345">
        <f>IF($A1345="","",TEXT($A1345,"yyyymm")&amp;"|"&amp;$C1345&amp;"|"&amp;$F1345&amp;"|"&amp;$N1345&amp;"|"&amp;$R1345)</f>
        <v/>
      </c>
    </row>
    <row r="1346" ht="11.55" customHeight="1">
      <c r="A1346" s="10" t="n">
        <v>46100</v>
      </c>
      <c r="B1346" s="7" t="inlineStr">
        <is>
          <t>Quinta</t>
        </is>
      </c>
      <c r="C1346" s="7" t="inlineStr">
        <is>
          <t>CTS CONCEIÇÃO</t>
        </is>
      </c>
      <c r="D1346" s="7" t="inlineStr">
        <is>
          <t>LEANDRO E SILVESTRE</t>
        </is>
      </c>
      <c r="E1346" s="7" t="inlineStr">
        <is>
          <t>Medeiros</t>
        </is>
      </c>
      <c r="F1346" s="13" t="inlineStr">
        <is>
          <t>Apoio HDD entre PV 02 ao 04</t>
        </is>
      </c>
      <c r="G1346" s="7" t="inlineStr">
        <is>
          <t>02</t>
        </is>
      </c>
      <c r="H1346" s="7" t="n"/>
      <c r="I1346" s="7" t="inlineStr">
        <is>
          <t>02</t>
        </is>
      </c>
      <c r="J1346" s="7" t="inlineStr">
        <is>
          <t>Apoio HDD</t>
        </is>
      </c>
      <c r="K1346" s="7" t="inlineStr">
        <is>
          <t>Planejamento</t>
        </is>
      </c>
      <c r="L1346" s="16" t="inlineStr">
        <is>
          <t>PDS-Março(1).docx</t>
        </is>
      </c>
      <c r="M1346">
        <f>IF($A1346="","",TEXT($A1346,"mmmm/yyyy"))</f>
        <v/>
      </c>
      <c r="P1346">
        <f>IFERROR(_xludf.XLOOKUP($N1346,Base_Enderecos!$A:$A,Base_Enderecos!$B:$B,""),"")</f>
        <v/>
      </c>
      <c r="Q1346">
        <f>IFERROR(_xludf.XLOOKUP($N1346,Base_Enderecos!$A:$A,Base_Enderecos!$C:$C,""),"")</f>
        <v/>
      </c>
      <c r="R1346">
        <f>IF(OR(ISNUMBER(SEARCH("HDD",$F1346)),ISNUMBER(SEARCH("MND",$F1346)),ISNUMBER(SEARCH("PEAD",$F1346)),ISNUMBER(SEARCH("Puxe",$J1346)),ISNUMBER(SEARCH("Apoio HDD",$F1346))),"MND",IF(OR(ISNUMBER(SEARCH("VCA",$F1346)),ISNUMBER(SEARCH("PVC",$F1346)),ISNUMBER(SEARCH("vca",$J1346)),ISNUMBER(SEARCH("Transformação",$J1346))),"VCA",IF(OR(ISNUMBER(SEARCH("crava",$F1346)),ISNUMBER(SEARCH("tubo cravado",$F1346)),ISNUMBER(SEARCH("shaft",$J1346)),ISNUMBER(SEARCH("concreto",$F1346))),"TUBO CRAVADO","")))</f>
        <v/>
      </c>
      <c r="T1346">
        <f>IF($A1346="","",TEXT($A1346,"yyyymm")&amp;"|"&amp;$C1346&amp;"|"&amp;$F1346&amp;"|"&amp;$N1346&amp;"|"&amp;$R1346)</f>
        <v/>
      </c>
    </row>
    <row r="1347" ht="11.55" customHeight="1">
      <c r="A1347" s="10" t="n">
        <v>46100</v>
      </c>
      <c r="B1347" s="7" t="inlineStr">
        <is>
          <t>Quinta</t>
        </is>
      </c>
      <c r="C1347" s="7" t="inlineStr">
        <is>
          <t>CTS CONCEIÇÃO</t>
        </is>
      </c>
      <c r="D1347" s="7" t="inlineStr">
        <is>
          <t>LEANDRO E SILVESTRE</t>
        </is>
      </c>
      <c r="E1347" s="7" t="inlineStr">
        <is>
          <t>Sergio</t>
        </is>
      </c>
      <c r="F1347" s="13" t="inlineStr">
        <is>
          <t>Shaft PV 08</t>
        </is>
      </c>
      <c r="G1347" s="7" t="inlineStr">
        <is>
          <t>08</t>
        </is>
      </c>
      <c r="H1347" s="7" t="n"/>
      <c r="I1347" s="7" t="inlineStr">
        <is>
          <t>08</t>
        </is>
      </c>
      <c r="J1347" s="7" t="inlineStr">
        <is>
          <t>Shaft</t>
        </is>
      </c>
      <c r="K1347" s="7" t="inlineStr">
        <is>
          <t>Planejamento</t>
        </is>
      </c>
      <c r="L1347" s="16" t="inlineStr">
        <is>
          <t>PDS-Março(1).docx</t>
        </is>
      </c>
      <c r="M1347">
        <f>IF($A1347="","",TEXT($A1347,"mmmm/yyyy"))</f>
        <v/>
      </c>
      <c r="P1347">
        <f>IFERROR(_xludf.XLOOKUP($N1347,Base_Enderecos!$A:$A,Base_Enderecos!$B:$B,""),"")</f>
        <v/>
      </c>
      <c r="Q1347">
        <f>IFERROR(_xludf.XLOOKUP($N1347,Base_Enderecos!$A:$A,Base_Enderecos!$C:$C,""),"")</f>
        <v/>
      </c>
      <c r="R1347">
        <f>IF(OR(ISNUMBER(SEARCH("HDD",$F1347)),ISNUMBER(SEARCH("MND",$F1347)),ISNUMBER(SEARCH("PEAD",$F1347)),ISNUMBER(SEARCH("Puxe",$J1347)),ISNUMBER(SEARCH("Apoio HDD",$F1347))),"MND",IF(OR(ISNUMBER(SEARCH("VCA",$F1347)),ISNUMBER(SEARCH("PVC",$F1347)),ISNUMBER(SEARCH("vca",$J1347)),ISNUMBER(SEARCH("Transformação",$J1347))),"VCA",IF(OR(ISNUMBER(SEARCH("crava",$F1347)),ISNUMBER(SEARCH("tubo cravado",$F1347)),ISNUMBER(SEARCH("shaft",$J1347)),ISNUMBER(SEARCH("concreto",$F1347))),"TUBO CRAVADO","")))</f>
        <v/>
      </c>
      <c r="T1347">
        <f>IF($A1347="","",TEXT($A1347,"yyyymm")&amp;"|"&amp;$C1347&amp;"|"&amp;$F1347&amp;"|"&amp;$N1347&amp;"|"&amp;$R1347)</f>
        <v/>
      </c>
    </row>
    <row r="1348" ht="11.55" customHeight="1">
      <c r="A1348" s="10" t="n">
        <v>46100</v>
      </c>
      <c r="B1348" s="7" t="inlineStr">
        <is>
          <t>Quinta</t>
        </is>
      </c>
      <c r="C1348" s="7" t="inlineStr">
        <is>
          <t>CTS CONCEIÇÃO</t>
        </is>
      </c>
      <c r="D1348" s="7" t="inlineStr">
        <is>
          <t>LEANDRO E SILVESTRE</t>
        </is>
      </c>
      <c r="E1348" s="7" t="inlineStr">
        <is>
          <t>Carlos</t>
        </is>
      </c>
      <c r="F1348" s="13" t="inlineStr">
        <is>
          <t>Shaft PV 09</t>
        </is>
      </c>
      <c r="G1348" s="7" t="inlineStr">
        <is>
          <t>09</t>
        </is>
      </c>
      <c r="H1348" s="7" t="n"/>
      <c r="I1348" s="7" t="inlineStr">
        <is>
          <t>09</t>
        </is>
      </c>
      <c r="J1348" s="7" t="inlineStr">
        <is>
          <t>Shaft</t>
        </is>
      </c>
      <c r="K1348" s="7" t="inlineStr">
        <is>
          <t>Planejamento</t>
        </is>
      </c>
      <c r="L1348" s="16" t="inlineStr">
        <is>
          <t>PDS-Março(1).docx</t>
        </is>
      </c>
      <c r="M1348">
        <f>IF($A1348="","",TEXT($A1348,"mmmm/yyyy"))</f>
        <v/>
      </c>
      <c r="P1348">
        <f>IFERROR(_xludf.XLOOKUP($N1348,Base_Enderecos!$A:$A,Base_Enderecos!$B:$B,""),"")</f>
        <v/>
      </c>
      <c r="Q1348">
        <f>IFERROR(_xludf.XLOOKUP($N1348,Base_Enderecos!$A:$A,Base_Enderecos!$C:$C,""),"")</f>
        <v/>
      </c>
      <c r="R1348">
        <f>IF(OR(ISNUMBER(SEARCH("HDD",$F1348)),ISNUMBER(SEARCH("MND",$F1348)),ISNUMBER(SEARCH("PEAD",$F1348)),ISNUMBER(SEARCH("Puxe",$J1348)),ISNUMBER(SEARCH("Apoio HDD",$F1348))),"MND",IF(OR(ISNUMBER(SEARCH("VCA",$F1348)),ISNUMBER(SEARCH("PVC",$F1348)),ISNUMBER(SEARCH("vca",$J1348)),ISNUMBER(SEARCH("Transformação",$J1348))),"VCA",IF(OR(ISNUMBER(SEARCH("crava",$F1348)),ISNUMBER(SEARCH("tubo cravado",$F1348)),ISNUMBER(SEARCH("shaft",$J1348)),ISNUMBER(SEARCH("concreto",$F1348))),"TUBO CRAVADO","")))</f>
        <v/>
      </c>
      <c r="T1348">
        <f>IF($A1348="","",TEXT($A1348,"yyyymm")&amp;"|"&amp;$C1348&amp;"|"&amp;$F1348&amp;"|"&amp;$N1348&amp;"|"&amp;$R1348)</f>
        <v/>
      </c>
    </row>
    <row r="1349" ht="11.55" customHeight="1">
      <c r="A1349" s="10" t="n">
        <v>46100</v>
      </c>
      <c r="B1349" s="7" t="inlineStr">
        <is>
          <t>Quinta</t>
        </is>
      </c>
      <c r="C1349" s="7" t="inlineStr">
        <is>
          <t>CTS CONCEIÇÃO</t>
        </is>
      </c>
      <c r="D1349" s="7" t="inlineStr">
        <is>
          <t>LEANDRO E SILVESTRE</t>
        </is>
      </c>
      <c r="E1349" s="7" t="inlineStr">
        <is>
          <t>Adilson</t>
        </is>
      </c>
      <c r="F1349" s="13" t="inlineStr">
        <is>
          <t>Shaft PV 10</t>
        </is>
      </c>
      <c r="G1349" s="7" t="inlineStr">
        <is>
          <t>10</t>
        </is>
      </c>
      <c r="H1349" s="7" t="n"/>
      <c r="I1349" s="7" t="inlineStr">
        <is>
          <t>10</t>
        </is>
      </c>
      <c r="J1349" s="7" t="inlineStr">
        <is>
          <t>Shaft</t>
        </is>
      </c>
      <c r="K1349" s="7" t="inlineStr">
        <is>
          <t>Planejamento</t>
        </is>
      </c>
      <c r="L1349" s="16" t="inlineStr">
        <is>
          <t>PDS-Março(1).docx</t>
        </is>
      </c>
      <c r="M1349">
        <f>IF($A1349="","",TEXT($A1349,"mmmm/yyyy"))</f>
        <v/>
      </c>
      <c r="P1349">
        <f>IFERROR(_xludf.XLOOKUP($N1349,Base_Enderecos!$A:$A,Base_Enderecos!$B:$B,""),"")</f>
        <v/>
      </c>
      <c r="Q1349">
        <f>IFERROR(_xludf.XLOOKUP($N1349,Base_Enderecos!$A:$A,Base_Enderecos!$C:$C,""),"")</f>
        <v/>
      </c>
      <c r="R1349">
        <f>IF(OR(ISNUMBER(SEARCH("HDD",$F1349)),ISNUMBER(SEARCH("MND",$F1349)),ISNUMBER(SEARCH("PEAD",$F1349)),ISNUMBER(SEARCH("Puxe",$J1349)),ISNUMBER(SEARCH("Apoio HDD",$F1349))),"MND",IF(OR(ISNUMBER(SEARCH("VCA",$F1349)),ISNUMBER(SEARCH("PVC",$F1349)),ISNUMBER(SEARCH("vca",$J1349)),ISNUMBER(SEARCH("Transformação",$J1349))),"VCA",IF(OR(ISNUMBER(SEARCH("crava",$F1349)),ISNUMBER(SEARCH("tubo cravado",$F1349)),ISNUMBER(SEARCH("shaft",$J1349)),ISNUMBER(SEARCH("concreto",$F1349))),"TUBO CRAVADO","")))</f>
        <v/>
      </c>
      <c r="T1349">
        <f>IF($A1349="","",TEXT($A1349,"yyyymm")&amp;"|"&amp;$C1349&amp;"|"&amp;$F1349&amp;"|"&amp;$N1349&amp;"|"&amp;$R1349)</f>
        <v/>
      </c>
    </row>
    <row r="1350" ht="11.55" customHeight="1">
      <c r="A1350" s="10" t="n">
        <v>46100</v>
      </c>
      <c r="B1350" s="7" t="inlineStr">
        <is>
          <t>Quinta</t>
        </is>
      </c>
      <c r="C1350" s="7" t="inlineStr">
        <is>
          <t>CTS CONCEIÇÃO</t>
        </is>
      </c>
      <c r="D1350" s="7" t="inlineStr">
        <is>
          <t>LEANDRO E SILVESTRE</t>
        </is>
      </c>
      <c r="E1350" s="7" t="inlineStr">
        <is>
          <t>Cesar</t>
        </is>
      </c>
      <c r="F1350" s="13" t="inlineStr">
        <is>
          <t>Shaft PV 10.1</t>
        </is>
      </c>
      <c r="G1350" s="7" t="inlineStr">
        <is>
          <t>10.1</t>
        </is>
      </c>
      <c r="H1350" s="7" t="n"/>
      <c r="I1350" s="7" t="inlineStr">
        <is>
          <t>10.1</t>
        </is>
      </c>
      <c r="J1350" s="7" t="inlineStr">
        <is>
          <t>Shaft</t>
        </is>
      </c>
      <c r="K1350" s="7" t="inlineStr">
        <is>
          <t>Planejamento</t>
        </is>
      </c>
      <c r="L1350" s="16" t="inlineStr">
        <is>
          <t>PDS-Março(1).docx</t>
        </is>
      </c>
      <c r="M1350">
        <f>IF($A1350="","",TEXT($A1350,"mmmm/yyyy"))</f>
        <v/>
      </c>
      <c r="P1350">
        <f>IFERROR(_xludf.XLOOKUP($N1350,Base_Enderecos!$A:$A,Base_Enderecos!$B:$B,""),"")</f>
        <v/>
      </c>
      <c r="Q1350">
        <f>IFERROR(_xludf.XLOOKUP($N1350,Base_Enderecos!$A:$A,Base_Enderecos!$C:$C,""),"")</f>
        <v/>
      </c>
      <c r="R1350">
        <f>IF(OR(ISNUMBER(SEARCH("HDD",$F1350)),ISNUMBER(SEARCH("MND",$F1350)),ISNUMBER(SEARCH("PEAD",$F1350)),ISNUMBER(SEARCH("Puxe",$J1350)),ISNUMBER(SEARCH("Apoio HDD",$F1350))),"MND",IF(OR(ISNUMBER(SEARCH("VCA",$F1350)),ISNUMBER(SEARCH("PVC",$F1350)),ISNUMBER(SEARCH("vca",$J1350)),ISNUMBER(SEARCH("Transformação",$J1350))),"VCA",IF(OR(ISNUMBER(SEARCH("crava",$F1350)),ISNUMBER(SEARCH("tubo cravado",$F1350)),ISNUMBER(SEARCH("shaft",$J1350)),ISNUMBER(SEARCH("concreto",$F1350))),"TUBO CRAVADO","")))</f>
        <v/>
      </c>
      <c r="T1350">
        <f>IF($A1350="","",TEXT($A1350,"yyyymm")&amp;"|"&amp;$C1350&amp;"|"&amp;$F1350&amp;"|"&amp;$N1350&amp;"|"&amp;$R1350)</f>
        <v/>
      </c>
    </row>
    <row r="1351" ht="11.55" customHeight="1">
      <c r="A1351" s="10" t="n">
        <v>46100</v>
      </c>
      <c r="B1351" s="7" t="inlineStr">
        <is>
          <t>Quinta</t>
        </is>
      </c>
      <c r="C1351" s="7" t="inlineStr">
        <is>
          <t>CT ÁGUA VERMELHA M.D.</t>
        </is>
      </c>
      <c r="D1351" s="7" t="inlineStr">
        <is>
          <t>FABIO E VALMIR</t>
        </is>
      </c>
      <c r="E1351" s="7" t="inlineStr">
        <is>
          <t>WJ 02</t>
        </is>
      </c>
      <c r="F1351" s="13" t="inlineStr">
        <is>
          <t>Piloto e puxe entre PVD 6 ao PVD 6.1</t>
        </is>
      </c>
      <c r="G1351" s="7" t="inlineStr">
        <is>
          <t>6</t>
        </is>
      </c>
      <c r="H1351" s="7" t="inlineStr">
        <is>
          <t>6.1</t>
        </is>
      </c>
      <c r="I1351" s="7" t="inlineStr">
        <is>
          <t>6, 6.1</t>
        </is>
      </c>
      <c r="J1351" s="7" t="inlineStr">
        <is>
          <t>Piloto e puxe</t>
        </is>
      </c>
      <c r="K1351" s="7" t="inlineStr">
        <is>
          <t>Planejamento</t>
        </is>
      </c>
      <c r="L1351" s="16" t="inlineStr">
        <is>
          <t>PDS-Março(1).docx</t>
        </is>
      </c>
      <c r="M1351">
        <f>IF($A1351="","",TEXT($A1351,"mmmm/yyyy"))</f>
        <v/>
      </c>
      <c r="P1351">
        <f>IFERROR(_xludf.XLOOKUP($N1351,Base_Enderecos!$A:$A,Base_Enderecos!$B:$B,""),"")</f>
        <v/>
      </c>
      <c r="Q1351">
        <f>IFERROR(_xludf.XLOOKUP($N1351,Base_Enderecos!$A:$A,Base_Enderecos!$C:$C,""),"")</f>
        <v/>
      </c>
      <c r="R1351">
        <f>IF(OR(ISNUMBER(SEARCH("HDD",$F1351)),ISNUMBER(SEARCH("MND",$F1351)),ISNUMBER(SEARCH("PEAD",$F1351)),ISNUMBER(SEARCH("Puxe",$J1351)),ISNUMBER(SEARCH("Apoio HDD",$F1351))),"MND",IF(OR(ISNUMBER(SEARCH("VCA",$F1351)),ISNUMBER(SEARCH("PVC",$F1351)),ISNUMBER(SEARCH("vca",$J1351)),ISNUMBER(SEARCH("Transformação",$J1351))),"VCA",IF(OR(ISNUMBER(SEARCH("crava",$F1351)),ISNUMBER(SEARCH("tubo cravado",$F1351)),ISNUMBER(SEARCH("shaft",$J1351)),ISNUMBER(SEARCH("concreto",$F1351))),"TUBO CRAVADO","")))</f>
        <v/>
      </c>
      <c r="T1351">
        <f>IF($A1351="","",TEXT($A1351,"yyyymm")&amp;"|"&amp;$C1351&amp;"|"&amp;$F1351&amp;"|"&amp;$N1351&amp;"|"&amp;$R1351)</f>
        <v/>
      </c>
    </row>
    <row r="1352" ht="11.55" customHeight="1">
      <c r="A1352" s="10" t="n">
        <v>46100</v>
      </c>
      <c r="B1352" s="7" t="inlineStr">
        <is>
          <t>Quinta</t>
        </is>
      </c>
      <c r="C1352" s="7" t="inlineStr">
        <is>
          <t>CT ÁGUA VERMELHA M.D.</t>
        </is>
      </c>
      <c r="D1352" s="7" t="inlineStr">
        <is>
          <t>FABIO E VALMIR</t>
        </is>
      </c>
      <c r="E1352" s="7" t="inlineStr">
        <is>
          <t>Ricardo</t>
        </is>
      </c>
      <c r="F1352" s="13" t="inlineStr">
        <is>
          <t>Apoio HDD entre PVD 6 ao 6.1</t>
        </is>
      </c>
      <c r="G1352" s="7" t="inlineStr">
        <is>
          <t>6</t>
        </is>
      </c>
      <c r="H1352" s="7" t="n"/>
      <c r="I1352" s="7" t="inlineStr">
        <is>
          <t>6</t>
        </is>
      </c>
      <c r="J1352" s="7" t="inlineStr">
        <is>
          <t>Apoio HDD</t>
        </is>
      </c>
      <c r="K1352" s="7" t="inlineStr">
        <is>
          <t>Planejamento</t>
        </is>
      </c>
      <c r="L1352" s="16" t="inlineStr">
        <is>
          <t>PDS-Março(1).docx</t>
        </is>
      </c>
      <c r="M1352">
        <f>IF($A1352="","",TEXT($A1352,"mmmm/yyyy"))</f>
        <v/>
      </c>
      <c r="P1352">
        <f>IFERROR(_xludf.XLOOKUP($N1352,Base_Enderecos!$A:$A,Base_Enderecos!$B:$B,""),"")</f>
        <v/>
      </c>
      <c r="Q1352">
        <f>IFERROR(_xludf.XLOOKUP($N1352,Base_Enderecos!$A:$A,Base_Enderecos!$C:$C,""),"")</f>
        <v/>
      </c>
      <c r="R1352">
        <f>IF(OR(ISNUMBER(SEARCH("HDD",$F1352)),ISNUMBER(SEARCH("MND",$F1352)),ISNUMBER(SEARCH("PEAD",$F1352)),ISNUMBER(SEARCH("Puxe",$J1352)),ISNUMBER(SEARCH("Apoio HDD",$F1352))),"MND",IF(OR(ISNUMBER(SEARCH("VCA",$F1352)),ISNUMBER(SEARCH("PVC",$F1352)),ISNUMBER(SEARCH("vca",$J1352)),ISNUMBER(SEARCH("Transformação",$J1352))),"VCA",IF(OR(ISNUMBER(SEARCH("crava",$F1352)),ISNUMBER(SEARCH("tubo cravado",$F1352)),ISNUMBER(SEARCH("shaft",$J1352)),ISNUMBER(SEARCH("concreto",$F1352))),"TUBO CRAVADO","")))</f>
        <v/>
      </c>
      <c r="T1352">
        <f>IF($A1352="","",TEXT($A1352,"yyyymm")&amp;"|"&amp;$C1352&amp;"|"&amp;$F1352&amp;"|"&amp;$N1352&amp;"|"&amp;$R1352)</f>
        <v/>
      </c>
    </row>
    <row r="1353" ht="11.55" customHeight="1">
      <c r="A1353" s="10" t="n">
        <v>46100</v>
      </c>
      <c r="B1353" s="7" t="inlineStr">
        <is>
          <t>Quinta</t>
        </is>
      </c>
      <c r="C1353" s="7" t="inlineStr">
        <is>
          <t>CT ÁGUA VERMELHA M.D.</t>
        </is>
      </c>
      <c r="D1353" s="7" t="inlineStr">
        <is>
          <t>FABIO E VALMIR</t>
        </is>
      </c>
      <c r="E1353" s="7" t="inlineStr">
        <is>
          <t>Marcio</t>
        </is>
      </c>
      <c r="F1353" s="13" t="inlineStr">
        <is>
          <t>Transformação PVD 19</t>
        </is>
      </c>
      <c r="G1353" s="7" t="inlineStr">
        <is>
          <t>19</t>
        </is>
      </c>
      <c r="H1353" s="7" t="n"/>
      <c r="I1353" s="7" t="inlineStr">
        <is>
          <t>19</t>
        </is>
      </c>
      <c r="J1353" s="7" t="inlineStr">
        <is>
          <t>Transformação</t>
        </is>
      </c>
      <c r="K1353" s="7" t="inlineStr">
        <is>
          <t>Planejamento</t>
        </is>
      </c>
      <c r="L1353" s="16" t="inlineStr">
        <is>
          <t>PDS-Março(1).docx</t>
        </is>
      </c>
      <c r="M1353">
        <f>IF($A1353="","",TEXT($A1353,"mmmm/yyyy"))</f>
        <v/>
      </c>
      <c r="P1353">
        <f>IFERROR(_xludf.XLOOKUP($N1353,Base_Enderecos!$A:$A,Base_Enderecos!$B:$B,""),"")</f>
        <v/>
      </c>
      <c r="Q1353">
        <f>IFERROR(_xludf.XLOOKUP($N1353,Base_Enderecos!$A:$A,Base_Enderecos!$C:$C,""),"")</f>
        <v/>
      </c>
      <c r="R1353">
        <f>IF(OR(ISNUMBER(SEARCH("HDD",$F1353)),ISNUMBER(SEARCH("MND",$F1353)),ISNUMBER(SEARCH("PEAD",$F1353)),ISNUMBER(SEARCH("Puxe",$J1353)),ISNUMBER(SEARCH("Apoio HDD",$F1353))),"MND",IF(OR(ISNUMBER(SEARCH("VCA",$F1353)),ISNUMBER(SEARCH("PVC",$F1353)),ISNUMBER(SEARCH("vca",$J1353)),ISNUMBER(SEARCH("Transformação",$J1353))),"VCA",IF(OR(ISNUMBER(SEARCH("crava",$F1353)),ISNUMBER(SEARCH("tubo cravado",$F1353)),ISNUMBER(SEARCH("shaft",$J1353)),ISNUMBER(SEARCH("concreto",$F1353))),"TUBO CRAVADO","")))</f>
        <v/>
      </c>
      <c r="T1353">
        <f>IF($A1353="","",TEXT($A1353,"yyyymm")&amp;"|"&amp;$C1353&amp;"|"&amp;$F1353&amp;"|"&amp;$N1353&amp;"|"&amp;$R1353)</f>
        <v/>
      </c>
    </row>
    <row r="1354" ht="11.55" customHeight="1">
      <c r="A1354" s="10" t="n">
        <v>46100</v>
      </c>
      <c r="B1354" s="7" t="inlineStr">
        <is>
          <t>Quinta</t>
        </is>
      </c>
      <c r="C1354" s="7" t="inlineStr">
        <is>
          <t>CT ÁGUA VERMELHA M.D.</t>
        </is>
      </c>
      <c r="D1354" s="7" t="inlineStr">
        <is>
          <t>FABIO E VALMIR</t>
        </is>
      </c>
      <c r="E1354" s="7" t="inlineStr">
        <is>
          <t>Jhonatan</t>
        </is>
      </c>
      <c r="F1354" s="13" t="inlineStr">
        <is>
          <t>Transformação PVD 13</t>
        </is>
      </c>
      <c r="G1354" s="7" t="inlineStr">
        <is>
          <t>13</t>
        </is>
      </c>
      <c r="H1354" s="7" t="n"/>
      <c r="I1354" s="7" t="inlineStr">
        <is>
          <t>13</t>
        </is>
      </c>
      <c r="J1354" s="7" t="inlineStr">
        <is>
          <t>Transformação</t>
        </is>
      </c>
      <c r="K1354" s="7" t="inlineStr">
        <is>
          <t>Planejamento</t>
        </is>
      </c>
      <c r="L1354" s="16" t="inlineStr">
        <is>
          <t>PDS-Março(1).docx</t>
        </is>
      </c>
      <c r="M1354">
        <f>IF($A1354="","",TEXT($A1354,"mmmm/yyyy"))</f>
        <v/>
      </c>
      <c r="P1354">
        <f>IFERROR(_xludf.XLOOKUP($N1354,Base_Enderecos!$A:$A,Base_Enderecos!$B:$B,""),"")</f>
        <v/>
      </c>
      <c r="Q1354">
        <f>IFERROR(_xludf.XLOOKUP($N1354,Base_Enderecos!$A:$A,Base_Enderecos!$C:$C,""),"")</f>
        <v/>
      </c>
      <c r="R1354">
        <f>IF(OR(ISNUMBER(SEARCH("HDD",$F1354)),ISNUMBER(SEARCH("MND",$F1354)),ISNUMBER(SEARCH("PEAD",$F1354)),ISNUMBER(SEARCH("Puxe",$J1354)),ISNUMBER(SEARCH("Apoio HDD",$F1354))),"MND",IF(OR(ISNUMBER(SEARCH("VCA",$F1354)),ISNUMBER(SEARCH("PVC",$F1354)),ISNUMBER(SEARCH("vca",$J1354)),ISNUMBER(SEARCH("Transformação",$J1354))),"VCA",IF(OR(ISNUMBER(SEARCH("crava",$F1354)),ISNUMBER(SEARCH("tubo cravado",$F1354)),ISNUMBER(SEARCH("shaft",$J1354)),ISNUMBER(SEARCH("concreto",$F1354))),"TUBO CRAVADO","")))</f>
        <v/>
      </c>
      <c r="T1354">
        <f>IF($A1354="","",TEXT($A1354,"yyyymm")&amp;"|"&amp;$C1354&amp;"|"&amp;$F1354&amp;"|"&amp;$N1354&amp;"|"&amp;$R1354)</f>
        <v/>
      </c>
    </row>
    <row r="1355" ht="11.55" customHeight="1">
      <c r="A1355" s="10" t="n">
        <v>46100</v>
      </c>
      <c r="B1355" s="7" t="inlineStr">
        <is>
          <t>Quinta</t>
        </is>
      </c>
      <c r="C1355" s="7" t="inlineStr">
        <is>
          <t>CT ÁGUA VERMELHA M.D.</t>
        </is>
      </c>
      <c r="D1355" s="7" t="inlineStr">
        <is>
          <t>FABIO E VALMIR</t>
        </is>
      </c>
      <c r="E1355" s="7" t="inlineStr">
        <is>
          <t>Antônio</t>
        </is>
      </c>
      <c r="F1355" s="13" t="inlineStr">
        <is>
          <t>Transformação PVD 16</t>
        </is>
      </c>
      <c r="G1355" s="7" t="inlineStr">
        <is>
          <t>16</t>
        </is>
      </c>
      <c r="H1355" s="7" t="n"/>
      <c r="I1355" s="7" t="inlineStr">
        <is>
          <t>16</t>
        </is>
      </c>
      <c r="J1355" s="7" t="inlineStr">
        <is>
          <t>Transformação</t>
        </is>
      </c>
      <c r="K1355" s="7" t="inlineStr">
        <is>
          <t>Planejamento</t>
        </is>
      </c>
      <c r="L1355" s="16" t="inlineStr">
        <is>
          <t>PDS-Março(1).docx</t>
        </is>
      </c>
      <c r="M1355">
        <f>IF($A1355="","",TEXT($A1355,"mmmm/yyyy"))</f>
        <v/>
      </c>
      <c r="P1355">
        <f>IFERROR(_xludf.XLOOKUP($N1355,Base_Enderecos!$A:$A,Base_Enderecos!$B:$B,""),"")</f>
        <v/>
      </c>
      <c r="Q1355">
        <f>IFERROR(_xludf.XLOOKUP($N1355,Base_Enderecos!$A:$A,Base_Enderecos!$C:$C,""),"")</f>
        <v/>
      </c>
      <c r="R1355">
        <f>IF(OR(ISNUMBER(SEARCH("HDD",$F1355)),ISNUMBER(SEARCH("MND",$F1355)),ISNUMBER(SEARCH("PEAD",$F1355)),ISNUMBER(SEARCH("Puxe",$J1355)),ISNUMBER(SEARCH("Apoio HDD",$F1355))),"MND",IF(OR(ISNUMBER(SEARCH("VCA",$F1355)),ISNUMBER(SEARCH("PVC",$F1355)),ISNUMBER(SEARCH("vca",$J1355)),ISNUMBER(SEARCH("Transformação",$J1355))),"VCA",IF(OR(ISNUMBER(SEARCH("crava",$F1355)),ISNUMBER(SEARCH("tubo cravado",$F1355)),ISNUMBER(SEARCH("shaft",$J1355)),ISNUMBER(SEARCH("concreto",$F1355))),"TUBO CRAVADO","")))</f>
        <v/>
      </c>
      <c r="T1355">
        <f>IF($A1355="","",TEXT($A1355,"yyyymm")&amp;"|"&amp;$C1355&amp;"|"&amp;$F1355&amp;"|"&amp;$N1355&amp;"|"&amp;$R1355)</f>
        <v/>
      </c>
    </row>
    <row r="1356" ht="11.55" customHeight="1">
      <c r="A1356" s="10" t="n">
        <v>46100</v>
      </c>
      <c r="B1356" s="7" t="inlineStr">
        <is>
          <t>Quinta</t>
        </is>
      </c>
      <c r="C1356" s="7" t="inlineStr">
        <is>
          <t>CT ÁGUA VERMELHA M.D.</t>
        </is>
      </c>
      <c r="D1356" s="7" t="inlineStr">
        <is>
          <t>FABIO E VALMIR</t>
        </is>
      </c>
      <c r="E1356" s="7" t="inlineStr">
        <is>
          <t>Marcelo</t>
        </is>
      </c>
      <c r="F1356" s="13" t="inlineStr">
        <is>
          <t>Transformação PVD 10</t>
        </is>
      </c>
      <c r="G1356" s="7" t="inlineStr">
        <is>
          <t>10</t>
        </is>
      </c>
      <c r="H1356" s="7" t="n"/>
      <c r="I1356" s="7" t="inlineStr">
        <is>
          <t>10</t>
        </is>
      </c>
      <c r="J1356" s="7" t="inlineStr">
        <is>
          <t>Transformação</t>
        </is>
      </c>
      <c r="K1356" s="7" t="inlineStr">
        <is>
          <t>Planejamento</t>
        </is>
      </c>
      <c r="L1356" s="16" t="inlineStr">
        <is>
          <t>PDS-Março(1).docx</t>
        </is>
      </c>
      <c r="M1356">
        <f>IF($A1356="","",TEXT($A1356,"mmmm/yyyy"))</f>
        <v/>
      </c>
      <c r="P1356">
        <f>IFERROR(_xludf.XLOOKUP($N1356,Base_Enderecos!$A:$A,Base_Enderecos!$B:$B,""),"")</f>
        <v/>
      </c>
      <c r="Q1356">
        <f>IFERROR(_xludf.XLOOKUP($N1356,Base_Enderecos!$A:$A,Base_Enderecos!$C:$C,""),"")</f>
        <v/>
      </c>
      <c r="R1356">
        <f>IF(OR(ISNUMBER(SEARCH("HDD",$F1356)),ISNUMBER(SEARCH("MND",$F1356)),ISNUMBER(SEARCH("PEAD",$F1356)),ISNUMBER(SEARCH("Puxe",$J1356)),ISNUMBER(SEARCH("Apoio HDD",$F1356))),"MND",IF(OR(ISNUMBER(SEARCH("VCA",$F1356)),ISNUMBER(SEARCH("PVC",$F1356)),ISNUMBER(SEARCH("vca",$J1356)),ISNUMBER(SEARCH("Transformação",$J1356))),"VCA",IF(OR(ISNUMBER(SEARCH("crava",$F1356)),ISNUMBER(SEARCH("tubo cravado",$F1356)),ISNUMBER(SEARCH("shaft",$J1356)),ISNUMBER(SEARCH("concreto",$F1356))),"TUBO CRAVADO","")))</f>
        <v/>
      </c>
      <c r="T1356">
        <f>IF($A1356="","",TEXT($A1356,"yyyymm")&amp;"|"&amp;$C1356&amp;"|"&amp;$F1356&amp;"|"&amp;$N1356&amp;"|"&amp;$R1356)</f>
        <v/>
      </c>
    </row>
    <row r="1357" ht="11.55" customHeight="1">
      <c r="A1357" s="10" t="n">
        <v>46100</v>
      </c>
      <c r="B1357" s="7" t="inlineStr">
        <is>
          <t>Quinta</t>
        </is>
      </c>
      <c r="C1357" s="7" t="inlineStr">
        <is>
          <t>CT ÁGUA VERMELHA M.E.</t>
        </is>
      </c>
      <c r="D1357" s="7" t="inlineStr">
        <is>
          <t>FABIO E VALMIR</t>
        </is>
      </c>
      <c r="E1357" s="7" t="inlineStr">
        <is>
          <t>Cidão</t>
        </is>
      </c>
      <c r="F1357" s="13" t="inlineStr">
        <is>
          <t>Acabamento PVs</t>
        </is>
      </c>
      <c r="G1357" s="7" t="n"/>
      <c r="H1357" s="7" t="n"/>
      <c r="I1357" s="7" t="n"/>
      <c r="J1357" s="7" t="inlineStr">
        <is>
          <t>Acabamento</t>
        </is>
      </c>
      <c r="K1357" s="7" t="inlineStr">
        <is>
          <t>Planejamento</t>
        </is>
      </c>
      <c r="L1357" s="16" t="inlineStr">
        <is>
          <t>PDS-Março(1).docx</t>
        </is>
      </c>
      <c r="M1357">
        <f>IF($A1357="","",TEXT($A1357,"mmmm/yyyy"))</f>
        <v/>
      </c>
      <c r="P1357">
        <f>IFERROR(_xludf.XLOOKUP($N1357,Base_Enderecos!$A:$A,Base_Enderecos!$B:$B,""),"")</f>
        <v/>
      </c>
      <c r="Q1357">
        <f>IFERROR(_xludf.XLOOKUP($N1357,Base_Enderecos!$A:$A,Base_Enderecos!$C:$C,""),"")</f>
        <v/>
      </c>
      <c r="R1357">
        <f>IF(OR(ISNUMBER(SEARCH("HDD",$F1357)),ISNUMBER(SEARCH("MND",$F1357)),ISNUMBER(SEARCH("PEAD",$F1357)),ISNUMBER(SEARCH("Puxe",$J1357)),ISNUMBER(SEARCH("Apoio HDD",$F1357))),"MND",IF(OR(ISNUMBER(SEARCH("VCA",$F1357)),ISNUMBER(SEARCH("PVC",$F1357)),ISNUMBER(SEARCH("vca",$J1357)),ISNUMBER(SEARCH("Transformação",$J1357))),"VCA",IF(OR(ISNUMBER(SEARCH("crava",$F1357)),ISNUMBER(SEARCH("tubo cravado",$F1357)),ISNUMBER(SEARCH("shaft",$J1357)),ISNUMBER(SEARCH("concreto",$F1357))),"TUBO CRAVADO","")))</f>
        <v/>
      </c>
      <c r="T1357">
        <f>IF($A1357="","",TEXT($A1357,"yyyymm")&amp;"|"&amp;$C1357&amp;"|"&amp;$F1357&amp;"|"&amp;$N1357&amp;"|"&amp;$R1357)</f>
        <v/>
      </c>
    </row>
    <row r="1358" ht="11.55" customHeight="1">
      <c r="A1358" s="10" t="n">
        <v>46100</v>
      </c>
      <c r="B1358" s="7" t="inlineStr">
        <is>
          <t>Quinta</t>
        </is>
      </c>
      <c r="C1358" s="7" t="inlineStr">
        <is>
          <t>CT ÁGUA VERMELHA M.E.</t>
        </is>
      </c>
      <c r="D1358" s="7" t="inlineStr">
        <is>
          <t>FABIO E VALMIR</t>
        </is>
      </c>
      <c r="E1358" s="7" t="inlineStr">
        <is>
          <t>Edivando</t>
        </is>
      </c>
      <c r="F1358" s="13" t="inlineStr">
        <is>
          <t>Interligação PVE 25</t>
        </is>
      </c>
      <c r="G1358" s="7" t="inlineStr">
        <is>
          <t>25</t>
        </is>
      </c>
      <c r="H1358" s="7" t="n"/>
      <c r="I1358" s="7" t="inlineStr">
        <is>
          <t>25</t>
        </is>
      </c>
      <c r="J1358" s="7" t="inlineStr">
        <is>
          <t>Interligação</t>
        </is>
      </c>
      <c r="K1358" s="7" t="inlineStr">
        <is>
          <t>Planejamento</t>
        </is>
      </c>
      <c r="L1358" s="16" t="inlineStr">
        <is>
          <t>PDS-Março(1).docx</t>
        </is>
      </c>
      <c r="M1358">
        <f>IF($A1358="","",TEXT($A1358,"mmmm/yyyy"))</f>
        <v/>
      </c>
      <c r="P1358">
        <f>IFERROR(_xludf.XLOOKUP($N1358,Base_Enderecos!$A:$A,Base_Enderecos!$B:$B,""),"")</f>
        <v/>
      </c>
      <c r="Q1358">
        <f>IFERROR(_xludf.XLOOKUP($N1358,Base_Enderecos!$A:$A,Base_Enderecos!$C:$C,""),"")</f>
        <v/>
      </c>
      <c r="R1358">
        <f>IF(OR(ISNUMBER(SEARCH("HDD",$F1358)),ISNUMBER(SEARCH("MND",$F1358)),ISNUMBER(SEARCH("PEAD",$F1358)),ISNUMBER(SEARCH("Puxe",$J1358)),ISNUMBER(SEARCH("Apoio HDD",$F1358))),"MND",IF(OR(ISNUMBER(SEARCH("VCA",$F1358)),ISNUMBER(SEARCH("PVC",$F1358)),ISNUMBER(SEARCH("vca",$J1358)),ISNUMBER(SEARCH("Transformação",$J1358))),"VCA",IF(OR(ISNUMBER(SEARCH("crava",$F1358)),ISNUMBER(SEARCH("tubo cravado",$F1358)),ISNUMBER(SEARCH("shaft",$J1358)),ISNUMBER(SEARCH("concreto",$F1358))),"TUBO CRAVADO","")))</f>
        <v/>
      </c>
      <c r="T1358">
        <f>IF($A1358="","",TEXT($A1358,"yyyymm")&amp;"|"&amp;$C1358&amp;"|"&amp;$F1358&amp;"|"&amp;$N1358&amp;"|"&amp;$R1358)</f>
        <v/>
      </c>
    </row>
    <row r="1359" ht="11.55" customHeight="1">
      <c r="A1359" s="10" t="n">
        <v>46100</v>
      </c>
      <c r="B1359" s="7" t="inlineStr">
        <is>
          <t>Quinta</t>
        </is>
      </c>
      <c r="C1359" s="7" t="inlineStr">
        <is>
          <t>CT ÁGUA VERMELHA M.E.</t>
        </is>
      </c>
      <c r="D1359" s="7" t="inlineStr">
        <is>
          <t>FABIO E VALMIR</t>
        </is>
      </c>
      <c r="E1359" s="7" t="inlineStr">
        <is>
          <t>Higor</t>
        </is>
      </c>
      <c r="F1359" s="13" t="inlineStr">
        <is>
          <t>Acabamento PVs</t>
        </is>
      </c>
      <c r="G1359" s="7" t="n"/>
      <c r="H1359" s="7" t="n"/>
      <c r="I1359" s="7" t="n"/>
      <c r="J1359" s="7" t="inlineStr">
        <is>
          <t>Acabamento</t>
        </is>
      </c>
      <c r="K1359" s="7" t="inlineStr">
        <is>
          <t>Planejamento</t>
        </is>
      </c>
      <c r="L1359" s="16" t="inlineStr">
        <is>
          <t>PDS-Março(1).docx</t>
        </is>
      </c>
      <c r="M1359">
        <f>IF($A1359="","",TEXT($A1359,"mmmm/yyyy"))</f>
        <v/>
      </c>
      <c r="P1359">
        <f>IFERROR(_xludf.XLOOKUP($N1359,Base_Enderecos!$A:$A,Base_Enderecos!$B:$B,""),"")</f>
        <v/>
      </c>
      <c r="Q1359">
        <f>IFERROR(_xludf.XLOOKUP($N1359,Base_Enderecos!$A:$A,Base_Enderecos!$C:$C,""),"")</f>
        <v/>
      </c>
      <c r="R1359">
        <f>IF(OR(ISNUMBER(SEARCH("HDD",$F1359)),ISNUMBER(SEARCH("MND",$F1359)),ISNUMBER(SEARCH("PEAD",$F1359)),ISNUMBER(SEARCH("Puxe",$J1359)),ISNUMBER(SEARCH("Apoio HDD",$F1359))),"MND",IF(OR(ISNUMBER(SEARCH("VCA",$F1359)),ISNUMBER(SEARCH("PVC",$F1359)),ISNUMBER(SEARCH("vca",$J1359)),ISNUMBER(SEARCH("Transformação",$J1359))),"VCA",IF(OR(ISNUMBER(SEARCH("crava",$F1359)),ISNUMBER(SEARCH("tubo cravado",$F1359)),ISNUMBER(SEARCH("shaft",$J1359)),ISNUMBER(SEARCH("concreto",$F1359))),"TUBO CRAVADO","")))</f>
        <v/>
      </c>
      <c r="T1359">
        <f>IF($A1359="","",TEXT($A1359,"yyyymm")&amp;"|"&amp;$C1359&amp;"|"&amp;$F1359&amp;"|"&amp;$N1359&amp;"|"&amp;$R1359)</f>
        <v/>
      </c>
    </row>
    <row r="1360" ht="11.55" customHeight="1">
      <c r="A1360" s="10" t="n">
        <v>46100</v>
      </c>
      <c r="B1360" s="7" t="inlineStr">
        <is>
          <t>Quinta</t>
        </is>
      </c>
      <c r="C1360" s="7" t="inlineStr">
        <is>
          <t>CT ÁGUA VERMELHA M.E.</t>
        </is>
      </c>
      <c r="D1360" s="7" t="inlineStr">
        <is>
          <t>FABIO E VALMIR</t>
        </is>
      </c>
      <c r="E1360" s="7" t="inlineStr">
        <is>
          <t>WORK DRILL</t>
        </is>
      </c>
      <c r="F1360" s="13" t="inlineStr">
        <is>
          <t>Piloto e puxe entre PV 17 ao 17.1</t>
        </is>
      </c>
      <c r="G1360" s="7" t="inlineStr">
        <is>
          <t>17</t>
        </is>
      </c>
      <c r="H1360" s="7" t="n"/>
      <c r="I1360" s="7" t="inlineStr">
        <is>
          <t>17</t>
        </is>
      </c>
      <c r="J1360" s="7" t="inlineStr">
        <is>
          <t>Piloto e puxe</t>
        </is>
      </c>
      <c r="K1360" s="7" t="inlineStr">
        <is>
          <t>Planejamento</t>
        </is>
      </c>
      <c r="L1360" s="16" t="inlineStr">
        <is>
          <t>PDS-Março(1).docx</t>
        </is>
      </c>
      <c r="M1360">
        <f>IF($A1360="","",TEXT($A1360,"mmmm/yyyy"))</f>
        <v/>
      </c>
      <c r="P1360">
        <f>IFERROR(_xludf.XLOOKUP($N1360,Base_Enderecos!$A:$A,Base_Enderecos!$B:$B,""),"")</f>
        <v/>
      </c>
      <c r="Q1360">
        <f>IFERROR(_xludf.XLOOKUP($N1360,Base_Enderecos!$A:$A,Base_Enderecos!$C:$C,""),"")</f>
        <v/>
      </c>
      <c r="R1360">
        <f>IF(OR(ISNUMBER(SEARCH("HDD",$F1360)),ISNUMBER(SEARCH("MND",$F1360)),ISNUMBER(SEARCH("PEAD",$F1360)),ISNUMBER(SEARCH("Puxe",$J1360)),ISNUMBER(SEARCH("Apoio HDD",$F1360))),"MND",IF(OR(ISNUMBER(SEARCH("VCA",$F1360)),ISNUMBER(SEARCH("PVC",$F1360)),ISNUMBER(SEARCH("vca",$J1360)),ISNUMBER(SEARCH("Transformação",$J1360))),"VCA",IF(OR(ISNUMBER(SEARCH("crava",$F1360)),ISNUMBER(SEARCH("tubo cravado",$F1360)),ISNUMBER(SEARCH("shaft",$J1360)),ISNUMBER(SEARCH("concreto",$F1360))),"TUBO CRAVADO","")))</f>
        <v/>
      </c>
      <c r="T1360">
        <f>IF($A1360="","",TEXT($A1360,"yyyymm")&amp;"|"&amp;$C1360&amp;"|"&amp;$F1360&amp;"|"&amp;$N1360&amp;"|"&amp;$R1360)</f>
        <v/>
      </c>
    </row>
    <row r="1361" ht="11.55" customHeight="1">
      <c r="A1361" s="10" t="n">
        <v>46100</v>
      </c>
      <c r="B1361" s="7" t="inlineStr">
        <is>
          <t>Quinta</t>
        </is>
      </c>
      <c r="C1361" s="7" t="inlineStr">
        <is>
          <t>CT ÁGUA VERMELHA M.E.</t>
        </is>
      </c>
      <c r="D1361" s="7" t="inlineStr">
        <is>
          <t>FABIO E VALMIR</t>
        </is>
      </c>
      <c r="E1361" s="7" t="inlineStr">
        <is>
          <t>Bruno</t>
        </is>
      </c>
      <c r="F1361" s="13" t="inlineStr">
        <is>
          <t>Apoio HDD entre PV 17 ao 17.1</t>
        </is>
      </c>
      <c r="G1361" s="7" t="inlineStr">
        <is>
          <t>17</t>
        </is>
      </c>
      <c r="H1361" s="7" t="n"/>
      <c r="I1361" s="7" t="inlineStr">
        <is>
          <t>17</t>
        </is>
      </c>
      <c r="J1361" s="7" t="inlineStr">
        <is>
          <t>Apoio HDD</t>
        </is>
      </c>
      <c r="K1361" s="7" t="inlineStr">
        <is>
          <t>Planejamento</t>
        </is>
      </c>
      <c r="L1361" s="16" t="inlineStr">
        <is>
          <t>PDS-Março(1).docx</t>
        </is>
      </c>
      <c r="M1361">
        <f>IF($A1361="","",TEXT($A1361,"mmmm/yyyy"))</f>
        <v/>
      </c>
      <c r="P1361">
        <f>IFERROR(_xludf.XLOOKUP($N1361,Base_Enderecos!$A:$A,Base_Enderecos!$B:$B,""),"")</f>
        <v/>
      </c>
      <c r="Q1361">
        <f>IFERROR(_xludf.XLOOKUP($N1361,Base_Enderecos!$A:$A,Base_Enderecos!$C:$C,""),"")</f>
        <v/>
      </c>
      <c r="R1361">
        <f>IF(OR(ISNUMBER(SEARCH("HDD",$F1361)),ISNUMBER(SEARCH("MND",$F1361)),ISNUMBER(SEARCH("PEAD",$F1361)),ISNUMBER(SEARCH("Puxe",$J1361)),ISNUMBER(SEARCH("Apoio HDD",$F1361))),"MND",IF(OR(ISNUMBER(SEARCH("VCA",$F1361)),ISNUMBER(SEARCH("PVC",$F1361)),ISNUMBER(SEARCH("vca",$J1361)),ISNUMBER(SEARCH("Transformação",$J1361))),"VCA",IF(OR(ISNUMBER(SEARCH("crava",$F1361)),ISNUMBER(SEARCH("tubo cravado",$F1361)),ISNUMBER(SEARCH("shaft",$J1361)),ISNUMBER(SEARCH("concreto",$F1361))),"TUBO CRAVADO","")))</f>
        <v/>
      </c>
      <c r="T1361">
        <f>IF($A1361="","",TEXT($A1361,"yyyymm")&amp;"|"&amp;$C1361&amp;"|"&amp;$F1361&amp;"|"&amp;$N1361&amp;"|"&amp;$R1361)</f>
        <v/>
      </c>
    </row>
    <row r="1362" ht="11.55" customHeight="1">
      <c r="A1362" s="10" t="n">
        <v>46100</v>
      </c>
      <c r="B1362" s="7" t="inlineStr">
        <is>
          <t>Quinta</t>
        </is>
      </c>
      <c r="C1362" s="7" t="inlineStr">
        <is>
          <t>RCE FCO. SOUTO MAIOR</t>
        </is>
      </c>
      <c r="D1362" s="7" t="inlineStr">
        <is>
          <t>ROBSON</t>
        </is>
      </c>
      <c r="E1362" s="7" t="inlineStr">
        <is>
          <t>Valter</t>
        </is>
      </c>
      <c r="F1362" s="13" t="inlineStr">
        <is>
          <t>VCA e Ligações – Rua Canto da Serra</t>
        </is>
      </c>
      <c r="G1362" s="7" t="n"/>
      <c r="H1362" s="7" t="n"/>
      <c r="I1362" s="7" t="n"/>
      <c r="J1362" s="7" t="inlineStr">
        <is>
          <t>VCA</t>
        </is>
      </c>
      <c r="K1362" s="7" t="inlineStr">
        <is>
          <t>Planejamento</t>
        </is>
      </c>
      <c r="L1362" s="16" t="inlineStr">
        <is>
          <t>PDS-Março(1).docx</t>
        </is>
      </c>
      <c r="M1362">
        <f>IF($A1362="","",TEXT($A1362,"mmmm/yyyy"))</f>
        <v/>
      </c>
      <c r="P1362">
        <f>IFERROR(_xludf.XLOOKUP($N1362,Base_Enderecos!$A:$A,Base_Enderecos!$B:$B,""),"")</f>
        <v/>
      </c>
      <c r="Q1362">
        <f>IFERROR(_xludf.XLOOKUP($N1362,Base_Enderecos!$A:$A,Base_Enderecos!$C:$C,""),"")</f>
        <v/>
      </c>
      <c r="R1362">
        <f>IF(OR(ISNUMBER(SEARCH("HDD",$F1362)),ISNUMBER(SEARCH("MND",$F1362)),ISNUMBER(SEARCH("PEAD",$F1362)),ISNUMBER(SEARCH("Puxe",$J1362)),ISNUMBER(SEARCH("Apoio HDD",$F1362))),"MND",IF(OR(ISNUMBER(SEARCH("VCA",$F1362)),ISNUMBER(SEARCH("PVC",$F1362)),ISNUMBER(SEARCH("vca",$J1362)),ISNUMBER(SEARCH("Transformação",$J1362))),"VCA",IF(OR(ISNUMBER(SEARCH("crava",$F1362)),ISNUMBER(SEARCH("tubo cravado",$F1362)),ISNUMBER(SEARCH("shaft",$J1362)),ISNUMBER(SEARCH("concreto",$F1362))),"TUBO CRAVADO","")))</f>
        <v/>
      </c>
      <c r="T1362">
        <f>IF($A1362="","",TEXT($A1362,"yyyymm")&amp;"|"&amp;$C1362&amp;"|"&amp;$F1362&amp;"|"&amp;$N1362&amp;"|"&amp;$R1362)</f>
        <v/>
      </c>
    </row>
    <row r="1363" ht="11.55" customHeight="1">
      <c r="A1363" s="10" t="n">
        <v>46100</v>
      </c>
      <c r="B1363" s="7" t="inlineStr">
        <is>
          <t>Quinta</t>
        </is>
      </c>
      <c r="C1363" s="7" t="inlineStr">
        <is>
          <t>Vacal</t>
        </is>
      </c>
      <c r="D1363" s="7" t="n"/>
      <c r="E1363" s="7" t="inlineStr">
        <is>
          <t>Conceição</t>
        </is>
      </c>
      <c r="F1363" s="13" t="inlineStr">
        <is>
          <t>Apoio Vacal</t>
        </is>
      </c>
      <c r="G1363" s="7" t="n"/>
      <c r="H1363" s="7" t="n"/>
      <c r="I1363" s="7" t="n"/>
      <c r="J1363" s="7" t="inlineStr">
        <is>
          <t>Vacal</t>
        </is>
      </c>
      <c r="K1363" s="7" t="inlineStr">
        <is>
          <t>Apoio</t>
        </is>
      </c>
      <c r="L1363" s="16" t="inlineStr">
        <is>
          <t>PDS-Março(1).docx</t>
        </is>
      </c>
      <c r="M1363">
        <f>IF($A1363="","",TEXT($A1363,"mmmm/yyyy"))</f>
        <v/>
      </c>
      <c r="P1363">
        <f>IFERROR(_xludf.XLOOKUP($N1363,Base_Enderecos!$A:$A,Base_Enderecos!$B:$B,""),"")</f>
        <v/>
      </c>
      <c r="Q1363">
        <f>IFERROR(_xludf.XLOOKUP($N1363,Base_Enderecos!$A:$A,Base_Enderecos!$C:$C,""),"")</f>
        <v/>
      </c>
      <c r="R1363">
        <f>IF(OR(ISNUMBER(SEARCH("HDD",$F1363)),ISNUMBER(SEARCH("MND",$F1363)),ISNUMBER(SEARCH("PEAD",$F1363)),ISNUMBER(SEARCH("Puxe",$J1363)),ISNUMBER(SEARCH("Apoio HDD",$F1363))),"MND",IF(OR(ISNUMBER(SEARCH("VCA",$F1363)),ISNUMBER(SEARCH("PVC",$F1363)),ISNUMBER(SEARCH("vca",$J1363)),ISNUMBER(SEARCH("Transformação",$J1363))),"VCA",IF(OR(ISNUMBER(SEARCH("crava",$F1363)),ISNUMBER(SEARCH("tubo cravado",$F1363)),ISNUMBER(SEARCH("shaft",$J1363)),ISNUMBER(SEARCH("concreto",$F1363))),"TUBO CRAVADO","")))</f>
        <v/>
      </c>
      <c r="T1363">
        <f>IF($A1363="","",TEXT($A1363,"yyyymm")&amp;"|"&amp;$C1363&amp;"|"&amp;$F1363&amp;"|"&amp;$N1363&amp;"|"&amp;$R1363)</f>
        <v/>
      </c>
    </row>
    <row r="1364" ht="11.55" customHeight="1">
      <c r="A1364" s="10" t="n">
        <v>46100</v>
      </c>
      <c r="B1364" s="7" t="inlineStr">
        <is>
          <t>Quinta</t>
        </is>
      </c>
      <c r="C1364" s="7" t="inlineStr">
        <is>
          <t>Vacal</t>
        </is>
      </c>
      <c r="D1364" s="7" t="n"/>
      <c r="E1364" s="7" t="inlineStr">
        <is>
          <t>Conceição</t>
        </is>
      </c>
      <c r="F1364" s="13" t="inlineStr">
        <is>
          <t>Apoio Vacal</t>
        </is>
      </c>
      <c r="G1364" s="7" t="n"/>
      <c r="H1364" s="7" t="n"/>
      <c r="I1364" s="7" t="n"/>
      <c r="J1364" s="7" t="inlineStr">
        <is>
          <t>Vacal</t>
        </is>
      </c>
      <c r="K1364" s="7" t="inlineStr">
        <is>
          <t>Apoio</t>
        </is>
      </c>
      <c r="L1364" s="16" t="inlineStr">
        <is>
          <t>PDS-Março(1).docx</t>
        </is>
      </c>
      <c r="M1364">
        <f>IF($A1364="","",TEXT($A1364,"mmmm/yyyy"))</f>
        <v/>
      </c>
      <c r="P1364">
        <f>IFERROR(_xludf.XLOOKUP($N1364,Base_Enderecos!$A:$A,Base_Enderecos!$B:$B,""),"")</f>
        <v/>
      </c>
      <c r="Q1364">
        <f>IFERROR(_xludf.XLOOKUP($N1364,Base_Enderecos!$A:$A,Base_Enderecos!$C:$C,""),"")</f>
        <v/>
      </c>
      <c r="R1364">
        <f>IF(OR(ISNUMBER(SEARCH("HDD",$F1364)),ISNUMBER(SEARCH("MND",$F1364)),ISNUMBER(SEARCH("PEAD",$F1364)),ISNUMBER(SEARCH("Puxe",$J1364)),ISNUMBER(SEARCH("Apoio HDD",$F1364))),"MND",IF(OR(ISNUMBER(SEARCH("VCA",$F1364)),ISNUMBER(SEARCH("PVC",$F1364)),ISNUMBER(SEARCH("vca",$J1364)),ISNUMBER(SEARCH("Transformação",$J1364))),"VCA",IF(OR(ISNUMBER(SEARCH("crava",$F1364)),ISNUMBER(SEARCH("tubo cravado",$F1364)),ISNUMBER(SEARCH("shaft",$J1364)),ISNUMBER(SEARCH("concreto",$F1364))),"TUBO CRAVADO","")))</f>
        <v/>
      </c>
      <c r="T1364">
        <f>IF($A1364="","",TEXT($A1364,"yyyymm")&amp;"|"&amp;$C1364&amp;"|"&amp;$F1364&amp;"|"&amp;$N1364&amp;"|"&amp;$R1364)</f>
        <v/>
      </c>
    </row>
    <row r="1365" ht="11.55" customHeight="1">
      <c r="A1365" s="10" t="n">
        <v>46100</v>
      </c>
      <c r="B1365" s="7" t="inlineStr">
        <is>
          <t>Quinta</t>
        </is>
      </c>
      <c r="C1365" s="7" t="inlineStr">
        <is>
          <t>Vacal</t>
        </is>
      </c>
      <c r="D1365" s="7" t="n"/>
      <c r="E1365" s="7" t="inlineStr">
        <is>
          <t>Água Vermelha</t>
        </is>
      </c>
      <c r="F1365" s="13" t="inlineStr">
        <is>
          <t>Apoio Vacal</t>
        </is>
      </c>
      <c r="G1365" s="7" t="n"/>
      <c r="H1365" s="7" t="n"/>
      <c r="I1365" s="7" t="n"/>
      <c r="J1365" s="7" t="inlineStr">
        <is>
          <t>Vacal</t>
        </is>
      </c>
      <c r="K1365" s="7" t="inlineStr">
        <is>
          <t>Apoio</t>
        </is>
      </c>
      <c r="L1365" s="16" t="inlineStr">
        <is>
          <t>PDS-Março(1).docx</t>
        </is>
      </c>
      <c r="M1365">
        <f>IF($A1365="","",TEXT($A1365,"mmmm/yyyy"))</f>
        <v/>
      </c>
      <c r="P1365">
        <f>IFERROR(_xludf.XLOOKUP($N1365,Base_Enderecos!$A:$A,Base_Enderecos!$B:$B,""),"")</f>
        <v/>
      </c>
      <c r="Q1365">
        <f>IFERROR(_xludf.XLOOKUP($N1365,Base_Enderecos!$A:$A,Base_Enderecos!$C:$C,""),"")</f>
        <v/>
      </c>
      <c r="R1365">
        <f>IF(OR(ISNUMBER(SEARCH("HDD",$F1365)),ISNUMBER(SEARCH("MND",$F1365)),ISNUMBER(SEARCH("PEAD",$F1365)),ISNUMBER(SEARCH("Puxe",$J1365)),ISNUMBER(SEARCH("Apoio HDD",$F1365))),"MND",IF(OR(ISNUMBER(SEARCH("VCA",$F1365)),ISNUMBER(SEARCH("PVC",$F1365)),ISNUMBER(SEARCH("vca",$J1365)),ISNUMBER(SEARCH("Transformação",$J1365))),"VCA",IF(OR(ISNUMBER(SEARCH("crava",$F1365)),ISNUMBER(SEARCH("tubo cravado",$F1365)),ISNUMBER(SEARCH("shaft",$J1365)),ISNUMBER(SEARCH("concreto",$F1365))),"TUBO CRAVADO","")))</f>
        <v/>
      </c>
      <c r="T1365">
        <f>IF($A1365="","",TEXT($A1365,"yyyymm")&amp;"|"&amp;$C1365&amp;"|"&amp;$F1365&amp;"|"&amp;$N1365&amp;"|"&amp;$R1365)</f>
        <v/>
      </c>
    </row>
    <row r="1366" ht="11.55" customHeight="1">
      <c r="A1366" s="10" t="n">
        <v>46100</v>
      </c>
      <c r="B1366" s="7" t="inlineStr">
        <is>
          <t>Quinta</t>
        </is>
      </c>
      <c r="C1366" s="7" t="inlineStr">
        <is>
          <t>Vacal</t>
        </is>
      </c>
      <c r="D1366" s="7" t="n"/>
      <c r="E1366" s="7" t="inlineStr">
        <is>
          <t>Água Vermelha</t>
        </is>
      </c>
      <c r="F1366" s="13" t="inlineStr">
        <is>
          <t>Apoio Vacal</t>
        </is>
      </c>
      <c r="G1366" s="7" t="n"/>
      <c r="H1366" s="7" t="n"/>
      <c r="I1366" s="7" t="n"/>
      <c r="J1366" s="7" t="inlineStr">
        <is>
          <t>Vacal</t>
        </is>
      </c>
      <c r="K1366" s="7" t="inlineStr">
        <is>
          <t>Apoio</t>
        </is>
      </c>
      <c r="L1366" s="16" t="inlineStr">
        <is>
          <t>PDS-Março(1).docx</t>
        </is>
      </c>
      <c r="M1366">
        <f>IF($A1366="","",TEXT($A1366,"mmmm/yyyy"))</f>
        <v/>
      </c>
      <c r="P1366">
        <f>IFERROR(_xludf.XLOOKUP($N1366,Base_Enderecos!$A:$A,Base_Enderecos!$B:$B,""),"")</f>
        <v/>
      </c>
      <c r="Q1366">
        <f>IFERROR(_xludf.XLOOKUP($N1366,Base_Enderecos!$A:$A,Base_Enderecos!$C:$C,""),"")</f>
        <v/>
      </c>
      <c r="R1366">
        <f>IF(OR(ISNUMBER(SEARCH("HDD",$F1366)),ISNUMBER(SEARCH("MND",$F1366)),ISNUMBER(SEARCH("PEAD",$F1366)),ISNUMBER(SEARCH("Puxe",$J1366)),ISNUMBER(SEARCH("Apoio HDD",$F1366))),"MND",IF(OR(ISNUMBER(SEARCH("VCA",$F1366)),ISNUMBER(SEARCH("PVC",$F1366)),ISNUMBER(SEARCH("vca",$J1366)),ISNUMBER(SEARCH("Transformação",$J1366))),"VCA",IF(OR(ISNUMBER(SEARCH("crava",$F1366)),ISNUMBER(SEARCH("tubo cravado",$F1366)),ISNUMBER(SEARCH("shaft",$J1366)),ISNUMBER(SEARCH("concreto",$F1366))),"TUBO CRAVADO","")))</f>
        <v/>
      </c>
      <c r="T1366">
        <f>IF($A1366="","",TEXT($A1366,"yyyymm")&amp;"|"&amp;$C1366&amp;"|"&amp;$F1366&amp;"|"&amp;$N1366&amp;"|"&amp;$R1366)</f>
        <v/>
      </c>
    </row>
    <row r="1367" ht="11.55" customHeight="1">
      <c r="A1367" s="10" t="n">
        <v>46100</v>
      </c>
      <c r="B1367" s="7" t="inlineStr">
        <is>
          <t>Quinta</t>
        </is>
      </c>
      <c r="C1367" s="7" t="inlineStr">
        <is>
          <t>Guindauto</t>
        </is>
      </c>
      <c r="D1367" s="7" t="n"/>
      <c r="E1367" s="7" t="inlineStr">
        <is>
          <t>Rodrigo</t>
        </is>
      </c>
      <c r="F1367" s="13" t="inlineStr">
        <is>
          <t>Rodrigo - Apoio as equipes</t>
        </is>
      </c>
      <c r="G1367" s="7" t="n"/>
      <c r="H1367" s="7" t="n"/>
      <c r="I1367" s="7" t="n"/>
      <c r="J1367" s="7" t="inlineStr">
        <is>
          <t>Guindauto</t>
        </is>
      </c>
      <c r="K1367" s="7" t="inlineStr">
        <is>
          <t>Apoio</t>
        </is>
      </c>
      <c r="L1367" s="16" t="inlineStr">
        <is>
          <t>PDS-Março(1).docx</t>
        </is>
      </c>
      <c r="M1367">
        <f>IF($A1367="","",TEXT($A1367,"mmmm/yyyy"))</f>
        <v/>
      </c>
      <c r="P1367">
        <f>IFERROR(_xludf.XLOOKUP($N1367,Base_Enderecos!$A:$A,Base_Enderecos!$B:$B,""),"")</f>
        <v/>
      </c>
      <c r="Q1367">
        <f>IFERROR(_xludf.XLOOKUP($N1367,Base_Enderecos!$A:$A,Base_Enderecos!$C:$C,""),"")</f>
        <v/>
      </c>
      <c r="R1367">
        <f>IF(OR(ISNUMBER(SEARCH("HDD",$F1367)),ISNUMBER(SEARCH("MND",$F1367)),ISNUMBER(SEARCH("PEAD",$F1367)),ISNUMBER(SEARCH("Puxe",$J1367)),ISNUMBER(SEARCH("Apoio HDD",$F1367))),"MND",IF(OR(ISNUMBER(SEARCH("VCA",$F1367)),ISNUMBER(SEARCH("PVC",$F1367)),ISNUMBER(SEARCH("vca",$J1367)),ISNUMBER(SEARCH("Transformação",$J1367))),"VCA",IF(OR(ISNUMBER(SEARCH("crava",$F1367)),ISNUMBER(SEARCH("tubo cravado",$F1367)),ISNUMBER(SEARCH("shaft",$J1367)),ISNUMBER(SEARCH("concreto",$F1367))),"TUBO CRAVADO","")))</f>
        <v/>
      </c>
      <c r="T1367">
        <f>IF($A1367="","",TEXT($A1367,"yyyymm")&amp;"|"&amp;$C1367&amp;"|"&amp;$F1367&amp;"|"&amp;$N1367&amp;"|"&amp;$R1367)</f>
        <v/>
      </c>
    </row>
    <row r="1368" ht="11.55" customHeight="1">
      <c r="A1368" s="10" t="n">
        <v>46100</v>
      </c>
      <c r="B1368" s="7" t="inlineStr">
        <is>
          <t>Quinta</t>
        </is>
      </c>
      <c r="C1368" s="7" t="inlineStr">
        <is>
          <t>Guindauto</t>
        </is>
      </c>
      <c r="D1368" s="7" t="n"/>
      <c r="E1368" s="7" t="inlineStr">
        <is>
          <t>Marcio</t>
        </is>
      </c>
      <c r="F1368" s="13" t="inlineStr">
        <is>
          <t>Marcio - Apoio as equipes</t>
        </is>
      </c>
      <c r="G1368" s="7" t="n"/>
      <c r="H1368" s="7" t="n"/>
      <c r="I1368" s="7" t="n"/>
      <c r="J1368" s="7" t="inlineStr">
        <is>
          <t>Guindauto</t>
        </is>
      </c>
      <c r="K1368" s="7" t="inlineStr">
        <is>
          <t>Apoio</t>
        </is>
      </c>
      <c r="L1368" s="16" t="inlineStr">
        <is>
          <t>PDS-Março(1).docx</t>
        </is>
      </c>
      <c r="M1368">
        <f>IF($A1368="","",TEXT($A1368,"mmmm/yyyy"))</f>
        <v/>
      </c>
      <c r="P1368">
        <f>IFERROR(_xludf.XLOOKUP($N1368,Base_Enderecos!$A:$A,Base_Enderecos!$B:$B,""),"")</f>
        <v/>
      </c>
      <c r="Q1368">
        <f>IFERROR(_xludf.XLOOKUP($N1368,Base_Enderecos!$A:$A,Base_Enderecos!$C:$C,""),"")</f>
        <v/>
      </c>
      <c r="R1368">
        <f>IF(OR(ISNUMBER(SEARCH("HDD",$F1368)),ISNUMBER(SEARCH("MND",$F1368)),ISNUMBER(SEARCH("PEAD",$F1368)),ISNUMBER(SEARCH("Puxe",$J1368)),ISNUMBER(SEARCH("Apoio HDD",$F1368))),"MND",IF(OR(ISNUMBER(SEARCH("VCA",$F1368)),ISNUMBER(SEARCH("PVC",$F1368)),ISNUMBER(SEARCH("vca",$J1368)),ISNUMBER(SEARCH("Transformação",$J1368))),"VCA",IF(OR(ISNUMBER(SEARCH("crava",$F1368)),ISNUMBER(SEARCH("tubo cravado",$F1368)),ISNUMBER(SEARCH("shaft",$J1368)),ISNUMBER(SEARCH("concreto",$F1368))),"TUBO CRAVADO","")))</f>
        <v/>
      </c>
      <c r="T1368">
        <f>IF($A1368="","",TEXT($A1368,"yyyymm")&amp;"|"&amp;$C1368&amp;"|"&amp;$F1368&amp;"|"&amp;$N1368&amp;"|"&amp;$R1368)</f>
        <v/>
      </c>
    </row>
    <row r="1369" ht="11.55" customHeight="1">
      <c r="A1369" s="10" t="n">
        <v>46101</v>
      </c>
      <c r="B1369" s="7" t="inlineStr">
        <is>
          <t>Sexta</t>
        </is>
      </c>
      <c r="C1369" s="7" t="inlineStr">
        <is>
          <t>CTS CONCEIÇÃO</t>
        </is>
      </c>
      <c r="D1369" s="7" t="inlineStr">
        <is>
          <t>LEANDRO E SILVESTRE</t>
        </is>
      </c>
      <c r="E1369" s="7" t="inlineStr">
        <is>
          <t>GR DRILL</t>
        </is>
      </c>
      <c r="F1369" s="13" t="inlineStr">
        <is>
          <t>Piloto e puxe entre PV 02 ao 04</t>
        </is>
      </c>
      <c r="G1369" s="7" t="inlineStr">
        <is>
          <t>02</t>
        </is>
      </c>
      <c r="H1369" s="7" t="n"/>
      <c r="I1369" s="7" t="inlineStr">
        <is>
          <t>02</t>
        </is>
      </c>
      <c r="J1369" s="7" t="inlineStr">
        <is>
          <t>Piloto e puxe</t>
        </is>
      </c>
      <c r="K1369" s="7" t="inlineStr">
        <is>
          <t>Planejamento</t>
        </is>
      </c>
      <c r="L1369" s="16" t="inlineStr">
        <is>
          <t>PDS-Março(1).docx</t>
        </is>
      </c>
      <c r="M1369">
        <f>IF($A1369="","",TEXT($A1369,"mmmm/yyyy"))</f>
        <v/>
      </c>
      <c r="P1369">
        <f>IFERROR(_xludf.XLOOKUP($N1369,Base_Enderecos!$A:$A,Base_Enderecos!$B:$B,""),"")</f>
        <v/>
      </c>
      <c r="Q1369">
        <f>IFERROR(_xludf.XLOOKUP($N1369,Base_Enderecos!$A:$A,Base_Enderecos!$C:$C,""),"")</f>
        <v/>
      </c>
      <c r="R1369">
        <f>IF(OR(ISNUMBER(SEARCH("HDD",$F1369)),ISNUMBER(SEARCH("MND",$F1369)),ISNUMBER(SEARCH("PEAD",$F1369)),ISNUMBER(SEARCH("Puxe",$J1369)),ISNUMBER(SEARCH("Apoio HDD",$F1369))),"MND",IF(OR(ISNUMBER(SEARCH("VCA",$F1369)),ISNUMBER(SEARCH("PVC",$F1369)),ISNUMBER(SEARCH("vca",$J1369)),ISNUMBER(SEARCH("Transformação",$J1369))),"VCA",IF(OR(ISNUMBER(SEARCH("crava",$F1369)),ISNUMBER(SEARCH("tubo cravado",$F1369)),ISNUMBER(SEARCH("shaft",$J1369)),ISNUMBER(SEARCH("concreto",$F1369))),"TUBO CRAVADO","")))</f>
        <v/>
      </c>
      <c r="T1369">
        <f>IF($A1369="","",TEXT($A1369,"yyyymm")&amp;"|"&amp;$C1369&amp;"|"&amp;$F1369&amp;"|"&amp;$N1369&amp;"|"&amp;$R1369)</f>
        <v/>
      </c>
    </row>
    <row r="1370" ht="11.55" customHeight="1">
      <c r="A1370" s="10" t="n">
        <v>46101</v>
      </c>
      <c r="B1370" s="7" t="inlineStr">
        <is>
          <t>Sexta</t>
        </is>
      </c>
      <c r="C1370" s="7" t="inlineStr">
        <is>
          <t>CTS CONCEIÇÃO</t>
        </is>
      </c>
      <c r="D1370" s="7" t="inlineStr">
        <is>
          <t>LEANDRO E SILVESTRE</t>
        </is>
      </c>
      <c r="E1370" s="7" t="inlineStr">
        <is>
          <t>Medeiros</t>
        </is>
      </c>
      <c r="F1370" s="13" t="inlineStr">
        <is>
          <t>Apoio HDD entre PV 02 ao 04</t>
        </is>
      </c>
      <c r="G1370" s="7" t="inlineStr">
        <is>
          <t>02</t>
        </is>
      </c>
      <c r="H1370" s="7" t="n"/>
      <c r="I1370" s="7" t="inlineStr">
        <is>
          <t>02</t>
        </is>
      </c>
      <c r="J1370" s="7" t="inlineStr">
        <is>
          <t>Apoio HDD</t>
        </is>
      </c>
      <c r="K1370" s="7" t="inlineStr">
        <is>
          <t>Planejamento</t>
        </is>
      </c>
      <c r="L1370" s="16" t="inlineStr">
        <is>
          <t>PDS-Março(1).docx</t>
        </is>
      </c>
      <c r="M1370">
        <f>IF($A1370="","",TEXT($A1370,"mmmm/yyyy"))</f>
        <v/>
      </c>
      <c r="P1370">
        <f>IFERROR(_xludf.XLOOKUP($N1370,Base_Enderecos!$A:$A,Base_Enderecos!$B:$B,""),"")</f>
        <v/>
      </c>
      <c r="Q1370">
        <f>IFERROR(_xludf.XLOOKUP($N1370,Base_Enderecos!$A:$A,Base_Enderecos!$C:$C,""),"")</f>
        <v/>
      </c>
      <c r="R1370">
        <f>IF(OR(ISNUMBER(SEARCH("HDD",$F1370)),ISNUMBER(SEARCH("MND",$F1370)),ISNUMBER(SEARCH("PEAD",$F1370)),ISNUMBER(SEARCH("Puxe",$J1370)),ISNUMBER(SEARCH("Apoio HDD",$F1370))),"MND",IF(OR(ISNUMBER(SEARCH("VCA",$F1370)),ISNUMBER(SEARCH("PVC",$F1370)),ISNUMBER(SEARCH("vca",$J1370)),ISNUMBER(SEARCH("Transformação",$J1370))),"VCA",IF(OR(ISNUMBER(SEARCH("crava",$F1370)),ISNUMBER(SEARCH("tubo cravado",$F1370)),ISNUMBER(SEARCH("shaft",$J1370)),ISNUMBER(SEARCH("concreto",$F1370))),"TUBO CRAVADO","")))</f>
        <v/>
      </c>
      <c r="T1370">
        <f>IF($A1370="","",TEXT($A1370,"yyyymm")&amp;"|"&amp;$C1370&amp;"|"&amp;$F1370&amp;"|"&amp;$N1370&amp;"|"&amp;$R1370)</f>
        <v/>
      </c>
    </row>
    <row r="1371" ht="11.55" customHeight="1">
      <c r="A1371" s="10" t="n">
        <v>46101</v>
      </c>
      <c r="B1371" s="7" t="inlineStr">
        <is>
          <t>Sexta</t>
        </is>
      </c>
      <c r="C1371" s="7" t="inlineStr">
        <is>
          <t>CTS CONCEIÇÃO</t>
        </is>
      </c>
      <c r="D1371" s="7" t="inlineStr">
        <is>
          <t>LEANDRO E SILVESTRE</t>
        </is>
      </c>
      <c r="E1371" s="7" t="inlineStr">
        <is>
          <t>Sergio</t>
        </is>
      </c>
      <c r="F1371" s="13" t="inlineStr">
        <is>
          <t>Shaft PV 09</t>
        </is>
      </c>
      <c r="G1371" s="7" t="inlineStr">
        <is>
          <t>09</t>
        </is>
      </c>
      <c r="H1371" s="7" t="n"/>
      <c r="I1371" s="7" t="inlineStr">
        <is>
          <t>09</t>
        </is>
      </c>
      <c r="J1371" s="7" t="inlineStr">
        <is>
          <t>Shaft</t>
        </is>
      </c>
      <c r="K1371" s="7" t="inlineStr">
        <is>
          <t>Planejamento</t>
        </is>
      </c>
      <c r="L1371" s="16" t="inlineStr">
        <is>
          <t>PDS-Março(1).docx</t>
        </is>
      </c>
      <c r="M1371">
        <f>IF($A1371="","",TEXT($A1371,"mmmm/yyyy"))</f>
        <v/>
      </c>
      <c r="P1371">
        <f>IFERROR(_xludf.XLOOKUP($N1371,Base_Enderecos!$A:$A,Base_Enderecos!$B:$B,""),"")</f>
        <v/>
      </c>
      <c r="Q1371">
        <f>IFERROR(_xludf.XLOOKUP($N1371,Base_Enderecos!$A:$A,Base_Enderecos!$C:$C,""),"")</f>
        <v/>
      </c>
      <c r="R1371">
        <f>IF(OR(ISNUMBER(SEARCH("HDD",$F1371)),ISNUMBER(SEARCH("MND",$F1371)),ISNUMBER(SEARCH("PEAD",$F1371)),ISNUMBER(SEARCH("Puxe",$J1371)),ISNUMBER(SEARCH("Apoio HDD",$F1371))),"MND",IF(OR(ISNUMBER(SEARCH("VCA",$F1371)),ISNUMBER(SEARCH("PVC",$F1371)),ISNUMBER(SEARCH("vca",$J1371)),ISNUMBER(SEARCH("Transformação",$J1371))),"VCA",IF(OR(ISNUMBER(SEARCH("crava",$F1371)),ISNUMBER(SEARCH("tubo cravado",$F1371)),ISNUMBER(SEARCH("shaft",$J1371)),ISNUMBER(SEARCH("concreto",$F1371))),"TUBO CRAVADO","")))</f>
        <v/>
      </c>
      <c r="T1371">
        <f>IF($A1371="","",TEXT($A1371,"yyyymm")&amp;"|"&amp;$C1371&amp;"|"&amp;$F1371&amp;"|"&amp;$N1371&amp;"|"&amp;$R1371)</f>
        <v/>
      </c>
    </row>
    <row r="1372" ht="11.55" customHeight="1">
      <c r="A1372" s="10" t="n">
        <v>46101</v>
      </c>
      <c r="B1372" s="7" t="inlineStr">
        <is>
          <t>Sexta</t>
        </is>
      </c>
      <c r="C1372" s="7" t="inlineStr">
        <is>
          <t>CTS CONCEIÇÃO</t>
        </is>
      </c>
      <c r="D1372" s="7" t="inlineStr">
        <is>
          <t>LEANDRO E SILVESTRE</t>
        </is>
      </c>
      <c r="E1372" s="7" t="inlineStr">
        <is>
          <t>Cesar</t>
        </is>
      </c>
      <c r="F1372" s="13" t="inlineStr">
        <is>
          <t>Shaft PV 10.1</t>
        </is>
      </c>
      <c r="G1372" s="7" t="inlineStr">
        <is>
          <t>10.1</t>
        </is>
      </c>
      <c r="H1372" s="7" t="n"/>
      <c r="I1372" s="7" t="inlineStr">
        <is>
          <t>10.1</t>
        </is>
      </c>
      <c r="J1372" s="7" t="inlineStr">
        <is>
          <t>Shaft</t>
        </is>
      </c>
      <c r="K1372" s="7" t="inlineStr">
        <is>
          <t>Planejamento</t>
        </is>
      </c>
      <c r="L1372" s="16" t="inlineStr">
        <is>
          <t>PDS-Março(1).docx</t>
        </is>
      </c>
      <c r="M1372">
        <f>IF($A1372="","",TEXT($A1372,"mmmm/yyyy"))</f>
        <v/>
      </c>
      <c r="P1372">
        <f>IFERROR(_xludf.XLOOKUP($N1372,Base_Enderecos!$A:$A,Base_Enderecos!$B:$B,""),"")</f>
        <v/>
      </c>
      <c r="Q1372">
        <f>IFERROR(_xludf.XLOOKUP($N1372,Base_Enderecos!$A:$A,Base_Enderecos!$C:$C,""),"")</f>
        <v/>
      </c>
      <c r="R1372">
        <f>IF(OR(ISNUMBER(SEARCH("HDD",$F1372)),ISNUMBER(SEARCH("MND",$F1372)),ISNUMBER(SEARCH("PEAD",$F1372)),ISNUMBER(SEARCH("Puxe",$J1372)),ISNUMBER(SEARCH("Apoio HDD",$F1372))),"MND",IF(OR(ISNUMBER(SEARCH("VCA",$F1372)),ISNUMBER(SEARCH("PVC",$F1372)),ISNUMBER(SEARCH("vca",$J1372)),ISNUMBER(SEARCH("Transformação",$J1372))),"VCA",IF(OR(ISNUMBER(SEARCH("crava",$F1372)),ISNUMBER(SEARCH("tubo cravado",$F1372)),ISNUMBER(SEARCH("shaft",$J1372)),ISNUMBER(SEARCH("concreto",$F1372))),"TUBO CRAVADO","")))</f>
        <v/>
      </c>
      <c r="T1372">
        <f>IF($A1372="","",TEXT($A1372,"yyyymm")&amp;"|"&amp;$C1372&amp;"|"&amp;$F1372&amp;"|"&amp;$N1372&amp;"|"&amp;$R1372)</f>
        <v/>
      </c>
    </row>
    <row r="1373" ht="11.55" customHeight="1">
      <c r="A1373" s="10" t="n">
        <v>46101</v>
      </c>
      <c r="B1373" s="7" t="inlineStr">
        <is>
          <t>Sexta</t>
        </is>
      </c>
      <c r="C1373" s="7" t="inlineStr">
        <is>
          <t>CT LOURDES</t>
        </is>
      </c>
      <c r="D1373" s="7" t="n"/>
      <c r="E1373" s="7" t="inlineStr">
        <is>
          <t>Carlos</t>
        </is>
      </c>
      <c r="F1373" s="13" t="inlineStr">
        <is>
          <t>Aterro Shaft</t>
        </is>
      </c>
      <c r="G1373" s="7" t="n"/>
      <c r="H1373" s="7" t="n"/>
      <c r="I1373" s="7" t="n"/>
      <c r="J1373" s="7" t="inlineStr">
        <is>
          <t>Shaft</t>
        </is>
      </c>
      <c r="K1373" s="7" t="inlineStr">
        <is>
          <t>Planejamento</t>
        </is>
      </c>
      <c r="L1373" s="16" t="inlineStr">
        <is>
          <t>PDS-Março(1).docx</t>
        </is>
      </c>
      <c r="M1373">
        <f>IF($A1373="","",TEXT($A1373,"mmmm/yyyy"))</f>
        <v/>
      </c>
      <c r="P1373">
        <f>IFERROR(_xludf.XLOOKUP($N1373,Base_Enderecos!$A:$A,Base_Enderecos!$B:$B,""),"")</f>
        <v/>
      </c>
      <c r="Q1373">
        <f>IFERROR(_xludf.XLOOKUP($N1373,Base_Enderecos!$A:$A,Base_Enderecos!$C:$C,""),"")</f>
        <v/>
      </c>
      <c r="R1373">
        <f>IF(OR(ISNUMBER(SEARCH("HDD",$F1373)),ISNUMBER(SEARCH("MND",$F1373)),ISNUMBER(SEARCH("PEAD",$F1373)),ISNUMBER(SEARCH("Puxe",$J1373)),ISNUMBER(SEARCH("Apoio HDD",$F1373))),"MND",IF(OR(ISNUMBER(SEARCH("VCA",$F1373)),ISNUMBER(SEARCH("PVC",$F1373)),ISNUMBER(SEARCH("vca",$J1373)),ISNUMBER(SEARCH("Transformação",$J1373))),"VCA",IF(OR(ISNUMBER(SEARCH("crava",$F1373)),ISNUMBER(SEARCH("tubo cravado",$F1373)),ISNUMBER(SEARCH("shaft",$J1373)),ISNUMBER(SEARCH("concreto",$F1373))),"TUBO CRAVADO","")))</f>
        <v/>
      </c>
      <c r="T1373">
        <f>IF($A1373="","",TEXT($A1373,"yyyymm")&amp;"|"&amp;$C1373&amp;"|"&amp;$F1373&amp;"|"&amp;$N1373&amp;"|"&amp;$R1373)</f>
        <v/>
      </c>
    </row>
    <row r="1374" ht="11.55" customHeight="1">
      <c r="A1374" s="10" t="n">
        <v>46101</v>
      </c>
      <c r="B1374" s="7" t="inlineStr">
        <is>
          <t>Sexta</t>
        </is>
      </c>
      <c r="C1374" s="7" t="inlineStr">
        <is>
          <t>CT ÁGUA VERMELHA M.D.</t>
        </is>
      </c>
      <c r="D1374" s="7" t="inlineStr">
        <is>
          <t>FABIO E VALMIR</t>
        </is>
      </c>
      <c r="E1374" s="7" t="inlineStr">
        <is>
          <t>WJ 02</t>
        </is>
      </c>
      <c r="F1374" s="13" t="inlineStr">
        <is>
          <t>Piloto e puxe entre PVD 6 ao PVD 6.1</t>
        </is>
      </c>
      <c r="G1374" s="7" t="inlineStr">
        <is>
          <t>6</t>
        </is>
      </c>
      <c r="H1374" s="7" t="inlineStr">
        <is>
          <t>6.1</t>
        </is>
      </c>
      <c r="I1374" s="7" t="inlineStr">
        <is>
          <t>6, 6.1</t>
        </is>
      </c>
      <c r="J1374" s="7" t="inlineStr">
        <is>
          <t>Piloto e puxe</t>
        </is>
      </c>
      <c r="K1374" s="7" t="inlineStr">
        <is>
          <t>Planejamento</t>
        </is>
      </c>
      <c r="L1374" s="16" t="inlineStr">
        <is>
          <t>PDS-Março(1).docx</t>
        </is>
      </c>
      <c r="M1374">
        <f>IF($A1374="","",TEXT($A1374,"mmmm/yyyy"))</f>
        <v/>
      </c>
      <c r="P1374">
        <f>IFERROR(_xludf.XLOOKUP($N1374,Base_Enderecos!$A:$A,Base_Enderecos!$B:$B,""),"")</f>
        <v/>
      </c>
      <c r="Q1374">
        <f>IFERROR(_xludf.XLOOKUP($N1374,Base_Enderecos!$A:$A,Base_Enderecos!$C:$C,""),"")</f>
        <v/>
      </c>
      <c r="R1374">
        <f>IF(OR(ISNUMBER(SEARCH("HDD",$F1374)),ISNUMBER(SEARCH("MND",$F1374)),ISNUMBER(SEARCH("PEAD",$F1374)),ISNUMBER(SEARCH("Puxe",$J1374)),ISNUMBER(SEARCH("Apoio HDD",$F1374))),"MND",IF(OR(ISNUMBER(SEARCH("VCA",$F1374)),ISNUMBER(SEARCH("PVC",$F1374)),ISNUMBER(SEARCH("vca",$J1374)),ISNUMBER(SEARCH("Transformação",$J1374))),"VCA",IF(OR(ISNUMBER(SEARCH("crava",$F1374)),ISNUMBER(SEARCH("tubo cravado",$F1374)),ISNUMBER(SEARCH("shaft",$J1374)),ISNUMBER(SEARCH("concreto",$F1374))),"TUBO CRAVADO","")))</f>
        <v/>
      </c>
      <c r="T1374">
        <f>IF($A1374="","",TEXT($A1374,"yyyymm")&amp;"|"&amp;$C1374&amp;"|"&amp;$F1374&amp;"|"&amp;$N1374&amp;"|"&amp;$R1374)</f>
        <v/>
      </c>
    </row>
    <row r="1375" ht="11.55" customHeight="1">
      <c r="A1375" s="10" t="n">
        <v>46101</v>
      </c>
      <c r="B1375" s="7" t="inlineStr">
        <is>
          <t>Sexta</t>
        </is>
      </c>
      <c r="C1375" s="7" t="inlineStr">
        <is>
          <t>CT ÁGUA VERMELHA M.D.</t>
        </is>
      </c>
      <c r="D1375" s="7" t="inlineStr">
        <is>
          <t>FABIO E VALMIR</t>
        </is>
      </c>
      <c r="E1375" s="7" t="inlineStr">
        <is>
          <t>Ricardo</t>
        </is>
      </c>
      <c r="F1375" s="13" t="inlineStr">
        <is>
          <t>Apoio HDD entre PVD 6 ao 6.1</t>
        </is>
      </c>
      <c r="G1375" s="7" t="inlineStr">
        <is>
          <t>6</t>
        </is>
      </c>
      <c r="H1375" s="7" t="n"/>
      <c r="I1375" s="7" t="inlineStr">
        <is>
          <t>6</t>
        </is>
      </c>
      <c r="J1375" s="7" t="inlineStr">
        <is>
          <t>Apoio HDD</t>
        </is>
      </c>
      <c r="K1375" s="7" t="inlineStr">
        <is>
          <t>Planejamento</t>
        </is>
      </c>
      <c r="L1375" s="16" t="inlineStr">
        <is>
          <t>PDS-Março(1).docx</t>
        </is>
      </c>
      <c r="M1375">
        <f>IF($A1375="","",TEXT($A1375,"mmmm/yyyy"))</f>
        <v/>
      </c>
      <c r="P1375">
        <f>IFERROR(_xludf.XLOOKUP($N1375,Base_Enderecos!$A:$A,Base_Enderecos!$B:$B,""),"")</f>
        <v/>
      </c>
      <c r="Q1375">
        <f>IFERROR(_xludf.XLOOKUP($N1375,Base_Enderecos!$A:$A,Base_Enderecos!$C:$C,""),"")</f>
        <v/>
      </c>
      <c r="R1375">
        <f>IF(OR(ISNUMBER(SEARCH("HDD",$F1375)),ISNUMBER(SEARCH("MND",$F1375)),ISNUMBER(SEARCH("PEAD",$F1375)),ISNUMBER(SEARCH("Puxe",$J1375)),ISNUMBER(SEARCH("Apoio HDD",$F1375))),"MND",IF(OR(ISNUMBER(SEARCH("VCA",$F1375)),ISNUMBER(SEARCH("PVC",$F1375)),ISNUMBER(SEARCH("vca",$J1375)),ISNUMBER(SEARCH("Transformação",$J1375))),"VCA",IF(OR(ISNUMBER(SEARCH("crava",$F1375)),ISNUMBER(SEARCH("tubo cravado",$F1375)),ISNUMBER(SEARCH("shaft",$J1375)),ISNUMBER(SEARCH("concreto",$F1375))),"TUBO CRAVADO","")))</f>
        <v/>
      </c>
      <c r="T1375">
        <f>IF($A1375="","",TEXT($A1375,"yyyymm")&amp;"|"&amp;$C1375&amp;"|"&amp;$F1375&amp;"|"&amp;$N1375&amp;"|"&amp;$R1375)</f>
        <v/>
      </c>
    </row>
    <row r="1376" ht="11.55" customHeight="1">
      <c r="A1376" s="10" t="n">
        <v>46101</v>
      </c>
      <c r="B1376" s="7" t="inlineStr">
        <is>
          <t>Sexta</t>
        </is>
      </c>
      <c r="C1376" s="7" t="inlineStr">
        <is>
          <t>CT ÁGUA VERMELHA M.D.</t>
        </is>
      </c>
      <c r="D1376" s="7" t="inlineStr">
        <is>
          <t>FABIO E VALMIR</t>
        </is>
      </c>
      <c r="E1376" s="7" t="inlineStr">
        <is>
          <t>Marcio</t>
        </is>
      </c>
      <c r="F1376" s="13" t="inlineStr">
        <is>
          <t>Transformação PVD 19</t>
        </is>
      </c>
      <c r="G1376" s="7" t="inlineStr">
        <is>
          <t>19</t>
        </is>
      </c>
      <c r="H1376" s="7" t="n"/>
      <c r="I1376" s="7" t="inlineStr">
        <is>
          <t>19</t>
        </is>
      </c>
      <c r="J1376" s="7" t="inlineStr">
        <is>
          <t>Transformação</t>
        </is>
      </c>
      <c r="K1376" s="7" t="inlineStr">
        <is>
          <t>Planejamento</t>
        </is>
      </c>
      <c r="L1376" s="16" t="inlineStr">
        <is>
          <t>PDS-Março(1).docx</t>
        </is>
      </c>
      <c r="M1376">
        <f>IF($A1376="","",TEXT($A1376,"mmmm/yyyy"))</f>
        <v/>
      </c>
      <c r="P1376">
        <f>IFERROR(_xludf.XLOOKUP($N1376,Base_Enderecos!$A:$A,Base_Enderecos!$B:$B,""),"")</f>
        <v/>
      </c>
      <c r="Q1376">
        <f>IFERROR(_xludf.XLOOKUP($N1376,Base_Enderecos!$A:$A,Base_Enderecos!$C:$C,""),"")</f>
        <v/>
      </c>
      <c r="R1376">
        <f>IF(OR(ISNUMBER(SEARCH("HDD",$F1376)),ISNUMBER(SEARCH("MND",$F1376)),ISNUMBER(SEARCH("PEAD",$F1376)),ISNUMBER(SEARCH("Puxe",$J1376)),ISNUMBER(SEARCH("Apoio HDD",$F1376))),"MND",IF(OR(ISNUMBER(SEARCH("VCA",$F1376)),ISNUMBER(SEARCH("PVC",$F1376)),ISNUMBER(SEARCH("vca",$J1376)),ISNUMBER(SEARCH("Transformação",$J1376))),"VCA",IF(OR(ISNUMBER(SEARCH("crava",$F1376)),ISNUMBER(SEARCH("tubo cravado",$F1376)),ISNUMBER(SEARCH("shaft",$J1376)),ISNUMBER(SEARCH("concreto",$F1376))),"TUBO CRAVADO","")))</f>
        <v/>
      </c>
      <c r="T1376">
        <f>IF($A1376="","",TEXT($A1376,"yyyymm")&amp;"|"&amp;$C1376&amp;"|"&amp;$F1376&amp;"|"&amp;$N1376&amp;"|"&amp;$R1376)</f>
        <v/>
      </c>
    </row>
    <row r="1377" ht="11.55" customHeight="1">
      <c r="A1377" s="10" t="n">
        <v>46101</v>
      </c>
      <c r="B1377" s="7" t="inlineStr">
        <is>
          <t>Sexta</t>
        </is>
      </c>
      <c r="C1377" s="7" t="inlineStr">
        <is>
          <t>CT ÁGUA VERMELHA M.D.</t>
        </is>
      </c>
      <c r="D1377" s="7" t="inlineStr">
        <is>
          <t>FABIO E VALMIR</t>
        </is>
      </c>
      <c r="E1377" s="7" t="inlineStr">
        <is>
          <t>Jhonatan</t>
        </is>
      </c>
      <c r="F1377" s="13" t="inlineStr">
        <is>
          <t>Transformação PVD 13</t>
        </is>
      </c>
      <c r="G1377" s="7" t="inlineStr">
        <is>
          <t>13</t>
        </is>
      </c>
      <c r="H1377" s="7" t="n"/>
      <c r="I1377" s="7" t="inlineStr">
        <is>
          <t>13</t>
        </is>
      </c>
      <c r="J1377" s="7" t="inlineStr">
        <is>
          <t>Transformação</t>
        </is>
      </c>
      <c r="K1377" s="7" t="inlineStr">
        <is>
          <t>Planejamento</t>
        </is>
      </c>
      <c r="L1377" s="16" t="inlineStr">
        <is>
          <t>PDS-Março(1).docx</t>
        </is>
      </c>
      <c r="M1377">
        <f>IF($A1377="","",TEXT($A1377,"mmmm/yyyy"))</f>
        <v/>
      </c>
      <c r="P1377">
        <f>IFERROR(_xludf.XLOOKUP($N1377,Base_Enderecos!$A:$A,Base_Enderecos!$B:$B,""),"")</f>
        <v/>
      </c>
      <c r="Q1377">
        <f>IFERROR(_xludf.XLOOKUP($N1377,Base_Enderecos!$A:$A,Base_Enderecos!$C:$C,""),"")</f>
        <v/>
      </c>
      <c r="R1377">
        <f>IF(OR(ISNUMBER(SEARCH("HDD",$F1377)),ISNUMBER(SEARCH("MND",$F1377)),ISNUMBER(SEARCH("PEAD",$F1377)),ISNUMBER(SEARCH("Puxe",$J1377)),ISNUMBER(SEARCH("Apoio HDD",$F1377))),"MND",IF(OR(ISNUMBER(SEARCH("VCA",$F1377)),ISNUMBER(SEARCH("PVC",$F1377)),ISNUMBER(SEARCH("vca",$J1377)),ISNUMBER(SEARCH("Transformação",$J1377))),"VCA",IF(OR(ISNUMBER(SEARCH("crava",$F1377)),ISNUMBER(SEARCH("tubo cravado",$F1377)),ISNUMBER(SEARCH("shaft",$J1377)),ISNUMBER(SEARCH("concreto",$F1377))),"TUBO CRAVADO","")))</f>
        <v/>
      </c>
      <c r="T1377">
        <f>IF($A1377="","",TEXT($A1377,"yyyymm")&amp;"|"&amp;$C1377&amp;"|"&amp;$F1377&amp;"|"&amp;$N1377&amp;"|"&amp;$R1377)</f>
        <v/>
      </c>
    </row>
    <row r="1378" ht="11.55" customHeight="1">
      <c r="A1378" s="10" t="n">
        <v>46101</v>
      </c>
      <c r="B1378" s="7" t="inlineStr">
        <is>
          <t>Sexta</t>
        </is>
      </c>
      <c r="C1378" s="7" t="inlineStr">
        <is>
          <t>CT ÁGUA VERMELHA M.D.</t>
        </is>
      </c>
      <c r="D1378" s="7" t="inlineStr">
        <is>
          <t>FABIO E VALMIR</t>
        </is>
      </c>
      <c r="E1378" s="7" t="inlineStr">
        <is>
          <t>Antônio</t>
        </is>
      </c>
      <c r="F1378" s="13" t="inlineStr">
        <is>
          <t>Transformação PVD 16</t>
        </is>
      </c>
      <c r="G1378" s="7" t="inlineStr">
        <is>
          <t>16</t>
        </is>
      </c>
      <c r="H1378" s="7" t="n"/>
      <c r="I1378" s="7" t="inlineStr">
        <is>
          <t>16</t>
        </is>
      </c>
      <c r="J1378" s="7" t="inlineStr">
        <is>
          <t>Transformação</t>
        </is>
      </c>
      <c r="K1378" s="7" t="inlineStr">
        <is>
          <t>Planejamento</t>
        </is>
      </c>
      <c r="L1378" s="16" t="inlineStr">
        <is>
          <t>PDS-Março(1).docx</t>
        </is>
      </c>
      <c r="M1378">
        <f>IF($A1378="","",TEXT($A1378,"mmmm/yyyy"))</f>
        <v/>
      </c>
      <c r="P1378">
        <f>IFERROR(_xludf.XLOOKUP($N1378,Base_Enderecos!$A:$A,Base_Enderecos!$B:$B,""),"")</f>
        <v/>
      </c>
      <c r="Q1378">
        <f>IFERROR(_xludf.XLOOKUP($N1378,Base_Enderecos!$A:$A,Base_Enderecos!$C:$C,""),"")</f>
        <v/>
      </c>
      <c r="R1378">
        <f>IF(OR(ISNUMBER(SEARCH("HDD",$F1378)),ISNUMBER(SEARCH("MND",$F1378)),ISNUMBER(SEARCH("PEAD",$F1378)),ISNUMBER(SEARCH("Puxe",$J1378)),ISNUMBER(SEARCH("Apoio HDD",$F1378))),"MND",IF(OR(ISNUMBER(SEARCH("VCA",$F1378)),ISNUMBER(SEARCH("PVC",$F1378)),ISNUMBER(SEARCH("vca",$J1378)),ISNUMBER(SEARCH("Transformação",$J1378))),"VCA",IF(OR(ISNUMBER(SEARCH("crava",$F1378)),ISNUMBER(SEARCH("tubo cravado",$F1378)),ISNUMBER(SEARCH("shaft",$J1378)),ISNUMBER(SEARCH("concreto",$F1378))),"TUBO CRAVADO","")))</f>
        <v/>
      </c>
      <c r="T1378">
        <f>IF($A1378="","",TEXT($A1378,"yyyymm")&amp;"|"&amp;$C1378&amp;"|"&amp;$F1378&amp;"|"&amp;$N1378&amp;"|"&amp;$R1378)</f>
        <v/>
      </c>
    </row>
    <row r="1379" ht="11.55" customHeight="1">
      <c r="A1379" s="10" t="n">
        <v>46101</v>
      </c>
      <c r="B1379" s="7" t="inlineStr">
        <is>
          <t>Sexta</t>
        </is>
      </c>
      <c r="C1379" s="7" t="inlineStr">
        <is>
          <t>CT ÁGUA VERMELHA M.D.</t>
        </is>
      </c>
      <c r="D1379" s="7" t="inlineStr">
        <is>
          <t>FABIO E VALMIR</t>
        </is>
      </c>
      <c r="E1379" s="7" t="inlineStr">
        <is>
          <t>Marcelo</t>
        </is>
      </c>
      <c r="F1379" s="13" t="inlineStr">
        <is>
          <t>Transformação PVD 10</t>
        </is>
      </c>
      <c r="G1379" s="7" t="inlineStr">
        <is>
          <t>10</t>
        </is>
      </c>
      <c r="H1379" s="7" t="n"/>
      <c r="I1379" s="7" t="inlineStr">
        <is>
          <t>10</t>
        </is>
      </c>
      <c r="J1379" s="7" t="inlineStr">
        <is>
          <t>Transformação</t>
        </is>
      </c>
      <c r="K1379" s="7" t="inlineStr">
        <is>
          <t>Planejamento</t>
        </is>
      </c>
      <c r="L1379" s="16" t="inlineStr">
        <is>
          <t>PDS-Março(1).docx</t>
        </is>
      </c>
      <c r="M1379">
        <f>IF($A1379="","",TEXT($A1379,"mmmm/yyyy"))</f>
        <v/>
      </c>
      <c r="P1379">
        <f>IFERROR(_xludf.XLOOKUP($N1379,Base_Enderecos!$A:$A,Base_Enderecos!$B:$B,""),"")</f>
        <v/>
      </c>
      <c r="Q1379">
        <f>IFERROR(_xludf.XLOOKUP($N1379,Base_Enderecos!$A:$A,Base_Enderecos!$C:$C,""),"")</f>
        <v/>
      </c>
      <c r="R1379">
        <f>IF(OR(ISNUMBER(SEARCH("HDD",$F1379)),ISNUMBER(SEARCH("MND",$F1379)),ISNUMBER(SEARCH("PEAD",$F1379)),ISNUMBER(SEARCH("Puxe",$J1379)),ISNUMBER(SEARCH("Apoio HDD",$F1379))),"MND",IF(OR(ISNUMBER(SEARCH("VCA",$F1379)),ISNUMBER(SEARCH("PVC",$F1379)),ISNUMBER(SEARCH("vca",$J1379)),ISNUMBER(SEARCH("Transformação",$J1379))),"VCA",IF(OR(ISNUMBER(SEARCH("crava",$F1379)),ISNUMBER(SEARCH("tubo cravado",$F1379)),ISNUMBER(SEARCH("shaft",$J1379)),ISNUMBER(SEARCH("concreto",$F1379))),"TUBO CRAVADO","")))</f>
        <v/>
      </c>
      <c r="T1379">
        <f>IF($A1379="","",TEXT($A1379,"yyyymm")&amp;"|"&amp;$C1379&amp;"|"&amp;$F1379&amp;"|"&amp;$N1379&amp;"|"&amp;$R1379)</f>
        <v/>
      </c>
    </row>
    <row r="1380" ht="11.55" customHeight="1">
      <c r="A1380" s="10" t="n">
        <v>46101</v>
      </c>
      <c r="B1380" s="7" t="inlineStr">
        <is>
          <t>Sexta</t>
        </is>
      </c>
      <c r="C1380" s="7" t="inlineStr">
        <is>
          <t>CT ÁGUA VERMELHA M.E.</t>
        </is>
      </c>
      <c r="D1380" s="7" t="inlineStr">
        <is>
          <t>FABIO E VALMIR</t>
        </is>
      </c>
      <c r="E1380" s="7" t="inlineStr">
        <is>
          <t>Cidão</t>
        </is>
      </c>
      <c r="F1380" s="13" t="inlineStr">
        <is>
          <t>Acabamento PVs</t>
        </is>
      </c>
      <c r="G1380" s="7" t="n"/>
      <c r="H1380" s="7" t="n"/>
      <c r="I1380" s="7" t="n"/>
      <c r="J1380" s="7" t="inlineStr">
        <is>
          <t>Acabamento</t>
        </is>
      </c>
      <c r="K1380" s="7" t="inlineStr">
        <is>
          <t>Planejamento</t>
        </is>
      </c>
      <c r="L1380" s="16" t="inlineStr">
        <is>
          <t>PDS-Março(1).docx</t>
        </is>
      </c>
      <c r="M1380">
        <f>IF($A1380="","",TEXT($A1380,"mmmm/yyyy"))</f>
        <v/>
      </c>
      <c r="P1380">
        <f>IFERROR(_xludf.XLOOKUP($N1380,Base_Enderecos!$A:$A,Base_Enderecos!$B:$B,""),"")</f>
        <v/>
      </c>
      <c r="Q1380">
        <f>IFERROR(_xludf.XLOOKUP($N1380,Base_Enderecos!$A:$A,Base_Enderecos!$C:$C,""),"")</f>
        <v/>
      </c>
      <c r="R1380">
        <f>IF(OR(ISNUMBER(SEARCH("HDD",$F1380)),ISNUMBER(SEARCH("MND",$F1380)),ISNUMBER(SEARCH("PEAD",$F1380)),ISNUMBER(SEARCH("Puxe",$J1380)),ISNUMBER(SEARCH("Apoio HDD",$F1380))),"MND",IF(OR(ISNUMBER(SEARCH("VCA",$F1380)),ISNUMBER(SEARCH("PVC",$F1380)),ISNUMBER(SEARCH("vca",$J1380)),ISNUMBER(SEARCH("Transformação",$J1380))),"VCA",IF(OR(ISNUMBER(SEARCH("crava",$F1380)),ISNUMBER(SEARCH("tubo cravado",$F1380)),ISNUMBER(SEARCH("shaft",$J1380)),ISNUMBER(SEARCH("concreto",$F1380))),"TUBO CRAVADO","")))</f>
        <v/>
      </c>
      <c r="T1380">
        <f>IF($A1380="","",TEXT($A1380,"yyyymm")&amp;"|"&amp;$C1380&amp;"|"&amp;$F1380&amp;"|"&amp;$N1380&amp;"|"&amp;$R1380)</f>
        <v/>
      </c>
    </row>
    <row r="1381" ht="11.55" customHeight="1">
      <c r="A1381" s="10" t="n">
        <v>46101</v>
      </c>
      <c r="B1381" s="7" t="inlineStr">
        <is>
          <t>Sexta</t>
        </is>
      </c>
      <c r="C1381" s="7" t="inlineStr">
        <is>
          <t>CT ÁGUA VERMELHA M.E.</t>
        </is>
      </c>
      <c r="D1381" s="7" t="inlineStr">
        <is>
          <t>FABIO E VALMIR</t>
        </is>
      </c>
      <c r="E1381" s="7" t="inlineStr">
        <is>
          <t>Edivando</t>
        </is>
      </c>
      <c r="F1381" s="13" t="inlineStr">
        <is>
          <t>Interligação PVE 25</t>
        </is>
      </c>
      <c r="G1381" s="7" t="inlineStr">
        <is>
          <t>25</t>
        </is>
      </c>
      <c r="H1381" s="7" t="n"/>
      <c r="I1381" s="7" t="inlineStr">
        <is>
          <t>25</t>
        </is>
      </c>
      <c r="J1381" s="7" t="inlineStr">
        <is>
          <t>Interligação</t>
        </is>
      </c>
      <c r="K1381" s="7" t="inlineStr">
        <is>
          <t>Planejamento</t>
        </is>
      </c>
      <c r="L1381" s="16" t="inlineStr">
        <is>
          <t>PDS-Março(1).docx</t>
        </is>
      </c>
      <c r="M1381">
        <f>IF($A1381="","",TEXT($A1381,"mmmm/yyyy"))</f>
        <v/>
      </c>
      <c r="P1381">
        <f>IFERROR(_xludf.XLOOKUP($N1381,Base_Enderecos!$A:$A,Base_Enderecos!$B:$B,""),"")</f>
        <v/>
      </c>
      <c r="Q1381">
        <f>IFERROR(_xludf.XLOOKUP($N1381,Base_Enderecos!$A:$A,Base_Enderecos!$C:$C,""),"")</f>
        <v/>
      </c>
      <c r="R1381">
        <f>IF(OR(ISNUMBER(SEARCH("HDD",$F1381)),ISNUMBER(SEARCH("MND",$F1381)),ISNUMBER(SEARCH("PEAD",$F1381)),ISNUMBER(SEARCH("Puxe",$J1381)),ISNUMBER(SEARCH("Apoio HDD",$F1381))),"MND",IF(OR(ISNUMBER(SEARCH("VCA",$F1381)),ISNUMBER(SEARCH("PVC",$F1381)),ISNUMBER(SEARCH("vca",$J1381)),ISNUMBER(SEARCH("Transformação",$J1381))),"VCA",IF(OR(ISNUMBER(SEARCH("crava",$F1381)),ISNUMBER(SEARCH("tubo cravado",$F1381)),ISNUMBER(SEARCH("shaft",$J1381)),ISNUMBER(SEARCH("concreto",$F1381))),"TUBO CRAVADO","")))</f>
        <v/>
      </c>
      <c r="T1381">
        <f>IF($A1381="","",TEXT($A1381,"yyyymm")&amp;"|"&amp;$C1381&amp;"|"&amp;$F1381&amp;"|"&amp;$N1381&amp;"|"&amp;$R1381)</f>
        <v/>
      </c>
    </row>
    <row r="1382" ht="11.55" customHeight="1">
      <c r="A1382" s="10" t="n">
        <v>46101</v>
      </c>
      <c r="B1382" s="7" t="inlineStr">
        <is>
          <t>Sexta</t>
        </is>
      </c>
      <c r="C1382" s="7" t="inlineStr">
        <is>
          <t>CT ÁGUA VERMELHA M.E.</t>
        </is>
      </c>
      <c r="D1382" s="7" t="inlineStr">
        <is>
          <t>FABIO E VALMIR</t>
        </is>
      </c>
      <c r="E1382" s="7" t="inlineStr">
        <is>
          <t>Higor</t>
        </is>
      </c>
      <c r="F1382" s="13" t="inlineStr">
        <is>
          <t>Acabamento PVs</t>
        </is>
      </c>
      <c r="G1382" s="7" t="n"/>
      <c r="H1382" s="7" t="n"/>
      <c r="I1382" s="7" t="n"/>
      <c r="J1382" s="7" t="inlineStr">
        <is>
          <t>Acabamento</t>
        </is>
      </c>
      <c r="K1382" s="7" t="inlineStr">
        <is>
          <t>Planejamento</t>
        </is>
      </c>
      <c r="L1382" s="16" t="inlineStr">
        <is>
          <t>PDS-Março(1).docx</t>
        </is>
      </c>
      <c r="M1382">
        <f>IF($A1382="","",TEXT($A1382,"mmmm/yyyy"))</f>
        <v/>
      </c>
      <c r="P1382">
        <f>IFERROR(_xludf.XLOOKUP($N1382,Base_Enderecos!$A:$A,Base_Enderecos!$B:$B,""),"")</f>
        <v/>
      </c>
      <c r="Q1382">
        <f>IFERROR(_xludf.XLOOKUP($N1382,Base_Enderecos!$A:$A,Base_Enderecos!$C:$C,""),"")</f>
        <v/>
      </c>
      <c r="R1382">
        <f>IF(OR(ISNUMBER(SEARCH("HDD",$F1382)),ISNUMBER(SEARCH("MND",$F1382)),ISNUMBER(SEARCH("PEAD",$F1382)),ISNUMBER(SEARCH("Puxe",$J1382)),ISNUMBER(SEARCH("Apoio HDD",$F1382))),"MND",IF(OR(ISNUMBER(SEARCH("VCA",$F1382)),ISNUMBER(SEARCH("PVC",$F1382)),ISNUMBER(SEARCH("vca",$J1382)),ISNUMBER(SEARCH("Transformação",$J1382))),"VCA",IF(OR(ISNUMBER(SEARCH("crava",$F1382)),ISNUMBER(SEARCH("tubo cravado",$F1382)),ISNUMBER(SEARCH("shaft",$J1382)),ISNUMBER(SEARCH("concreto",$F1382))),"TUBO CRAVADO","")))</f>
        <v/>
      </c>
      <c r="T1382">
        <f>IF($A1382="","",TEXT($A1382,"yyyymm")&amp;"|"&amp;$C1382&amp;"|"&amp;$F1382&amp;"|"&amp;$N1382&amp;"|"&amp;$R1382)</f>
        <v/>
      </c>
    </row>
    <row r="1383" ht="11.55" customHeight="1">
      <c r="A1383" s="10" t="n">
        <v>46101</v>
      </c>
      <c r="B1383" s="7" t="inlineStr">
        <is>
          <t>Sexta</t>
        </is>
      </c>
      <c r="C1383" s="7" t="inlineStr">
        <is>
          <t>CT ÁGUA VERMELHA M.E.</t>
        </is>
      </c>
      <c r="D1383" s="7" t="inlineStr">
        <is>
          <t>FABIO E VALMIR</t>
        </is>
      </c>
      <c r="E1383" s="7" t="inlineStr">
        <is>
          <t>WORK DRILL</t>
        </is>
      </c>
      <c r="F1383" s="13" t="inlineStr">
        <is>
          <t>Piloto e puxe entre PV 17 ao 17.1</t>
        </is>
      </c>
      <c r="G1383" s="7" t="inlineStr">
        <is>
          <t>17</t>
        </is>
      </c>
      <c r="H1383" s="7" t="n"/>
      <c r="I1383" s="7" t="inlineStr">
        <is>
          <t>17</t>
        </is>
      </c>
      <c r="J1383" s="7" t="inlineStr">
        <is>
          <t>Piloto e puxe</t>
        </is>
      </c>
      <c r="K1383" s="7" t="inlineStr">
        <is>
          <t>Planejamento</t>
        </is>
      </c>
      <c r="L1383" s="16" t="inlineStr">
        <is>
          <t>PDS-Março(1).docx</t>
        </is>
      </c>
      <c r="M1383">
        <f>IF($A1383="","",TEXT($A1383,"mmmm/yyyy"))</f>
        <v/>
      </c>
      <c r="P1383">
        <f>IFERROR(_xludf.XLOOKUP($N1383,Base_Enderecos!$A:$A,Base_Enderecos!$B:$B,""),"")</f>
        <v/>
      </c>
      <c r="Q1383">
        <f>IFERROR(_xludf.XLOOKUP($N1383,Base_Enderecos!$A:$A,Base_Enderecos!$C:$C,""),"")</f>
        <v/>
      </c>
      <c r="R1383">
        <f>IF(OR(ISNUMBER(SEARCH("HDD",$F1383)),ISNUMBER(SEARCH("MND",$F1383)),ISNUMBER(SEARCH("PEAD",$F1383)),ISNUMBER(SEARCH("Puxe",$J1383)),ISNUMBER(SEARCH("Apoio HDD",$F1383))),"MND",IF(OR(ISNUMBER(SEARCH("VCA",$F1383)),ISNUMBER(SEARCH("PVC",$F1383)),ISNUMBER(SEARCH("vca",$J1383)),ISNUMBER(SEARCH("Transformação",$J1383))),"VCA",IF(OR(ISNUMBER(SEARCH("crava",$F1383)),ISNUMBER(SEARCH("tubo cravado",$F1383)),ISNUMBER(SEARCH("shaft",$J1383)),ISNUMBER(SEARCH("concreto",$F1383))),"TUBO CRAVADO","")))</f>
        <v/>
      </c>
      <c r="T1383">
        <f>IF($A1383="","",TEXT($A1383,"yyyymm")&amp;"|"&amp;$C1383&amp;"|"&amp;$F1383&amp;"|"&amp;$N1383&amp;"|"&amp;$R1383)</f>
        <v/>
      </c>
    </row>
    <row r="1384" ht="11.55" customHeight="1">
      <c r="A1384" s="10" t="n">
        <v>46101</v>
      </c>
      <c r="B1384" s="7" t="inlineStr">
        <is>
          <t>Sexta</t>
        </is>
      </c>
      <c r="C1384" s="7" t="inlineStr">
        <is>
          <t>CT ÁGUA VERMELHA M.E.</t>
        </is>
      </c>
      <c r="D1384" s="7" t="inlineStr">
        <is>
          <t>FABIO E VALMIR</t>
        </is>
      </c>
      <c r="E1384" s="7" t="inlineStr">
        <is>
          <t>Bruno</t>
        </is>
      </c>
      <c r="F1384" s="13" t="inlineStr">
        <is>
          <t>Apoio HDD entre PV 17 ao 17.1</t>
        </is>
      </c>
      <c r="G1384" s="7" t="inlineStr">
        <is>
          <t>17</t>
        </is>
      </c>
      <c r="H1384" s="7" t="n"/>
      <c r="I1384" s="7" t="inlineStr">
        <is>
          <t>17</t>
        </is>
      </c>
      <c r="J1384" s="7" t="inlineStr">
        <is>
          <t>Apoio HDD</t>
        </is>
      </c>
      <c r="K1384" s="7" t="inlineStr">
        <is>
          <t>Planejamento</t>
        </is>
      </c>
      <c r="L1384" s="16" t="inlineStr">
        <is>
          <t>PDS-Março(1).docx</t>
        </is>
      </c>
      <c r="M1384">
        <f>IF($A1384="","",TEXT($A1384,"mmmm/yyyy"))</f>
        <v/>
      </c>
      <c r="P1384">
        <f>IFERROR(_xludf.XLOOKUP($N1384,Base_Enderecos!$A:$A,Base_Enderecos!$B:$B,""),"")</f>
        <v/>
      </c>
      <c r="Q1384">
        <f>IFERROR(_xludf.XLOOKUP($N1384,Base_Enderecos!$A:$A,Base_Enderecos!$C:$C,""),"")</f>
        <v/>
      </c>
      <c r="R1384">
        <f>IF(OR(ISNUMBER(SEARCH("HDD",$F1384)),ISNUMBER(SEARCH("MND",$F1384)),ISNUMBER(SEARCH("PEAD",$F1384)),ISNUMBER(SEARCH("Puxe",$J1384)),ISNUMBER(SEARCH("Apoio HDD",$F1384))),"MND",IF(OR(ISNUMBER(SEARCH("VCA",$F1384)),ISNUMBER(SEARCH("PVC",$F1384)),ISNUMBER(SEARCH("vca",$J1384)),ISNUMBER(SEARCH("Transformação",$J1384))),"VCA",IF(OR(ISNUMBER(SEARCH("crava",$F1384)),ISNUMBER(SEARCH("tubo cravado",$F1384)),ISNUMBER(SEARCH("shaft",$J1384)),ISNUMBER(SEARCH("concreto",$F1384))),"TUBO CRAVADO","")))</f>
        <v/>
      </c>
      <c r="T1384">
        <f>IF($A1384="","",TEXT($A1384,"yyyymm")&amp;"|"&amp;$C1384&amp;"|"&amp;$F1384&amp;"|"&amp;$N1384&amp;"|"&amp;$R1384)</f>
        <v/>
      </c>
    </row>
    <row r="1385" ht="11.55" customHeight="1">
      <c r="A1385" s="10" t="n">
        <v>46101</v>
      </c>
      <c r="B1385" s="7" t="inlineStr">
        <is>
          <t>Sexta</t>
        </is>
      </c>
      <c r="C1385" s="7" t="inlineStr">
        <is>
          <t>RCE FCO. SOUTO MAIOR</t>
        </is>
      </c>
      <c r="D1385" s="7" t="inlineStr">
        <is>
          <t>ROBSON</t>
        </is>
      </c>
      <c r="E1385" s="7" t="inlineStr">
        <is>
          <t>Valter</t>
        </is>
      </c>
      <c r="F1385" s="13" t="inlineStr">
        <is>
          <t>VCA e Ligações – Rua Canto da Serra</t>
        </is>
      </c>
      <c r="G1385" s="7" t="n"/>
      <c r="H1385" s="7" t="n"/>
      <c r="I1385" s="7" t="n"/>
      <c r="J1385" s="7" t="inlineStr">
        <is>
          <t>VCA</t>
        </is>
      </c>
      <c r="K1385" s="7" t="inlineStr">
        <is>
          <t>Planejamento</t>
        </is>
      </c>
      <c r="L1385" s="16" t="inlineStr">
        <is>
          <t>PDS-Março(1).docx</t>
        </is>
      </c>
      <c r="M1385">
        <f>IF($A1385="","",TEXT($A1385,"mmmm/yyyy"))</f>
        <v/>
      </c>
      <c r="P1385">
        <f>IFERROR(_xludf.XLOOKUP($N1385,Base_Enderecos!$A:$A,Base_Enderecos!$B:$B,""),"")</f>
        <v/>
      </c>
      <c r="Q1385">
        <f>IFERROR(_xludf.XLOOKUP($N1385,Base_Enderecos!$A:$A,Base_Enderecos!$C:$C,""),"")</f>
        <v/>
      </c>
      <c r="R1385">
        <f>IF(OR(ISNUMBER(SEARCH("HDD",$F1385)),ISNUMBER(SEARCH("MND",$F1385)),ISNUMBER(SEARCH("PEAD",$F1385)),ISNUMBER(SEARCH("Puxe",$J1385)),ISNUMBER(SEARCH("Apoio HDD",$F1385))),"MND",IF(OR(ISNUMBER(SEARCH("VCA",$F1385)),ISNUMBER(SEARCH("PVC",$F1385)),ISNUMBER(SEARCH("vca",$J1385)),ISNUMBER(SEARCH("Transformação",$J1385))),"VCA",IF(OR(ISNUMBER(SEARCH("crava",$F1385)),ISNUMBER(SEARCH("tubo cravado",$F1385)),ISNUMBER(SEARCH("shaft",$J1385)),ISNUMBER(SEARCH("concreto",$F1385))),"TUBO CRAVADO","")))</f>
        <v/>
      </c>
      <c r="T1385">
        <f>IF($A1385="","",TEXT($A1385,"yyyymm")&amp;"|"&amp;$C1385&amp;"|"&amp;$F1385&amp;"|"&amp;$N1385&amp;"|"&amp;$R1385)</f>
        <v/>
      </c>
    </row>
    <row r="1386" ht="11.55" customHeight="1">
      <c r="A1386" s="10" t="n">
        <v>46101</v>
      </c>
      <c r="B1386" s="7" t="inlineStr">
        <is>
          <t>Sexta</t>
        </is>
      </c>
      <c r="C1386" s="7" t="inlineStr">
        <is>
          <t>Vacal</t>
        </is>
      </c>
      <c r="D1386" s="7" t="n"/>
      <c r="E1386" s="7" t="inlineStr">
        <is>
          <t>Conceição - BRD</t>
        </is>
      </c>
      <c r="F1386" s="13" t="inlineStr">
        <is>
          <t>Apoio Vacal</t>
        </is>
      </c>
      <c r="G1386" s="7" t="n"/>
      <c r="H1386" s="7" t="n"/>
      <c r="I1386" s="7" t="n"/>
      <c r="J1386" s="7" t="inlineStr">
        <is>
          <t>Vacal</t>
        </is>
      </c>
      <c r="K1386" s="7" t="inlineStr">
        <is>
          <t>Apoio</t>
        </is>
      </c>
      <c r="L1386" s="16" t="inlineStr">
        <is>
          <t>PDS-Março(1).docx</t>
        </is>
      </c>
      <c r="M1386">
        <f>IF($A1386="","",TEXT($A1386,"mmmm/yyyy"))</f>
        <v/>
      </c>
      <c r="P1386">
        <f>IFERROR(_xludf.XLOOKUP($N1386,Base_Enderecos!$A:$A,Base_Enderecos!$B:$B,""),"")</f>
        <v/>
      </c>
      <c r="Q1386">
        <f>IFERROR(_xludf.XLOOKUP($N1386,Base_Enderecos!$A:$A,Base_Enderecos!$C:$C,""),"")</f>
        <v/>
      </c>
      <c r="R1386">
        <f>IF(OR(ISNUMBER(SEARCH("HDD",$F1386)),ISNUMBER(SEARCH("MND",$F1386)),ISNUMBER(SEARCH("PEAD",$F1386)),ISNUMBER(SEARCH("Puxe",$J1386)),ISNUMBER(SEARCH("Apoio HDD",$F1386))),"MND",IF(OR(ISNUMBER(SEARCH("VCA",$F1386)),ISNUMBER(SEARCH("PVC",$F1386)),ISNUMBER(SEARCH("vca",$J1386)),ISNUMBER(SEARCH("Transformação",$J1386))),"VCA",IF(OR(ISNUMBER(SEARCH("crava",$F1386)),ISNUMBER(SEARCH("tubo cravado",$F1386)),ISNUMBER(SEARCH("shaft",$J1386)),ISNUMBER(SEARCH("concreto",$F1386))),"TUBO CRAVADO","")))</f>
        <v/>
      </c>
      <c r="T1386">
        <f>IF($A1386="","",TEXT($A1386,"yyyymm")&amp;"|"&amp;$C1386&amp;"|"&amp;$F1386&amp;"|"&amp;$N1386&amp;"|"&amp;$R1386)</f>
        <v/>
      </c>
    </row>
    <row r="1387" ht="11.55" customHeight="1">
      <c r="A1387" s="10" t="n">
        <v>46101</v>
      </c>
      <c r="B1387" s="7" t="inlineStr">
        <is>
          <t>Sexta</t>
        </is>
      </c>
      <c r="C1387" s="7" t="inlineStr">
        <is>
          <t>Vacal</t>
        </is>
      </c>
      <c r="D1387" s="7" t="n"/>
      <c r="E1387" s="7" t="inlineStr">
        <is>
          <t>Conceição - Renasce</t>
        </is>
      </c>
      <c r="F1387" s="13" t="inlineStr">
        <is>
          <t>Apoio Vacal</t>
        </is>
      </c>
      <c r="G1387" s="7" t="n"/>
      <c r="H1387" s="7" t="n"/>
      <c r="I1387" s="7" t="n"/>
      <c r="J1387" s="7" t="inlineStr">
        <is>
          <t>Vacal</t>
        </is>
      </c>
      <c r="K1387" s="7" t="inlineStr">
        <is>
          <t>Apoio</t>
        </is>
      </c>
      <c r="L1387" s="16" t="inlineStr">
        <is>
          <t>PDS-Março(1).docx</t>
        </is>
      </c>
      <c r="M1387">
        <f>IF($A1387="","",TEXT($A1387,"mmmm/yyyy"))</f>
        <v/>
      </c>
      <c r="P1387">
        <f>IFERROR(_xludf.XLOOKUP($N1387,Base_Enderecos!$A:$A,Base_Enderecos!$B:$B,""),"")</f>
        <v/>
      </c>
      <c r="Q1387">
        <f>IFERROR(_xludf.XLOOKUP($N1387,Base_Enderecos!$A:$A,Base_Enderecos!$C:$C,""),"")</f>
        <v/>
      </c>
      <c r="R1387">
        <f>IF(OR(ISNUMBER(SEARCH("HDD",$F1387)),ISNUMBER(SEARCH("MND",$F1387)),ISNUMBER(SEARCH("PEAD",$F1387)),ISNUMBER(SEARCH("Puxe",$J1387)),ISNUMBER(SEARCH("Apoio HDD",$F1387))),"MND",IF(OR(ISNUMBER(SEARCH("VCA",$F1387)),ISNUMBER(SEARCH("PVC",$F1387)),ISNUMBER(SEARCH("vca",$J1387)),ISNUMBER(SEARCH("Transformação",$J1387))),"VCA",IF(OR(ISNUMBER(SEARCH("crava",$F1387)),ISNUMBER(SEARCH("tubo cravado",$F1387)),ISNUMBER(SEARCH("shaft",$J1387)),ISNUMBER(SEARCH("concreto",$F1387))),"TUBO CRAVADO","")))</f>
        <v/>
      </c>
      <c r="T1387">
        <f>IF($A1387="","",TEXT($A1387,"yyyymm")&amp;"|"&amp;$C1387&amp;"|"&amp;$F1387&amp;"|"&amp;$N1387&amp;"|"&amp;$R1387)</f>
        <v/>
      </c>
    </row>
    <row r="1388" ht="11.55" customHeight="1">
      <c r="A1388" s="10" t="n">
        <v>46101</v>
      </c>
      <c r="B1388" s="7" t="inlineStr">
        <is>
          <t>Sexta</t>
        </is>
      </c>
      <c r="C1388" s="7" t="inlineStr">
        <is>
          <t>Vacal</t>
        </is>
      </c>
      <c r="D1388" s="7" t="n"/>
      <c r="E1388" s="7" t="inlineStr">
        <is>
          <t>Água Vermelha - Renasce</t>
        </is>
      </c>
      <c r="F1388" s="13" t="inlineStr">
        <is>
          <t>Apoio Vacal</t>
        </is>
      </c>
      <c r="G1388" s="7" t="n"/>
      <c r="H1388" s="7" t="n"/>
      <c r="I1388" s="7" t="n"/>
      <c r="J1388" s="7" t="inlineStr">
        <is>
          <t>Vacal</t>
        </is>
      </c>
      <c r="K1388" s="7" t="inlineStr">
        <is>
          <t>Apoio</t>
        </is>
      </c>
      <c r="L1388" s="16" t="inlineStr">
        <is>
          <t>PDS-Março(1).docx</t>
        </is>
      </c>
      <c r="M1388">
        <f>IF($A1388="","",TEXT($A1388,"mmmm/yyyy"))</f>
        <v/>
      </c>
      <c r="P1388">
        <f>IFERROR(_xludf.XLOOKUP($N1388,Base_Enderecos!$A:$A,Base_Enderecos!$B:$B,""),"")</f>
        <v/>
      </c>
      <c r="Q1388">
        <f>IFERROR(_xludf.XLOOKUP($N1388,Base_Enderecos!$A:$A,Base_Enderecos!$C:$C,""),"")</f>
        <v/>
      </c>
      <c r="R1388">
        <f>IF(OR(ISNUMBER(SEARCH("HDD",$F1388)),ISNUMBER(SEARCH("MND",$F1388)),ISNUMBER(SEARCH("PEAD",$F1388)),ISNUMBER(SEARCH("Puxe",$J1388)),ISNUMBER(SEARCH("Apoio HDD",$F1388))),"MND",IF(OR(ISNUMBER(SEARCH("VCA",$F1388)),ISNUMBER(SEARCH("PVC",$F1388)),ISNUMBER(SEARCH("vca",$J1388)),ISNUMBER(SEARCH("Transformação",$J1388))),"VCA",IF(OR(ISNUMBER(SEARCH("crava",$F1388)),ISNUMBER(SEARCH("tubo cravado",$F1388)),ISNUMBER(SEARCH("shaft",$J1388)),ISNUMBER(SEARCH("concreto",$F1388))),"TUBO CRAVADO","")))</f>
        <v/>
      </c>
      <c r="T1388">
        <f>IF($A1388="","",TEXT($A1388,"yyyymm")&amp;"|"&amp;$C1388&amp;"|"&amp;$F1388&amp;"|"&amp;$N1388&amp;"|"&amp;$R1388)</f>
        <v/>
      </c>
    </row>
    <row r="1389" ht="11.55" customHeight="1">
      <c r="A1389" s="10" t="n">
        <v>46101</v>
      </c>
      <c r="B1389" s="7" t="inlineStr">
        <is>
          <t>Sexta</t>
        </is>
      </c>
      <c r="C1389" s="7" t="inlineStr">
        <is>
          <t>Vacal</t>
        </is>
      </c>
      <c r="D1389" s="7" t="n"/>
      <c r="E1389" s="7" t="inlineStr">
        <is>
          <t>Água Vermelha - Hidrossol</t>
        </is>
      </c>
      <c r="F1389" s="13" t="inlineStr">
        <is>
          <t>Apoio Vacal</t>
        </is>
      </c>
      <c r="G1389" s="7" t="n"/>
      <c r="H1389" s="7" t="n"/>
      <c r="I1389" s="7" t="n"/>
      <c r="J1389" s="7" t="inlineStr">
        <is>
          <t>Vacal</t>
        </is>
      </c>
      <c r="K1389" s="7" t="inlineStr">
        <is>
          <t>Apoio</t>
        </is>
      </c>
      <c r="L1389" s="16" t="inlineStr">
        <is>
          <t>PDS-Março(1).docx</t>
        </is>
      </c>
      <c r="M1389">
        <f>IF($A1389="","",TEXT($A1389,"mmmm/yyyy"))</f>
        <v/>
      </c>
      <c r="P1389">
        <f>IFERROR(_xludf.XLOOKUP($N1389,Base_Enderecos!$A:$A,Base_Enderecos!$B:$B,""),"")</f>
        <v/>
      </c>
      <c r="Q1389">
        <f>IFERROR(_xludf.XLOOKUP($N1389,Base_Enderecos!$A:$A,Base_Enderecos!$C:$C,""),"")</f>
        <v/>
      </c>
      <c r="R1389">
        <f>IF(OR(ISNUMBER(SEARCH("HDD",$F1389)),ISNUMBER(SEARCH("MND",$F1389)),ISNUMBER(SEARCH("PEAD",$F1389)),ISNUMBER(SEARCH("Puxe",$J1389)),ISNUMBER(SEARCH("Apoio HDD",$F1389))),"MND",IF(OR(ISNUMBER(SEARCH("VCA",$F1389)),ISNUMBER(SEARCH("PVC",$F1389)),ISNUMBER(SEARCH("vca",$J1389)),ISNUMBER(SEARCH("Transformação",$J1389))),"VCA",IF(OR(ISNUMBER(SEARCH("crava",$F1389)),ISNUMBER(SEARCH("tubo cravado",$F1389)),ISNUMBER(SEARCH("shaft",$J1389)),ISNUMBER(SEARCH("concreto",$F1389))),"TUBO CRAVADO","")))</f>
        <v/>
      </c>
      <c r="T1389">
        <f>IF($A1389="","",TEXT($A1389,"yyyymm")&amp;"|"&amp;$C1389&amp;"|"&amp;$F1389&amp;"|"&amp;$N1389&amp;"|"&amp;$R1389)</f>
        <v/>
      </c>
    </row>
    <row r="1390" ht="11.55" customHeight="1">
      <c r="A1390" s="10" t="n">
        <v>46101</v>
      </c>
      <c r="B1390" s="7" t="inlineStr">
        <is>
          <t>Sexta</t>
        </is>
      </c>
      <c r="C1390" s="7" t="inlineStr">
        <is>
          <t>Guindauto</t>
        </is>
      </c>
      <c r="D1390" s="7" t="n"/>
      <c r="E1390" s="7" t="inlineStr">
        <is>
          <t>Rodrigo</t>
        </is>
      </c>
      <c r="F1390" s="13" t="inlineStr">
        <is>
          <t>Rodrigo - Apoio as equipes</t>
        </is>
      </c>
      <c r="G1390" s="7" t="n"/>
      <c r="H1390" s="7" t="n"/>
      <c r="I1390" s="7" t="n"/>
      <c r="J1390" s="7" t="inlineStr">
        <is>
          <t>Guindauto</t>
        </is>
      </c>
      <c r="K1390" s="7" t="inlineStr">
        <is>
          <t>Apoio</t>
        </is>
      </c>
      <c r="L1390" s="16" t="inlineStr">
        <is>
          <t>PDS-Março(1).docx</t>
        </is>
      </c>
      <c r="M1390">
        <f>IF($A1390="","",TEXT($A1390,"mmmm/yyyy"))</f>
        <v/>
      </c>
      <c r="P1390">
        <f>IFERROR(_xludf.XLOOKUP($N1390,Base_Enderecos!$A:$A,Base_Enderecos!$B:$B,""),"")</f>
        <v/>
      </c>
      <c r="Q1390">
        <f>IFERROR(_xludf.XLOOKUP($N1390,Base_Enderecos!$A:$A,Base_Enderecos!$C:$C,""),"")</f>
        <v/>
      </c>
      <c r="R1390">
        <f>IF(OR(ISNUMBER(SEARCH("HDD",$F1390)),ISNUMBER(SEARCH("MND",$F1390)),ISNUMBER(SEARCH("PEAD",$F1390)),ISNUMBER(SEARCH("Puxe",$J1390)),ISNUMBER(SEARCH("Apoio HDD",$F1390))),"MND",IF(OR(ISNUMBER(SEARCH("VCA",$F1390)),ISNUMBER(SEARCH("PVC",$F1390)),ISNUMBER(SEARCH("vca",$J1390)),ISNUMBER(SEARCH("Transformação",$J1390))),"VCA",IF(OR(ISNUMBER(SEARCH("crava",$F1390)),ISNUMBER(SEARCH("tubo cravado",$F1390)),ISNUMBER(SEARCH("shaft",$J1390)),ISNUMBER(SEARCH("concreto",$F1390))),"TUBO CRAVADO","")))</f>
        <v/>
      </c>
      <c r="T1390">
        <f>IF($A1390="","",TEXT($A1390,"yyyymm")&amp;"|"&amp;$C1390&amp;"|"&amp;$F1390&amp;"|"&amp;$N1390&amp;"|"&amp;$R1390)</f>
        <v/>
      </c>
    </row>
    <row r="1391" ht="11.55" customHeight="1">
      <c r="A1391" s="10" t="n">
        <v>46101</v>
      </c>
      <c r="B1391" s="7" t="inlineStr">
        <is>
          <t>Sexta</t>
        </is>
      </c>
      <c r="C1391" s="7" t="inlineStr">
        <is>
          <t>Guindauto</t>
        </is>
      </c>
      <c r="D1391" s="7" t="n"/>
      <c r="E1391" s="7" t="inlineStr">
        <is>
          <t>Marcio</t>
        </is>
      </c>
      <c r="F1391" s="13" t="inlineStr">
        <is>
          <t>Marcio - Apoio as equipes</t>
        </is>
      </c>
      <c r="G1391" s="7" t="n"/>
      <c r="H1391" s="7" t="n"/>
      <c r="I1391" s="7" t="n"/>
      <c r="J1391" s="7" t="inlineStr">
        <is>
          <t>Guindauto</t>
        </is>
      </c>
      <c r="K1391" s="7" t="inlineStr">
        <is>
          <t>Apoio</t>
        </is>
      </c>
      <c r="L1391" s="16" t="inlineStr">
        <is>
          <t>PDS-Março(1).docx</t>
        </is>
      </c>
      <c r="M1391">
        <f>IF($A1391="","",TEXT($A1391,"mmmm/yyyy"))</f>
        <v/>
      </c>
      <c r="P1391">
        <f>IFERROR(_xludf.XLOOKUP($N1391,Base_Enderecos!$A:$A,Base_Enderecos!$B:$B,""),"")</f>
        <v/>
      </c>
      <c r="Q1391">
        <f>IFERROR(_xludf.XLOOKUP($N1391,Base_Enderecos!$A:$A,Base_Enderecos!$C:$C,""),"")</f>
        <v/>
      </c>
      <c r="R1391">
        <f>IF(OR(ISNUMBER(SEARCH("HDD",$F1391)),ISNUMBER(SEARCH("MND",$F1391)),ISNUMBER(SEARCH("PEAD",$F1391)),ISNUMBER(SEARCH("Puxe",$J1391)),ISNUMBER(SEARCH("Apoio HDD",$F1391))),"MND",IF(OR(ISNUMBER(SEARCH("VCA",$F1391)),ISNUMBER(SEARCH("PVC",$F1391)),ISNUMBER(SEARCH("vca",$J1391)),ISNUMBER(SEARCH("Transformação",$J1391))),"VCA",IF(OR(ISNUMBER(SEARCH("crava",$F1391)),ISNUMBER(SEARCH("tubo cravado",$F1391)),ISNUMBER(SEARCH("shaft",$J1391)),ISNUMBER(SEARCH("concreto",$F1391))),"TUBO CRAVADO","")))</f>
        <v/>
      </c>
      <c r="T1391">
        <f>IF($A1391="","",TEXT($A1391,"yyyymm")&amp;"|"&amp;$C1391&amp;"|"&amp;$F1391&amp;"|"&amp;$N1391&amp;"|"&amp;$R1391)</f>
        <v/>
      </c>
    </row>
    <row r="1392" ht="11.55" customHeight="1">
      <c r="A1392" s="10" t="n">
        <v>46104</v>
      </c>
      <c r="B1392" s="7" t="inlineStr">
        <is>
          <t>Segunda</t>
        </is>
      </c>
      <c r="C1392" s="7" t="inlineStr">
        <is>
          <t>CTS CONCEIÇÃO</t>
        </is>
      </c>
      <c r="D1392" s="7" t="inlineStr">
        <is>
          <t>LEANDRO E SILVESTRE</t>
        </is>
      </c>
      <c r="E1392" s="7" t="inlineStr">
        <is>
          <t>GR Drill</t>
        </is>
      </c>
      <c r="F1392" s="13" t="inlineStr">
        <is>
          <t>Piloto e puxe entre PV 06 ao 09</t>
        </is>
      </c>
      <c r="G1392" s="7" t="inlineStr">
        <is>
          <t>06</t>
        </is>
      </c>
      <c r="H1392" s="7" t="n"/>
      <c r="I1392" s="7" t="inlineStr">
        <is>
          <t>06</t>
        </is>
      </c>
      <c r="J1392" s="7" t="inlineStr">
        <is>
          <t>Piloto e puxe</t>
        </is>
      </c>
      <c r="K1392" s="7" t="inlineStr">
        <is>
          <t>Planejamento</t>
        </is>
      </c>
      <c r="L1392" s="16" t="inlineStr">
        <is>
          <t>PDS-Março(1).docx</t>
        </is>
      </c>
      <c r="M1392">
        <f>IF($A1392="","",TEXT($A1392,"mmmm/yyyy"))</f>
        <v/>
      </c>
      <c r="P1392">
        <f>IFERROR(_xludf.XLOOKUP($N1392,Base_Enderecos!$A:$A,Base_Enderecos!$B:$B,""),"")</f>
        <v/>
      </c>
      <c r="Q1392">
        <f>IFERROR(_xludf.XLOOKUP($N1392,Base_Enderecos!$A:$A,Base_Enderecos!$C:$C,""),"")</f>
        <v/>
      </c>
      <c r="R1392">
        <f>IF(OR(ISNUMBER(SEARCH("HDD",$F1392)),ISNUMBER(SEARCH("MND",$F1392)),ISNUMBER(SEARCH("PEAD",$F1392)),ISNUMBER(SEARCH("Puxe",$J1392)),ISNUMBER(SEARCH("Apoio HDD",$F1392))),"MND",IF(OR(ISNUMBER(SEARCH("VCA",$F1392)),ISNUMBER(SEARCH("PVC",$F1392)),ISNUMBER(SEARCH("vca",$J1392)),ISNUMBER(SEARCH("Transformação",$J1392))),"VCA",IF(OR(ISNUMBER(SEARCH("crava",$F1392)),ISNUMBER(SEARCH("tubo cravado",$F1392)),ISNUMBER(SEARCH("shaft",$J1392)),ISNUMBER(SEARCH("concreto",$F1392))),"TUBO CRAVADO","")))</f>
        <v/>
      </c>
      <c r="T1392">
        <f>IF($A1392="","",TEXT($A1392,"yyyymm")&amp;"|"&amp;$C1392&amp;"|"&amp;$F1392&amp;"|"&amp;$N1392&amp;"|"&amp;$R1392)</f>
        <v/>
      </c>
    </row>
    <row r="1393" ht="11.55" customHeight="1">
      <c r="A1393" s="10" t="n">
        <v>46104</v>
      </c>
      <c r="B1393" s="7" t="inlineStr">
        <is>
          <t>Segunda</t>
        </is>
      </c>
      <c r="C1393" s="7" t="inlineStr">
        <is>
          <t>CTS CONCEIÇÃO</t>
        </is>
      </c>
      <c r="D1393" s="7" t="inlineStr">
        <is>
          <t>LEANDRO E SILVESTRE</t>
        </is>
      </c>
      <c r="E1393" s="7" t="inlineStr">
        <is>
          <t>Medeiros</t>
        </is>
      </c>
      <c r="F1393" s="13" t="inlineStr">
        <is>
          <t>Apoio HDD entre PV 06 ao 09</t>
        </is>
      </c>
      <c r="G1393" s="7" t="inlineStr">
        <is>
          <t>06</t>
        </is>
      </c>
      <c r="H1393" s="7" t="n"/>
      <c r="I1393" s="7" t="inlineStr">
        <is>
          <t>06</t>
        </is>
      </c>
      <c r="J1393" s="7" t="inlineStr">
        <is>
          <t>Apoio HDD</t>
        </is>
      </c>
      <c r="K1393" s="7" t="inlineStr">
        <is>
          <t>Planejamento</t>
        </is>
      </c>
      <c r="L1393" s="16" t="inlineStr">
        <is>
          <t>PDS-Março(1).docx</t>
        </is>
      </c>
      <c r="M1393">
        <f>IF($A1393="","",TEXT($A1393,"mmmm/yyyy"))</f>
        <v/>
      </c>
      <c r="P1393">
        <f>IFERROR(_xludf.XLOOKUP($N1393,Base_Enderecos!$A:$A,Base_Enderecos!$B:$B,""),"")</f>
        <v/>
      </c>
      <c r="Q1393">
        <f>IFERROR(_xludf.XLOOKUP($N1393,Base_Enderecos!$A:$A,Base_Enderecos!$C:$C,""),"")</f>
        <v/>
      </c>
      <c r="R1393">
        <f>IF(OR(ISNUMBER(SEARCH("HDD",$F1393)),ISNUMBER(SEARCH("MND",$F1393)),ISNUMBER(SEARCH("PEAD",$F1393)),ISNUMBER(SEARCH("Puxe",$J1393)),ISNUMBER(SEARCH("Apoio HDD",$F1393))),"MND",IF(OR(ISNUMBER(SEARCH("VCA",$F1393)),ISNUMBER(SEARCH("PVC",$F1393)),ISNUMBER(SEARCH("vca",$J1393)),ISNUMBER(SEARCH("Transformação",$J1393))),"VCA",IF(OR(ISNUMBER(SEARCH("crava",$F1393)),ISNUMBER(SEARCH("tubo cravado",$F1393)),ISNUMBER(SEARCH("shaft",$J1393)),ISNUMBER(SEARCH("concreto",$F1393))),"TUBO CRAVADO","")))</f>
        <v/>
      </c>
      <c r="T1393">
        <f>IF($A1393="","",TEXT($A1393,"yyyymm")&amp;"|"&amp;$C1393&amp;"|"&amp;$F1393&amp;"|"&amp;$N1393&amp;"|"&amp;$R1393)</f>
        <v/>
      </c>
    </row>
    <row r="1394" ht="11.55" customHeight="1">
      <c r="A1394" s="10" t="n">
        <v>46104</v>
      </c>
      <c r="B1394" s="7" t="inlineStr">
        <is>
          <t>Segunda</t>
        </is>
      </c>
      <c r="C1394" s="7" t="inlineStr">
        <is>
          <t>CTS CONCEIÇÃO</t>
        </is>
      </c>
      <c r="D1394" s="7" t="inlineStr">
        <is>
          <t>LEANDRO E SILVESTRE</t>
        </is>
      </c>
      <c r="E1394" s="7" t="inlineStr">
        <is>
          <t>Sergio</t>
        </is>
      </c>
      <c r="F1394" s="13" t="inlineStr">
        <is>
          <t>Shaft PV 09</t>
        </is>
      </c>
      <c r="G1394" s="7" t="inlineStr">
        <is>
          <t>09</t>
        </is>
      </c>
      <c r="H1394" s="7" t="n"/>
      <c r="I1394" s="7" t="inlineStr">
        <is>
          <t>09</t>
        </is>
      </c>
      <c r="J1394" s="7" t="inlineStr">
        <is>
          <t>Shaft</t>
        </is>
      </c>
      <c r="K1394" s="7" t="inlineStr">
        <is>
          <t>Planejamento</t>
        </is>
      </c>
      <c r="L1394" s="16" t="inlineStr">
        <is>
          <t>PDS-Março(1).docx</t>
        </is>
      </c>
      <c r="M1394">
        <f>IF($A1394="","",TEXT($A1394,"mmmm/yyyy"))</f>
        <v/>
      </c>
      <c r="P1394">
        <f>IFERROR(_xludf.XLOOKUP($N1394,Base_Enderecos!$A:$A,Base_Enderecos!$B:$B,""),"")</f>
        <v/>
      </c>
      <c r="Q1394">
        <f>IFERROR(_xludf.XLOOKUP($N1394,Base_Enderecos!$A:$A,Base_Enderecos!$C:$C,""),"")</f>
        <v/>
      </c>
      <c r="R1394">
        <f>IF(OR(ISNUMBER(SEARCH("HDD",$F1394)),ISNUMBER(SEARCH("MND",$F1394)),ISNUMBER(SEARCH("PEAD",$F1394)),ISNUMBER(SEARCH("Puxe",$J1394)),ISNUMBER(SEARCH("Apoio HDD",$F1394))),"MND",IF(OR(ISNUMBER(SEARCH("VCA",$F1394)),ISNUMBER(SEARCH("PVC",$F1394)),ISNUMBER(SEARCH("vca",$J1394)),ISNUMBER(SEARCH("Transformação",$J1394))),"VCA",IF(OR(ISNUMBER(SEARCH("crava",$F1394)),ISNUMBER(SEARCH("tubo cravado",$F1394)),ISNUMBER(SEARCH("shaft",$J1394)),ISNUMBER(SEARCH("concreto",$F1394))),"TUBO CRAVADO","")))</f>
        <v/>
      </c>
      <c r="T1394">
        <f>IF($A1394="","",TEXT($A1394,"yyyymm")&amp;"|"&amp;$C1394&amp;"|"&amp;$F1394&amp;"|"&amp;$N1394&amp;"|"&amp;$R1394)</f>
        <v/>
      </c>
    </row>
    <row r="1395" ht="11.55" customHeight="1">
      <c r="A1395" s="10" t="n">
        <v>46104</v>
      </c>
      <c r="B1395" s="7" t="inlineStr">
        <is>
          <t>Segunda</t>
        </is>
      </c>
      <c r="C1395" s="7" t="inlineStr">
        <is>
          <t>CTS CONCEIÇÃO</t>
        </is>
      </c>
      <c r="D1395" s="7" t="inlineStr">
        <is>
          <t>LEANDRO E SILVESTRE</t>
        </is>
      </c>
      <c r="E1395" s="7" t="inlineStr">
        <is>
          <t>Carlos</t>
        </is>
      </c>
      <c r="F1395" s="13" t="inlineStr">
        <is>
          <t>Shaft PV 10</t>
        </is>
      </c>
      <c r="G1395" s="7" t="inlineStr">
        <is>
          <t>10</t>
        </is>
      </c>
      <c r="H1395" s="7" t="n"/>
      <c r="I1395" s="7" t="inlineStr">
        <is>
          <t>10</t>
        </is>
      </c>
      <c r="J1395" s="7" t="inlineStr">
        <is>
          <t>Shaft</t>
        </is>
      </c>
      <c r="K1395" s="7" t="inlineStr">
        <is>
          <t>Planejamento</t>
        </is>
      </c>
      <c r="L1395" s="16" t="inlineStr">
        <is>
          <t>PDS-Março(1).docx</t>
        </is>
      </c>
      <c r="M1395">
        <f>IF($A1395="","",TEXT($A1395,"mmmm/yyyy"))</f>
        <v/>
      </c>
      <c r="P1395">
        <f>IFERROR(_xludf.XLOOKUP($N1395,Base_Enderecos!$A:$A,Base_Enderecos!$B:$B,""),"")</f>
        <v/>
      </c>
      <c r="Q1395">
        <f>IFERROR(_xludf.XLOOKUP($N1395,Base_Enderecos!$A:$A,Base_Enderecos!$C:$C,""),"")</f>
        <v/>
      </c>
      <c r="R1395">
        <f>IF(OR(ISNUMBER(SEARCH("HDD",$F1395)),ISNUMBER(SEARCH("MND",$F1395)),ISNUMBER(SEARCH("PEAD",$F1395)),ISNUMBER(SEARCH("Puxe",$J1395)),ISNUMBER(SEARCH("Apoio HDD",$F1395))),"MND",IF(OR(ISNUMBER(SEARCH("VCA",$F1395)),ISNUMBER(SEARCH("PVC",$F1395)),ISNUMBER(SEARCH("vca",$J1395)),ISNUMBER(SEARCH("Transformação",$J1395))),"VCA",IF(OR(ISNUMBER(SEARCH("crava",$F1395)),ISNUMBER(SEARCH("tubo cravado",$F1395)),ISNUMBER(SEARCH("shaft",$J1395)),ISNUMBER(SEARCH("concreto",$F1395))),"TUBO CRAVADO","")))</f>
        <v/>
      </c>
      <c r="T1395">
        <f>IF($A1395="","",TEXT($A1395,"yyyymm")&amp;"|"&amp;$C1395&amp;"|"&amp;$F1395&amp;"|"&amp;$N1395&amp;"|"&amp;$R1395)</f>
        <v/>
      </c>
    </row>
    <row r="1396" ht="11.55" customHeight="1">
      <c r="A1396" s="10" t="n">
        <v>46104</v>
      </c>
      <c r="B1396" s="7" t="inlineStr">
        <is>
          <t>Segunda</t>
        </is>
      </c>
      <c r="C1396" s="7" t="inlineStr">
        <is>
          <t>CTS CONCEIÇÃO</t>
        </is>
      </c>
      <c r="D1396" s="7" t="inlineStr">
        <is>
          <t>LEANDRO E SILVESTRE</t>
        </is>
      </c>
      <c r="E1396" s="7" t="inlineStr">
        <is>
          <t>Cidão</t>
        </is>
      </c>
      <c r="F1396" s="13" t="inlineStr">
        <is>
          <t>Shaft PV 04</t>
        </is>
      </c>
      <c r="G1396" s="7" t="inlineStr">
        <is>
          <t>04</t>
        </is>
      </c>
      <c r="H1396" s="7" t="n"/>
      <c r="I1396" s="7" t="inlineStr">
        <is>
          <t>04</t>
        </is>
      </c>
      <c r="J1396" s="7" t="inlineStr">
        <is>
          <t>Shaft</t>
        </is>
      </c>
      <c r="K1396" s="7" t="inlineStr">
        <is>
          <t>Planejamento</t>
        </is>
      </c>
      <c r="L1396" s="16" t="inlineStr">
        <is>
          <t>PDS-Março(1).docx</t>
        </is>
      </c>
      <c r="M1396">
        <f>IF($A1396="","",TEXT($A1396,"mmmm/yyyy"))</f>
        <v/>
      </c>
      <c r="P1396">
        <f>IFERROR(_xludf.XLOOKUP($N1396,Base_Enderecos!$A:$A,Base_Enderecos!$B:$B,""),"")</f>
        <v/>
      </c>
      <c r="Q1396">
        <f>IFERROR(_xludf.XLOOKUP($N1396,Base_Enderecos!$A:$A,Base_Enderecos!$C:$C,""),"")</f>
        <v/>
      </c>
      <c r="R1396">
        <f>IF(OR(ISNUMBER(SEARCH("HDD",$F1396)),ISNUMBER(SEARCH("MND",$F1396)),ISNUMBER(SEARCH("PEAD",$F1396)),ISNUMBER(SEARCH("Puxe",$J1396)),ISNUMBER(SEARCH("Apoio HDD",$F1396))),"MND",IF(OR(ISNUMBER(SEARCH("VCA",$F1396)),ISNUMBER(SEARCH("PVC",$F1396)),ISNUMBER(SEARCH("vca",$J1396)),ISNUMBER(SEARCH("Transformação",$J1396))),"VCA",IF(OR(ISNUMBER(SEARCH("crava",$F1396)),ISNUMBER(SEARCH("tubo cravado",$F1396)),ISNUMBER(SEARCH("shaft",$J1396)),ISNUMBER(SEARCH("concreto",$F1396))),"TUBO CRAVADO","")))</f>
        <v/>
      </c>
      <c r="T1396">
        <f>IF($A1396="","",TEXT($A1396,"yyyymm")&amp;"|"&amp;$C1396&amp;"|"&amp;$F1396&amp;"|"&amp;$N1396&amp;"|"&amp;$R1396)</f>
        <v/>
      </c>
    </row>
    <row r="1397" ht="11.55" customHeight="1">
      <c r="A1397" s="10" t="n">
        <v>46104</v>
      </c>
      <c r="B1397" s="7" t="inlineStr">
        <is>
          <t>Segunda</t>
        </is>
      </c>
      <c r="C1397" s="7" t="inlineStr">
        <is>
          <t>CTS CONCEIÇÃO</t>
        </is>
      </c>
      <c r="D1397" s="7" t="inlineStr">
        <is>
          <t>LEANDRO E SILVESTRE</t>
        </is>
      </c>
      <c r="E1397" s="7" t="inlineStr">
        <is>
          <t>Cesar</t>
        </is>
      </c>
      <c r="F1397" s="13" t="inlineStr">
        <is>
          <t>Shaft PV 10.1</t>
        </is>
      </c>
      <c r="G1397" s="7" t="inlineStr">
        <is>
          <t>10.1</t>
        </is>
      </c>
      <c r="H1397" s="7" t="n"/>
      <c r="I1397" s="7" t="inlineStr">
        <is>
          <t>10.1</t>
        </is>
      </c>
      <c r="J1397" s="7" t="inlineStr">
        <is>
          <t>Shaft</t>
        </is>
      </c>
      <c r="K1397" s="7" t="inlineStr">
        <is>
          <t>Planejamento</t>
        </is>
      </c>
      <c r="L1397" s="16" t="inlineStr">
        <is>
          <t>PDS-Março(1).docx</t>
        </is>
      </c>
      <c r="M1397">
        <f>IF($A1397="","",TEXT($A1397,"mmmm/yyyy"))</f>
        <v/>
      </c>
      <c r="P1397">
        <f>IFERROR(_xludf.XLOOKUP($N1397,Base_Enderecos!$A:$A,Base_Enderecos!$B:$B,""),"")</f>
        <v/>
      </c>
      <c r="Q1397">
        <f>IFERROR(_xludf.XLOOKUP($N1397,Base_Enderecos!$A:$A,Base_Enderecos!$C:$C,""),"")</f>
        <v/>
      </c>
      <c r="R1397">
        <f>IF(OR(ISNUMBER(SEARCH("HDD",$F1397)),ISNUMBER(SEARCH("MND",$F1397)),ISNUMBER(SEARCH("PEAD",$F1397)),ISNUMBER(SEARCH("Puxe",$J1397)),ISNUMBER(SEARCH("Apoio HDD",$F1397))),"MND",IF(OR(ISNUMBER(SEARCH("VCA",$F1397)),ISNUMBER(SEARCH("PVC",$F1397)),ISNUMBER(SEARCH("vca",$J1397)),ISNUMBER(SEARCH("Transformação",$J1397))),"VCA",IF(OR(ISNUMBER(SEARCH("crava",$F1397)),ISNUMBER(SEARCH("tubo cravado",$F1397)),ISNUMBER(SEARCH("shaft",$J1397)),ISNUMBER(SEARCH("concreto",$F1397))),"TUBO CRAVADO","")))</f>
        <v/>
      </c>
      <c r="T1397">
        <f>IF($A1397="","",TEXT($A1397,"yyyymm")&amp;"|"&amp;$C1397&amp;"|"&amp;$F1397&amp;"|"&amp;$N1397&amp;"|"&amp;$R1397)</f>
        <v/>
      </c>
    </row>
    <row r="1398" ht="11.55" customHeight="1">
      <c r="A1398" s="10" t="n">
        <v>46104</v>
      </c>
      <c r="B1398" s="7" t="inlineStr">
        <is>
          <t>Segunda</t>
        </is>
      </c>
      <c r="C1398" s="7" t="inlineStr">
        <is>
          <t>CTS CONCEIÇÃO</t>
        </is>
      </c>
      <c r="D1398" s="7" t="inlineStr">
        <is>
          <t>LEANDRO E SILVESTRE</t>
        </is>
      </c>
      <c r="E1398" s="7" t="inlineStr">
        <is>
          <t>Edivando</t>
        </is>
      </c>
      <c r="F1398" s="13" t="inlineStr">
        <is>
          <t>Transformação PV 02</t>
        </is>
      </c>
      <c r="G1398" s="7" t="inlineStr">
        <is>
          <t>02</t>
        </is>
      </c>
      <c r="H1398" s="7" t="n"/>
      <c r="I1398" s="7" t="inlineStr">
        <is>
          <t>02</t>
        </is>
      </c>
      <c r="J1398" s="7" t="inlineStr">
        <is>
          <t>Transformação</t>
        </is>
      </c>
      <c r="K1398" s="7" t="inlineStr">
        <is>
          <t>Planejamento</t>
        </is>
      </c>
      <c r="L1398" s="16" t="inlineStr">
        <is>
          <t>PDS-Março(1).docx</t>
        </is>
      </c>
      <c r="M1398">
        <f>IF($A1398="","",TEXT($A1398,"mmmm/yyyy"))</f>
        <v/>
      </c>
      <c r="P1398">
        <f>IFERROR(_xludf.XLOOKUP($N1398,Base_Enderecos!$A:$A,Base_Enderecos!$B:$B,""),"")</f>
        <v/>
      </c>
      <c r="Q1398">
        <f>IFERROR(_xludf.XLOOKUP($N1398,Base_Enderecos!$A:$A,Base_Enderecos!$C:$C,""),"")</f>
        <v/>
      </c>
      <c r="R1398">
        <f>IF(OR(ISNUMBER(SEARCH("HDD",$F1398)),ISNUMBER(SEARCH("MND",$F1398)),ISNUMBER(SEARCH("PEAD",$F1398)),ISNUMBER(SEARCH("Puxe",$J1398)),ISNUMBER(SEARCH("Apoio HDD",$F1398))),"MND",IF(OR(ISNUMBER(SEARCH("VCA",$F1398)),ISNUMBER(SEARCH("PVC",$F1398)),ISNUMBER(SEARCH("vca",$J1398)),ISNUMBER(SEARCH("Transformação",$J1398))),"VCA",IF(OR(ISNUMBER(SEARCH("crava",$F1398)),ISNUMBER(SEARCH("tubo cravado",$F1398)),ISNUMBER(SEARCH("shaft",$J1398)),ISNUMBER(SEARCH("concreto",$F1398))),"TUBO CRAVADO","")))</f>
        <v/>
      </c>
      <c r="T1398">
        <f>IF($A1398="","",TEXT($A1398,"yyyymm")&amp;"|"&amp;$C1398&amp;"|"&amp;$F1398&amp;"|"&amp;$N1398&amp;"|"&amp;$R1398)</f>
        <v/>
      </c>
    </row>
    <row r="1399" ht="11.55" customHeight="1">
      <c r="A1399" s="10" t="n">
        <v>46104</v>
      </c>
      <c r="B1399" s="7" t="inlineStr">
        <is>
          <t>Segunda</t>
        </is>
      </c>
      <c r="C1399" s="7" t="inlineStr">
        <is>
          <t>CT ÁGUA VERMELHA M.D.</t>
        </is>
      </c>
      <c r="D1399" s="7" t="inlineStr">
        <is>
          <t>FABIO E VALMIR</t>
        </is>
      </c>
      <c r="E1399" s="7" t="inlineStr">
        <is>
          <t>Marcio</t>
        </is>
      </c>
      <c r="F1399" s="13" t="inlineStr">
        <is>
          <t>Transformação PVD 19</t>
        </is>
      </c>
      <c r="G1399" s="7" t="inlineStr">
        <is>
          <t>19</t>
        </is>
      </c>
      <c r="H1399" s="7" t="n"/>
      <c r="I1399" s="7" t="inlineStr">
        <is>
          <t>19</t>
        </is>
      </c>
      <c r="J1399" s="7" t="inlineStr">
        <is>
          <t>Transformação</t>
        </is>
      </c>
      <c r="K1399" s="7" t="inlineStr">
        <is>
          <t>Planejamento</t>
        </is>
      </c>
      <c r="L1399" s="16" t="inlineStr">
        <is>
          <t>PDS-Março(1).docx</t>
        </is>
      </c>
      <c r="M1399">
        <f>IF($A1399="","",TEXT($A1399,"mmmm/yyyy"))</f>
        <v/>
      </c>
      <c r="P1399">
        <f>IFERROR(_xludf.XLOOKUP($N1399,Base_Enderecos!$A:$A,Base_Enderecos!$B:$B,""),"")</f>
        <v/>
      </c>
      <c r="Q1399">
        <f>IFERROR(_xludf.XLOOKUP($N1399,Base_Enderecos!$A:$A,Base_Enderecos!$C:$C,""),"")</f>
        <v/>
      </c>
      <c r="R1399">
        <f>IF(OR(ISNUMBER(SEARCH("HDD",$F1399)),ISNUMBER(SEARCH("MND",$F1399)),ISNUMBER(SEARCH("PEAD",$F1399)),ISNUMBER(SEARCH("Puxe",$J1399)),ISNUMBER(SEARCH("Apoio HDD",$F1399))),"MND",IF(OR(ISNUMBER(SEARCH("VCA",$F1399)),ISNUMBER(SEARCH("PVC",$F1399)),ISNUMBER(SEARCH("vca",$J1399)),ISNUMBER(SEARCH("Transformação",$J1399))),"VCA",IF(OR(ISNUMBER(SEARCH("crava",$F1399)),ISNUMBER(SEARCH("tubo cravado",$F1399)),ISNUMBER(SEARCH("shaft",$J1399)),ISNUMBER(SEARCH("concreto",$F1399))),"TUBO CRAVADO","")))</f>
        <v/>
      </c>
      <c r="T1399">
        <f>IF($A1399="","",TEXT($A1399,"yyyymm")&amp;"|"&amp;$C1399&amp;"|"&amp;$F1399&amp;"|"&amp;$N1399&amp;"|"&amp;$R1399)</f>
        <v/>
      </c>
    </row>
    <row r="1400" ht="11.55" customHeight="1">
      <c r="A1400" s="10" t="n">
        <v>46104</v>
      </c>
      <c r="B1400" s="7" t="inlineStr">
        <is>
          <t>Segunda</t>
        </is>
      </c>
      <c r="C1400" s="7" t="inlineStr">
        <is>
          <t>CT ÁGUA VERMELHA M.D.</t>
        </is>
      </c>
      <c r="D1400" s="7" t="inlineStr">
        <is>
          <t>FABIO E VALMIR</t>
        </is>
      </c>
      <c r="E1400" s="7" t="inlineStr">
        <is>
          <t>Johnatan</t>
        </is>
      </c>
      <c r="F1400" s="13" t="inlineStr">
        <is>
          <t>Transformação PVD 13</t>
        </is>
      </c>
      <c r="G1400" s="7" t="inlineStr">
        <is>
          <t>13</t>
        </is>
      </c>
      <c r="H1400" s="7" t="n"/>
      <c r="I1400" s="7" t="inlineStr">
        <is>
          <t>13</t>
        </is>
      </c>
      <c r="J1400" s="7" t="inlineStr">
        <is>
          <t>Transformação</t>
        </is>
      </c>
      <c r="K1400" s="7" t="inlineStr">
        <is>
          <t>Planejamento</t>
        </is>
      </c>
      <c r="L1400" s="16" t="inlineStr">
        <is>
          <t>PDS-Março(1).docx</t>
        </is>
      </c>
      <c r="M1400">
        <f>IF($A1400="","",TEXT($A1400,"mmmm/yyyy"))</f>
        <v/>
      </c>
      <c r="P1400">
        <f>IFERROR(_xludf.XLOOKUP($N1400,Base_Enderecos!$A:$A,Base_Enderecos!$B:$B,""),"")</f>
        <v/>
      </c>
      <c r="Q1400">
        <f>IFERROR(_xludf.XLOOKUP($N1400,Base_Enderecos!$A:$A,Base_Enderecos!$C:$C,""),"")</f>
        <v/>
      </c>
      <c r="R1400">
        <f>IF(OR(ISNUMBER(SEARCH("HDD",$F1400)),ISNUMBER(SEARCH("MND",$F1400)),ISNUMBER(SEARCH("PEAD",$F1400)),ISNUMBER(SEARCH("Puxe",$J1400)),ISNUMBER(SEARCH("Apoio HDD",$F1400))),"MND",IF(OR(ISNUMBER(SEARCH("VCA",$F1400)),ISNUMBER(SEARCH("PVC",$F1400)),ISNUMBER(SEARCH("vca",$J1400)),ISNUMBER(SEARCH("Transformação",$J1400))),"VCA",IF(OR(ISNUMBER(SEARCH("crava",$F1400)),ISNUMBER(SEARCH("tubo cravado",$F1400)),ISNUMBER(SEARCH("shaft",$J1400)),ISNUMBER(SEARCH("concreto",$F1400))),"TUBO CRAVADO","")))</f>
        <v/>
      </c>
      <c r="T1400">
        <f>IF($A1400="","",TEXT($A1400,"yyyymm")&amp;"|"&amp;$C1400&amp;"|"&amp;$F1400&amp;"|"&amp;$N1400&amp;"|"&amp;$R1400)</f>
        <v/>
      </c>
    </row>
    <row r="1401" ht="11.55" customHeight="1">
      <c r="A1401" s="10" t="n">
        <v>46104</v>
      </c>
      <c r="B1401" s="7" t="inlineStr">
        <is>
          <t>Segunda</t>
        </is>
      </c>
      <c r="C1401" s="7" t="inlineStr">
        <is>
          <t>CT ÁGUA VERMELHA M.D.</t>
        </is>
      </c>
      <c r="D1401" s="7" t="inlineStr">
        <is>
          <t>FABIO E VALMIR</t>
        </is>
      </c>
      <c r="E1401" s="7" t="inlineStr">
        <is>
          <t>Antônio</t>
        </is>
      </c>
      <c r="F1401" s="13" t="inlineStr">
        <is>
          <t>Transformação PVD 16</t>
        </is>
      </c>
      <c r="G1401" s="7" t="inlineStr">
        <is>
          <t>16</t>
        </is>
      </c>
      <c r="H1401" s="7" t="n"/>
      <c r="I1401" s="7" t="inlineStr">
        <is>
          <t>16</t>
        </is>
      </c>
      <c r="J1401" s="7" t="inlineStr">
        <is>
          <t>Transformação</t>
        </is>
      </c>
      <c r="K1401" s="7" t="inlineStr">
        <is>
          <t>Planejamento</t>
        </is>
      </c>
      <c r="L1401" s="16" t="inlineStr">
        <is>
          <t>PDS-Março(1).docx</t>
        </is>
      </c>
      <c r="M1401">
        <f>IF($A1401="","",TEXT($A1401,"mmmm/yyyy"))</f>
        <v/>
      </c>
      <c r="P1401">
        <f>IFERROR(_xludf.XLOOKUP($N1401,Base_Enderecos!$A:$A,Base_Enderecos!$B:$B,""),"")</f>
        <v/>
      </c>
      <c r="Q1401">
        <f>IFERROR(_xludf.XLOOKUP($N1401,Base_Enderecos!$A:$A,Base_Enderecos!$C:$C,""),"")</f>
        <v/>
      </c>
      <c r="R1401">
        <f>IF(OR(ISNUMBER(SEARCH("HDD",$F1401)),ISNUMBER(SEARCH("MND",$F1401)),ISNUMBER(SEARCH("PEAD",$F1401)),ISNUMBER(SEARCH("Puxe",$J1401)),ISNUMBER(SEARCH("Apoio HDD",$F1401))),"MND",IF(OR(ISNUMBER(SEARCH("VCA",$F1401)),ISNUMBER(SEARCH("PVC",$F1401)),ISNUMBER(SEARCH("vca",$J1401)),ISNUMBER(SEARCH("Transformação",$J1401))),"VCA",IF(OR(ISNUMBER(SEARCH("crava",$F1401)),ISNUMBER(SEARCH("tubo cravado",$F1401)),ISNUMBER(SEARCH("shaft",$J1401)),ISNUMBER(SEARCH("concreto",$F1401))),"TUBO CRAVADO","")))</f>
        <v/>
      </c>
      <c r="T1401">
        <f>IF($A1401="","",TEXT($A1401,"yyyymm")&amp;"|"&amp;$C1401&amp;"|"&amp;$F1401&amp;"|"&amp;$N1401&amp;"|"&amp;$R1401)</f>
        <v/>
      </c>
    </row>
    <row r="1402" ht="11.55" customHeight="1">
      <c r="A1402" s="10" t="n">
        <v>46104</v>
      </c>
      <c r="B1402" s="7" t="inlineStr">
        <is>
          <t>Segunda</t>
        </is>
      </c>
      <c r="C1402" s="7" t="inlineStr">
        <is>
          <t>CT ÁGUA VERMELHA M.D.</t>
        </is>
      </c>
      <c r="D1402" s="7" t="inlineStr">
        <is>
          <t>FABIO E VALMIR</t>
        </is>
      </c>
      <c r="E1402" s="7" t="inlineStr">
        <is>
          <t>Marcelo</t>
        </is>
      </c>
      <c r="F1402" s="13" t="inlineStr">
        <is>
          <t>Transformação PVD 10</t>
        </is>
      </c>
      <c r="G1402" s="7" t="inlineStr">
        <is>
          <t>10</t>
        </is>
      </c>
      <c r="H1402" s="7" t="n"/>
      <c r="I1402" s="7" t="inlineStr">
        <is>
          <t>10</t>
        </is>
      </c>
      <c r="J1402" s="7" t="inlineStr">
        <is>
          <t>Transformação</t>
        </is>
      </c>
      <c r="K1402" s="7" t="inlineStr">
        <is>
          <t>Planejamento</t>
        </is>
      </c>
      <c r="L1402" s="16" t="inlineStr">
        <is>
          <t>PDS-Março(1).docx</t>
        </is>
      </c>
      <c r="M1402">
        <f>IF($A1402="","",TEXT($A1402,"mmmm/yyyy"))</f>
        <v/>
      </c>
      <c r="P1402">
        <f>IFERROR(_xludf.XLOOKUP($N1402,Base_Enderecos!$A:$A,Base_Enderecos!$B:$B,""),"")</f>
        <v/>
      </c>
      <c r="Q1402">
        <f>IFERROR(_xludf.XLOOKUP($N1402,Base_Enderecos!$A:$A,Base_Enderecos!$C:$C,""),"")</f>
        <v/>
      </c>
      <c r="R1402">
        <f>IF(OR(ISNUMBER(SEARCH("HDD",$F1402)),ISNUMBER(SEARCH("MND",$F1402)),ISNUMBER(SEARCH("PEAD",$F1402)),ISNUMBER(SEARCH("Puxe",$J1402)),ISNUMBER(SEARCH("Apoio HDD",$F1402))),"MND",IF(OR(ISNUMBER(SEARCH("VCA",$F1402)),ISNUMBER(SEARCH("PVC",$F1402)),ISNUMBER(SEARCH("vca",$J1402)),ISNUMBER(SEARCH("Transformação",$J1402))),"VCA",IF(OR(ISNUMBER(SEARCH("crava",$F1402)),ISNUMBER(SEARCH("tubo cravado",$F1402)),ISNUMBER(SEARCH("shaft",$J1402)),ISNUMBER(SEARCH("concreto",$F1402))),"TUBO CRAVADO","")))</f>
        <v/>
      </c>
      <c r="T1402">
        <f>IF($A1402="","",TEXT($A1402,"yyyymm")&amp;"|"&amp;$C1402&amp;"|"&amp;$F1402&amp;"|"&amp;$N1402&amp;"|"&amp;$R1402)</f>
        <v/>
      </c>
    </row>
    <row r="1403" ht="11.55" customHeight="1">
      <c r="A1403" s="10" t="n">
        <v>46104</v>
      </c>
      <c r="B1403" s="7" t="inlineStr">
        <is>
          <t>Segunda</t>
        </is>
      </c>
      <c r="C1403" s="7" t="inlineStr">
        <is>
          <t>CT ÁGUA VERMELHA M.E.</t>
        </is>
      </c>
      <c r="D1403" s="7" t="inlineStr">
        <is>
          <t>FABIO E VALMIR</t>
        </is>
      </c>
      <c r="E1403" s="7" t="inlineStr">
        <is>
          <t>Bruno</t>
        </is>
      </c>
      <c r="F1403" s="13" t="inlineStr">
        <is>
          <t>Shaft PVE 16</t>
        </is>
      </c>
      <c r="G1403" s="7" t="inlineStr">
        <is>
          <t>16</t>
        </is>
      </c>
      <c r="H1403" s="7" t="n"/>
      <c r="I1403" s="7" t="inlineStr">
        <is>
          <t>16</t>
        </is>
      </c>
      <c r="J1403" s="7" t="inlineStr">
        <is>
          <t>Shaft</t>
        </is>
      </c>
      <c r="K1403" s="7" t="inlineStr">
        <is>
          <t>Planejamento</t>
        </is>
      </c>
      <c r="L1403" s="16" t="inlineStr">
        <is>
          <t>PDS-Março(1).docx</t>
        </is>
      </c>
      <c r="M1403">
        <f>IF($A1403="","",TEXT($A1403,"mmmm/yyyy"))</f>
        <v/>
      </c>
      <c r="P1403">
        <f>IFERROR(_xludf.XLOOKUP($N1403,Base_Enderecos!$A:$A,Base_Enderecos!$B:$B,""),"")</f>
        <v/>
      </c>
      <c r="Q1403">
        <f>IFERROR(_xludf.XLOOKUP($N1403,Base_Enderecos!$A:$A,Base_Enderecos!$C:$C,""),"")</f>
        <v/>
      </c>
      <c r="R1403">
        <f>IF(OR(ISNUMBER(SEARCH("HDD",$F1403)),ISNUMBER(SEARCH("MND",$F1403)),ISNUMBER(SEARCH("PEAD",$F1403)),ISNUMBER(SEARCH("Puxe",$J1403)),ISNUMBER(SEARCH("Apoio HDD",$F1403))),"MND",IF(OR(ISNUMBER(SEARCH("VCA",$F1403)),ISNUMBER(SEARCH("PVC",$F1403)),ISNUMBER(SEARCH("vca",$J1403)),ISNUMBER(SEARCH("Transformação",$J1403))),"VCA",IF(OR(ISNUMBER(SEARCH("crava",$F1403)),ISNUMBER(SEARCH("tubo cravado",$F1403)),ISNUMBER(SEARCH("shaft",$J1403)),ISNUMBER(SEARCH("concreto",$F1403))),"TUBO CRAVADO","")))</f>
        <v/>
      </c>
      <c r="T1403">
        <f>IF($A1403="","",TEXT($A1403,"yyyymm")&amp;"|"&amp;$C1403&amp;"|"&amp;$F1403&amp;"|"&amp;$N1403&amp;"|"&amp;$R1403)</f>
        <v/>
      </c>
    </row>
    <row r="1404" ht="11.55" customHeight="1">
      <c r="A1404" s="10" t="n">
        <v>46104</v>
      </c>
      <c r="B1404" s="7" t="inlineStr">
        <is>
          <t>Segunda</t>
        </is>
      </c>
      <c r="C1404" s="7" t="inlineStr">
        <is>
          <t>CT ÁGUA VERMELHA M.E.</t>
        </is>
      </c>
      <c r="D1404" s="7" t="inlineStr">
        <is>
          <t>FABIO E VALMIR</t>
        </is>
      </c>
      <c r="E1404" s="7" t="inlineStr">
        <is>
          <t>Higor</t>
        </is>
      </c>
      <c r="F1404" s="13" t="inlineStr">
        <is>
          <t>Interligação PVE 25</t>
        </is>
      </c>
      <c r="G1404" s="7" t="inlineStr">
        <is>
          <t>25</t>
        </is>
      </c>
      <c r="H1404" s="7" t="n"/>
      <c r="I1404" s="7" t="inlineStr">
        <is>
          <t>25</t>
        </is>
      </c>
      <c r="J1404" s="7" t="inlineStr">
        <is>
          <t>Interligação</t>
        </is>
      </c>
      <c r="K1404" s="7" t="inlineStr">
        <is>
          <t>Planejamento</t>
        </is>
      </c>
      <c r="L1404" s="16" t="inlineStr">
        <is>
          <t>PDS-Março(1).docx</t>
        </is>
      </c>
      <c r="M1404">
        <f>IF($A1404="","",TEXT($A1404,"mmmm/yyyy"))</f>
        <v/>
      </c>
      <c r="P1404">
        <f>IFERROR(_xludf.XLOOKUP($N1404,Base_Enderecos!$A:$A,Base_Enderecos!$B:$B,""),"")</f>
        <v/>
      </c>
      <c r="Q1404">
        <f>IFERROR(_xludf.XLOOKUP($N1404,Base_Enderecos!$A:$A,Base_Enderecos!$C:$C,""),"")</f>
        <v/>
      </c>
      <c r="R1404">
        <f>IF(OR(ISNUMBER(SEARCH("HDD",$F1404)),ISNUMBER(SEARCH("MND",$F1404)),ISNUMBER(SEARCH("PEAD",$F1404)),ISNUMBER(SEARCH("Puxe",$J1404)),ISNUMBER(SEARCH("Apoio HDD",$F1404))),"MND",IF(OR(ISNUMBER(SEARCH("VCA",$F1404)),ISNUMBER(SEARCH("PVC",$F1404)),ISNUMBER(SEARCH("vca",$J1404)),ISNUMBER(SEARCH("Transformação",$J1404))),"VCA",IF(OR(ISNUMBER(SEARCH("crava",$F1404)),ISNUMBER(SEARCH("tubo cravado",$F1404)),ISNUMBER(SEARCH("shaft",$J1404)),ISNUMBER(SEARCH("concreto",$F1404))),"TUBO CRAVADO","")))</f>
        <v/>
      </c>
      <c r="T1404">
        <f>IF($A1404="","",TEXT($A1404,"yyyymm")&amp;"|"&amp;$C1404&amp;"|"&amp;$F1404&amp;"|"&amp;$N1404&amp;"|"&amp;$R1404)</f>
        <v/>
      </c>
    </row>
    <row r="1405" ht="11.55" customHeight="1">
      <c r="A1405" s="10" t="n">
        <v>46104</v>
      </c>
      <c r="B1405" s="7" t="inlineStr">
        <is>
          <t>Segunda</t>
        </is>
      </c>
      <c r="C1405" s="7" t="inlineStr">
        <is>
          <t>RCE FCO. SOUTO MAIOR</t>
        </is>
      </c>
      <c r="D1405" s="7" t="inlineStr">
        <is>
          <t>ROBSON</t>
        </is>
      </c>
      <c r="E1405" s="7" t="inlineStr">
        <is>
          <t>Valter</t>
        </is>
      </c>
      <c r="F1405" s="13" t="inlineStr">
        <is>
          <t>VCA e Ligações – Rua Canto da Serra</t>
        </is>
      </c>
      <c r="G1405" s="7" t="n"/>
      <c r="H1405" s="7" t="n"/>
      <c r="I1405" s="7" t="n"/>
      <c r="J1405" s="7" t="inlineStr">
        <is>
          <t>VCA</t>
        </is>
      </c>
      <c r="K1405" s="7" t="inlineStr">
        <is>
          <t>Planejamento</t>
        </is>
      </c>
      <c r="L1405" s="16" t="inlineStr">
        <is>
          <t>PDS-Março(1).docx</t>
        </is>
      </c>
      <c r="M1405">
        <f>IF($A1405="","",TEXT($A1405,"mmmm/yyyy"))</f>
        <v/>
      </c>
      <c r="P1405">
        <f>IFERROR(_xludf.XLOOKUP($N1405,Base_Enderecos!$A:$A,Base_Enderecos!$B:$B,""),"")</f>
        <v/>
      </c>
      <c r="Q1405">
        <f>IFERROR(_xludf.XLOOKUP($N1405,Base_Enderecos!$A:$A,Base_Enderecos!$C:$C,""),"")</f>
        <v/>
      </c>
      <c r="R1405">
        <f>IF(OR(ISNUMBER(SEARCH("HDD",$F1405)),ISNUMBER(SEARCH("MND",$F1405)),ISNUMBER(SEARCH("PEAD",$F1405)),ISNUMBER(SEARCH("Puxe",$J1405)),ISNUMBER(SEARCH("Apoio HDD",$F1405))),"MND",IF(OR(ISNUMBER(SEARCH("VCA",$F1405)),ISNUMBER(SEARCH("PVC",$F1405)),ISNUMBER(SEARCH("vca",$J1405)),ISNUMBER(SEARCH("Transformação",$J1405))),"VCA",IF(OR(ISNUMBER(SEARCH("crava",$F1405)),ISNUMBER(SEARCH("tubo cravado",$F1405)),ISNUMBER(SEARCH("shaft",$J1405)),ISNUMBER(SEARCH("concreto",$F1405))),"TUBO CRAVADO","")))</f>
        <v/>
      </c>
      <c r="T1405">
        <f>IF($A1405="","",TEXT($A1405,"yyyymm")&amp;"|"&amp;$C1405&amp;"|"&amp;$F1405&amp;"|"&amp;$N1405&amp;"|"&amp;$R1405)</f>
        <v/>
      </c>
    </row>
    <row r="1406" ht="11.55" customHeight="1">
      <c r="A1406" s="10" t="n">
        <v>46104</v>
      </c>
      <c r="B1406" s="7" t="inlineStr">
        <is>
          <t>Segunda</t>
        </is>
      </c>
      <c r="C1406" s="7" t="inlineStr">
        <is>
          <t>RCE FCO. SOUTO MAIOR</t>
        </is>
      </c>
      <c r="D1406" s="7" t="inlineStr">
        <is>
          <t>ROBSON</t>
        </is>
      </c>
      <c r="E1406" s="7" t="inlineStr">
        <is>
          <t>Ricardo</t>
        </is>
      </c>
      <c r="F1406" s="13" t="inlineStr">
        <is>
          <t>VCA e Ligações – Rua Canto da Serra</t>
        </is>
      </c>
      <c r="G1406" s="7" t="n"/>
      <c r="H1406" s="7" t="n"/>
      <c r="I1406" s="7" t="n"/>
      <c r="J1406" s="7" t="inlineStr">
        <is>
          <t>VCA</t>
        </is>
      </c>
      <c r="K1406" s="7" t="inlineStr">
        <is>
          <t>Planejamento</t>
        </is>
      </c>
      <c r="L1406" s="16" t="inlineStr">
        <is>
          <t>PDS-Março(1).docx</t>
        </is>
      </c>
      <c r="M1406">
        <f>IF($A1406="","",TEXT($A1406,"mmmm/yyyy"))</f>
        <v/>
      </c>
      <c r="P1406">
        <f>IFERROR(_xludf.XLOOKUP($N1406,Base_Enderecos!$A:$A,Base_Enderecos!$B:$B,""),"")</f>
        <v/>
      </c>
      <c r="Q1406">
        <f>IFERROR(_xludf.XLOOKUP($N1406,Base_Enderecos!$A:$A,Base_Enderecos!$C:$C,""),"")</f>
        <v/>
      </c>
      <c r="R1406">
        <f>IF(OR(ISNUMBER(SEARCH("HDD",$F1406)),ISNUMBER(SEARCH("MND",$F1406)),ISNUMBER(SEARCH("PEAD",$F1406)),ISNUMBER(SEARCH("Puxe",$J1406)),ISNUMBER(SEARCH("Apoio HDD",$F1406))),"MND",IF(OR(ISNUMBER(SEARCH("VCA",$F1406)),ISNUMBER(SEARCH("PVC",$F1406)),ISNUMBER(SEARCH("vca",$J1406)),ISNUMBER(SEARCH("Transformação",$J1406))),"VCA",IF(OR(ISNUMBER(SEARCH("crava",$F1406)),ISNUMBER(SEARCH("tubo cravado",$F1406)),ISNUMBER(SEARCH("shaft",$J1406)),ISNUMBER(SEARCH("concreto",$F1406))),"TUBO CRAVADO","")))</f>
        <v/>
      </c>
      <c r="T1406">
        <f>IF($A1406="","",TEXT($A1406,"yyyymm")&amp;"|"&amp;$C1406&amp;"|"&amp;$F1406&amp;"|"&amp;$N1406&amp;"|"&amp;$R1406)</f>
        <v/>
      </c>
    </row>
    <row r="1407" ht="11.55" customHeight="1">
      <c r="A1407" s="10" t="n">
        <v>46104</v>
      </c>
      <c r="B1407" s="7" t="inlineStr">
        <is>
          <t>Segunda</t>
        </is>
      </c>
      <c r="C1407" s="7" t="inlineStr">
        <is>
          <t>Vacal</t>
        </is>
      </c>
      <c r="D1407" s="7" t="n"/>
      <c r="E1407" s="7" t="inlineStr">
        <is>
          <t>Conceição - BRD</t>
        </is>
      </c>
      <c r="F1407" s="13" t="inlineStr">
        <is>
          <t>Apoio Vacal</t>
        </is>
      </c>
      <c r="G1407" s="7" t="n"/>
      <c r="H1407" s="7" t="n"/>
      <c r="I1407" s="7" t="n"/>
      <c r="J1407" s="7" t="inlineStr">
        <is>
          <t>Vacal</t>
        </is>
      </c>
      <c r="K1407" s="7" t="inlineStr">
        <is>
          <t>Apoio</t>
        </is>
      </c>
      <c r="L1407" s="16" t="inlineStr">
        <is>
          <t>PDS-Março(1).docx</t>
        </is>
      </c>
      <c r="M1407">
        <f>IF($A1407="","",TEXT($A1407,"mmmm/yyyy"))</f>
        <v/>
      </c>
      <c r="P1407">
        <f>IFERROR(_xludf.XLOOKUP($N1407,Base_Enderecos!$A:$A,Base_Enderecos!$B:$B,""),"")</f>
        <v/>
      </c>
      <c r="Q1407">
        <f>IFERROR(_xludf.XLOOKUP($N1407,Base_Enderecos!$A:$A,Base_Enderecos!$C:$C,""),"")</f>
        <v/>
      </c>
      <c r="R1407">
        <f>IF(OR(ISNUMBER(SEARCH("HDD",$F1407)),ISNUMBER(SEARCH("MND",$F1407)),ISNUMBER(SEARCH("PEAD",$F1407)),ISNUMBER(SEARCH("Puxe",$J1407)),ISNUMBER(SEARCH("Apoio HDD",$F1407))),"MND",IF(OR(ISNUMBER(SEARCH("VCA",$F1407)),ISNUMBER(SEARCH("PVC",$F1407)),ISNUMBER(SEARCH("vca",$J1407)),ISNUMBER(SEARCH("Transformação",$J1407))),"VCA",IF(OR(ISNUMBER(SEARCH("crava",$F1407)),ISNUMBER(SEARCH("tubo cravado",$F1407)),ISNUMBER(SEARCH("shaft",$J1407)),ISNUMBER(SEARCH("concreto",$F1407))),"TUBO CRAVADO","")))</f>
        <v/>
      </c>
      <c r="T1407">
        <f>IF($A1407="","",TEXT($A1407,"yyyymm")&amp;"|"&amp;$C1407&amp;"|"&amp;$F1407&amp;"|"&amp;$N1407&amp;"|"&amp;$R1407)</f>
        <v/>
      </c>
    </row>
    <row r="1408" ht="11.55" customHeight="1">
      <c r="A1408" s="10" t="n">
        <v>46104</v>
      </c>
      <c r="B1408" s="7" t="inlineStr">
        <is>
          <t>Segunda</t>
        </is>
      </c>
      <c r="C1408" s="7" t="inlineStr">
        <is>
          <t>Vacal</t>
        </is>
      </c>
      <c r="D1408" s="7" t="n"/>
      <c r="E1408" s="7" t="inlineStr">
        <is>
          <t>Conceição - Renasce</t>
        </is>
      </c>
      <c r="F1408" s="13" t="inlineStr">
        <is>
          <t>Apoio Vacal</t>
        </is>
      </c>
      <c r="G1408" s="7" t="n"/>
      <c r="H1408" s="7" t="n"/>
      <c r="I1408" s="7" t="n"/>
      <c r="J1408" s="7" t="inlineStr">
        <is>
          <t>Vacal</t>
        </is>
      </c>
      <c r="K1408" s="7" t="inlineStr">
        <is>
          <t>Apoio</t>
        </is>
      </c>
      <c r="L1408" s="16" t="inlineStr">
        <is>
          <t>PDS-Março(1).docx</t>
        </is>
      </c>
      <c r="M1408">
        <f>IF($A1408="","",TEXT($A1408,"mmmm/yyyy"))</f>
        <v/>
      </c>
      <c r="P1408">
        <f>IFERROR(_xludf.XLOOKUP($N1408,Base_Enderecos!$A:$A,Base_Enderecos!$B:$B,""),"")</f>
        <v/>
      </c>
      <c r="Q1408">
        <f>IFERROR(_xludf.XLOOKUP($N1408,Base_Enderecos!$A:$A,Base_Enderecos!$C:$C,""),"")</f>
        <v/>
      </c>
      <c r="R1408">
        <f>IF(OR(ISNUMBER(SEARCH("HDD",$F1408)),ISNUMBER(SEARCH("MND",$F1408)),ISNUMBER(SEARCH("PEAD",$F1408)),ISNUMBER(SEARCH("Puxe",$J1408)),ISNUMBER(SEARCH("Apoio HDD",$F1408))),"MND",IF(OR(ISNUMBER(SEARCH("VCA",$F1408)),ISNUMBER(SEARCH("PVC",$F1408)),ISNUMBER(SEARCH("vca",$J1408)),ISNUMBER(SEARCH("Transformação",$J1408))),"VCA",IF(OR(ISNUMBER(SEARCH("crava",$F1408)),ISNUMBER(SEARCH("tubo cravado",$F1408)),ISNUMBER(SEARCH("shaft",$J1408)),ISNUMBER(SEARCH("concreto",$F1408))),"TUBO CRAVADO","")))</f>
        <v/>
      </c>
      <c r="T1408">
        <f>IF($A1408="","",TEXT($A1408,"yyyymm")&amp;"|"&amp;$C1408&amp;"|"&amp;$F1408&amp;"|"&amp;$N1408&amp;"|"&amp;$R1408)</f>
        <v/>
      </c>
    </row>
    <row r="1409" ht="11.55" customHeight="1">
      <c r="A1409" s="10" t="n">
        <v>46104</v>
      </c>
      <c r="B1409" s="7" t="inlineStr">
        <is>
          <t>Segunda</t>
        </is>
      </c>
      <c r="C1409" s="7" t="inlineStr">
        <is>
          <t>Vacal</t>
        </is>
      </c>
      <c r="D1409" s="7" t="n"/>
      <c r="E1409" s="7" t="inlineStr">
        <is>
          <t>Água Vermelha - Renasce</t>
        </is>
      </c>
      <c r="F1409" s="13" t="inlineStr">
        <is>
          <t>Apoio Vacal</t>
        </is>
      </c>
      <c r="G1409" s="7" t="n"/>
      <c r="H1409" s="7" t="n"/>
      <c r="I1409" s="7" t="n"/>
      <c r="J1409" s="7" t="inlineStr">
        <is>
          <t>Vacal</t>
        </is>
      </c>
      <c r="K1409" s="7" t="inlineStr">
        <is>
          <t>Apoio</t>
        </is>
      </c>
      <c r="L1409" s="16" t="inlineStr">
        <is>
          <t>PDS-Março(1).docx</t>
        </is>
      </c>
      <c r="M1409">
        <f>IF($A1409="","",TEXT($A1409,"mmmm/yyyy"))</f>
        <v/>
      </c>
      <c r="P1409">
        <f>IFERROR(_xludf.XLOOKUP($N1409,Base_Enderecos!$A:$A,Base_Enderecos!$B:$B,""),"")</f>
        <v/>
      </c>
      <c r="Q1409">
        <f>IFERROR(_xludf.XLOOKUP($N1409,Base_Enderecos!$A:$A,Base_Enderecos!$C:$C,""),"")</f>
        <v/>
      </c>
      <c r="R1409">
        <f>IF(OR(ISNUMBER(SEARCH("HDD",$F1409)),ISNUMBER(SEARCH("MND",$F1409)),ISNUMBER(SEARCH("PEAD",$F1409)),ISNUMBER(SEARCH("Puxe",$J1409)),ISNUMBER(SEARCH("Apoio HDD",$F1409))),"MND",IF(OR(ISNUMBER(SEARCH("VCA",$F1409)),ISNUMBER(SEARCH("PVC",$F1409)),ISNUMBER(SEARCH("vca",$J1409)),ISNUMBER(SEARCH("Transformação",$J1409))),"VCA",IF(OR(ISNUMBER(SEARCH("crava",$F1409)),ISNUMBER(SEARCH("tubo cravado",$F1409)),ISNUMBER(SEARCH("shaft",$J1409)),ISNUMBER(SEARCH("concreto",$F1409))),"TUBO CRAVADO","")))</f>
        <v/>
      </c>
      <c r="T1409">
        <f>IF($A1409="","",TEXT($A1409,"yyyymm")&amp;"|"&amp;$C1409&amp;"|"&amp;$F1409&amp;"|"&amp;$N1409&amp;"|"&amp;$R1409)</f>
        <v/>
      </c>
    </row>
    <row r="1410" ht="11.55" customHeight="1">
      <c r="A1410" s="10" t="n">
        <v>46104</v>
      </c>
      <c r="B1410" s="7" t="inlineStr">
        <is>
          <t>Segunda</t>
        </is>
      </c>
      <c r="C1410" s="7" t="inlineStr">
        <is>
          <t>Vacal</t>
        </is>
      </c>
      <c r="D1410" s="7" t="n"/>
      <c r="E1410" s="7" t="inlineStr">
        <is>
          <t>Água Vermelha – Hidrosol</t>
        </is>
      </c>
      <c r="F1410" s="13" t="inlineStr">
        <is>
          <t>Apoio Vacal</t>
        </is>
      </c>
      <c r="G1410" s="7" t="n"/>
      <c r="H1410" s="7" t="n"/>
      <c r="I1410" s="7" t="n"/>
      <c r="J1410" s="7" t="inlineStr">
        <is>
          <t>Vacal</t>
        </is>
      </c>
      <c r="K1410" s="7" t="inlineStr">
        <is>
          <t>Apoio</t>
        </is>
      </c>
      <c r="L1410" s="16" t="inlineStr">
        <is>
          <t>PDS-Março(1).docx</t>
        </is>
      </c>
      <c r="M1410">
        <f>IF($A1410="","",TEXT($A1410,"mmmm/yyyy"))</f>
        <v/>
      </c>
      <c r="P1410">
        <f>IFERROR(_xludf.XLOOKUP($N1410,Base_Enderecos!$A:$A,Base_Enderecos!$B:$B,""),"")</f>
        <v/>
      </c>
      <c r="Q1410">
        <f>IFERROR(_xludf.XLOOKUP($N1410,Base_Enderecos!$A:$A,Base_Enderecos!$C:$C,""),"")</f>
        <v/>
      </c>
      <c r="R1410">
        <f>IF(OR(ISNUMBER(SEARCH("HDD",$F1410)),ISNUMBER(SEARCH("MND",$F1410)),ISNUMBER(SEARCH("PEAD",$F1410)),ISNUMBER(SEARCH("Puxe",$J1410)),ISNUMBER(SEARCH("Apoio HDD",$F1410))),"MND",IF(OR(ISNUMBER(SEARCH("VCA",$F1410)),ISNUMBER(SEARCH("PVC",$F1410)),ISNUMBER(SEARCH("vca",$J1410)),ISNUMBER(SEARCH("Transformação",$J1410))),"VCA",IF(OR(ISNUMBER(SEARCH("crava",$F1410)),ISNUMBER(SEARCH("tubo cravado",$F1410)),ISNUMBER(SEARCH("shaft",$J1410)),ISNUMBER(SEARCH("concreto",$F1410))),"TUBO CRAVADO","")))</f>
        <v/>
      </c>
      <c r="T1410">
        <f>IF($A1410="","",TEXT($A1410,"yyyymm")&amp;"|"&amp;$C1410&amp;"|"&amp;$F1410&amp;"|"&amp;$N1410&amp;"|"&amp;$R1410)</f>
        <v/>
      </c>
    </row>
    <row r="1411" ht="11.55" customHeight="1">
      <c r="A1411" s="10" t="n">
        <v>46104</v>
      </c>
      <c r="B1411" s="7" t="inlineStr">
        <is>
          <t>Segunda</t>
        </is>
      </c>
      <c r="C1411" s="7" t="inlineStr">
        <is>
          <t>Guindauto</t>
        </is>
      </c>
      <c r="D1411" s="7" t="n"/>
      <c r="E1411" s="7" t="inlineStr">
        <is>
          <t>Rodrigo</t>
        </is>
      </c>
      <c r="F1411" s="13" t="inlineStr">
        <is>
          <t>Rodrigo - Apoio as equipes</t>
        </is>
      </c>
      <c r="G1411" s="7" t="n"/>
      <c r="H1411" s="7" t="n"/>
      <c r="I1411" s="7" t="n"/>
      <c r="J1411" s="7" t="inlineStr">
        <is>
          <t>Guindauto</t>
        </is>
      </c>
      <c r="K1411" s="7" t="inlineStr">
        <is>
          <t>Apoio</t>
        </is>
      </c>
      <c r="L1411" s="16" t="inlineStr">
        <is>
          <t>PDS-Março(1).docx</t>
        </is>
      </c>
      <c r="M1411">
        <f>IF($A1411="","",TEXT($A1411,"mmmm/yyyy"))</f>
        <v/>
      </c>
      <c r="P1411">
        <f>IFERROR(_xludf.XLOOKUP($N1411,Base_Enderecos!$A:$A,Base_Enderecos!$B:$B,""),"")</f>
        <v/>
      </c>
      <c r="Q1411">
        <f>IFERROR(_xludf.XLOOKUP($N1411,Base_Enderecos!$A:$A,Base_Enderecos!$C:$C,""),"")</f>
        <v/>
      </c>
      <c r="R1411">
        <f>IF(OR(ISNUMBER(SEARCH("HDD",$F1411)),ISNUMBER(SEARCH("MND",$F1411)),ISNUMBER(SEARCH("PEAD",$F1411)),ISNUMBER(SEARCH("Puxe",$J1411)),ISNUMBER(SEARCH("Apoio HDD",$F1411))),"MND",IF(OR(ISNUMBER(SEARCH("VCA",$F1411)),ISNUMBER(SEARCH("PVC",$F1411)),ISNUMBER(SEARCH("vca",$J1411)),ISNUMBER(SEARCH("Transformação",$J1411))),"VCA",IF(OR(ISNUMBER(SEARCH("crava",$F1411)),ISNUMBER(SEARCH("tubo cravado",$F1411)),ISNUMBER(SEARCH("shaft",$J1411)),ISNUMBER(SEARCH("concreto",$F1411))),"TUBO CRAVADO","")))</f>
        <v/>
      </c>
      <c r="T1411">
        <f>IF($A1411="","",TEXT($A1411,"yyyymm")&amp;"|"&amp;$C1411&amp;"|"&amp;$F1411&amp;"|"&amp;$N1411&amp;"|"&amp;$R1411)</f>
        <v/>
      </c>
    </row>
    <row r="1412" ht="11.55" customHeight="1">
      <c r="A1412" s="10" t="n">
        <v>46104</v>
      </c>
      <c r="B1412" s="7" t="inlineStr">
        <is>
          <t>Segunda</t>
        </is>
      </c>
      <c r="C1412" s="7" t="inlineStr">
        <is>
          <t>Guindauto</t>
        </is>
      </c>
      <c r="D1412" s="7" t="n"/>
      <c r="E1412" s="7" t="inlineStr">
        <is>
          <t>Marcio</t>
        </is>
      </c>
      <c r="F1412" s="13" t="inlineStr">
        <is>
          <t>Marcio - Apoio as equipes</t>
        </is>
      </c>
      <c r="G1412" s="7" t="n"/>
      <c r="H1412" s="7" t="n"/>
      <c r="I1412" s="7" t="n"/>
      <c r="J1412" s="7" t="inlineStr">
        <is>
          <t>Guindauto</t>
        </is>
      </c>
      <c r="K1412" s="7" t="inlineStr">
        <is>
          <t>Apoio</t>
        </is>
      </c>
      <c r="L1412" s="16" t="inlineStr">
        <is>
          <t>PDS-Março(1).docx</t>
        </is>
      </c>
      <c r="M1412">
        <f>IF($A1412="","",TEXT($A1412,"mmmm/yyyy"))</f>
        <v/>
      </c>
      <c r="P1412">
        <f>IFERROR(_xludf.XLOOKUP($N1412,Base_Enderecos!$A:$A,Base_Enderecos!$B:$B,""),"")</f>
        <v/>
      </c>
      <c r="Q1412">
        <f>IFERROR(_xludf.XLOOKUP($N1412,Base_Enderecos!$A:$A,Base_Enderecos!$C:$C,""),"")</f>
        <v/>
      </c>
      <c r="R1412">
        <f>IF(OR(ISNUMBER(SEARCH("HDD",$F1412)),ISNUMBER(SEARCH("MND",$F1412)),ISNUMBER(SEARCH("PEAD",$F1412)),ISNUMBER(SEARCH("Puxe",$J1412)),ISNUMBER(SEARCH("Apoio HDD",$F1412))),"MND",IF(OR(ISNUMBER(SEARCH("VCA",$F1412)),ISNUMBER(SEARCH("PVC",$F1412)),ISNUMBER(SEARCH("vca",$J1412)),ISNUMBER(SEARCH("Transformação",$J1412))),"VCA",IF(OR(ISNUMBER(SEARCH("crava",$F1412)),ISNUMBER(SEARCH("tubo cravado",$F1412)),ISNUMBER(SEARCH("shaft",$J1412)),ISNUMBER(SEARCH("concreto",$F1412))),"TUBO CRAVADO","")))</f>
        <v/>
      </c>
      <c r="T1412">
        <f>IF($A1412="","",TEXT($A1412,"yyyymm")&amp;"|"&amp;$C1412&amp;"|"&amp;$F1412&amp;"|"&amp;$N1412&amp;"|"&amp;$R1412)</f>
        <v/>
      </c>
    </row>
    <row r="1413" ht="11.55" customHeight="1">
      <c r="A1413" s="10" t="n">
        <v>46105</v>
      </c>
      <c r="B1413" s="7" t="inlineStr">
        <is>
          <t>Terça</t>
        </is>
      </c>
      <c r="C1413" s="7" t="inlineStr">
        <is>
          <t>CTS CONCEIÇÃO</t>
        </is>
      </c>
      <c r="D1413" s="7" t="inlineStr">
        <is>
          <t>LEANDRO E SILVESTRE</t>
        </is>
      </c>
      <c r="E1413" s="7" t="inlineStr">
        <is>
          <t>GR Drill</t>
        </is>
      </c>
      <c r="F1413" s="13" t="inlineStr">
        <is>
          <t>Piloto e puxe entre PV 06 ao 09</t>
        </is>
      </c>
      <c r="G1413" s="7" t="inlineStr">
        <is>
          <t>06</t>
        </is>
      </c>
      <c r="H1413" s="7" t="n"/>
      <c r="I1413" s="7" t="inlineStr">
        <is>
          <t>06</t>
        </is>
      </c>
      <c r="J1413" s="7" t="inlineStr">
        <is>
          <t>Piloto e puxe</t>
        </is>
      </c>
      <c r="K1413" s="7" t="inlineStr">
        <is>
          <t>Planejamento</t>
        </is>
      </c>
      <c r="L1413" s="16" t="inlineStr">
        <is>
          <t>PDS-Março(1).docx</t>
        </is>
      </c>
      <c r="M1413">
        <f>IF($A1413="","",TEXT($A1413,"mmmm/yyyy"))</f>
        <v/>
      </c>
      <c r="P1413">
        <f>IFERROR(_xludf.XLOOKUP($N1413,Base_Enderecos!$A:$A,Base_Enderecos!$B:$B,""),"")</f>
        <v/>
      </c>
      <c r="Q1413">
        <f>IFERROR(_xludf.XLOOKUP($N1413,Base_Enderecos!$A:$A,Base_Enderecos!$C:$C,""),"")</f>
        <v/>
      </c>
      <c r="R1413">
        <f>IF(OR(ISNUMBER(SEARCH("HDD",$F1413)),ISNUMBER(SEARCH("MND",$F1413)),ISNUMBER(SEARCH("PEAD",$F1413)),ISNUMBER(SEARCH("Puxe",$J1413)),ISNUMBER(SEARCH("Apoio HDD",$F1413))),"MND",IF(OR(ISNUMBER(SEARCH("VCA",$F1413)),ISNUMBER(SEARCH("PVC",$F1413)),ISNUMBER(SEARCH("vca",$J1413)),ISNUMBER(SEARCH("Transformação",$J1413))),"VCA",IF(OR(ISNUMBER(SEARCH("crava",$F1413)),ISNUMBER(SEARCH("tubo cravado",$F1413)),ISNUMBER(SEARCH("shaft",$J1413)),ISNUMBER(SEARCH("concreto",$F1413))),"TUBO CRAVADO","")))</f>
        <v/>
      </c>
      <c r="T1413">
        <f>IF($A1413="","",TEXT($A1413,"yyyymm")&amp;"|"&amp;$C1413&amp;"|"&amp;$F1413&amp;"|"&amp;$N1413&amp;"|"&amp;$R1413)</f>
        <v/>
      </c>
    </row>
    <row r="1414" ht="11.55" customHeight="1">
      <c r="A1414" s="10" t="n">
        <v>46105</v>
      </c>
      <c r="B1414" s="7" t="inlineStr">
        <is>
          <t>Terça</t>
        </is>
      </c>
      <c r="C1414" s="7" t="inlineStr">
        <is>
          <t>CTS CONCEIÇÃO</t>
        </is>
      </c>
      <c r="D1414" s="7" t="inlineStr">
        <is>
          <t>LEANDRO E SILVESTRE</t>
        </is>
      </c>
      <c r="E1414" s="7" t="inlineStr">
        <is>
          <t>Medeiros</t>
        </is>
      </c>
      <c r="F1414" s="13" t="inlineStr">
        <is>
          <t>Apoio HDD entre PV 06 ao 09</t>
        </is>
      </c>
      <c r="G1414" s="7" t="inlineStr">
        <is>
          <t>06</t>
        </is>
      </c>
      <c r="H1414" s="7" t="n"/>
      <c r="I1414" s="7" t="inlineStr">
        <is>
          <t>06</t>
        </is>
      </c>
      <c r="J1414" s="7" t="inlineStr">
        <is>
          <t>Apoio HDD</t>
        </is>
      </c>
      <c r="K1414" s="7" t="inlineStr">
        <is>
          <t>Planejamento</t>
        </is>
      </c>
      <c r="L1414" s="16" t="inlineStr">
        <is>
          <t>PDS-Março(1).docx</t>
        </is>
      </c>
      <c r="M1414">
        <f>IF($A1414="","",TEXT($A1414,"mmmm/yyyy"))</f>
        <v/>
      </c>
      <c r="P1414">
        <f>IFERROR(_xludf.XLOOKUP($N1414,Base_Enderecos!$A:$A,Base_Enderecos!$B:$B,""),"")</f>
        <v/>
      </c>
      <c r="Q1414">
        <f>IFERROR(_xludf.XLOOKUP($N1414,Base_Enderecos!$A:$A,Base_Enderecos!$C:$C,""),"")</f>
        <v/>
      </c>
      <c r="R1414">
        <f>IF(OR(ISNUMBER(SEARCH("HDD",$F1414)),ISNUMBER(SEARCH("MND",$F1414)),ISNUMBER(SEARCH("PEAD",$F1414)),ISNUMBER(SEARCH("Puxe",$J1414)),ISNUMBER(SEARCH("Apoio HDD",$F1414))),"MND",IF(OR(ISNUMBER(SEARCH("VCA",$F1414)),ISNUMBER(SEARCH("PVC",$F1414)),ISNUMBER(SEARCH("vca",$J1414)),ISNUMBER(SEARCH("Transformação",$J1414))),"VCA",IF(OR(ISNUMBER(SEARCH("crava",$F1414)),ISNUMBER(SEARCH("tubo cravado",$F1414)),ISNUMBER(SEARCH("shaft",$J1414)),ISNUMBER(SEARCH("concreto",$F1414))),"TUBO CRAVADO","")))</f>
        <v/>
      </c>
      <c r="T1414">
        <f>IF($A1414="","",TEXT($A1414,"yyyymm")&amp;"|"&amp;$C1414&amp;"|"&amp;$F1414&amp;"|"&amp;$N1414&amp;"|"&amp;$R1414)</f>
        <v/>
      </c>
    </row>
    <row r="1415" ht="11.55" customHeight="1">
      <c r="A1415" s="10" t="n">
        <v>46105</v>
      </c>
      <c r="B1415" s="7" t="inlineStr">
        <is>
          <t>Terça</t>
        </is>
      </c>
      <c r="C1415" s="7" t="inlineStr">
        <is>
          <t>CTS CONCEIÇÃO</t>
        </is>
      </c>
      <c r="D1415" s="7" t="inlineStr">
        <is>
          <t>LEANDRO E SILVESTRE</t>
        </is>
      </c>
      <c r="E1415" s="7" t="inlineStr">
        <is>
          <t>Sergio</t>
        </is>
      </c>
      <c r="F1415" s="13" t="inlineStr">
        <is>
          <t>Shaft PV 09</t>
        </is>
      </c>
      <c r="G1415" s="7" t="inlineStr">
        <is>
          <t>09</t>
        </is>
      </c>
      <c r="H1415" s="7" t="n"/>
      <c r="I1415" s="7" t="inlineStr">
        <is>
          <t>09</t>
        </is>
      </c>
      <c r="J1415" s="7" t="inlineStr">
        <is>
          <t>Shaft</t>
        </is>
      </c>
      <c r="K1415" s="7" t="inlineStr">
        <is>
          <t>Planejamento</t>
        </is>
      </c>
      <c r="L1415" s="16" t="inlineStr">
        <is>
          <t>PDS-Março(1).docx</t>
        </is>
      </c>
      <c r="M1415">
        <f>IF($A1415="","",TEXT($A1415,"mmmm/yyyy"))</f>
        <v/>
      </c>
      <c r="P1415">
        <f>IFERROR(_xludf.XLOOKUP($N1415,Base_Enderecos!$A:$A,Base_Enderecos!$B:$B,""),"")</f>
        <v/>
      </c>
      <c r="Q1415">
        <f>IFERROR(_xludf.XLOOKUP($N1415,Base_Enderecos!$A:$A,Base_Enderecos!$C:$C,""),"")</f>
        <v/>
      </c>
      <c r="R1415">
        <f>IF(OR(ISNUMBER(SEARCH("HDD",$F1415)),ISNUMBER(SEARCH("MND",$F1415)),ISNUMBER(SEARCH("PEAD",$F1415)),ISNUMBER(SEARCH("Puxe",$J1415)),ISNUMBER(SEARCH("Apoio HDD",$F1415))),"MND",IF(OR(ISNUMBER(SEARCH("VCA",$F1415)),ISNUMBER(SEARCH("PVC",$F1415)),ISNUMBER(SEARCH("vca",$J1415)),ISNUMBER(SEARCH("Transformação",$J1415))),"VCA",IF(OR(ISNUMBER(SEARCH("crava",$F1415)),ISNUMBER(SEARCH("tubo cravado",$F1415)),ISNUMBER(SEARCH("shaft",$J1415)),ISNUMBER(SEARCH("concreto",$F1415))),"TUBO CRAVADO","")))</f>
        <v/>
      </c>
      <c r="T1415">
        <f>IF($A1415="","",TEXT($A1415,"yyyymm")&amp;"|"&amp;$C1415&amp;"|"&amp;$F1415&amp;"|"&amp;$N1415&amp;"|"&amp;$R1415)</f>
        <v/>
      </c>
    </row>
    <row r="1416" ht="11.55" customHeight="1">
      <c r="A1416" s="10" t="n">
        <v>46105</v>
      </c>
      <c r="B1416" s="7" t="inlineStr">
        <is>
          <t>Terça</t>
        </is>
      </c>
      <c r="C1416" s="7" t="inlineStr">
        <is>
          <t>CTS CONCEIÇÃO</t>
        </is>
      </c>
      <c r="D1416" s="7" t="inlineStr">
        <is>
          <t>LEANDRO E SILVESTRE</t>
        </is>
      </c>
      <c r="E1416" s="7" t="inlineStr">
        <is>
          <t>Carlos</t>
        </is>
      </c>
      <c r="F1416" s="13" t="inlineStr">
        <is>
          <t>Shaft PV 10</t>
        </is>
      </c>
      <c r="G1416" s="7" t="inlineStr">
        <is>
          <t>10</t>
        </is>
      </c>
      <c r="H1416" s="7" t="n"/>
      <c r="I1416" s="7" t="inlineStr">
        <is>
          <t>10</t>
        </is>
      </c>
      <c r="J1416" s="7" t="inlineStr">
        <is>
          <t>Shaft</t>
        </is>
      </c>
      <c r="K1416" s="7" t="inlineStr">
        <is>
          <t>Planejamento</t>
        </is>
      </c>
      <c r="L1416" s="16" t="inlineStr">
        <is>
          <t>PDS-Março(1).docx</t>
        </is>
      </c>
      <c r="M1416">
        <f>IF($A1416="","",TEXT($A1416,"mmmm/yyyy"))</f>
        <v/>
      </c>
      <c r="P1416">
        <f>IFERROR(_xludf.XLOOKUP($N1416,Base_Enderecos!$A:$A,Base_Enderecos!$B:$B,""),"")</f>
        <v/>
      </c>
      <c r="Q1416">
        <f>IFERROR(_xludf.XLOOKUP($N1416,Base_Enderecos!$A:$A,Base_Enderecos!$C:$C,""),"")</f>
        <v/>
      </c>
      <c r="R1416">
        <f>IF(OR(ISNUMBER(SEARCH("HDD",$F1416)),ISNUMBER(SEARCH("MND",$F1416)),ISNUMBER(SEARCH("PEAD",$F1416)),ISNUMBER(SEARCH("Puxe",$J1416)),ISNUMBER(SEARCH("Apoio HDD",$F1416))),"MND",IF(OR(ISNUMBER(SEARCH("VCA",$F1416)),ISNUMBER(SEARCH("PVC",$F1416)),ISNUMBER(SEARCH("vca",$J1416)),ISNUMBER(SEARCH("Transformação",$J1416))),"VCA",IF(OR(ISNUMBER(SEARCH("crava",$F1416)),ISNUMBER(SEARCH("tubo cravado",$F1416)),ISNUMBER(SEARCH("shaft",$J1416)),ISNUMBER(SEARCH("concreto",$F1416))),"TUBO CRAVADO","")))</f>
        <v/>
      </c>
      <c r="T1416">
        <f>IF($A1416="","",TEXT($A1416,"yyyymm")&amp;"|"&amp;$C1416&amp;"|"&amp;$F1416&amp;"|"&amp;$N1416&amp;"|"&amp;$R1416)</f>
        <v/>
      </c>
    </row>
    <row r="1417" ht="11.55" customHeight="1">
      <c r="A1417" s="10" t="n">
        <v>46105</v>
      </c>
      <c r="B1417" s="7" t="inlineStr">
        <is>
          <t>Terça</t>
        </is>
      </c>
      <c r="C1417" s="7" t="inlineStr">
        <is>
          <t>CTS CONCEIÇÃO</t>
        </is>
      </c>
      <c r="D1417" s="7" t="inlineStr">
        <is>
          <t>LEANDRO E SILVESTRE</t>
        </is>
      </c>
      <c r="E1417" s="7" t="inlineStr">
        <is>
          <t>Cidão</t>
        </is>
      </c>
      <c r="F1417" s="13" t="inlineStr">
        <is>
          <t>Transformação PV 04</t>
        </is>
      </c>
      <c r="G1417" s="7" t="inlineStr">
        <is>
          <t>04</t>
        </is>
      </c>
      <c r="H1417" s="7" t="n"/>
      <c r="I1417" s="7" t="inlineStr">
        <is>
          <t>04</t>
        </is>
      </c>
      <c r="J1417" s="7" t="inlineStr">
        <is>
          <t>Transformação</t>
        </is>
      </c>
      <c r="K1417" s="7" t="inlineStr">
        <is>
          <t>Planejamento</t>
        </is>
      </c>
      <c r="L1417" s="16" t="inlineStr">
        <is>
          <t>PDS-Março(1).docx</t>
        </is>
      </c>
      <c r="M1417">
        <f>IF($A1417="","",TEXT($A1417,"mmmm/yyyy"))</f>
        <v/>
      </c>
      <c r="P1417">
        <f>IFERROR(_xludf.XLOOKUP($N1417,Base_Enderecos!$A:$A,Base_Enderecos!$B:$B,""),"")</f>
        <v/>
      </c>
      <c r="Q1417">
        <f>IFERROR(_xludf.XLOOKUP($N1417,Base_Enderecos!$A:$A,Base_Enderecos!$C:$C,""),"")</f>
        <v/>
      </c>
      <c r="R1417">
        <f>IF(OR(ISNUMBER(SEARCH("HDD",$F1417)),ISNUMBER(SEARCH("MND",$F1417)),ISNUMBER(SEARCH("PEAD",$F1417)),ISNUMBER(SEARCH("Puxe",$J1417)),ISNUMBER(SEARCH("Apoio HDD",$F1417))),"MND",IF(OR(ISNUMBER(SEARCH("VCA",$F1417)),ISNUMBER(SEARCH("PVC",$F1417)),ISNUMBER(SEARCH("vca",$J1417)),ISNUMBER(SEARCH("Transformação",$J1417))),"VCA",IF(OR(ISNUMBER(SEARCH("crava",$F1417)),ISNUMBER(SEARCH("tubo cravado",$F1417)),ISNUMBER(SEARCH("shaft",$J1417)),ISNUMBER(SEARCH("concreto",$F1417))),"TUBO CRAVADO","")))</f>
        <v/>
      </c>
      <c r="T1417">
        <f>IF($A1417="","",TEXT($A1417,"yyyymm")&amp;"|"&amp;$C1417&amp;"|"&amp;$F1417&amp;"|"&amp;$N1417&amp;"|"&amp;$R1417)</f>
        <v/>
      </c>
    </row>
    <row r="1418" ht="11.55" customHeight="1">
      <c r="A1418" s="10" t="n">
        <v>46105</v>
      </c>
      <c r="B1418" s="7" t="inlineStr">
        <is>
          <t>Terça</t>
        </is>
      </c>
      <c r="C1418" s="7" t="inlineStr">
        <is>
          <t>CTS CONCEIÇÃO</t>
        </is>
      </c>
      <c r="D1418" s="7" t="inlineStr">
        <is>
          <t>LEANDRO E SILVESTRE</t>
        </is>
      </c>
      <c r="E1418" s="7" t="inlineStr">
        <is>
          <t>Cesar</t>
        </is>
      </c>
      <c r="F1418" s="13" t="inlineStr">
        <is>
          <t>Shaft PV 10.1</t>
        </is>
      </c>
      <c r="G1418" s="7" t="inlineStr">
        <is>
          <t>10.1</t>
        </is>
      </c>
      <c r="H1418" s="7" t="n"/>
      <c r="I1418" s="7" t="inlineStr">
        <is>
          <t>10.1</t>
        </is>
      </c>
      <c r="J1418" s="7" t="inlineStr">
        <is>
          <t>Shaft</t>
        </is>
      </c>
      <c r="K1418" s="7" t="inlineStr">
        <is>
          <t>Planejamento</t>
        </is>
      </c>
      <c r="L1418" s="16" t="inlineStr">
        <is>
          <t>PDS-Março(1).docx</t>
        </is>
      </c>
      <c r="M1418">
        <f>IF($A1418="","",TEXT($A1418,"mmmm/yyyy"))</f>
        <v/>
      </c>
      <c r="P1418">
        <f>IFERROR(_xludf.XLOOKUP($N1418,Base_Enderecos!$A:$A,Base_Enderecos!$B:$B,""),"")</f>
        <v/>
      </c>
      <c r="Q1418">
        <f>IFERROR(_xludf.XLOOKUP($N1418,Base_Enderecos!$A:$A,Base_Enderecos!$C:$C,""),"")</f>
        <v/>
      </c>
      <c r="R1418">
        <f>IF(OR(ISNUMBER(SEARCH("HDD",$F1418)),ISNUMBER(SEARCH("MND",$F1418)),ISNUMBER(SEARCH("PEAD",$F1418)),ISNUMBER(SEARCH("Puxe",$J1418)),ISNUMBER(SEARCH("Apoio HDD",$F1418))),"MND",IF(OR(ISNUMBER(SEARCH("VCA",$F1418)),ISNUMBER(SEARCH("PVC",$F1418)),ISNUMBER(SEARCH("vca",$J1418)),ISNUMBER(SEARCH("Transformação",$J1418))),"VCA",IF(OR(ISNUMBER(SEARCH("crava",$F1418)),ISNUMBER(SEARCH("tubo cravado",$F1418)),ISNUMBER(SEARCH("shaft",$J1418)),ISNUMBER(SEARCH("concreto",$F1418))),"TUBO CRAVADO","")))</f>
        <v/>
      </c>
      <c r="T1418">
        <f>IF($A1418="","",TEXT($A1418,"yyyymm")&amp;"|"&amp;$C1418&amp;"|"&amp;$F1418&amp;"|"&amp;$N1418&amp;"|"&amp;$R1418)</f>
        <v/>
      </c>
    </row>
    <row r="1419" ht="11.55" customHeight="1">
      <c r="A1419" s="10" t="n">
        <v>46105</v>
      </c>
      <c r="B1419" s="7" t="inlineStr">
        <is>
          <t>Terça</t>
        </is>
      </c>
      <c r="C1419" s="7" t="inlineStr">
        <is>
          <t>CTS CONCEIÇÃO</t>
        </is>
      </c>
      <c r="D1419" s="7" t="inlineStr">
        <is>
          <t>LEANDRO E SILVESTRE</t>
        </is>
      </c>
      <c r="E1419" s="7" t="inlineStr">
        <is>
          <t>Edivando</t>
        </is>
      </c>
      <c r="F1419" s="13" t="inlineStr">
        <is>
          <t>Transformação PV 02</t>
        </is>
      </c>
      <c r="G1419" s="7" t="inlineStr">
        <is>
          <t>02</t>
        </is>
      </c>
      <c r="H1419" s="7" t="n"/>
      <c r="I1419" s="7" t="inlineStr">
        <is>
          <t>02</t>
        </is>
      </c>
      <c r="J1419" s="7" t="inlineStr">
        <is>
          <t>Transformação</t>
        </is>
      </c>
      <c r="K1419" s="7" t="inlineStr">
        <is>
          <t>Planejamento</t>
        </is>
      </c>
      <c r="L1419" s="16" t="inlineStr">
        <is>
          <t>PDS-Março(1).docx</t>
        </is>
      </c>
      <c r="M1419">
        <f>IF($A1419="","",TEXT($A1419,"mmmm/yyyy"))</f>
        <v/>
      </c>
      <c r="P1419">
        <f>IFERROR(_xludf.XLOOKUP($N1419,Base_Enderecos!$A:$A,Base_Enderecos!$B:$B,""),"")</f>
        <v/>
      </c>
      <c r="Q1419">
        <f>IFERROR(_xludf.XLOOKUP($N1419,Base_Enderecos!$A:$A,Base_Enderecos!$C:$C,""),"")</f>
        <v/>
      </c>
      <c r="R1419">
        <f>IF(OR(ISNUMBER(SEARCH("HDD",$F1419)),ISNUMBER(SEARCH("MND",$F1419)),ISNUMBER(SEARCH("PEAD",$F1419)),ISNUMBER(SEARCH("Puxe",$J1419)),ISNUMBER(SEARCH("Apoio HDD",$F1419))),"MND",IF(OR(ISNUMBER(SEARCH("VCA",$F1419)),ISNUMBER(SEARCH("PVC",$F1419)),ISNUMBER(SEARCH("vca",$J1419)),ISNUMBER(SEARCH("Transformação",$J1419))),"VCA",IF(OR(ISNUMBER(SEARCH("crava",$F1419)),ISNUMBER(SEARCH("tubo cravado",$F1419)),ISNUMBER(SEARCH("shaft",$J1419)),ISNUMBER(SEARCH("concreto",$F1419))),"TUBO CRAVADO","")))</f>
        <v/>
      </c>
      <c r="T1419">
        <f>IF($A1419="","",TEXT($A1419,"yyyymm")&amp;"|"&amp;$C1419&amp;"|"&amp;$F1419&amp;"|"&amp;$N1419&amp;"|"&amp;$R1419)</f>
        <v/>
      </c>
    </row>
    <row r="1420" ht="11.55" customHeight="1">
      <c r="A1420" s="10" t="n">
        <v>46105</v>
      </c>
      <c r="B1420" s="7" t="inlineStr">
        <is>
          <t>Terça</t>
        </is>
      </c>
      <c r="C1420" s="7" t="inlineStr">
        <is>
          <t>CT ÁGUA VERMELHA M.D.</t>
        </is>
      </c>
      <c r="D1420" s="7" t="inlineStr">
        <is>
          <t>FABIO E VALMIR</t>
        </is>
      </c>
      <c r="E1420" s="7" t="inlineStr">
        <is>
          <t>Marcio</t>
        </is>
      </c>
      <c r="F1420" s="13" t="inlineStr">
        <is>
          <t>Transformação PVD 19</t>
        </is>
      </c>
      <c r="G1420" s="7" t="inlineStr">
        <is>
          <t>19</t>
        </is>
      </c>
      <c r="H1420" s="7" t="n"/>
      <c r="I1420" s="7" t="inlineStr">
        <is>
          <t>19</t>
        </is>
      </c>
      <c r="J1420" s="7" t="inlineStr">
        <is>
          <t>Transformação</t>
        </is>
      </c>
      <c r="K1420" s="7" t="inlineStr">
        <is>
          <t>Planejamento</t>
        </is>
      </c>
      <c r="L1420" s="16" t="inlineStr">
        <is>
          <t>PDS-Março(1).docx</t>
        </is>
      </c>
      <c r="M1420">
        <f>IF($A1420="","",TEXT($A1420,"mmmm/yyyy"))</f>
        <v/>
      </c>
      <c r="P1420">
        <f>IFERROR(_xludf.XLOOKUP($N1420,Base_Enderecos!$A:$A,Base_Enderecos!$B:$B,""),"")</f>
        <v/>
      </c>
      <c r="Q1420">
        <f>IFERROR(_xludf.XLOOKUP($N1420,Base_Enderecos!$A:$A,Base_Enderecos!$C:$C,""),"")</f>
        <v/>
      </c>
      <c r="R1420">
        <f>IF(OR(ISNUMBER(SEARCH("HDD",$F1420)),ISNUMBER(SEARCH("MND",$F1420)),ISNUMBER(SEARCH("PEAD",$F1420)),ISNUMBER(SEARCH("Puxe",$J1420)),ISNUMBER(SEARCH("Apoio HDD",$F1420))),"MND",IF(OR(ISNUMBER(SEARCH("VCA",$F1420)),ISNUMBER(SEARCH("PVC",$F1420)),ISNUMBER(SEARCH("vca",$J1420)),ISNUMBER(SEARCH("Transformação",$J1420))),"VCA",IF(OR(ISNUMBER(SEARCH("crava",$F1420)),ISNUMBER(SEARCH("tubo cravado",$F1420)),ISNUMBER(SEARCH("shaft",$J1420)),ISNUMBER(SEARCH("concreto",$F1420))),"TUBO CRAVADO","")))</f>
        <v/>
      </c>
      <c r="T1420">
        <f>IF($A1420="","",TEXT($A1420,"yyyymm")&amp;"|"&amp;$C1420&amp;"|"&amp;$F1420&amp;"|"&amp;$N1420&amp;"|"&amp;$R1420)</f>
        <v/>
      </c>
    </row>
    <row r="1421" ht="11.55" customHeight="1">
      <c r="A1421" s="10" t="n">
        <v>46105</v>
      </c>
      <c r="B1421" s="7" t="inlineStr">
        <is>
          <t>Terça</t>
        </is>
      </c>
      <c r="C1421" s="7" t="inlineStr">
        <is>
          <t>CT ÁGUA VERMELHA M.D.</t>
        </is>
      </c>
      <c r="D1421" s="7" t="inlineStr">
        <is>
          <t>FABIO E VALMIR</t>
        </is>
      </c>
      <c r="E1421" s="7" t="inlineStr">
        <is>
          <t>Johnatan</t>
        </is>
      </c>
      <c r="F1421" s="13" t="inlineStr">
        <is>
          <t>Transformação PVD 07</t>
        </is>
      </c>
      <c r="G1421" s="7" t="inlineStr">
        <is>
          <t>07</t>
        </is>
      </c>
      <c r="H1421" s="7" t="n"/>
      <c r="I1421" s="7" t="inlineStr">
        <is>
          <t>07</t>
        </is>
      </c>
      <c r="J1421" s="7" t="inlineStr">
        <is>
          <t>Transformação</t>
        </is>
      </c>
      <c r="K1421" s="7" t="inlineStr">
        <is>
          <t>Planejamento</t>
        </is>
      </c>
      <c r="L1421" s="16" t="inlineStr">
        <is>
          <t>PDS-Março(1).docx</t>
        </is>
      </c>
      <c r="M1421">
        <f>IF($A1421="","",TEXT($A1421,"mmmm/yyyy"))</f>
        <v/>
      </c>
      <c r="P1421">
        <f>IFERROR(_xludf.XLOOKUP($N1421,Base_Enderecos!$A:$A,Base_Enderecos!$B:$B,""),"")</f>
        <v/>
      </c>
      <c r="Q1421">
        <f>IFERROR(_xludf.XLOOKUP($N1421,Base_Enderecos!$A:$A,Base_Enderecos!$C:$C,""),"")</f>
        <v/>
      </c>
      <c r="R1421">
        <f>IF(OR(ISNUMBER(SEARCH("HDD",$F1421)),ISNUMBER(SEARCH("MND",$F1421)),ISNUMBER(SEARCH("PEAD",$F1421)),ISNUMBER(SEARCH("Puxe",$J1421)),ISNUMBER(SEARCH("Apoio HDD",$F1421))),"MND",IF(OR(ISNUMBER(SEARCH("VCA",$F1421)),ISNUMBER(SEARCH("PVC",$F1421)),ISNUMBER(SEARCH("vca",$J1421)),ISNUMBER(SEARCH("Transformação",$J1421))),"VCA",IF(OR(ISNUMBER(SEARCH("crava",$F1421)),ISNUMBER(SEARCH("tubo cravado",$F1421)),ISNUMBER(SEARCH("shaft",$J1421)),ISNUMBER(SEARCH("concreto",$F1421))),"TUBO CRAVADO","")))</f>
        <v/>
      </c>
      <c r="T1421">
        <f>IF($A1421="","",TEXT($A1421,"yyyymm")&amp;"|"&amp;$C1421&amp;"|"&amp;$F1421&amp;"|"&amp;$N1421&amp;"|"&amp;$R1421)</f>
        <v/>
      </c>
    </row>
    <row r="1422" ht="11.55" customHeight="1">
      <c r="A1422" s="10" t="n">
        <v>46105</v>
      </c>
      <c r="B1422" s="7" t="inlineStr">
        <is>
          <t>Terça</t>
        </is>
      </c>
      <c r="C1422" s="7" t="inlineStr">
        <is>
          <t>CT ÁGUA VERMELHA M.D.</t>
        </is>
      </c>
      <c r="D1422" s="7" t="inlineStr">
        <is>
          <t>FABIO E VALMIR</t>
        </is>
      </c>
      <c r="E1422" s="7" t="inlineStr">
        <is>
          <t>Antônio</t>
        </is>
      </c>
      <c r="F1422" s="13" t="inlineStr">
        <is>
          <t>Transformação PVD 16</t>
        </is>
      </c>
      <c r="G1422" s="7" t="inlineStr">
        <is>
          <t>16</t>
        </is>
      </c>
      <c r="H1422" s="7" t="n"/>
      <c r="I1422" s="7" t="inlineStr">
        <is>
          <t>16</t>
        </is>
      </c>
      <c r="J1422" s="7" t="inlineStr">
        <is>
          <t>Transformação</t>
        </is>
      </c>
      <c r="K1422" s="7" t="inlineStr">
        <is>
          <t>Planejamento</t>
        </is>
      </c>
      <c r="L1422" s="16" t="inlineStr">
        <is>
          <t>PDS-Março(1).docx</t>
        </is>
      </c>
      <c r="M1422">
        <f>IF($A1422="","",TEXT($A1422,"mmmm/yyyy"))</f>
        <v/>
      </c>
      <c r="P1422">
        <f>IFERROR(_xludf.XLOOKUP($N1422,Base_Enderecos!$A:$A,Base_Enderecos!$B:$B,""),"")</f>
        <v/>
      </c>
      <c r="Q1422">
        <f>IFERROR(_xludf.XLOOKUP($N1422,Base_Enderecos!$A:$A,Base_Enderecos!$C:$C,""),"")</f>
        <v/>
      </c>
      <c r="R1422">
        <f>IF(OR(ISNUMBER(SEARCH("HDD",$F1422)),ISNUMBER(SEARCH("MND",$F1422)),ISNUMBER(SEARCH("PEAD",$F1422)),ISNUMBER(SEARCH("Puxe",$J1422)),ISNUMBER(SEARCH("Apoio HDD",$F1422))),"MND",IF(OR(ISNUMBER(SEARCH("VCA",$F1422)),ISNUMBER(SEARCH("PVC",$F1422)),ISNUMBER(SEARCH("vca",$J1422)),ISNUMBER(SEARCH("Transformação",$J1422))),"VCA",IF(OR(ISNUMBER(SEARCH("crava",$F1422)),ISNUMBER(SEARCH("tubo cravado",$F1422)),ISNUMBER(SEARCH("shaft",$J1422)),ISNUMBER(SEARCH("concreto",$F1422))),"TUBO CRAVADO","")))</f>
        <v/>
      </c>
      <c r="T1422">
        <f>IF($A1422="","",TEXT($A1422,"yyyymm")&amp;"|"&amp;$C1422&amp;"|"&amp;$F1422&amp;"|"&amp;$N1422&amp;"|"&amp;$R1422)</f>
        <v/>
      </c>
    </row>
    <row r="1423" ht="11.55" customHeight="1">
      <c r="A1423" s="10" t="n">
        <v>46105</v>
      </c>
      <c r="B1423" s="7" t="inlineStr">
        <is>
          <t>Terça</t>
        </is>
      </c>
      <c r="C1423" s="7" t="inlineStr">
        <is>
          <t>CT ÁGUA VERMELHA M.D.</t>
        </is>
      </c>
      <c r="D1423" s="7" t="inlineStr">
        <is>
          <t>FABIO E VALMIR</t>
        </is>
      </c>
      <c r="E1423" s="7" t="inlineStr">
        <is>
          <t>Marcelo</t>
        </is>
      </c>
      <c r="F1423" s="13" t="inlineStr">
        <is>
          <t>Transformação PVD 10</t>
        </is>
      </c>
      <c r="G1423" s="7" t="inlineStr">
        <is>
          <t>10</t>
        </is>
      </c>
      <c r="H1423" s="7" t="n"/>
      <c r="I1423" s="7" t="inlineStr">
        <is>
          <t>10</t>
        </is>
      </c>
      <c r="J1423" s="7" t="inlineStr">
        <is>
          <t>Transformação</t>
        </is>
      </c>
      <c r="K1423" s="7" t="inlineStr">
        <is>
          <t>Planejamento</t>
        </is>
      </c>
      <c r="L1423" s="16" t="inlineStr">
        <is>
          <t>PDS-Março(1).docx</t>
        </is>
      </c>
      <c r="M1423">
        <f>IF($A1423="","",TEXT($A1423,"mmmm/yyyy"))</f>
        <v/>
      </c>
      <c r="P1423">
        <f>IFERROR(_xludf.XLOOKUP($N1423,Base_Enderecos!$A:$A,Base_Enderecos!$B:$B,""),"")</f>
        <v/>
      </c>
      <c r="Q1423">
        <f>IFERROR(_xludf.XLOOKUP($N1423,Base_Enderecos!$A:$A,Base_Enderecos!$C:$C,""),"")</f>
        <v/>
      </c>
      <c r="R1423">
        <f>IF(OR(ISNUMBER(SEARCH("HDD",$F1423)),ISNUMBER(SEARCH("MND",$F1423)),ISNUMBER(SEARCH("PEAD",$F1423)),ISNUMBER(SEARCH("Puxe",$J1423)),ISNUMBER(SEARCH("Apoio HDD",$F1423))),"MND",IF(OR(ISNUMBER(SEARCH("VCA",$F1423)),ISNUMBER(SEARCH("PVC",$F1423)),ISNUMBER(SEARCH("vca",$J1423)),ISNUMBER(SEARCH("Transformação",$J1423))),"VCA",IF(OR(ISNUMBER(SEARCH("crava",$F1423)),ISNUMBER(SEARCH("tubo cravado",$F1423)),ISNUMBER(SEARCH("shaft",$J1423)),ISNUMBER(SEARCH("concreto",$F1423))),"TUBO CRAVADO","")))</f>
        <v/>
      </c>
      <c r="T1423">
        <f>IF($A1423="","",TEXT($A1423,"yyyymm")&amp;"|"&amp;$C1423&amp;"|"&amp;$F1423&amp;"|"&amp;$N1423&amp;"|"&amp;$R1423)</f>
        <v/>
      </c>
    </row>
    <row r="1424" ht="11.55" customHeight="1">
      <c r="A1424" s="10" t="n">
        <v>46105</v>
      </c>
      <c r="B1424" s="7" t="inlineStr">
        <is>
          <t>Terça</t>
        </is>
      </c>
      <c r="C1424" s="7" t="inlineStr">
        <is>
          <t>CT ÁGUA VERMELHA M.E.</t>
        </is>
      </c>
      <c r="D1424" s="7" t="inlineStr">
        <is>
          <t>FABIO E VALMIR</t>
        </is>
      </c>
      <c r="E1424" s="7" t="inlineStr">
        <is>
          <t>Work Drill</t>
        </is>
      </c>
      <c r="F1424" s="13" t="inlineStr">
        <is>
          <t>Piloto e Puxe 16 ao 16.1</t>
        </is>
      </c>
      <c r="G1424" s="7" t="n"/>
      <c r="H1424" s="7" t="n"/>
      <c r="I1424" s="7" t="n"/>
      <c r="J1424" s="7" t="inlineStr">
        <is>
          <t>Piloto e puxe</t>
        </is>
      </c>
      <c r="K1424" s="7" t="inlineStr">
        <is>
          <t>Planejamento</t>
        </is>
      </c>
      <c r="L1424" s="16" t="inlineStr">
        <is>
          <t>PDS-Março(1).docx</t>
        </is>
      </c>
      <c r="M1424">
        <f>IF($A1424="","",TEXT($A1424,"mmmm/yyyy"))</f>
        <v/>
      </c>
      <c r="P1424">
        <f>IFERROR(_xludf.XLOOKUP($N1424,Base_Enderecos!$A:$A,Base_Enderecos!$B:$B,""),"")</f>
        <v/>
      </c>
      <c r="Q1424">
        <f>IFERROR(_xludf.XLOOKUP($N1424,Base_Enderecos!$A:$A,Base_Enderecos!$C:$C,""),"")</f>
        <v/>
      </c>
      <c r="R1424">
        <f>IF(OR(ISNUMBER(SEARCH("HDD",$F1424)),ISNUMBER(SEARCH("MND",$F1424)),ISNUMBER(SEARCH("PEAD",$F1424)),ISNUMBER(SEARCH("Puxe",$J1424)),ISNUMBER(SEARCH("Apoio HDD",$F1424))),"MND",IF(OR(ISNUMBER(SEARCH("VCA",$F1424)),ISNUMBER(SEARCH("PVC",$F1424)),ISNUMBER(SEARCH("vca",$J1424)),ISNUMBER(SEARCH("Transformação",$J1424))),"VCA",IF(OR(ISNUMBER(SEARCH("crava",$F1424)),ISNUMBER(SEARCH("tubo cravado",$F1424)),ISNUMBER(SEARCH("shaft",$J1424)),ISNUMBER(SEARCH("concreto",$F1424))),"TUBO CRAVADO","")))</f>
        <v/>
      </c>
      <c r="T1424">
        <f>IF($A1424="","",TEXT($A1424,"yyyymm")&amp;"|"&amp;$C1424&amp;"|"&amp;$F1424&amp;"|"&amp;$N1424&amp;"|"&amp;$R1424)</f>
        <v/>
      </c>
    </row>
    <row r="1425" ht="11.55" customHeight="1">
      <c r="A1425" s="10" t="n">
        <v>46105</v>
      </c>
      <c r="B1425" s="7" t="inlineStr">
        <is>
          <t>Terça</t>
        </is>
      </c>
      <c r="C1425" s="7" t="inlineStr">
        <is>
          <t>CT ÁGUA VERMELHA M.E.</t>
        </is>
      </c>
      <c r="D1425" s="7" t="inlineStr">
        <is>
          <t>FABIO E VALMIR</t>
        </is>
      </c>
      <c r="E1425" s="7" t="inlineStr">
        <is>
          <t>Bruno</t>
        </is>
      </c>
      <c r="F1425" s="13" t="inlineStr">
        <is>
          <t>Apoio HDD PVE 16 ao 16.1</t>
        </is>
      </c>
      <c r="G1425" s="7" t="inlineStr">
        <is>
          <t>16</t>
        </is>
      </c>
      <c r="H1425" s="7" t="n"/>
      <c r="I1425" s="7" t="inlineStr">
        <is>
          <t>16</t>
        </is>
      </c>
      <c r="J1425" s="7" t="inlineStr">
        <is>
          <t>Apoio HDD</t>
        </is>
      </c>
      <c r="K1425" s="7" t="inlineStr">
        <is>
          <t>Planejamento</t>
        </is>
      </c>
      <c r="L1425" s="16" t="inlineStr">
        <is>
          <t>PDS-Março(1).docx</t>
        </is>
      </c>
      <c r="M1425">
        <f>IF($A1425="","",TEXT($A1425,"mmmm/yyyy"))</f>
        <v/>
      </c>
      <c r="P1425">
        <f>IFERROR(_xludf.XLOOKUP($N1425,Base_Enderecos!$A:$A,Base_Enderecos!$B:$B,""),"")</f>
        <v/>
      </c>
      <c r="Q1425">
        <f>IFERROR(_xludf.XLOOKUP($N1425,Base_Enderecos!$A:$A,Base_Enderecos!$C:$C,""),"")</f>
        <v/>
      </c>
      <c r="R1425">
        <f>IF(OR(ISNUMBER(SEARCH("HDD",$F1425)),ISNUMBER(SEARCH("MND",$F1425)),ISNUMBER(SEARCH("PEAD",$F1425)),ISNUMBER(SEARCH("Puxe",$J1425)),ISNUMBER(SEARCH("Apoio HDD",$F1425))),"MND",IF(OR(ISNUMBER(SEARCH("VCA",$F1425)),ISNUMBER(SEARCH("PVC",$F1425)),ISNUMBER(SEARCH("vca",$J1425)),ISNUMBER(SEARCH("Transformação",$J1425))),"VCA",IF(OR(ISNUMBER(SEARCH("crava",$F1425)),ISNUMBER(SEARCH("tubo cravado",$F1425)),ISNUMBER(SEARCH("shaft",$J1425)),ISNUMBER(SEARCH("concreto",$F1425))),"TUBO CRAVADO","")))</f>
        <v/>
      </c>
      <c r="T1425">
        <f>IF($A1425="","",TEXT($A1425,"yyyymm")&amp;"|"&amp;$C1425&amp;"|"&amp;$F1425&amp;"|"&amp;$N1425&amp;"|"&amp;$R1425)</f>
        <v/>
      </c>
    </row>
    <row r="1426" ht="11.55" customHeight="1">
      <c r="A1426" s="10" t="n">
        <v>46105</v>
      </c>
      <c r="B1426" s="7" t="inlineStr">
        <is>
          <t>Terça</t>
        </is>
      </c>
      <c r="C1426" s="7" t="inlineStr">
        <is>
          <t>CT ÁGUA VERMELHA M.E.</t>
        </is>
      </c>
      <c r="D1426" s="7" t="inlineStr">
        <is>
          <t>FABIO E VALMIR</t>
        </is>
      </c>
      <c r="E1426" s="7" t="inlineStr">
        <is>
          <t>Higor</t>
        </is>
      </c>
      <c r="F1426" s="13" t="inlineStr">
        <is>
          <t>Interligação PVE 25</t>
        </is>
      </c>
      <c r="G1426" s="7" t="inlineStr">
        <is>
          <t>25</t>
        </is>
      </c>
      <c r="H1426" s="7" t="n"/>
      <c r="I1426" s="7" t="inlineStr">
        <is>
          <t>25</t>
        </is>
      </c>
      <c r="J1426" s="7" t="inlineStr">
        <is>
          <t>Interligação</t>
        </is>
      </c>
      <c r="K1426" s="7" t="inlineStr">
        <is>
          <t>Planejamento</t>
        </is>
      </c>
      <c r="L1426" s="16" t="inlineStr">
        <is>
          <t>PDS-Março(1).docx</t>
        </is>
      </c>
      <c r="M1426">
        <f>IF($A1426="","",TEXT($A1426,"mmmm/yyyy"))</f>
        <v/>
      </c>
      <c r="P1426">
        <f>IFERROR(_xludf.XLOOKUP($N1426,Base_Enderecos!$A:$A,Base_Enderecos!$B:$B,""),"")</f>
        <v/>
      </c>
      <c r="Q1426">
        <f>IFERROR(_xludf.XLOOKUP($N1426,Base_Enderecos!$A:$A,Base_Enderecos!$C:$C,""),"")</f>
        <v/>
      </c>
      <c r="R1426">
        <f>IF(OR(ISNUMBER(SEARCH("HDD",$F1426)),ISNUMBER(SEARCH("MND",$F1426)),ISNUMBER(SEARCH("PEAD",$F1426)),ISNUMBER(SEARCH("Puxe",$J1426)),ISNUMBER(SEARCH("Apoio HDD",$F1426))),"MND",IF(OR(ISNUMBER(SEARCH("VCA",$F1426)),ISNUMBER(SEARCH("PVC",$F1426)),ISNUMBER(SEARCH("vca",$J1426)),ISNUMBER(SEARCH("Transformação",$J1426))),"VCA",IF(OR(ISNUMBER(SEARCH("crava",$F1426)),ISNUMBER(SEARCH("tubo cravado",$F1426)),ISNUMBER(SEARCH("shaft",$J1426)),ISNUMBER(SEARCH("concreto",$F1426))),"TUBO CRAVADO","")))</f>
        <v/>
      </c>
      <c r="T1426">
        <f>IF($A1426="","",TEXT($A1426,"yyyymm")&amp;"|"&amp;$C1426&amp;"|"&amp;$F1426&amp;"|"&amp;$N1426&amp;"|"&amp;$R1426)</f>
        <v/>
      </c>
    </row>
    <row r="1427" ht="11.55" customHeight="1">
      <c r="A1427" s="10" t="n">
        <v>46105</v>
      </c>
      <c r="B1427" s="7" t="inlineStr">
        <is>
          <t>Terça</t>
        </is>
      </c>
      <c r="C1427" s="7" t="inlineStr">
        <is>
          <t>RCE FCO. SOUTO MAIOR</t>
        </is>
      </c>
      <c r="D1427" s="7" t="inlineStr">
        <is>
          <t>ROBSON</t>
        </is>
      </c>
      <c r="E1427" s="7" t="inlineStr">
        <is>
          <t>Valter</t>
        </is>
      </c>
      <c r="F1427" s="13" t="inlineStr">
        <is>
          <t>VCA e Ligações – Rua Canto da Serra</t>
        </is>
      </c>
      <c r="G1427" s="7" t="n"/>
      <c r="H1427" s="7" t="n"/>
      <c r="I1427" s="7" t="n"/>
      <c r="J1427" s="7" t="inlineStr">
        <is>
          <t>VCA</t>
        </is>
      </c>
      <c r="K1427" s="7" t="inlineStr">
        <is>
          <t>Planejamento</t>
        </is>
      </c>
      <c r="L1427" s="16" t="inlineStr">
        <is>
          <t>PDS-Março(1).docx</t>
        </is>
      </c>
      <c r="M1427">
        <f>IF($A1427="","",TEXT($A1427,"mmmm/yyyy"))</f>
        <v/>
      </c>
      <c r="P1427">
        <f>IFERROR(_xludf.XLOOKUP($N1427,Base_Enderecos!$A:$A,Base_Enderecos!$B:$B,""),"")</f>
        <v/>
      </c>
      <c r="Q1427">
        <f>IFERROR(_xludf.XLOOKUP($N1427,Base_Enderecos!$A:$A,Base_Enderecos!$C:$C,""),"")</f>
        <v/>
      </c>
      <c r="R1427">
        <f>IF(OR(ISNUMBER(SEARCH("HDD",$F1427)),ISNUMBER(SEARCH("MND",$F1427)),ISNUMBER(SEARCH("PEAD",$F1427)),ISNUMBER(SEARCH("Puxe",$J1427)),ISNUMBER(SEARCH("Apoio HDD",$F1427))),"MND",IF(OR(ISNUMBER(SEARCH("VCA",$F1427)),ISNUMBER(SEARCH("PVC",$F1427)),ISNUMBER(SEARCH("vca",$J1427)),ISNUMBER(SEARCH("Transformação",$J1427))),"VCA",IF(OR(ISNUMBER(SEARCH("crava",$F1427)),ISNUMBER(SEARCH("tubo cravado",$F1427)),ISNUMBER(SEARCH("shaft",$J1427)),ISNUMBER(SEARCH("concreto",$F1427))),"TUBO CRAVADO","")))</f>
        <v/>
      </c>
      <c r="T1427">
        <f>IF($A1427="","",TEXT($A1427,"yyyymm")&amp;"|"&amp;$C1427&amp;"|"&amp;$F1427&amp;"|"&amp;$N1427&amp;"|"&amp;$R1427)</f>
        <v/>
      </c>
    </row>
    <row r="1428" ht="11.55" customHeight="1">
      <c r="A1428" s="10" t="n">
        <v>46105</v>
      </c>
      <c r="B1428" s="7" t="inlineStr">
        <is>
          <t>Terça</t>
        </is>
      </c>
      <c r="C1428" s="7" t="inlineStr">
        <is>
          <t>RCE FCO. SOUTO MAIOR</t>
        </is>
      </c>
      <c r="D1428" s="7" t="inlineStr">
        <is>
          <t>ROBSON</t>
        </is>
      </c>
      <c r="E1428" s="7" t="inlineStr">
        <is>
          <t>Ricardo</t>
        </is>
      </c>
      <c r="F1428" s="13" t="inlineStr">
        <is>
          <t>VCA e Ligações – Rua Canto da Serra</t>
        </is>
      </c>
      <c r="G1428" s="7" t="n"/>
      <c r="H1428" s="7" t="n"/>
      <c r="I1428" s="7" t="n"/>
      <c r="J1428" s="7" t="inlineStr">
        <is>
          <t>VCA</t>
        </is>
      </c>
      <c r="K1428" s="7" t="inlineStr">
        <is>
          <t>Planejamento</t>
        </is>
      </c>
      <c r="L1428" s="16" t="inlineStr">
        <is>
          <t>PDS-Março(1).docx</t>
        </is>
      </c>
      <c r="M1428">
        <f>IF($A1428="","",TEXT($A1428,"mmmm/yyyy"))</f>
        <v/>
      </c>
      <c r="P1428">
        <f>IFERROR(_xludf.XLOOKUP($N1428,Base_Enderecos!$A:$A,Base_Enderecos!$B:$B,""),"")</f>
        <v/>
      </c>
      <c r="Q1428">
        <f>IFERROR(_xludf.XLOOKUP($N1428,Base_Enderecos!$A:$A,Base_Enderecos!$C:$C,""),"")</f>
        <v/>
      </c>
      <c r="R1428">
        <f>IF(OR(ISNUMBER(SEARCH("HDD",$F1428)),ISNUMBER(SEARCH("MND",$F1428)),ISNUMBER(SEARCH("PEAD",$F1428)),ISNUMBER(SEARCH("Puxe",$J1428)),ISNUMBER(SEARCH("Apoio HDD",$F1428))),"MND",IF(OR(ISNUMBER(SEARCH("VCA",$F1428)),ISNUMBER(SEARCH("PVC",$F1428)),ISNUMBER(SEARCH("vca",$J1428)),ISNUMBER(SEARCH("Transformação",$J1428))),"VCA",IF(OR(ISNUMBER(SEARCH("crava",$F1428)),ISNUMBER(SEARCH("tubo cravado",$F1428)),ISNUMBER(SEARCH("shaft",$J1428)),ISNUMBER(SEARCH("concreto",$F1428))),"TUBO CRAVADO","")))</f>
        <v/>
      </c>
      <c r="T1428">
        <f>IF($A1428="","",TEXT($A1428,"yyyymm")&amp;"|"&amp;$C1428&amp;"|"&amp;$F1428&amp;"|"&amp;$N1428&amp;"|"&amp;$R1428)</f>
        <v/>
      </c>
    </row>
    <row r="1429" ht="11.55" customHeight="1">
      <c r="A1429" s="10" t="n">
        <v>46105</v>
      </c>
      <c r="B1429" s="7" t="inlineStr">
        <is>
          <t>Terça</t>
        </is>
      </c>
      <c r="C1429" s="7" t="inlineStr">
        <is>
          <t>Vacal</t>
        </is>
      </c>
      <c r="D1429" s="7" t="n"/>
      <c r="E1429" s="7" t="inlineStr">
        <is>
          <t>Conceição - BRD</t>
        </is>
      </c>
      <c r="F1429" s="13" t="inlineStr">
        <is>
          <t>Apoio Vacal</t>
        </is>
      </c>
      <c r="G1429" s="7" t="n"/>
      <c r="H1429" s="7" t="n"/>
      <c r="I1429" s="7" t="n"/>
      <c r="J1429" s="7" t="inlineStr">
        <is>
          <t>Vacal</t>
        </is>
      </c>
      <c r="K1429" s="7" t="inlineStr">
        <is>
          <t>Apoio</t>
        </is>
      </c>
      <c r="L1429" s="16" t="inlineStr">
        <is>
          <t>PDS-Março(1).docx</t>
        </is>
      </c>
      <c r="M1429">
        <f>IF($A1429="","",TEXT($A1429,"mmmm/yyyy"))</f>
        <v/>
      </c>
      <c r="P1429">
        <f>IFERROR(_xludf.XLOOKUP($N1429,Base_Enderecos!$A:$A,Base_Enderecos!$B:$B,""),"")</f>
        <v/>
      </c>
      <c r="Q1429">
        <f>IFERROR(_xludf.XLOOKUP($N1429,Base_Enderecos!$A:$A,Base_Enderecos!$C:$C,""),"")</f>
        <v/>
      </c>
      <c r="R1429">
        <f>IF(OR(ISNUMBER(SEARCH("HDD",$F1429)),ISNUMBER(SEARCH("MND",$F1429)),ISNUMBER(SEARCH("PEAD",$F1429)),ISNUMBER(SEARCH("Puxe",$J1429)),ISNUMBER(SEARCH("Apoio HDD",$F1429))),"MND",IF(OR(ISNUMBER(SEARCH("VCA",$F1429)),ISNUMBER(SEARCH("PVC",$F1429)),ISNUMBER(SEARCH("vca",$J1429)),ISNUMBER(SEARCH("Transformação",$J1429))),"VCA",IF(OR(ISNUMBER(SEARCH("crava",$F1429)),ISNUMBER(SEARCH("tubo cravado",$F1429)),ISNUMBER(SEARCH("shaft",$J1429)),ISNUMBER(SEARCH("concreto",$F1429))),"TUBO CRAVADO","")))</f>
        <v/>
      </c>
      <c r="T1429">
        <f>IF($A1429="","",TEXT($A1429,"yyyymm")&amp;"|"&amp;$C1429&amp;"|"&amp;$F1429&amp;"|"&amp;$N1429&amp;"|"&amp;$R1429)</f>
        <v/>
      </c>
    </row>
    <row r="1430" ht="11.55" customHeight="1">
      <c r="A1430" s="10" t="n">
        <v>46105</v>
      </c>
      <c r="B1430" s="7" t="inlineStr">
        <is>
          <t>Terça</t>
        </is>
      </c>
      <c r="C1430" s="7" t="inlineStr">
        <is>
          <t>Vacal</t>
        </is>
      </c>
      <c r="D1430" s="7" t="n"/>
      <c r="E1430" s="7" t="inlineStr">
        <is>
          <t>Conceição - Renasce</t>
        </is>
      </c>
      <c r="F1430" s="13" t="inlineStr">
        <is>
          <t>Apoio Vacal</t>
        </is>
      </c>
      <c r="G1430" s="7" t="n"/>
      <c r="H1430" s="7" t="n"/>
      <c r="I1430" s="7" t="n"/>
      <c r="J1430" s="7" t="inlineStr">
        <is>
          <t>Vacal</t>
        </is>
      </c>
      <c r="K1430" s="7" t="inlineStr">
        <is>
          <t>Apoio</t>
        </is>
      </c>
      <c r="L1430" s="16" t="inlineStr">
        <is>
          <t>PDS-Março(1).docx</t>
        </is>
      </c>
      <c r="M1430">
        <f>IF($A1430="","",TEXT($A1430,"mmmm/yyyy"))</f>
        <v/>
      </c>
      <c r="P1430">
        <f>IFERROR(_xludf.XLOOKUP($N1430,Base_Enderecos!$A:$A,Base_Enderecos!$B:$B,""),"")</f>
        <v/>
      </c>
      <c r="Q1430">
        <f>IFERROR(_xludf.XLOOKUP($N1430,Base_Enderecos!$A:$A,Base_Enderecos!$C:$C,""),"")</f>
        <v/>
      </c>
      <c r="R1430">
        <f>IF(OR(ISNUMBER(SEARCH("HDD",$F1430)),ISNUMBER(SEARCH("MND",$F1430)),ISNUMBER(SEARCH("PEAD",$F1430)),ISNUMBER(SEARCH("Puxe",$J1430)),ISNUMBER(SEARCH("Apoio HDD",$F1430))),"MND",IF(OR(ISNUMBER(SEARCH("VCA",$F1430)),ISNUMBER(SEARCH("PVC",$F1430)),ISNUMBER(SEARCH("vca",$J1430)),ISNUMBER(SEARCH("Transformação",$J1430))),"VCA",IF(OR(ISNUMBER(SEARCH("crava",$F1430)),ISNUMBER(SEARCH("tubo cravado",$F1430)),ISNUMBER(SEARCH("shaft",$J1430)),ISNUMBER(SEARCH("concreto",$F1430))),"TUBO CRAVADO","")))</f>
        <v/>
      </c>
      <c r="T1430">
        <f>IF($A1430="","",TEXT($A1430,"yyyymm")&amp;"|"&amp;$C1430&amp;"|"&amp;$F1430&amp;"|"&amp;$N1430&amp;"|"&amp;$R1430)</f>
        <v/>
      </c>
    </row>
    <row r="1431" ht="11.55" customHeight="1">
      <c r="A1431" s="10" t="n">
        <v>46105</v>
      </c>
      <c r="B1431" s="7" t="inlineStr">
        <is>
          <t>Terça</t>
        </is>
      </c>
      <c r="C1431" s="7" t="inlineStr">
        <is>
          <t>Vacal</t>
        </is>
      </c>
      <c r="D1431" s="7" t="n"/>
      <c r="E1431" s="7" t="inlineStr">
        <is>
          <t>Água Vermelha - Renasce</t>
        </is>
      </c>
      <c r="F1431" s="13" t="inlineStr">
        <is>
          <t>Apoio Vacal</t>
        </is>
      </c>
      <c r="G1431" s="7" t="n"/>
      <c r="H1431" s="7" t="n"/>
      <c r="I1431" s="7" t="n"/>
      <c r="J1431" s="7" t="inlineStr">
        <is>
          <t>Vacal</t>
        </is>
      </c>
      <c r="K1431" s="7" t="inlineStr">
        <is>
          <t>Apoio</t>
        </is>
      </c>
      <c r="L1431" s="16" t="inlineStr">
        <is>
          <t>PDS-Março(1).docx</t>
        </is>
      </c>
      <c r="M1431">
        <f>IF($A1431="","",TEXT($A1431,"mmmm/yyyy"))</f>
        <v/>
      </c>
      <c r="P1431">
        <f>IFERROR(_xludf.XLOOKUP($N1431,Base_Enderecos!$A:$A,Base_Enderecos!$B:$B,""),"")</f>
        <v/>
      </c>
      <c r="Q1431">
        <f>IFERROR(_xludf.XLOOKUP($N1431,Base_Enderecos!$A:$A,Base_Enderecos!$C:$C,""),"")</f>
        <v/>
      </c>
      <c r="R1431">
        <f>IF(OR(ISNUMBER(SEARCH("HDD",$F1431)),ISNUMBER(SEARCH("MND",$F1431)),ISNUMBER(SEARCH("PEAD",$F1431)),ISNUMBER(SEARCH("Puxe",$J1431)),ISNUMBER(SEARCH("Apoio HDD",$F1431))),"MND",IF(OR(ISNUMBER(SEARCH("VCA",$F1431)),ISNUMBER(SEARCH("PVC",$F1431)),ISNUMBER(SEARCH("vca",$J1431)),ISNUMBER(SEARCH("Transformação",$J1431))),"VCA",IF(OR(ISNUMBER(SEARCH("crava",$F1431)),ISNUMBER(SEARCH("tubo cravado",$F1431)),ISNUMBER(SEARCH("shaft",$J1431)),ISNUMBER(SEARCH("concreto",$F1431))),"TUBO CRAVADO","")))</f>
        <v/>
      </c>
      <c r="T1431">
        <f>IF($A1431="","",TEXT($A1431,"yyyymm")&amp;"|"&amp;$C1431&amp;"|"&amp;$F1431&amp;"|"&amp;$N1431&amp;"|"&amp;$R1431)</f>
        <v/>
      </c>
    </row>
    <row r="1432" ht="11.55" customHeight="1">
      <c r="A1432" s="10" t="n">
        <v>46105</v>
      </c>
      <c r="B1432" s="7" t="inlineStr">
        <is>
          <t>Terça</t>
        </is>
      </c>
      <c r="C1432" s="7" t="inlineStr">
        <is>
          <t>Vacal</t>
        </is>
      </c>
      <c r="D1432" s="7" t="n"/>
      <c r="E1432" s="7" t="inlineStr">
        <is>
          <t>Água Vermelha – Hidrosol</t>
        </is>
      </c>
      <c r="F1432" s="13" t="inlineStr">
        <is>
          <t>Apoio Vacal</t>
        </is>
      </c>
      <c r="G1432" s="7" t="n"/>
      <c r="H1432" s="7" t="n"/>
      <c r="I1432" s="7" t="n"/>
      <c r="J1432" s="7" t="inlineStr">
        <is>
          <t>Vacal</t>
        </is>
      </c>
      <c r="K1432" s="7" t="inlineStr">
        <is>
          <t>Apoio</t>
        </is>
      </c>
      <c r="L1432" s="16" t="inlineStr">
        <is>
          <t>PDS-Março(1).docx</t>
        </is>
      </c>
      <c r="M1432">
        <f>IF($A1432="","",TEXT($A1432,"mmmm/yyyy"))</f>
        <v/>
      </c>
      <c r="P1432">
        <f>IFERROR(_xludf.XLOOKUP($N1432,Base_Enderecos!$A:$A,Base_Enderecos!$B:$B,""),"")</f>
        <v/>
      </c>
      <c r="Q1432">
        <f>IFERROR(_xludf.XLOOKUP($N1432,Base_Enderecos!$A:$A,Base_Enderecos!$C:$C,""),"")</f>
        <v/>
      </c>
      <c r="R1432">
        <f>IF(OR(ISNUMBER(SEARCH("HDD",$F1432)),ISNUMBER(SEARCH("MND",$F1432)),ISNUMBER(SEARCH("PEAD",$F1432)),ISNUMBER(SEARCH("Puxe",$J1432)),ISNUMBER(SEARCH("Apoio HDD",$F1432))),"MND",IF(OR(ISNUMBER(SEARCH("VCA",$F1432)),ISNUMBER(SEARCH("PVC",$F1432)),ISNUMBER(SEARCH("vca",$J1432)),ISNUMBER(SEARCH("Transformação",$J1432))),"VCA",IF(OR(ISNUMBER(SEARCH("crava",$F1432)),ISNUMBER(SEARCH("tubo cravado",$F1432)),ISNUMBER(SEARCH("shaft",$J1432)),ISNUMBER(SEARCH("concreto",$F1432))),"TUBO CRAVADO","")))</f>
        <v/>
      </c>
      <c r="T1432">
        <f>IF($A1432="","",TEXT($A1432,"yyyymm")&amp;"|"&amp;$C1432&amp;"|"&amp;$F1432&amp;"|"&amp;$N1432&amp;"|"&amp;$R1432)</f>
        <v/>
      </c>
    </row>
    <row r="1433" ht="11.55" customHeight="1">
      <c r="A1433" s="10" t="n">
        <v>46105</v>
      </c>
      <c r="B1433" s="7" t="inlineStr">
        <is>
          <t>Terça</t>
        </is>
      </c>
      <c r="C1433" s="7" t="inlineStr">
        <is>
          <t>Guindauto</t>
        </is>
      </c>
      <c r="D1433" s="7" t="n"/>
      <c r="E1433" s="7" t="inlineStr">
        <is>
          <t>Rodrigo</t>
        </is>
      </c>
      <c r="F1433" s="13" t="inlineStr">
        <is>
          <t>Rodrigo - Apoio as equipes</t>
        </is>
      </c>
      <c r="G1433" s="7" t="n"/>
      <c r="H1433" s="7" t="n"/>
      <c r="I1433" s="7" t="n"/>
      <c r="J1433" s="7" t="inlineStr">
        <is>
          <t>Guindauto</t>
        </is>
      </c>
      <c r="K1433" s="7" t="inlineStr">
        <is>
          <t>Apoio</t>
        </is>
      </c>
      <c r="L1433" s="16" t="inlineStr">
        <is>
          <t>PDS-Março(1).docx</t>
        </is>
      </c>
      <c r="M1433">
        <f>IF($A1433="","",TEXT($A1433,"mmmm/yyyy"))</f>
        <v/>
      </c>
      <c r="P1433">
        <f>IFERROR(_xludf.XLOOKUP($N1433,Base_Enderecos!$A:$A,Base_Enderecos!$B:$B,""),"")</f>
        <v/>
      </c>
      <c r="Q1433">
        <f>IFERROR(_xludf.XLOOKUP($N1433,Base_Enderecos!$A:$A,Base_Enderecos!$C:$C,""),"")</f>
        <v/>
      </c>
      <c r="R1433">
        <f>IF(OR(ISNUMBER(SEARCH("HDD",$F1433)),ISNUMBER(SEARCH("MND",$F1433)),ISNUMBER(SEARCH("PEAD",$F1433)),ISNUMBER(SEARCH("Puxe",$J1433)),ISNUMBER(SEARCH("Apoio HDD",$F1433))),"MND",IF(OR(ISNUMBER(SEARCH("VCA",$F1433)),ISNUMBER(SEARCH("PVC",$F1433)),ISNUMBER(SEARCH("vca",$J1433)),ISNUMBER(SEARCH("Transformação",$J1433))),"VCA",IF(OR(ISNUMBER(SEARCH("crava",$F1433)),ISNUMBER(SEARCH("tubo cravado",$F1433)),ISNUMBER(SEARCH("shaft",$J1433)),ISNUMBER(SEARCH("concreto",$F1433))),"TUBO CRAVADO","")))</f>
        <v/>
      </c>
      <c r="T1433">
        <f>IF($A1433="","",TEXT($A1433,"yyyymm")&amp;"|"&amp;$C1433&amp;"|"&amp;$F1433&amp;"|"&amp;$N1433&amp;"|"&amp;$R1433)</f>
        <v/>
      </c>
    </row>
    <row r="1434" ht="11.55" customHeight="1">
      <c r="A1434" s="10" t="n">
        <v>46105</v>
      </c>
      <c r="B1434" s="7" t="inlineStr">
        <is>
          <t>Terça</t>
        </is>
      </c>
      <c r="C1434" s="7" t="inlineStr">
        <is>
          <t>Guindauto</t>
        </is>
      </c>
      <c r="D1434" s="7" t="n"/>
      <c r="E1434" s="7" t="inlineStr">
        <is>
          <t>Marcio</t>
        </is>
      </c>
      <c r="F1434" s="13" t="inlineStr">
        <is>
          <t>Marcio - Apoio as equipes</t>
        </is>
      </c>
      <c r="G1434" s="7" t="n"/>
      <c r="H1434" s="7" t="n"/>
      <c r="I1434" s="7" t="n"/>
      <c r="J1434" s="7" t="inlineStr">
        <is>
          <t>Guindauto</t>
        </is>
      </c>
      <c r="K1434" s="7" t="inlineStr">
        <is>
          <t>Apoio</t>
        </is>
      </c>
      <c r="L1434" s="16" t="inlineStr">
        <is>
          <t>PDS-Março(1).docx</t>
        </is>
      </c>
      <c r="M1434">
        <f>IF($A1434="","",TEXT($A1434,"mmmm/yyyy"))</f>
        <v/>
      </c>
      <c r="P1434">
        <f>IFERROR(_xludf.XLOOKUP($N1434,Base_Enderecos!$A:$A,Base_Enderecos!$B:$B,""),"")</f>
        <v/>
      </c>
      <c r="Q1434">
        <f>IFERROR(_xludf.XLOOKUP($N1434,Base_Enderecos!$A:$A,Base_Enderecos!$C:$C,""),"")</f>
        <v/>
      </c>
      <c r="R1434">
        <f>IF(OR(ISNUMBER(SEARCH("HDD",$F1434)),ISNUMBER(SEARCH("MND",$F1434)),ISNUMBER(SEARCH("PEAD",$F1434)),ISNUMBER(SEARCH("Puxe",$J1434)),ISNUMBER(SEARCH("Apoio HDD",$F1434))),"MND",IF(OR(ISNUMBER(SEARCH("VCA",$F1434)),ISNUMBER(SEARCH("PVC",$F1434)),ISNUMBER(SEARCH("vca",$J1434)),ISNUMBER(SEARCH("Transformação",$J1434))),"VCA",IF(OR(ISNUMBER(SEARCH("crava",$F1434)),ISNUMBER(SEARCH("tubo cravado",$F1434)),ISNUMBER(SEARCH("shaft",$J1434)),ISNUMBER(SEARCH("concreto",$F1434))),"TUBO CRAVADO","")))</f>
        <v/>
      </c>
      <c r="T1434">
        <f>IF($A1434="","",TEXT($A1434,"yyyymm")&amp;"|"&amp;$C1434&amp;"|"&amp;$F1434&amp;"|"&amp;$N1434&amp;"|"&amp;$R1434)</f>
        <v/>
      </c>
    </row>
    <row r="1435" ht="11.55" customHeight="1">
      <c r="A1435" s="10" t="n">
        <v>46106</v>
      </c>
      <c r="B1435" s="7" t="inlineStr">
        <is>
          <t>Quarta</t>
        </is>
      </c>
      <c r="C1435" s="7" t="inlineStr">
        <is>
          <t>CTS CONCEIÇÃO</t>
        </is>
      </c>
      <c r="D1435" s="7" t="inlineStr">
        <is>
          <t>LEANDRO E SILVESTRE</t>
        </is>
      </c>
      <c r="E1435" s="7" t="inlineStr">
        <is>
          <t>GR Drill</t>
        </is>
      </c>
      <c r="F1435" s="13" t="inlineStr">
        <is>
          <t>Piloto e puxe entre PV 06 ao 09</t>
        </is>
      </c>
      <c r="G1435" s="7" t="inlineStr">
        <is>
          <t>06</t>
        </is>
      </c>
      <c r="H1435" s="7" t="n"/>
      <c r="I1435" s="7" t="inlineStr">
        <is>
          <t>06</t>
        </is>
      </c>
      <c r="J1435" s="7" t="inlineStr">
        <is>
          <t>Piloto e puxe</t>
        </is>
      </c>
      <c r="K1435" s="7" t="inlineStr">
        <is>
          <t>Planejamento</t>
        </is>
      </c>
      <c r="L1435" s="16" t="inlineStr">
        <is>
          <t>PDS-Março(1).docx</t>
        </is>
      </c>
      <c r="M1435">
        <f>IF($A1435="","",TEXT($A1435,"mmmm/yyyy"))</f>
        <v/>
      </c>
      <c r="P1435">
        <f>IFERROR(_xludf.XLOOKUP($N1435,Base_Enderecos!$A:$A,Base_Enderecos!$B:$B,""),"")</f>
        <v/>
      </c>
      <c r="Q1435">
        <f>IFERROR(_xludf.XLOOKUP($N1435,Base_Enderecos!$A:$A,Base_Enderecos!$C:$C,""),"")</f>
        <v/>
      </c>
      <c r="R1435">
        <f>IF(OR(ISNUMBER(SEARCH("HDD",$F1435)),ISNUMBER(SEARCH("MND",$F1435)),ISNUMBER(SEARCH("PEAD",$F1435)),ISNUMBER(SEARCH("Puxe",$J1435)),ISNUMBER(SEARCH("Apoio HDD",$F1435))),"MND",IF(OR(ISNUMBER(SEARCH("VCA",$F1435)),ISNUMBER(SEARCH("PVC",$F1435)),ISNUMBER(SEARCH("vca",$J1435)),ISNUMBER(SEARCH("Transformação",$J1435))),"VCA",IF(OR(ISNUMBER(SEARCH("crava",$F1435)),ISNUMBER(SEARCH("tubo cravado",$F1435)),ISNUMBER(SEARCH("shaft",$J1435)),ISNUMBER(SEARCH("concreto",$F1435))),"TUBO CRAVADO","")))</f>
        <v/>
      </c>
      <c r="T1435">
        <f>IF($A1435="","",TEXT($A1435,"yyyymm")&amp;"|"&amp;$C1435&amp;"|"&amp;$F1435&amp;"|"&amp;$N1435&amp;"|"&amp;$R1435)</f>
        <v/>
      </c>
    </row>
    <row r="1436" ht="11.55" customHeight="1">
      <c r="A1436" s="10" t="n">
        <v>46106</v>
      </c>
      <c r="B1436" s="7" t="inlineStr">
        <is>
          <t>Quarta</t>
        </is>
      </c>
      <c r="C1436" s="7" t="inlineStr">
        <is>
          <t>CTS CONCEIÇÃO</t>
        </is>
      </c>
      <c r="D1436" s="7" t="inlineStr">
        <is>
          <t>LEANDRO E SILVESTRE</t>
        </is>
      </c>
      <c r="E1436" s="7" t="inlineStr">
        <is>
          <t>Medeiros</t>
        </is>
      </c>
      <c r="F1436" s="13" t="inlineStr">
        <is>
          <t>Apoio HDD entre PV 06 ao 09</t>
        </is>
      </c>
      <c r="G1436" s="7" t="inlineStr">
        <is>
          <t>06</t>
        </is>
      </c>
      <c r="H1436" s="7" t="n"/>
      <c r="I1436" s="7" t="inlineStr">
        <is>
          <t>06</t>
        </is>
      </c>
      <c r="J1436" s="7" t="inlineStr">
        <is>
          <t>Apoio HDD</t>
        </is>
      </c>
      <c r="K1436" s="7" t="inlineStr">
        <is>
          <t>Planejamento</t>
        </is>
      </c>
      <c r="L1436" s="16" t="inlineStr">
        <is>
          <t>PDS-Março(1).docx</t>
        </is>
      </c>
      <c r="M1436">
        <f>IF($A1436="","",TEXT($A1436,"mmmm/yyyy"))</f>
        <v/>
      </c>
      <c r="P1436">
        <f>IFERROR(_xludf.XLOOKUP($N1436,Base_Enderecos!$A:$A,Base_Enderecos!$B:$B,""),"")</f>
        <v/>
      </c>
      <c r="Q1436">
        <f>IFERROR(_xludf.XLOOKUP($N1436,Base_Enderecos!$A:$A,Base_Enderecos!$C:$C,""),"")</f>
        <v/>
      </c>
      <c r="R1436">
        <f>IF(OR(ISNUMBER(SEARCH("HDD",$F1436)),ISNUMBER(SEARCH("MND",$F1436)),ISNUMBER(SEARCH("PEAD",$F1436)),ISNUMBER(SEARCH("Puxe",$J1436)),ISNUMBER(SEARCH("Apoio HDD",$F1436))),"MND",IF(OR(ISNUMBER(SEARCH("VCA",$F1436)),ISNUMBER(SEARCH("PVC",$F1436)),ISNUMBER(SEARCH("vca",$J1436)),ISNUMBER(SEARCH("Transformação",$J1436))),"VCA",IF(OR(ISNUMBER(SEARCH("crava",$F1436)),ISNUMBER(SEARCH("tubo cravado",$F1436)),ISNUMBER(SEARCH("shaft",$J1436)),ISNUMBER(SEARCH("concreto",$F1436))),"TUBO CRAVADO","")))</f>
        <v/>
      </c>
      <c r="T1436">
        <f>IF($A1436="","",TEXT($A1436,"yyyymm")&amp;"|"&amp;$C1436&amp;"|"&amp;$F1436&amp;"|"&amp;$N1436&amp;"|"&amp;$R1436)</f>
        <v/>
      </c>
    </row>
    <row r="1437" ht="11.55" customHeight="1">
      <c r="A1437" s="10" t="n">
        <v>46106</v>
      </c>
      <c r="B1437" s="7" t="inlineStr">
        <is>
          <t>Quarta</t>
        </is>
      </c>
      <c r="C1437" s="7" t="inlineStr">
        <is>
          <t>CTS CONCEIÇÃO</t>
        </is>
      </c>
      <c r="D1437" s="7" t="inlineStr">
        <is>
          <t>LEANDRO E SILVESTRE</t>
        </is>
      </c>
      <c r="E1437" s="7" t="inlineStr">
        <is>
          <t>Sergio</t>
        </is>
      </c>
      <c r="F1437" s="13" t="inlineStr">
        <is>
          <t>Shaft PV 09</t>
        </is>
      </c>
      <c r="G1437" s="7" t="inlineStr">
        <is>
          <t>09</t>
        </is>
      </c>
      <c r="H1437" s="7" t="n"/>
      <c r="I1437" s="7" t="inlineStr">
        <is>
          <t>09</t>
        </is>
      </c>
      <c r="J1437" s="7" t="inlineStr">
        <is>
          <t>Shaft</t>
        </is>
      </c>
      <c r="K1437" s="7" t="inlineStr">
        <is>
          <t>Planejamento</t>
        </is>
      </c>
      <c r="L1437" s="16" t="inlineStr">
        <is>
          <t>PDS-Março(1).docx</t>
        </is>
      </c>
      <c r="M1437">
        <f>IF($A1437="","",TEXT($A1437,"mmmm/yyyy"))</f>
        <v/>
      </c>
      <c r="P1437">
        <f>IFERROR(_xludf.XLOOKUP($N1437,Base_Enderecos!$A:$A,Base_Enderecos!$B:$B,""),"")</f>
        <v/>
      </c>
      <c r="Q1437">
        <f>IFERROR(_xludf.XLOOKUP($N1437,Base_Enderecos!$A:$A,Base_Enderecos!$C:$C,""),"")</f>
        <v/>
      </c>
      <c r="R1437">
        <f>IF(OR(ISNUMBER(SEARCH("HDD",$F1437)),ISNUMBER(SEARCH("MND",$F1437)),ISNUMBER(SEARCH("PEAD",$F1437)),ISNUMBER(SEARCH("Puxe",$J1437)),ISNUMBER(SEARCH("Apoio HDD",$F1437))),"MND",IF(OR(ISNUMBER(SEARCH("VCA",$F1437)),ISNUMBER(SEARCH("PVC",$F1437)),ISNUMBER(SEARCH("vca",$J1437)),ISNUMBER(SEARCH("Transformação",$J1437))),"VCA",IF(OR(ISNUMBER(SEARCH("crava",$F1437)),ISNUMBER(SEARCH("tubo cravado",$F1437)),ISNUMBER(SEARCH("shaft",$J1437)),ISNUMBER(SEARCH("concreto",$F1437))),"TUBO CRAVADO","")))</f>
        <v/>
      </c>
      <c r="T1437">
        <f>IF($A1437="","",TEXT($A1437,"yyyymm")&amp;"|"&amp;$C1437&amp;"|"&amp;$F1437&amp;"|"&amp;$N1437&amp;"|"&amp;$R1437)</f>
        <v/>
      </c>
    </row>
    <row r="1438" ht="11.55" customHeight="1">
      <c r="A1438" s="10" t="n">
        <v>46106</v>
      </c>
      <c r="B1438" s="7" t="inlineStr">
        <is>
          <t>Quarta</t>
        </is>
      </c>
      <c r="C1438" s="7" t="inlineStr">
        <is>
          <t>CTS CONCEIÇÃO</t>
        </is>
      </c>
      <c r="D1438" s="7" t="inlineStr">
        <is>
          <t>LEANDRO E SILVESTRE</t>
        </is>
      </c>
      <c r="E1438" s="7" t="inlineStr">
        <is>
          <t>Carlos</t>
        </is>
      </c>
      <c r="F1438" s="13" t="inlineStr">
        <is>
          <t>Shaft PV 10.2</t>
        </is>
      </c>
      <c r="G1438" s="7" t="inlineStr">
        <is>
          <t>10.2</t>
        </is>
      </c>
      <c r="H1438" s="7" t="n"/>
      <c r="I1438" s="7" t="inlineStr">
        <is>
          <t>10.2</t>
        </is>
      </c>
      <c r="J1438" s="7" t="inlineStr">
        <is>
          <t>Shaft</t>
        </is>
      </c>
      <c r="K1438" s="7" t="inlineStr">
        <is>
          <t>Planejamento</t>
        </is>
      </c>
      <c r="L1438" s="16" t="inlineStr">
        <is>
          <t>PDS-Março(1).docx</t>
        </is>
      </c>
      <c r="M1438">
        <f>IF($A1438="","",TEXT($A1438,"mmmm/yyyy"))</f>
        <v/>
      </c>
      <c r="P1438">
        <f>IFERROR(_xludf.XLOOKUP($N1438,Base_Enderecos!$A:$A,Base_Enderecos!$B:$B,""),"")</f>
        <v/>
      </c>
      <c r="Q1438">
        <f>IFERROR(_xludf.XLOOKUP($N1438,Base_Enderecos!$A:$A,Base_Enderecos!$C:$C,""),"")</f>
        <v/>
      </c>
      <c r="R1438">
        <f>IF(OR(ISNUMBER(SEARCH("HDD",$F1438)),ISNUMBER(SEARCH("MND",$F1438)),ISNUMBER(SEARCH("PEAD",$F1438)),ISNUMBER(SEARCH("Puxe",$J1438)),ISNUMBER(SEARCH("Apoio HDD",$F1438))),"MND",IF(OR(ISNUMBER(SEARCH("VCA",$F1438)),ISNUMBER(SEARCH("PVC",$F1438)),ISNUMBER(SEARCH("vca",$J1438)),ISNUMBER(SEARCH("Transformação",$J1438))),"VCA",IF(OR(ISNUMBER(SEARCH("crava",$F1438)),ISNUMBER(SEARCH("tubo cravado",$F1438)),ISNUMBER(SEARCH("shaft",$J1438)),ISNUMBER(SEARCH("concreto",$F1438))),"TUBO CRAVADO","")))</f>
        <v/>
      </c>
      <c r="T1438">
        <f>IF($A1438="","",TEXT($A1438,"yyyymm")&amp;"|"&amp;$C1438&amp;"|"&amp;$F1438&amp;"|"&amp;$N1438&amp;"|"&amp;$R1438)</f>
        <v/>
      </c>
    </row>
    <row r="1439" ht="11.55" customHeight="1">
      <c r="A1439" s="10" t="n">
        <v>46106</v>
      </c>
      <c r="B1439" s="7" t="inlineStr">
        <is>
          <t>Quarta</t>
        </is>
      </c>
      <c r="C1439" s="7" t="inlineStr">
        <is>
          <t>CTS CONCEIÇÃO</t>
        </is>
      </c>
      <c r="D1439" s="7" t="inlineStr">
        <is>
          <t>LEANDRO E SILVESTRE</t>
        </is>
      </c>
      <c r="E1439" s="7" t="inlineStr">
        <is>
          <t>Cidão</t>
        </is>
      </c>
      <c r="F1439" s="13" t="inlineStr">
        <is>
          <t>Transformação PV 04</t>
        </is>
      </c>
      <c r="G1439" s="7" t="inlineStr">
        <is>
          <t>04</t>
        </is>
      </c>
      <c r="H1439" s="7" t="n"/>
      <c r="I1439" s="7" t="inlineStr">
        <is>
          <t>04</t>
        </is>
      </c>
      <c r="J1439" s="7" t="inlineStr">
        <is>
          <t>Transformação</t>
        </is>
      </c>
      <c r="K1439" s="7" t="inlineStr">
        <is>
          <t>Planejamento</t>
        </is>
      </c>
      <c r="L1439" s="16" t="inlineStr">
        <is>
          <t>PDS-Março(1).docx</t>
        </is>
      </c>
      <c r="M1439">
        <f>IF($A1439="","",TEXT($A1439,"mmmm/yyyy"))</f>
        <v/>
      </c>
      <c r="P1439">
        <f>IFERROR(_xludf.XLOOKUP($N1439,Base_Enderecos!$A:$A,Base_Enderecos!$B:$B,""),"")</f>
        <v/>
      </c>
      <c r="Q1439">
        <f>IFERROR(_xludf.XLOOKUP($N1439,Base_Enderecos!$A:$A,Base_Enderecos!$C:$C,""),"")</f>
        <v/>
      </c>
      <c r="R1439">
        <f>IF(OR(ISNUMBER(SEARCH("HDD",$F1439)),ISNUMBER(SEARCH("MND",$F1439)),ISNUMBER(SEARCH("PEAD",$F1439)),ISNUMBER(SEARCH("Puxe",$J1439)),ISNUMBER(SEARCH("Apoio HDD",$F1439))),"MND",IF(OR(ISNUMBER(SEARCH("VCA",$F1439)),ISNUMBER(SEARCH("PVC",$F1439)),ISNUMBER(SEARCH("vca",$J1439)),ISNUMBER(SEARCH("Transformação",$J1439))),"VCA",IF(OR(ISNUMBER(SEARCH("crava",$F1439)),ISNUMBER(SEARCH("tubo cravado",$F1439)),ISNUMBER(SEARCH("shaft",$J1439)),ISNUMBER(SEARCH("concreto",$F1439))),"TUBO CRAVADO","")))</f>
        <v/>
      </c>
      <c r="T1439">
        <f>IF($A1439="","",TEXT($A1439,"yyyymm")&amp;"|"&amp;$C1439&amp;"|"&amp;$F1439&amp;"|"&amp;$N1439&amp;"|"&amp;$R1439)</f>
        <v/>
      </c>
    </row>
    <row r="1440" ht="11.55" customHeight="1">
      <c r="A1440" s="10" t="n">
        <v>46106</v>
      </c>
      <c r="B1440" s="7" t="inlineStr">
        <is>
          <t>Quarta</t>
        </is>
      </c>
      <c r="C1440" s="7" t="inlineStr">
        <is>
          <t>CTS CONCEIÇÃO</t>
        </is>
      </c>
      <c r="D1440" s="7" t="inlineStr">
        <is>
          <t>LEANDRO E SILVESTRE</t>
        </is>
      </c>
      <c r="E1440" s="7" t="inlineStr">
        <is>
          <t>Cesar</t>
        </is>
      </c>
      <c r="F1440" s="13" t="inlineStr">
        <is>
          <t>Shaft PV 10</t>
        </is>
      </c>
      <c r="G1440" s="7" t="inlineStr">
        <is>
          <t>10</t>
        </is>
      </c>
      <c r="H1440" s="7" t="n"/>
      <c r="I1440" s="7" t="inlineStr">
        <is>
          <t>10</t>
        </is>
      </c>
      <c r="J1440" s="7" t="inlineStr">
        <is>
          <t>Shaft</t>
        </is>
      </c>
      <c r="K1440" s="7" t="inlineStr">
        <is>
          <t>Planejamento</t>
        </is>
      </c>
      <c r="L1440" s="16" t="inlineStr">
        <is>
          <t>PDS-Março(1).docx</t>
        </is>
      </c>
      <c r="M1440">
        <f>IF($A1440="","",TEXT($A1440,"mmmm/yyyy"))</f>
        <v/>
      </c>
      <c r="P1440">
        <f>IFERROR(_xludf.XLOOKUP($N1440,Base_Enderecos!$A:$A,Base_Enderecos!$B:$B,""),"")</f>
        <v/>
      </c>
      <c r="Q1440">
        <f>IFERROR(_xludf.XLOOKUP($N1440,Base_Enderecos!$A:$A,Base_Enderecos!$C:$C,""),"")</f>
        <v/>
      </c>
      <c r="R1440">
        <f>IF(OR(ISNUMBER(SEARCH("HDD",$F1440)),ISNUMBER(SEARCH("MND",$F1440)),ISNUMBER(SEARCH("PEAD",$F1440)),ISNUMBER(SEARCH("Puxe",$J1440)),ISNUMBER(SEARCH("Apoio HDD",$F1440))),"MND",IF(OR(ISNUMBER(SEARCH("VCA",$F1440)),ISNUMBER(SEARCH("PVC",$F1440)),ISNUMBER(SEARCH("vca",$J1440)),ISNUMBER(SEARCH("Transformação",$J1440))),"VCA",IF(OR(ISNUMBER(SEARCH("crava",$F1440)),ISNUMBER(SEARCH("tubo cravado",$F1440)),ISNUMBER(SEARCH("shaft",$J1440)),ISNUMBER(SEARCH("concreto",$F1440))),"TUBO CRAVADO","")))</f>
        <v/>
      </c>
      <c r="T1440">
        <f>IF($A1440="","",TEXT($A1440,"yyyymm")&amp;"|"&amp;$C1440&amp;"|"&amp;$F1440&amp;"|"&amp;$N1440&amp;"|"&amp;$R1440)</f>
        <v/>
      </c>
    </row>
    <row r="1441" ht="11.55" customHeight="1">
      <c r="A1441" s="10" t="n">
        <v>46106</v>
      </c>
      <c r="B1441" s="7" t="inlineStr">
        <is>
          <t>Quarta</t>
        </is>
      </c>
      <c r="C1441" s="7" t="inlineStr">
        <is>
          <t>CTS CONCEIÇÃO</t>
        </is>
      </c>
      <c r="D1441" s="7" t="inlineStr">
        <is>
          <t>LEANDRO E SILVESTRE</t>
        </is>
      </c>
      <c r="E1441" s="7" t="inlineStr">
        <is>
          <t>Edivando</t>
        </is>
      </c>
      <c r="F1441" s="13" t="inlineStr">
        <is>
          <t>Transformação PV 02</t>
        </is>
      </c>
      <c r="G1441" s="7" t="inlineStr">
        <is>
          <t>02</t>
        </is>
      </c>
      <c r="H1441" s="7" t="n"/>
      <c r="I1441" s="7" t="inlineStr">
        <is>
          <t>02</t>
        </is>
      </c>
      <c r="J1441" s="7" t="inlineStr">
        <is>
          <t>Transformação</t>
        </is>
      </c>
      <c r="K1441" s="7" t="inlineStr">
        <is>
          <t>Planejamento</t>
        </is>
      </c>
      <c r="L1441" s="16" t="inlineStr">
        <is>
          <t>PDS-Março(1).docx</t>
        </is>
      </c>
      <c r="M1441">
        <f>IF($A1441="","",TEXT($A1441,"mmmm/yyyy"))</f>
        <v/>
      </c>
      <c r="P1441">
        <f>IFERROR(_xludf.XLOOKUP($N1441,Base_Enderecos!$A:$A,Base_Enderecos!$B:$B,""),"")</f>
        <v/>
      </c>
      <c r="Q1441">
        <f>IFERROR(_xludf.XLOOKUP($N1441,Base_Enderecos!$A:$A,Base_Enderecos!$C:$C,""),"")</f>
        <v/>
      </c>
      <c r="R1441">
        <f>IF(OR(ISNUMBER(SEARCH("HDD",$F1441)),ISNUMBER(SEARCH("MND",$F1441)),ISNUMBER(SEARCH("PEAD",$F1441)),ISNUMBER(SEARCH("Puxe",$J1441)),ISNUMBER(SEARCH("Apoio HDD",$F1441))),"MND",IF(OR(ISNUMBER(SEARCH("VCA",$F1441)),ISNUMBER(SEARCH("PVC",$F1441)),ISNUMBER(SEARCH("vca",$J1441)),ISNUMBER(SEARCH("Transformação",$J1441))),"VCA",IF(OR(ISNUMBER(SEARCH("crava",$F1441)),ISNUMBER(SEARCH("tubo cravado",$F1441)),ISNUMBER(SEARCH("shaft",$J1441)),ISNUMBER(SEARCH("concreto",$F1441))),"TUBO CRAVADO","")))</f>
        <v/>
      </c>
      <c r="T1441">
        <f>IF($A1441="","",TEXT($A1441,"yyyymm")&amp;"|"&amp;$C1441&amp;"|"&amp;$F1441&amp;"|"&amp;$N1441&amp;"|"&amp;$R1441)</f>
        <v/>
      </c>
    </row>
    <row r="1442" ht="11.55" customHeight="1">
      <c r="A1442" s="10" t="n">
        <v>46106</v>
      </c>
      <c r="B1442" s="7" t="inlineStr">
        <is>
          <t>Quarta</t>
        </is>
      </c>
      <c r="C1442" s="7" t="inlineStr">
        <is>
          <t>CT ÁGUA VERMELHA M.D.</t>
        </is>
      </c>
      <c r="D1442" s="7" t="inlineStr">
        <is>
          <t>FABIO E VALMIR</t>
        </is>
      </c>
      <c r="E1442" s="7" t="inlineStr">
        <is>
          <t>Johnatan</t>
        </is>
      </c>
      <c r="F1442" s="13" t="inlineStr">
        <is>
          <t>Transformação PVD 07</t>
        </is>
      </c>
      <c r="G1442" s="7" t="inlineStr">
        <is>
          <t>07</t>
        </is>
      </c>
      <c r="H1442" s="7" t="n"/>
      <c r="I1442" s="7" t="inlineStr">
        <is>
          <t>07</t>
        </is>
      </c>
      <c r="J1442" s="7" t="inlineStr">
        <is>
          <t>Transformação</t>
        </is>
      </c>
      <c r="K1442" s="7" t="inlineStr">
        <is>
          <t>Planejamento</t>
        </is>
      </c>
      <c r="L1442" s="16" t="inlineStr">
        <is>
          <t>PDS-Março(1).docx</t>
        </is>
      </c>
      <c r="M1442">
        <f>IF($A1442="","",TEXT($A1442,"mmmm/yyyy"))</f>
        <v/>
      </c>
      <c r="P1442">
        <f>IFERROR(_xludf.XLOOKUP($N1442,Base_Enderecos!$A:$A,Base_Enderecos!$B:$B,""),"")</f>
        <v/>
      </c>
      <c r="Q1442">
        <f>IFERROR(_xludf.XLOOKUP($N1442,Base_Enderecos!$A:$A,Base_Enderecos!$C:$C,""),"")</f>
        <v/>
      </c>
      <c r="R1442">
        <f>IF(OR(ISNUMBER(SEARCH("HDD",$F1442)),ISNUMBER(SEARCH("MND",$F1442)),ISNUMBER(SEARCH("PEAD",$F1442)),ISNUMBER(SEARCH("Puxe",$J1442)),ISNUMBER(SEARCH("Apoio HDD",$F1442))),"MND",IF(OR(ISNUMBER(SEARCH("VCA",$F1442)),ISNUMBER(SEARCH("PVC",$F1442)),ISNUMBER(SEARCH("vca",$J1442)),ISNUMBER(SEARCH("Transformação",$J1442))),"VCA",IF(OR(ISNUMBER(SEARCH("crava",$F1442)),ISNUMBER(SEARCH("tubo cravado",$F1442)),ISNUMBER(SEARCH("shaft",$J1442)),ISNUMBER(SEARCH("concreto",$F1442))),"TUBO CRAVADO","")))</f>
        <v/>
      </c>
      <c r="T1442">
        <f>IF($A1442="","",TEXT($A1442,"yyyymm")&amp;"|"&amp;$C1442&amp;"|"&amp;$F1442&amp;"|"&amp;$N1442&amp;"|"&amp;$R1442)</f>
        <v/>
      </c>
    </row>
    <row r="1443" ht="11.55" customHeight="1">
      <c r="A1443" s="10" t="n">
        <v>46106</v>
      </c>
      <c r="B1443" s="7" t="inlineStr">
        <is>
          <t>Quarta</t>
        </is>
      </c>
      <c r="C1443" s="7" t="inlineStr">
        <is>
          <t>CT ÁGUA VERMELHA M.D.</t>
        </is>
      </c>
      <c r="D1443" s="7" t="inlineStr">
        <is>
          <t>FABIO E VALMIR</t>
        </is>
      </c>
      <c r="E1443" s="7" t="inlineStr">
        <is>
          <t>Antônio</t>
        </is>
      </c>
      <c r="F1443" s="13" t="inlineStr">
        <is>
          <t>Transformação PVD 16</t>
        </is>
      </c>
      <c r="G1443" s="7" t="inlineStr">
        <is>
          <t>16</t>
        </is>
      </c>
      <c r="H1443" s="7" t="n"/>
      <c r="I1443" s="7" t="inlineStr">
        <is>
          <t>16</t>
        </is>
      </c>
      <c r="J1443" s="7" t="inlineStr">
        <is>
          <t>Transformação</t>
        </is>
      </c>
      <c r="K1443" s="7" t="inlineStr">
        <is>
          <t>Planejamento</t>
        </is>
      </c>
      <c r="L1443" s="16" t="inlineStr">
        <is>
          <t>PDS-Março(1).docx</t>
        </is>
      </c>
      <c r="M1443">
        <f>IF($A1443="","",TEXT($A1443,"mmmm/yyyy"))</f>
        <v/>
      </c>
      <c r="P1443">
        <f>IFERROR(_xludf.XLOOKUP($N1443,Base_Enderecos!$A:$A,Base_Enderecos!$B:$B,""),"")</f>
        <v/>
      </c>
      <c r="Q1443">
        <f>IFERROR(_xludf.XLOOKUP($N1443,Base_Enderecos!$A:$A,Base_Enderecos!$C:$C,""),"")</f>
        <v/>
      </c>
      <c r="R1443">
        <f>IF(OR(ISNUMBER(SEARCH("HDD",$F1443)),ISNUMBER(SEARCH("MND",$F1443)),ISNUMBER(SEARCH("PEAD",$F1443)),ISNUMBER(SEARCH("Puxe",$J1443)),ISNUMBER(SEARCH("Apoio HDD",$F1443))),"MND",IF(OR(ISNUMBER(SEARCH("VCA",$F1443)),ISNUMBER(SEARCH("PVC",$F1443)),ISNUMBER(SEARCH("vca",$J1443)),ISNUMBER(SEARCH("Transformação",$J1443))),"VCA",IF(OR(ISNUMBER(SEARCH("crava",$F1443)),ISNUMBER(SEARCH("tubo cravado",$F1443)),ISNUMBER(SEARCH("shaft",$J1443)),ISNUMBER(SEARCH("concreto",$F1443))),"TUBO CRAVADO","")))</f>
        <v/>
      </c>
      <c r="T1443">
        <f>IF($A1443="","",TEXT($A1443,"yyyymm")&amp;"|"&amp;$C1443&amp;"|"&amp;$F1443&amp;"|"&amp;$N1443&amp;"|"&amp;$R1443)</f>
        <v/>
      </c>
    </row>
    <row r="1444" ht="11.55" customHeight="1">
      <c r="A1444" s="10" t="n">
        <v>46106</v>
      </c>
      <c r="B1444" s="7" t="inlineStr">
        <is>
          <t>Quarta</t>
        </is>
      </c>
      <c r="C1444" s="7" t="inlineStr">
        <is>
          <t>CT ÁGUA VERMELHA M.D.</t>
        </is>
      </c>
      <c r="D1444" s="7" t="inlineStr">
        <is>
          <t>FABIO E VALMIR</t>
        </is>
      </c>
      <c r="E1444" s="7" t="inlineStr">
        <is>
          <t>Marcelo</t>
        </is>
      </c>
      <c r="F1444" s="13" t="inlineStr">
        <is>
          <t>Transformação PVD 10</t>
        </is>
      </c>
      <c r="G1444" s="7" t="inlineStr">
        <is>
          <t>10</t>
        </is>
      </c>
      <c r="H1444" s="7" t="n"/>
      <c r="I1444" s="7" t="inlineStr">
        <is>
          <t>10</t>
        </is>
      </c>
      <c r="J1444" s="7" t="inlineStr">
        <is>
          <t>Transformação</t>
        </is>
      </c>
      <c r="K1444" s="7" t="inlineStr">
        <is>
          <t>Planejamento</t>
        </is>
      </c>
      <c r="L1444" s="16" t="inlineStr">
        <is>
          <t>PDS-Março(1).docx</t>
        </is>
      </c>
      <c r="M1444">
        <f>IF($A1444="","",TEXT($A1444,"mmmm/yyyy"))</f>
        <v/>
      </c>
      <c r="P1444">
        <f>IFERROR(_xludf.XLOOKUP($N1444,Base_Enderecos!$A:$A,Base_Enderecos!$B:$B,""),"")</f>
        <v/>
      </c>
      <c r="Q1444">
        <f>IFERROR(_xludf.XLOOKUP($N1444,Base_Enderecos!$A:$A,Base_Enderecos!$C:$C,""),"")</f>
        <v/>
      </c>
      <c r="R1444">
        <f>IF(OR(ISNUMBER(SEARCH("HDD",$F1444)),ISNUMBER(SEARCH("MND",$F1444)),ISNUMBER(SEARCH("PEAD",$F1444)),ISNUMBER(SEARCH("Puxe",$J1444)),ISNUMBER(SEARCH("Apoio HDD",$F1444))),"MND",IF(OR(ISNUMBER(SEARCH("VCA",$F1444)),ISNUMBER(SEARCH("PVC",$F1444)),ISNUMBER(SEARCH("vca",$J1444)),ISNUMBER(SEARCH("Transformação",$J1444))),"VCA",IF(OR(ISNUMBER(SEARCH("crava",$F1444)),ISNUMBER(SEARCH("tubo cravado",$F1444)),ISNUMBER(SEARCH("shaft",$J1444)),ISNUMBER(SEARCH("concreto",$F1444))),"TUBO CRAVADO","")))</f>
        <v/>
      </c>
      <c r="T1444">
        <f>IF($A1444="","",TEXT($A1444,"yyyymm")&amp;"|"&amp;$C1444&amp;"|"&amp;$F1444&amp;"|"&amp;$N1444&amp;"|"&amp;$R1444)</f>
        <v/>
      </c>
    </row>
    <row r="1445" ht="11.55" customHeight="1">
      <c r="A1445" s="10" t="n">
        <v>46106</v>
      </c>
      <c r="B1445" s="7" t="inlineStr">
        <is>
          <t>Quarta</t>
        </is>
      </c>
      <c r="C1445" s="7" t="inlineStr">
        <is>
          <t>CT ÁGUA VERMELHA M.D.</t>
        </is>
      </c>
      <c r="D1445" s="7" t="inlineStr">
        <is>
          <t>FABIO E VALMIR</t>
        </is>
      </c>
      <c r="E1445" s="7" t="inlineStr">
        <is>
          <t>Claudinei</t>
        </is>
      </c>
      <c r="F1445" s="13" t="inlineStr">
        <is>
          <t>Apoio Casa</t>
        </is>
      </c>
      <c r="G1445" s="7" t="n"/>
      <c r="H1445" s="7" t="n"/>
      <c r="I1445" s="7" t="n"/>
      <c r="J1445" s="7" t="n"/>
      <c r="K1445" s="7" t="inlineStr">
        <is>
          <t>Planejamento</t>
        </is>
      </c>
      <c r="L1445" s="16" t="inlineStr">
        <is>
          <t>PDS-Março(1).docx</t>
        </is>
      </c>
      <c r="M1445">
        <f>IF($A1445="","",TEXT($A1445,"mmmm/yyyy"))</f>
        <v/>
      </c>
      <c r="P1445">
        <f>IFERROR(_xludf.XLOOKUP($N1445,Base_Enderecos!$A:$A,Base_Enderecos!$B:$B,""),"")</f>
        <v/>
      </c>
      <c r="Q1445">
        <f>IFERROR(_xludf.XLOOKUP($N1445,Base_Enderecos!$A:$A,Base_Enderecos!$C:$C,""),"")</f>
        <v/>
      </c>
      <c r="R1445">
        <f>IF(OR(ISNUMBER(SEARCH("HDD",$F1445)),ISNUMBER(SEARCH("MND",$F1445)),ISNUMBER(SEARCH("PEAD",$F1445)),ISNUMBER(SEARCH("Puxe",$J1445)),ISNUMBER(SEARCH("Apoio HDD",$F1445))),"MND",IF(OR(ISNUMBER(SEARCH("VCA",$F1445)),ISNUMBER(SEARCH("PVC",$F1445)),ISNUMBER(SEARCH("vca",$J1445)),ISNUMBER(SEARCH("Transformação",$J1445))),"VCA",IF(OR(ISNUMBER(SEARCH("crava",$F1445)),ISNUMBER(SEARCH("tubo cravado",$F1445)),ISNUMBER(SEARCH("shaft",$J1445)),ISNUMBER(SEARCH("concreto",$F1445))),"TUBO CRAVADO","")))</f>
        <v/>
      </c>
      <c r="T1445">
        <f>IF($A1445="","",TEXT($A1445,"yyyymm")&amp;"|"&amp;$C1445&amp;"|"&amp;$F1445&amp;"|"&amp;$N1445&amp;"|"&amp;$R1445)</f>
        <v/>
      </c>
    </row>
    <row r="1446" ht="11.55" customHeight="1">
      <c r="A1446" s="10" t="n">
        <v>46106</v>
      </c>
      <c r="B1446" s="7" t="inlineStr">
        <is>
          <t>Quarta</t>
        </is>
      </c>
      <c r="C1446" s="7" t="inlineStr">
        <is>
          <t>CT ÁGUA VERMELHA M.E.</t>
        </is>
      </c>
      <c r="D1446" s="7" t="inlineStr">
        <is>
          <t>FABIO E VALMIR</t>
        </is>
      </c>
      <c r="E1446" s="7" t="inlineStr">
        <is>
          <t>Higor</t>
        </is>
      </c>
      <c r="F1446" s="13" t="inlineStr">
        <is>
          <t>Interligação PVE 16</t>
        </is>
      </c>
      <c r="G1446" s="7" t="inlineStr">
        <is>
          <t>16</t>
        </is>
      </c>
      <c r="H1446" s="7" t="n"/>
      <c r="I1446" s="7" t="inlineStr">
        <is>
          <t>16</t>
        </is>
      </c>
      <c r="J1446" s="7" t="inlineStr">
        <is>
          <t>Interligação</t>
        </is>
      </c>
      <c r="K1446" s="7" t="inlineStr">
        <is>
          <t>Planejamento</t>
        </is>
      </c>
      <c r="L1446" s="16" t="inlineStr">
        <is>
          <t>PDS-Março(1).docx</t>
        </is>
      </c>
      <c r="M1446">
        <f>IF($A1446="","",TEXT($A1446,"mmmm/yyyy"))</f>
        <v/>
      </c>
      <c r="P1446">
        <f>IFERROR(_xludf.XLOOKUP($N1446,Base_Enderecos!$A:$A,Base_Enderecos!$B:$B,""),"")</f>
        <v/>
      </c>
      <c r="Q1446">
        <f>IFERROR(_xludf.XLOOKUP($N1446,Base_Enderecos!$A:$A,Base_Enderecos!$C:$C,""),"")</f>
        <v/>
      </c>
      <c r="R1446">
        <f>IF(OR(ISNUMBER(SEARCH("HDD",$F1446)),ISNUMBER(SEARCH("MND",$F1446)),ISNUMBER(SEARCH("PEAD",$F1446)),ISNUMBER(SEARCH("Puxe",$J1446)),ISNUMBER(SEARCH("Apoio HDD",$F1446))),"MND",IF(OR(ISNUMBER(SEARCH("VCA",$F1446)),ISNUMBER(SEARCH("PVC",$F1446)),ISNUMBER(SEARCH("vca",$J1446)),ISNUMBER(SEARCH("Transformação",$J1446))),"VCA",IF(OR(ISNUMBER(SEARCH("crava",$F1446)),ISNUMBER(SEARCH("tubo cravado",$F1446)),ISNUMBER(SEARCH("shaft",$J1446)),ISNUMBER(SEARCH("concreto",$F1446))),"TUBO CRAVADO","")))</f>
        <v/>
      </c>
      <c r="T1446">
        <f>IF($A1446="","",TEXT($A1446,"yyyymm")&amp;"|"&amp;$C1446&amp;"|"&amp;$F1446&amp;"|"&amp;$N1446&amp;"|"&amp;$R1446)</f>
        <v/>
      </c>
    </row>
    <row r="1447" ht="11.55" customHeight="1">
      <c r="A1447" s="10" t="n">
        <v>46106</v>
      </c>
      <c r="B1447" s="7" t="inlineStr">
        <is>
          <t>Quarta</t>
        </is>
      </c>
      <c r="C1447" s="7" t="inlineStr">
        <is>
          <t>RCE FCO. SOUTO MAIOR</t>
        </is>
      </c>
      <c r="D1447" s="7" t="inlineStr">
        <is>
          <t>SILVESTRE</t>
        </is>
      </c>
      <c r="E1447" s="7" t="inlineStr">
        <is>
          <t>Valter</t>
        </is>
      </c>
      <c r="F1447" s="13" t="inlineStr">
        <is>
          <t>VCA e Ligações – Rua Canto da Serra</t>
        </is>
      </c>
      <c r="G1447" s="7" t="n"/>
      <c r="H1447" s="7" t="n"/>
      <c r="I1447" s="7" t="n"/>
      <c r="J1447" s="7" t="inlineStr">
        <is>
          <t>VCA</t>
        </is>
      </c>
      <c r="K1447" s="7" t="inlineStr">
        <is>
          <t>Planejamento</t>
        </is>
      </c>
      <c r="L1447" s="16" t="inlineStr">
        <is>
          <t>PDS-Março(1).docx</t>
        </is>
      </c>
      <c r="M1447">
        <f>IF($A1447="","",TEXT($A1447,"mmmm/yyyy"))</f>
        <v/>
      </c>
      <c r="P1447">
        <f>IFERROR(_xludf.XLOOKUP($N1447,Base_Enderecos!$A:$A,Base_Enderecos!$B:$B,""),"")</f>
        <v/>
      </c>
      <c r="Q1447">
        <f>IFERROR(_xludf.XLOOKUP($N1447,Base_Enderecos!$A:$A,Base_Enderecos!$C:$C,""),"")</f>
        <v/>
      </c>
      <c r="R1447">
        <f>IF(OR(ISNUMBER(SEARCH("HDD",$F1447)),ISNUMBER(SEARCH("MND",$F1447)),ISNUMBER(SEARCH("PEAD",$F1447)),ISNUMBER(SEARCH("Puxe",$J1447)),ISNUMBER(SEARCH("Apoio HDD",$F1447))),"MND",IF(OR(ISNUMBER(SEARCH("VCA",$F1447)),ISNUMBER(SEARCH("PVC",$F1447)),ISNUMBER(SEARCH("vca",$J1447)),ISNUMBER(SEARCH("Transformação",$J1447))),"VCA",IF(OR(ISNUMBER(SEARCH("crava",$F1447)),ISNUMBER(SEARCH("tubo cravado",$F1447)),ISNUMBER(SEARCH("shaft",$J1447)),ISNUMBER(SEARCH("concreto",$F1447))),"TUBO CRAVADO","")))</f>
        <v/>
      </c>
      <c r="T1447">
        <f>IF($A1447="","",TEXT($A1447,"yyyymm")&amp;"|"&amp;$C1447&amp;"|"&amp;$F1447&amp;"|"&amp;$N1447&amp;"|"&amp;$R1447)</f>
        <v/>
      </c>
    </row>
    <row r="1448" ht="11.55" customHeight="1">
      <c r="A1448" s="10" t="n">
        <v>46106</v>
      </c>
      <c r="B1448" s="7" t="inlineStr">
        <is>
          <t>Quarta</t>
        </is>
      </c>
      <c r="C1448" s="7" t="inlineStr">
        <is>
          <t>RCE FCO. SOUTO MAIOR</t>
        </is>
      </c>
      <c r="D1448" s="7" t="inlineStr">
        <is>
          <t>SILVESTRE</t>
        </is>
      </c>
      <c r="E1448" s="7" t="inlineStr">
        <is>
          <t>Ricardo</t>
        </is>
      </c>
      <c r="F1448" s="13" t="inlineStr">
        <is>
          <t>VCA e Ligações – Rua Canto da Serra</t>
        </is>
      </c>
      <c r="G1448" s="7" t="n"/>
      <c r="H1448" s="7" t="n"/>
      <c r="I1448" s="7" t="n"/>
      <c r="J1448" s="7" t="inlineStr">
        <is>
          <t>VCA</t>
        </is>
      </c>
      <c r="K1448" s="7" t="inlineStr">
        <is>
          <t>Planejamento</t>
        </is>
      </c>
      <c r="L1448" s="16" t="inlineStr">
        <is>
          <t>PDS-Março(1).docx</t>
        </is>
      </c>
      <c r="M1448">
        <f>IF($A1448="","",TEXT($A1448,"mmmm/yyyy"))</f>
        <v/>
      </c>
      <c r="P1448">
        <f>IFERROR(_xludf.XLOOKUP($N1448,Base_Enderecos!$A:$A,Base_Enderecos!$B:$B,""),"")</f>
        <v/>
      </c>
      <c r="Q1448">
        <f>IFERROR(_xludf.XLOOKUP($N1448,Base_Enderecos!$A:$A,Base_Enderecos!$C:$C,""),"")</f>
        <v/>
      </c>
      <c r="R1448">
        <f>IF(OR(ISNUMBER(SEARCH("HDD",$F1448)),ISNUMBER(SEARCH("MND",$F1448)),ISNUMBER(SEARCH("PEAD",$F1448)),ISNUMBER(SEARCH("Puxe",$J1448)),ISNUMBER(SEARCH("Apoio HDD",$F1448))),"MND",IF(OR(ISNUMBER(SEARCH("VCA",$F1448)),ISNUMBER(SEARCH("PVC",$F1448)),ISNUMBER(SEARCH("vca",$J1448)),ISNUMBER(SEARCH("Transformação",$J1448))),"VCA",IF(OR(ISNUMBER(SEARCH("crava",$F1448)),ISNUMBER(SEARCH("tubo cravado",$F1448)),ISNUMBER(SEARCH("shaft",$J1448)),ISNUMBER(SEARCH("concreto",$F1448))),"TUBO CRAVADO","")))</f>
        <v/>
      </c>
      <c r="T1448">
        <f>IF($A1448="","",TEXT($A1448,"yyyymm")&amp;"|"&amp;$C1448&amp;"|"&amp;$F1448&amp;"|"&amp;$N1448&amp;"|"&amp;$R1448)</f>
        <v/>
      </c>
    </row>
    <row r="1449" ht="11.55" customHeight="1">
      <c r="A1449" s="10" t="n">
        <v>46106</v>
      </c>
      <c r="B1449" s="7" t="inlineStr">
        <is>
          <t>Quarta</t>
        </is>
      </c>
      <c r="C1449" s="7" t="inlineStr">
        <is>
          <t>CTS LUIS BOTELHO MOURÃO</t>
        </is>
      </c>
      <c r="D1449" s="7" t="inlineStr">
        <is>
          <t>ROBSON</t>
        </is>
      </c>
      <c r="E1449" s="7" t="inlineStr">
        <is>
          <t>Marcio</t>
        </is>
      </c>
      <c r="F1449" s="13" t="inlineStr">
        <is>
          <t>Shaft PV 06</t>
        </is>
      </c>
      <c r="G1449" s="7" t="inlineStr">
        <is>
          <t>06</t>
        </is>
      </c>
      <c r="H1449" s="7" t="n"/>
      <c r="I1449" s="7" t="inlineStr">
        <is>
          <t>06</t>
        </is>
      </c>
      <c r="J1449" s="7" t="inlineStr">
        <is>
          <t>Shaft</t>
        </is>
      </c>
      <c r="K1449" s="7" t="inlineStr">
        <is>
          <t>Planejamento</t>
        </is>
      </c>
      <c r="L1449" s="16" t="inlineStr">
        <is>
          <t>PDS-Março(1).docx</t>
        </is>
      </c>
      <c r="M1449">
        <f>IF($A1449="","",TEXT($A1449,"mmmm/yyyy"))</f>
        <v/>
      </c>
      <c r="P1449">
        <f>IFERROR(_xludf.XLOOKUP($N1449,Base_Enderecos!$A:$A,Base_Enderecos!$B:$B,""),"")</f>
        <v/>
      </c>
      <c r="Q1449">
        <f>IFERROR(_xludf.XLOOKUP($N1449,Base_Enderecos!$A:$A,Base_Enderecos!$C:$C,""),"")</f>
        <v/>
      </c>
      <c r="R1449">
        <f>IF(OR(ISNUMBER(SEARCH("HDD",$F1449)),ISNUMBER(SEARCH("MND",$F1449)),ISNUMBER(SEARCH("PEAD",$F1449)),ISNUMBER(SEARCH("Puxe",$J1449)),ISNUMBER(SEARCH("Apoio HDD",$F1449))),"MND",IF(OR(ISNUMBER(SEARCH("VCA",$F1449)),ISNUMBER(SEARCH("PVC",$F1449)),ISNUMBER(SEARCH("vca",$J1449)),ISNUMBER(SEARCH("Transformação",$J1449))),"VCA",IF(OR(ISNUMBER(SEARCH("crava",$F1449)),ISNUMBER(SEARCH("tubo cravado",$F1449)),ISNUMBER(SEARCH("shaft",$J1449)),ISNUMBER(SEARCH("concreto",$F1449))),"TUBO CRAVADO","")))</f>
        <v/>
      </c>
      <c r="T1449">
        <f>IF($A1449="","",TEXT($A1449,"yyyymm")&amp;"|"&amp;$C1449&amp;"|"&amp;$F1449&amp;"|"&amp;$N1449&amp;"|"&amp;$R1449)</f>
        <v/>
      </c>
    </row>
    <row r="1450" ht="11.55" customHeight="1">
      <c r="A1450" s="10" t="n">
        <v>46106</v>
      </c>
      <c r="B1450" s="7" t="inlineStr">
        <is>
          <t>Quarta</t>
        </is>
      </c>
      <c r="C1450" s="7" t="inlineStr">
        <is>
          <t>CTS LUIS BOTELHO MOURÃO</t>
        </is>
      </c>
      <c r="D1450" s="7" t="inlineStr">
        <is>
          <t>ROBSON</t>
        </is>
      </c>
      <c r="E1450" s="7" t="inlineStr">
        <is>
          <t>Bruno</t>
        </is>
      </c>
      <c r="F1450" s="13" t="inlineStr">
        <is>
          <t>Shaft PV 04</t>
        </is>
      </c>
      <c r="G1450" s="7" t="inlineStr">
        <is>
          <t>04</t>
        </is>
      </c>
      <c r="H1450" s="7" t="n"/>
      <c r="I1450" s="7" t="inlineStr">
        <is>
          <t>04</t>
        </is>
      </c>
      <c r="J1450" s="7" t="inlineStr">
        <is>
          <t>Shaft</t>
        </is>
      </c>
      <c r="K1450" s="7" t="inlineStr">
        <is>
          <t>Planejamento</t>
        </is>
      </c>
      <c r="L1450" s="16" t="inlineStr">
        <is>
          <t>PDS-Março(1).docx</t>
        </is>
      </c>
      <c r="M1450">
        <f>IF($A1450="","",TEXT($A1450,"mmmm/yyyy"))</f>
        <v/>
      </c>
      <c r="P1450">
        <f>IFERROR(_xludf.XLOOKUP($N1450,Base_Enderecos!$A:$A,Base_Enderecos!$B:$B,""),"")</f>
        <v/>
      </c>
      <c r="Q1450">
        <f>IFERROR(_xludf.XLOOKUP($N1450,Base_Enderecos!$A:$A,Base_Enderecos!$C:$C,""),"")</f>
        <v/>
      </c>
      <c r="R1450">
        <f>IF(OR(ISNUMBER(SEARCH("HDD",$F1450)),ISNUMBER(SEARCH("MND",$F1450)),ISNUMBER(SEARCH("PEAD",$F1450)),ISNUMBER(SEARCH("Puxe",$J1450)),ISNUMBER(SEARCH("Apoio HDD",$F1450))),"MND",IF(OR(ISNUMBER(SEARCH("VCA",$F1450)),ISNUMBER(SEARCH("PVC",$F1450)),ISNUMBER(SEARCH("vca",$J1450)),ISNUMBER(SEARCH("Transformação",$J1450))),"VCA",IF(OR(ISNUMBER(SEARCH("crava",$F1450)),ISNUMBER(SEARCH("tubo cravado",$F1450)),ISNUMBER(SEARCH("shaft",$J1450)),ISNUMBER(SEARCH("concreto",$F1450))),"TUBO CRAVADO","")))</f>
        <v/>
      </c>
      <c r="T1450">
        <f>IF($A1450="","",TEXT($A1450,"yyyymm")&amp;"|"&amp;$C1450&amp;"|"&amp;$F1450&amp;"|"&amp;$N1450&amp;"|"&amp;$R1450)</f>
        <v/>
      </c>
    </row>
    <row r="1451" ht="11.55" customHeight="1">
      <c r="A1451" s="10" t="n">
        <v>46106</v>
      </c>
      <c r="B1451" s="7" t="inlineStr">
        <is>
          <t>Quarta</t>
        </is>
      </c>
      <c r="C1451" s="7" t="inlineStr">
        <is>
          <t>Vacal</t>
        </is>
      </c>
      <c r="D1451" s="7" t="n"/>
      <c r="E1451" s="7" t="inlineStr">
        <is>
          <t>Conceição – BRD</t>
        </is>
      </c>
      <c r="F1451" s="13" t="inlineStr">
        <is>
          <t>Apoio Vacal</t>
        </is>
      </c>
      <c r="G1451" s="7" t="n"/>
      <c r="H1451" s="7" t="n"/>
      <c r="I1451" s="7" t="n"/>
      <c r="J1451" s="7" t="inlineStr">
        <is>
          <t>Vacal</t>
        </is>
      </c>
      <c r="K1451" s="7" t="inlineStr">
        <is>
          <t>Apoio</t>
        </is>
      </c>
      <c r="L1451" s="16" t="inlineStr">
        <is>
          <t>PDS-Março(1).docx</t>
        </is>
      </c>
      <c r="M1451">
        <f>IF($A1451="","",TEXT($A1451,"mmmm/yyyy"))</f>
        <v/>
      </c>
      <c r="P1451">
        <f>IFERROR(_xludf.XLOOKUP($N1451,Base_Enderecos!$A:$A,Base_Enderecos!$B:$B,""),"")</f>
        <v/>
      </c>
      <c r="Q1451">
        <f>IFERROR(_xludf.XLOOKUP($N1451,Base_Enderecos!$A:$A,Base_Enderecos!$C:$C,""),"")</f>
        <v/>
      </c>
      <c r="R1451">
        <f>IF(OR(ISNUMBER(SEARCH("HDD",$F1451)),ISNUMBER(SEARCH("MND",$F1451)),ISNUMBER(SEARCH("PEAD",$F1451)),ISNUMBER(SEARCH("Puxe",$J1451)),ISNUMBER(SEARCH("Apoio HDD",$F1451))),"MND",IF(OR(ISNUMBER(SEARCH("VCA",$F1451)),ISNUMBER(SEARCH("PVC",$F1451)),ISNUMBER(SEARCH("vca",$J1451)),ISNUMBER(SEARCH("Transformação",$J1451))),"VCA",IF(OR(ISNUMBER(SEARCH("crava",$F1451)),ISNUMBER(SEARCH("tubo cravado",$F1451)),ISNUMBER(SEARCH("shaft",$J1451)),ISNUMBER(SEARCH("concreto",$F1451))),"TUBO CRAVADO","")))</f>
        <v/>
      </c>
      <c r="T1451">
        <f>IF($A1451="","",TEXT($A1451,"yyyymm")&amp;"|"&amp;$C1451&amp;"|"&amp;$F1451&amp;"|"&amp;$N1451&amp;"|"&amp;$R1451)</f>
        <v/>
      </c>
    </row>
    <row r="1452" ht="11.55" customHeight="1">
      <c r="A1452" s="10" t="n">
        <v>46106</v>
      </c>
      <c r="B1452" s="7" t="inlineStr">
        <is>
          <t>Quarta</t>
        </is>
      </c>
      <c r="C1452" s="7" t="inlineStr">
        <is>
          <t>Vacal</t>
        </is>
      </c>
      <c r="D1452" s="7" t="n"/>
      <c r="E1452" s="7" t="inlineStr">
        <is>
          <t>Conceição - Renasce</t>
        </is>
      </c>
      <c r="F1452" s="13" t="inlineStr">
        <is>
          <t>Apoio Vacal</t>
        </is>
      </c>
      <c r="G1452" s="7" t="n"/>
      <c r="H1452" s="7" t="n"/>
      <c r="I1452" s="7" t="n"/>
      <c r="J1452" s="7" t="inlineStr">
        <is>
          <t>Vacal</t>
        </is>
      </c>
      <c r="K1452" s="7" t="inlineStr">
        <is>
          <t>Apoio</t>
        </is>
      </c>
      <c r="L1452" s="16" t="inlineStr">
        <is>
          <t>PDS-Março(1).docx</t>
        </is>
      </c>
      <c r="M1452">
        <f>IF($A1452="","",TEXT($A1452,"mmmm/yyyy"))</f>
        <v/>
      </c>
      <c r="P1452">
        <f>IFERROR(_xludf.XLOOKUP($N1452,Base_Enderecos!$A:$A,Base_Enderecos!$B:$B,""),"")</f>
        <v/>
      </c>
      <c r="Q1452">
        <f>IFERROR(_xludf.XLOOKUP($N1452,Base_Enderecos!$A:$A,Base_Enderecos!$C:$C,""),"")</f>
        <v/>
      </c>
      <c r="R1452">
        <f>IF(OR(ISNUMBER(SEARCH("HDD",$F1452)),ISNUMBER(SEARCH("MND",$F1452)),ISNUMBER(SEARCH("PEAD",$F1452)),ISNUMBER(SEARCH("Puxe",$J1452)),ISNUMBER(SEARCH("Apoio HDD",$F1452))),"MND",IF(OR(ISNUMBER(SEARCH("VCA",$F1452)),ISNUMBER(SEARCH("PVC",$F1452)),ISNUMBER(SEARCH("vca",$J1452)),ISNUMBER(SEARCH("Transformação",$J1452))),"VCA",IF(OR(ISNUMBER(SEARCH("crava",$F1452)),ISNUMBER(SEARCH("tubo cravado",$F1452)),ISNUMBER(SEARCH("shaft",$J1452)),ISNUMBER(SEARCH("concreto",$F1452))),"TUBO CRAVADO","")))</f>
        <v/>
      </c>
      <c r="T1452">
        <f>IF($A1452="","",TEXT($A1452,"yyyymm")&amp;"|"&amp;$C1452&amp;"|"&amp;$F1452&amp;"|"&amp;$N1452&amp;"|"&amp;$R1452)</f>
        <v/>
      </c>
    </row>
    <row r="1453" ht="11.55" customHeight="1">
      <c r="A1453" s="10" t="n">
        <v>46106</v>
      </c>
      <c r="B1453" s="7" t="inlineStr">
        <is>
          <t>Quarta</t>
        </is>
      </c>
      <c r="C1453" s="7" t="inlineStr">
        <is>
          <t>Vacal</t>
        </is>
      </c>
      <c r="D1453" s="7" t="n"/>
      <c r="E1453" s="7" t="inlineStr">
        <is>
          <t>Botelho Mourão - Renasce</t>
        </is>
      </c>
      <c r="F1453" s="13" t="inlineStr">
        <is>
          <t>Apoio Vacal</t>
        </is>
      </c>
      <c r="G1453" s="7" t="n"/>
      <c r="H1453" s="7" t="n"/>
      <c r="I1453" s="7" t="n"/>
      <c r="J1453" s="7" t="inlineStr">
        <is>
          <t>Vacal</t>
        </is>
      </c>
      <c r="K1453" s="7" t="inlineStr">
        <is>
          <t>Apoio</t>
        </is>
      </c>
      <c r="L1453" s="16" t="inlineStr">
        <is>
          <t>PDS-Março(1).docx</t>
        </is>
      </c>
      <c r="M1453">
        <f>IF($A1453="","",TEXT($A1453,"mmmm/yyyy"))</f>
        <v/>
      </c>
      <c r="P1453">
        <f>IFERROR(_xludf.XLOOKUP($N1453,Base_Enderecos!$A:$A,Base_Enderecos!$B:$B,""),"")</f>
        <v/>
      </c>
      <c r="Q1453">
        <f>IFERROR(_xludf.XLOOKUP($N1453,Base_Enderecos!$A:$A,Base_Enderecos!$C:$C,""),"")</f>
        <v/>
      </c>
      <c r="R1453">
        <f>IF(OR(ISNUMBER(SEARCH("HDD",$F1453)),ISNUMBER(SEARCH("MND",$F1453)),ISNUMBER(SEARCH("PEAD",$F1453)),ISNUMBER(SEARCH("Puxe",$J1453)),ISNUMBER(SEARCH("Apoio HDD",$F1453))),"MND",IF(OR(ISNUMBER(SEARCH("VCA",$F1453)),ISNUMBER(SEARCH("PVC",$F1453)),ISNUMBER(SEARCH("vca",$J1453)),ISNUMBER(SEARCH("Transformação",$J1453))),"VCA",IF(OR(ISNUMBER(SEARCH("crava",$F1453)),ISNUMBER(SEARCH("tubo cravado",$F1453)),ISNUMBER(SEARCH("shaft",$J1453)),ISNUMBER(SEARCH("concreto",$F1453))),"TUBO CRAVADO","")))</f>
        <v/>
      </c>
      <c r="T1453">
        <f>IF($A1453="","",TEXT($A1453,"yyyymm")&amp;"|"&amp;$C1453&amp;"|"&amp;$F1453&amp;"|"&amp;$N1453&amp;"|"&amp;$R1453)</f>
        <v/>
      </c>
    </row>
    <row r="1454" ht="11.55" customHeight="1">
      <c r="A1454" s="10" t="n">
        <v>46106</v>
      </c>
      <c r="B1454" s="7" t="inlineStr">
        <is>
          <t>Quarta</t>
        </is>
      </c>
      <c r="C1454" s="7" t="inlineStr">
        <is>
          <t>Vacal</t>
        </is>
      </c>
      <c r="D1454" s="7" t="n"/>
      <c r="E1454" s="7" t="inlineStr">
        <is>
          <t>Água Vermelha - Renasce</t>
        </is>
      </c>
      <c r="F1454" s="13" t="inlineStr">
        <is>
          <t>Apoio Vacal</t>
        </is>
      </c>
      <c r="G1454" s="7" t="n"/>
      <c r="H1454" s="7" t="n"/>
      <c r="I1454" s="7" t="n"/>
      <c r="J1454" s="7" t="inlineStr">
        <is>
          <t>Vacal</t>
        </is>
      </c>
      <c r="K1454" s="7" t="inlineStr">
        <is>
          <t>Apoio</t>
        </is>
      </c>
      <c r="L1454" s="16" t="inlineStr">
        <is>
          <t>PDS-Março(1).docx</t>
        </is>
      </c>
      <c r="M1454">
        <f>IF($A1454="","",TEXT($A1454,"mmmm/yyyy"))</f>
        <v/>
      </c>
      <c r="P1454">
        <f>IFERROR(_xludf.XLOOKUP($N1454,Base_Enderecos!$A:$A,Base_Enderecos!$B:$B,""),"")</f>
        <v/>
      </c>
      <c r="Q1454">
        <f>IFERROR(_xludf.XLOOKUP($N1454,Base_Enderecos!$A:$A,Base_Enderecos!$C:$C,""),"")</f>
        <v/>
      </c>
      <c r="R1454">
        <f>IF(OR(ISNUMBER(SEARCH("HDD",$F1454)),ISNUMBER(SEARCH("MND",$F1454)),ISNUMBER(SEARCH("PEAD",$F1454)),ISNUMBER(SEARCH("Puxe",$J1454)),ISNUMBER(SEARCH("Apoio HDD",$F1454))),"MND",IF(OR(ISNUMBER(SEARCH("VCA",$F1454)),ISNUMBER(SEARCH("PVC",$F1454)),ISNUMBER(SEARCH("vca",$J1454)),ISNUMBER(SEARCH("Transformação",$J1454))),"VCA",IF(OR(ISNUMBER(SEARCH("crava",$F1454)),ISNUMBER(SEARCH("tubo cravado",$F1454)),ISNUMBER(SEARCH("shaft",$J1454)),ISNUMBER(SEARCH("concreto",$F1454))),"TUBO CRAVADO","")))</f>
        <v/>
      </c>
      <c r="T1454">
        <f>IF($A1454="","",TEXT($A1454,"yyyymm")&amp;"|"&amp;$C1454&amp;"|"&amp;$F1454&amp;"|"&amp;$N1454&amp;"|"&amp;$R1454)</f>
        <v/>
      </c>
    </row>
    <row r="1455" ht="11.55" customHeight="1">
      <c r="A1455" s="10" t="n">
        <v>46106</v>
      </c>
      <c r="B1455" s="7" t="inlineStr">
        <is>
          <t>Quarta</t>
        </is>
      </c>
      <c r="C1455" s="7" t="inlineStr">
        <is>
          <t>Vacal</t>
        </is>
      </c>
      <c r="D1455" s="7" t="n"/>
      <c r="E1455" s="7" t="inlineStr">
        <is>
          <t>Água Vermelha – Hidrosol</t>
        </is>
      </c>
      <c r="F1455" s="13" t="inlineStr">
        <is>
          <t>Apoio Vacal</t>
        </is>
      </c>
      <c r="G1455" s="7" t="n"/>
      <c r="H1455" s="7" t="n"/>
      <c r="I1455" s="7" t="n"/>
      <c r="J1455" s="7" t="inlineStr">
        <is>
          <t>Vacal</t>
        </is>
      </c>
      <c r="K1455" s="7" t="inlineStr">
        <is>
          <t>Apoio</t>
        </is>
      </c>
      <c r="L1455" s="16" t="inlineStr">
        <is>
          <t>PDS-Março(1).docx</t>
        </is>
      </c>
      <c r="M1455">
        <f>IF($A1455="","",TEXT($A1455,"mmmm/yyyy"))</f>
        <v/>
      </c>
      <c r="P1455">
        <f>IFERROR(_xludf.XLOOKUP($N1455,Base_Enderecos!$A:$A,Base_Enderecos!$B:$B,""),"")</f>
        <v/>
      </c>
      <c r="Q1455">
        <f>IFERROR(_xludf.XLOOKUP($N1455,Base_Enderecos!$A:$A,Base_Enderecos!$C:$C,""),"")</f>
        <v/>
      </c>
      <c r="R1455">
        <f>IF(OR(ISNUMBER(SEARCH("HDD",$F1455)),ISNUMBER(SEARCH("MND",$F1455)),ISNUMBER(SEARCH("PEAD",$F1455)),ISNUMBER(SEARCH("Puxe",$J1455)),ISNUMBER(SEARCH("Apoio HDD",$F1455))),"MND",IF(OR(ISNUMBER(SEARCH("VCA",$F1455)),ISNUMBER(SEARCH("PVC",$F1455)),ISNUMBER(SEARCH("vca",$J1455)),ISNUMBER(SEARCH("Transformação",$J1455))),"VCA",IF(OR(ISNUMBER(SEARCH("crava",$F1455)),ISNUMBER(SEARCH("tubo cravado",$F1455)),ISNUMBER(SEARCH("shaft",$J1455)),ISNUMBER(SEARCH("concreto",$F1455))),"TUBO CRAVADO","")))</f>
        <v/>
      </c>
      <c r="T1455">
        <f>IF($A1455="","",TEXT($A1455,"yyyymm")&amp;"|"&amp;$C1455&amp;"|"&amp;$F1455&amp;"|"&amp;$N1455&amp;"|"&amp;$R1455)</f>
        <v/>
      </c>
    </row>
    <row r="1456" ht="11.55" customHeight="1">
      <c r="A1456" s="10" t="n">
        <v>46106</v>
      </c>
      <c r="B1456" s="7" t="inlineStr">
        <is>
          <t>Quarta</t>
        </is>
      </c>
      <c r="C1456" s="7" t="inlineStr">
        <is>
          <t>Guindauto</t>
        </is>
      </c>
      <c r="D1456" s="7" t="n"/>
      <c r="E1456" s="7" t="inlineStr">
        <is>
          <t>Rodrigo</t>
        </is>
      </c>
      <c r="F1456" s="13" t="inlineStr">
        <is>
          <t>Rodrigo - Apoio as equipes</t>
        </is>
      </c>
      <c r="G1456" s="7" t="n"/>
      <c r="H1456" s="7" t="n"/>
      <c r="I1456" s="7" t="n"/>
      <c r="J1456" s="7" t="inlineStr">
        <is>
          <t>Guindauto</t>
        </is>
      </c>
      <c r="K1456" s="7" t="inlineStr">
        <is>
          <t>Apoio</t>
        </is>
      </c>
      <c r="L1456" s="16" t="inlineStr">
        <is>
          <t>PDS-Março(1).docx</t>
        </is>
      </c>
      <c r="M1456">
        <f>IF($A1456="","",TEXT($A1456,"mmmm/yyyy"))</f>
        <v/>
      </c>
      <c r="P1456">
        <f>IFERROR(_xludf.XLOOKUP($N1456,Base_Enderecos!$A:$A,Base_Enderecos!$B:$B,""),"")</f>
        <v/>
      </c>
      <c r="Q1456">
        <f>IFERROR(_xludf.XLOOKUP($N1456,Base_Enderecos!$A:$A,Base_Enderecos!$C:$C,""),"")</f>
        <v/>
      </c>
      <c r="R1456">
        <f>IF(OR(ISNUMBER(SEARCH("HDD",$F1456)),ISNUMBER(SEARCH("MND",$F1456)),ISNUMBER(SEARCH("PEAD",$F1456)),ISNUMBER(SEARCH("Puxe",$J1456)),ISNUMBER(SEARCH("Apoio HDD",$F1456))),"MND",IF(OR(ISNUMBER(SEARCH("VCA",$F1456)),ISNUMBER(SEARCH("PVC",$F1456)),ISNUMBER(SEARCH("vca",$J1456)),ISNUMBER(SEARCH("Transformação",$J1456))),"VCA",IF(OR(ISNUMBER(SEARCH("crava",$F1456)),ISNUMBER(SEARCH("tubo cravado",$F1456)),ISNUMBER(SEARCH("shaft",$J1456)),ISNUMBER(SEARCH("concreto",$F1456))),"TUBO CRAVADO","")))</f>
        <v/>
      </c>
      <c r="T1456">
        <f>IF($A1456="","",TEXT($A1456,"yyyymm")&amp;"|"&amp;$C1456&amp;"|"&amp;$F1456&amp;"|"&amp;$N1456&amp;"|"&amp;$R1456)</f>
        <v/>
      </c>
    </row>
    <row r="1457" ht="11.55" customHeight="1">
      <c r="A1457" s="10" t="n">
        <v>46106</v>
      </c>
      <c r="B1457" s="7" t="inlineStr">
        <is>
          <t>Quarta</t>
        </is>
      </c>
      <c r="C1457" s="7" t="inlineStr">
        <is>
          <t>Guindauto</t>
        </is>
      </c>
      <c r="D1457" s="7" t="n"/>
      <c r="E1457" s="7" t="inlineStr">
        <is>
          <t>Marcio</t>
        </is>
      </c>
      <c r="F1457" s="13" t="inlineStr">
        <is>
          <t>Marcio - Apoio as equipes</t>
        </is>
      </c>
      <c r="G1457" s="7" t="n"/>
      <c r="H1457" s="7" t="n"/>
      <c r="I1457" s="7" t="n"/>
      <c r="J1457" s="7" t="inlineStr">
        <is>
          <t>Guindauto</t>
        </is>
      </c>
      <c r="K1457" s="7" t="inlineStr">
        <is>
          <t>Apoio</t>
        </is>
      </c>
      <c r="L1457" s="16" t="inlineStr">
        <is>
          <t>PDS-Março(1).docx</t>
        </is>
      </c>
      <c r="M1457">
        <f>IF($A1457="","",TEXT($A1457,"mmmm/yyyy"))</f>
        <v/>
      </c>
      <c r="P1457">
        <f>IFERROR(_xludf.XLOOKUP($N1457,Base_Enderecos!$A:$A,Base_Enderecos!$B:$B,""),"")</f>
        <v/>
      </c>
      <c r="Q1457">
        <f>IFERROR(_xludf.XLOOKUP($N1457,Base_Enderecos!$A:$A,Base_Enderecos!$C:$C,""),"")</f>
        <v/>
      </c>
      <c r="R1457">
        <f>IF(OR(ISNUMBER(SEARCH("HDD",$F1457)),ISNUMBER(SEARCH("MND",$F1457)),ISNUMBER(SEARCH("PEAD",$F1457)),ISNUMBER(SEARCH("Puxe",$J1457)),ISNUMBER(SEARCH("Apoio HDD",$F1457))),"MND",IF(OR(ISNUMBER(SEARCH("VCA",$F1457)),ISNUMBER(SEARCH("PVC",$F1457)),ISNUMBER(SEARCH("vca",$J1457)),ISNUMBER(SEARCH("Transformação",$J1457))),"VCA",IF(OR(ISNUMBER(SEARCH("crava",$F1457)),ISNUMBER(SEARCH("tubo cravado",$F1457)),ISNUMBER(SEARCH("shaft",$J1457)),ISNUMBER(SEARCH("concreto",$F1457))),"TUBO CRAVADO","")))</f>
        <v/>
      </c>
      <c r="T1457">
        <f>IF($A1457="","",TEXT($A1457,"yyyymm")&amp;"|"&amp;$C1457&amp;"|"&amp;$F1457&amp;"|"&amp;$N1457&amp;"|"&amp;$R1457)</f>
        <v/>
      </c>
    </row>
    <row r="1458" ht="11.55" customHeight="1">
      <c r="A1458" s="10" t="n">
        <v>46107</v>
      </c>
      <c r="B1458" s="7" t="inlineStr">
        <is>
          <t>Quinta</t>
        </is>
      </c>
      <c r="C1458" s="7" t="inlineStr">
        <is>
          <t>CTS CONCEIÇÃO</t>
        </is>
      </c>
      <c r="D1458" s="7" t="inlineStr">
        <is>
          <t>LEANDRO E SILVESTRE</t>
        </is>
      </c>
      <c r="E1458" s="7" t="inlineStr">
        <is>
          <t>GR Drill</t>
        </is>
      </c>
      <c r="F1458" s="13" t="inlineStr">
        <is>
          <t>Piloto e puxe entre PV 06 ao 09</t>
        </is>
      </c>
      <c r="G1458" s="7" t="inlineStr">
        <is>
          <t>06</t>
        </is>
      </c>
      <c r="H1458" s="7" t="n"/>
      <c r="I1458" s="7" t="inlineStr">
        <is>
          <t>06</t>
        </is>
      </c>
      <c r="J1458" s="7" t="inlineStr">
        <is>
          <t>Piloto e puxe</t>
        </is>
      </c>
      <c r="K1458" s="7" t="inlineStr">
        <is>
          <t>Planejamento</t>
        </is>
      </c>
      <c r="L1458" s="16" t="inlineStr">
        <is>
          <t>PDS-Março(1).docx</t>
        </is>
      </c>
      <c r="M1458">
        <f>IF($A1458="","",TEXT($A1458,"mmmm/yyyy"))</f>
        <v/>
      </c>
      <c r="P1458">
        <f>IFERROR(_xludf.XLOOKUP($N1458,Base_Enderecos!$A:$A,Base_Enderecos!$B:$B,""),"")</f>
        <v/>
      </c>
      <c r="Q1458">
        <f>IFERROR(_xludf.XLOOKUP($N1458,Base_Enderecos!$A:$A,Base_Enderecos!$C:$C,""),"")</f>
        <v/>
      </c>
      <c r="R1458">
        <f>IF(OR(ISNUMBER(SEARCH("HDD",$F1458)),ISNUMBER(SEARCH("MND",$F1458)),ISNUMBER(SEARCH("PEAD",$F1458)),ISNUMBER(SEARCH("Puxe",$J1458)),ISNUMBER(SEARCH("Apoio HDD",$F1458))),"MND",IF(OR(ISNUMBER(SEARCH("VCA",$F1458)),ISNUMBER(SEARCH("PVC",$F1458)),ISNUMBER(SEARCH("vca",$J1458)),ISNUMBER(SEARCH("Transformação",$J1458))),"VCA",IF(OR(ISNUMBER(SEARCH("crava",$F1458)),ISNUMBER(SEARCH("tubo cravado",$F1458)),ISNUMBER(SEARCH("shaft",$J1458)),ISNUMBER(SEARCH("concreto",$F1458))),"TUBO CRAVADO","")))</f>
        <v/>
      </c>
      <c r="T1458">
        <f>IF($A1458="","",TEXT($A1458,"yyyymm")&amp;"|"&amp;$C1458&amp;"|"&amp;$F1458&amp;"|"&amp;$N1458&amp;"|"&amp;$R1458)</f>
        <v/>
      </c>
    </row>
    <row r="1459" ht="11.55" customHeight="1">
      <c r="A1459" s="10" t="n">
        <v>46107</v>
      </c>
      <c r="B1459" s="7" t="inlineStr">
        <is>
          <t>Quinta</t>
        </is>
      </c>
      <c r="C1459" s="7" t="inlineStr">
        <is>
          <t>CTS CONCEIÇÃO</t>
        </is>
      </c>
      <c r="D1459" s="7" t="inlineStr">
        <is>
          <t>LEANDRO E SILVESTRE</t>
        </is>
      </c>
      <c r="E1459" s="7" t="inlineStr">
        <is>
          <t>Medeiros</t>
        </is>
      </c>
      <c r="F1459" s="13" t="inlineStr">
        <is>
          <t>Apoio HDD entre PV 06 ao 09</t>
        </is>
      </c>
      <c r="G1459" s="7" t="inlineStr">
        <is>
          <t>06</t>
        </is>
      </c>
      <c r="H1459" s="7" t="n"/>
      <c r="I1459" s="7" t="inlineStr">
        <is>
          <t>06</t>
        </is>
      </c>
      <c r="J1459" s="7" t="inlineStr">
        <is>
          <t>Apoio HDD</t>
        </is>
      </c>
      <c r="K1459" s="7" t="inlineStr">
        <is>
          <t>Planejamento</t>
        </is>
      </c>
      <c r="L1459" s="16" t="inlineStr">
        <is>
          <t>PDS-Março(1).docx</t>
        </is>
      </c>
      <c r="M1459">
        <f>IF($A1459="","",TEXT($A1459,"mmmm/yyyy"))</f>
        <v/>
      </c>
      <c r="P1459">
        <f>IFERROR(_xludf.XLOOKUP($N1459,Base_Enderecos!$A:$A,Base_Enderecos!$B:$B,""),"")</f>
        <v/>
      </c>
      <c r="Q1459">
        <f>IFERROR(_xludf.XLOOKUP($N1459,Base_Enderecos!$A:$A,Base_Enderecos!$C:$C,""),"")</f>
        <v/>
      </c>
      <c r="R1459">
        <f>IF(OR(ISNUMBER(SEARCH("HDD",$F1459)),ISNUMBER(SEARCH("MND",$F1459)),ISNUMBER(SEARCH("PEAD",$F1459)),ISNUMBER(SEARCH("Puxe",$J1459)),ISNUMBER(SEARCH("Apoio HDD",$F1459))),"MND",IF(OR(ISNUMBER(SEARCH("VCA",$F1459)),ISNUMBER(SEARCH("PVC",$F1459)),ISNUMBER(SEARCH("vca",$J1459)),ISNUMBER(SEARCH("Transformação",$J1459))),"VCA",IF(OR(ISNUMBER(SEARCH("crava",$F1459)),ISNUMBER(SEARCH("tubo cravado",$F1459)),ISNUMBER(SEARCH("shaft",$J1459)),ISNUMBER(SEARCH("concreto",$F1459))),"TUBO CRAVADO","")))</f>
        <v/>
      </c>
      <c r="T1459">
        <f>IF($A1459="","",TEXT($A1459,"yyyymm")&amp;"|"&amp;$C1459&amp;"|"&amp;$F1459&amp;"|"&amp;$N1459&amp;"|"&amp;$R1459)</f>
        <v/>
      </c>
    </row>
    <row r="1460" ht="11.55" customHeight="1">
      <c r="A1460" s="10" t="n">
        <v>46107</v>
      </c>
      <c r="B1460" s="7" t="inlineStr">
        <is>
          <t>Quinta</t>
        </is>
      </c>
      <c r="C1460" s="7" t="inlineStr">
        <is>
          <t>CTS CONCEIÇÃO</t>
        </is>
      </c>
      <c r="D1460" s="7" t="inlineStr">
        <is>
          <t>LEANDRO E SILVESTRE</t>
        </is>
      </c>
      <c r="E1460" s="7" t="inlineStr">
        <is>
          <t>Carlos</t>
        </is>
      </c>
      <c r="F1460" s="13" t="inlineStr">
        <is>
          <t>Shaft PV 10</t>
        </is>
      </c>
      <c r="G1460" s="7" t="inlineStr">
        <is>
          <t>10</t>
        </is>
      </c>
      <c r="H1460" s="7" t="n"/>
      <c r="I1460" s="7" t="inlineStr">
        <is>
          <t>10</t>
        </is>
      </c>
      <c r="J1460" s="7" t="inlineStr">
        <is>
          <t>Shaft</t>
        </is>
      </c>
      <c r="K1460" s="7" t="inlineStr">
        <is>
          <t>Planejamento</t>
        </is>
      </c>
      <c r="L1460" s="16" t="inlineStr">
        <is>
          <t>PDS-Março(1).docx</t>
        </is>
      </c>
      <c r="M1460">
        <f>IF($A1460="","",TEXT($A1460,"mmmm/yyyy"))</f>
        <v/>
      </c>
      <c r="P1460">
        <f>IFERROR(_xludf.XLOOKUP($N1460,Base_Enderecos!$A:$A,Base_Enderecos!$B:$B,""),"")</f>
        <v/>
      </c>
      <c r="Q1460">
        <f>IFERROR(_xludf.XLOOKUP($N1460,Base_Enderecos!$A:$A,Base_Enderecos!$C:$C,""),"")</f>
        <v/>
      </c>
      <c r="R1460">
        <f>IF(OR(ISNUMBER(SEARCH("HDD",$F1460)),ISNUMBER(SEARCH("MND",$F1460)),ISNUMBER(SEARCH("PEAD",$F1460)),ISNUMBER(SEARCH("Puxe",$J1460)),ISNUMBER(SEARCH("Apoio HDD",$F1460))),"MND",IF(OR(ISNUMBER(SEARCH("VCA",$F1460)),ISNUMBER(SEARCH("PVC",$F1460)),ISNUMBER(SEARCH("vca",$J1460)),ISNUMBER(SEARCH("Transformação",$J1460))),"VCA",IF(OR(ISNUMBER(SEARCH("crava",$F1460)),ISNUMBER(SEARCH("tubo cravado",$F1460)),ISNUMBER(SEARCH("shaft",$J1460)),ISNUMBER(SEARCH("concreto",$F1460))),"TUBO CRAVADO","")))</f>
        <v/>
      </c>
      <c r="T1460">
        <f>IF($A1460="","",TEXT($A1460,"yyyymm")&amp;"|"&amp;$C1460&amp;"|"&amp;$F1460&amp;"|"&amp;$N1460&amp;"|"&amp;$R1460)</f>
        <v/>
      </c>
    </row>
    <row r="1461" ht="11.55" customHeight="1">
      <c r="A1461" s="10" t="n">
        <v>46107</v>
      </c>
      <c r="B1461" s="7" t="inlineStr">
        <is>
          <t>Quinta</t>
        </is>
      </c>
      <c r="C1461" s="7" t="inlineStr">
        <is>
          <t>CTS CONCEIÇÃO</t>
        </is>
      </c>
      <c r="D1461" s="7" t="inlineStr">
        <is>
          <t>LEANDRO E SILVESTRE</t>
        </is>
      </c>
      <c r="E1461" s="7" t="inlineStr">
        <is>
          <t>Cesar</t>
        </is>
      </c>
      <c r="F1461" s="13" t="inlineStr">
        <is>
          <t>Shaft PV 10.1 / 10.2</t>
        </is>
      </c>
      <c r="G1461" s="7" t="inlineStr">
        <is>
          <t>10.1</t>
        </is>
      </c>
      <c r="H1461" s="7" t="n"/>
      <c r="I1461" s="7" t="inlineStr">
        <is>
          <t>10.1</t>
        </is>
      </c>
      <c r="J1461" s="7" t="inlineStr">
        <is>
          <t>Shaft</t>
        </is>
      </c>
      <c r="K1461" s="7" t="inlineStr">
        <is>
          <t>Planejamento</t>
        </is>
      </c>
      <c r="L1461" s="16" t="inlineStr">
        <is>
          <t>PDS-Março(1).docx</t>
        </is>
      </c>
      <c r="M1461">
        <f>IF($A1461="","",TEXT($A1461,"mmmm/yyyy"))</f>
        <v/>
      </c>
      <c r="P1461">
        <f>IFERROR(_xludf.XLOOKUP($N1461,Base_Enderecos!$A:$A,Base_Enderecos!$B:$B,""),"")</f>
        <v/>
      </c>
      <c r="Q1461">
        <f>IFERROR(_xludf.XLOOKUP($N1461,Base_Enderecos!$A:$A,Base_Enderecos!$C:$C,""),"")</f>
        <v/>
      </c>
      <c r="R1461">
        <f>IF(OR(ISNUMBER(SEARCH("HDD",$F1461)),ISNUMBER(SEARCH("MND",$F1461)),ISNUMBER(SEARCH("PEAD",$F1461)),ISNUMBER(SEARCH("Puxe",$J1461)),ISNUMBER(SEARCH("Apoio HDD",$F1461))),"MND",IF(OR(ISNUMBER(SEARCH("VCA",$F1461)),ISNUMBER(SEARCH("PVC",$F1461)),ISNUMBER(SEARCH("vca",$J1461)),ISNUMBER(SEARCH("Transformação",$J1461))),"VCA",IF(OR(ISNUMBER(SEARCH("crava",$F1461)),ISNUMBER(SEARCH("tubo cravado",$F1461)),ISNUMBER(SEARCH("shaft",$J1461)),ISNUMBER(SEARCH("concreto",$F1461))),"TUBO CRAVADO","")))</f>
        <v/>
      </c>
      <c r="T1461">
        <f>IF($A1461="","",TEXT($A1461,"yyyymm")&amp;"|"&amp;$C1461&amp;"|"&amp;$F1461&amp;"|"&amp;$N1461&amp;"|"&amp;$R1461)</f>
        <v/>
      </c>
    </row>
    <row r="1462" ht="11.55" customHeight="1">
      <c r="A1462" s="10" t="n">
        <v>46107</v>
      </c>
      <c r="B1462" s="7" t="inlineStr">
        <is>
          <t>Quinta</t>
        </is>
      </c>
      <c r="C1462" s="7" t="inlineStr">
        <is>
          <t>CTS CONCEIÇÃO</t>
        </is>
      </c>
      <c r="D1462" s="7" t="inlineStr">
        <is>
          <t>LEANDRO E SILVESTRE</t>
        </is>
      </c>
      <c r="E1462" s="7" t="inlineStr">
        <is>
          <t>Edivando</t>
        </is>
      </c>
      <c r="F1462" s="13" t="inlineStr">
        <is>
          <t>Transformação PV 02</t>
        </is>
      </c>
      <c r="G1462" s="7" t="inlineStr">
        <is>
          <t>02</t>
        </is>
      </c>
      <c r="H1462" s="7" t="n"/>
      <c r="I1462" s="7" t="inlineStr">
        <is>
          <t>02</t>
        </is>
      </c>
      <c r="J1462" s="7" t="inlineStr">
        <is>
          <t>Transformação</t>
        </is>
      </c>
      <c r="K1462" s="7" t="inlineStr">
        <is>
          <t>Planejamento</t>
        </is>
      </c>
      <c r="L1462" s="16" t="inlineStr">
        <is>
          <t>PDS-Março(1).docx</t>
        </is>
      </c>
      <c r="M1462">
        <f>IF($A1462="","",TEXT($A1462,"mmmm/yyyy"))</f>
        <v/>
      </c>
      <c r="P1462">
        <f>IFERROR(_xludf.XLOOKUP($N1462,Base_Enderecos!$A:$A,Base_Enderecos!$B:$B,""),"")</f>
        <v/>
      </c>
      <c r="Q1462">
        <f>IFERROR(_xludf.XLOOKUP($N1462,Base_Enderecos!$A:$A,Base_Enderecos!$C:$C,""),"")</f>
        <v/>
      </c>
      <c r="R1462">
        <f>IF(OR(ISNUMBER(SEARCH("HDD",$F1462)),ISNUMBER(SEARCH("MND",$F1462)),ISNUMBER(SEARCH("PEAD",$F1462)),ISNUMBER(SEARCH("Puxe",$J1462)),ISNUMBER(SEARCH("Apoio HDD",$F1462))),"MND",IF(OR(ISNUMBER(SEARCH("VCA",$F1462)),ISNUMBER(SEARCH("PVC",$F1462)),ISNUMBER(SEARCH("vca",$J1462)),ISNUMBER(SEARCH("Transformação",$J1462))),"VCA",IF(OR(ISNUMBER(SEARCH("crava",$F1462)),ISNUMBER(SEARCH("tubo cravado",$F1462)),ISNUMBER(SEARCH("shaft",$J1462)),ISNUMBER(SEARCH("concreto",$F1462))),"TUBO CRAVADO","")))</f>
        <v/>
      </c>
      <c r="T1462">
        <f>IF($A1462="","",TEXT($A1462,"yyyymm")&amp;"|"&amp;$C1462&amp;"|"&amp;$F1462&amp;"|"&amp;$N1462&amp;"|"&amp;$R1462)</f>
        <v/>
      </c>
    </row>
    <row r="1463" ht="11.55" customHeight="1">
      <c r="A1463" s="10" t="n">
        <v>46107</v>
      </c>
      <c r="B1463" s="7" t="inlineStr">
        <is>
          <t>Quinta</t>
        </is>
      </c>
      <c r="C1463" s="7" t="inlineStr">
        <is>
          <t>CTS CONCEIÇÃO</t>
        </is>
      </c>
      <c r="D1463" s="7" t="inlineStr">
        <is>
          <t>LEANDRO E SILVESTRE</t>
        </is>
      </c>
      <c r="E1463" s="7" t="inlineStr">
        <is>
          <t>Sergio</t>
        </is>
      </c>
      <c r="F1463" s="13" t="inlineStr">
        <is>
          <t>Transformação PV 4.2</t>
        </is>
      </c>
      <c r="G1463" s="7" t="inlineStr">
        <is>
          <t>4.2</t>
        </is>
      </c>
      <c r="H1463" s="7" t="n"/>
      <c r="I1463" s="7" t="inlineStr">
        <is>
          <t>4.2</t>
        </is>
      </c>
      <c r="J1463" s="7" t="inlineStr">
        <is>
          <t>Transformação</t>
        </is>
      </c>
      <c r="K1463" s="7" t="inlineStr">
        <is>
          <t>Planejamento</t>
        </is>
      </c>
      <c r="L1463" s="16" t="inlineStr">
        <is>
          <t>PDS-Março(1).docx</t>
        </is>
      </c>
      <c r="M1463">
        <f>IF($A1463="","",TEXT($A1463,"mmmm/yyyy"))</f>
        <v/>
      </c>
      <c r="P1463">
        <f>IFERROR(_xludf.XLOOKUP($N1463,Base_Enderecos!$A:$A,Base_Enderecos!$B:$B,""),"")</f>
        <v/>
      </c>
      <c r="Q1463">
        <f>IFERROR(_xludf.XLOOKUP($N1463,Base_Enderecos!$A:$A,Base_Enderecos!$C:$C,""),"")</f>
        <v/>
      </c>
      <c r="R1463">
        <f>IF(OR(ISNUMBER(SEARCH("HDD",$F1463)),ISNUMBER(SEARCH("MND",$F1463)),ISNUMBER(SEARCH("PEAD",$F1463)),ISNUMBER(SEARCH("Puxe",$J1463)),ISNUMBER(SEARCH("Apoio HDD",$F1463))),"MND",IF(OR(ISNUMBER(SEARCH("VCA",$F1463)),ISNUMBER(SEARCH("PVC",$F1463)),ISNUMBER(SEARCH("vca",$J1463)),ISNUMBER(SEARCH("Transformação",$J1463))),"VCA",IF(OR(ISNUMBER(SEARCH("crava",$F1463)),ISNUMBER(SEARCH("tubo cravado",$F1463)),ISNUMBER(SEARCH("shaft",$J1463)),ISNUMBER(SEARCH("concreto",$F1463))),"TUBO CRAVADO","")))</f>
        <v/>
      </c>
      <c r="T1463">
        <f>IF($A1463="","",TEXT($A1463,"yyyymm")&amp;"|"&amp;$C1463&amp;"|"&amp;$F1463&amp;"|"&amp;$N1463&amp;"|"&amp;$R1463)</f>
        <v/>
      </c>
    </row>
    <row r="1464" ht="11.55" customHeight="1">
      <c r="A1464" s="10" t="n">
        <v>46107</v>
      </c>
      <c r="B1464" s="7" t="inlineStr">
        <is>
          <t>Quinta</t>
        </is>
      </c>
      <c r="C1464" s="7" t="inlineStr">
        <is>
          <t>CT ÁGUA VERMELHA M.D.</t>
        </is>
      </c>
      <c r="D1464" s="7" t="inlineStr">
        <is>
          <t>FABIO E VALMIR</t>
        </is>
      </c>
      <c r="E1464" s="7" t="inlineStr">
        <is>
          <t>Johnatan</t>
        </is>
      </c>
      <c r="F1464" s="13" t="inlineStr">
        <is>
          <t>Transformação PVD 07</t>
        </is>
      </c>
      <c r="G1464" s="7" t="inlineStr">
        <is>
          <t>07</t>
        </is>
      </c>
      <c r="H1464" s="7" t="n"/>
      <c r="I1464" s="7" t="inlineStr">
        <is>
          <t>07</t>
        </is>
      </c>
      <c r="J1464" s="7" t="inlineStr">
        <is>
          <t>Transformação</t>
        </is>
      </c>
      <c r="K1464" s="7" t="inlineStr">
        <is>
          <t>Planejamento</t>
        </is>
      </c>
      <c r="L1464" s="16" t="inlineStr">
        <is>
          <t>PDS-Março(1).docx</t>
        </is>
      </c>
      <c r="M1464">
        <f>IF($A1464="","",TEXT($A1464,"mmmm/yyyy"))</f>
        <v/>
      </c>
      <c r="P1464">
        <f>IFERROR(_xludf.XLOOKUP($N1464,Base_Enderecos!$A:$A,Base_Enderecos!$B:$B,""),"")</f>
        <v/>
      </c>
      <c r="Q1464">
        <f>IFERROR(_xludf.XLOOKUP($N1464,Base_Enderecos!$A:$A,Base_Enderecos!$C:$C,""),"")</f>
        <v/>
      </c>
      <c r="R1464">
        <f>IF(OR(ISNUMBER(SEARCH("HDD",$F1464)),ISNUMBER(SEARCH("MND",$F1464)),ISNUMBER(SEARCH("PEAD",$F1464)),ISNUMBER(SEARCH("Puxe",$J1464)),ISNUMBER(SEARCH("Apoio HDD",$F1464))),"MND",IF(OR(ISNUMBER(SEARCH("VCA",$F1464)),ISNUMBER(SEARCH("PVC",$F1464)),ISNUMBER(SEARCH("vca",$J1464)),ISNUMBER(SEARCH("Transformação",$J1464))),"VCA",IF(OR(ISNUMBER(SEARCH("crava",$F1464)),ISNUMBER(SEARCH("tubo cravado",$F1464)),ISNUMBER(SEARCH("shaft",$J1464)),ISNUMBER(SEARCH("concreto",$F1464))),"TUBO CRAVADO","")))</f>
        <v/>
      </c>
      <c r="T1464">
        <f>IF($A1464="","",TEXT($A1464,"yyyymm")&amp;"|"&amp;$C1464&amp;"|"&amp;$F1464&amp;"|"&amp;$N1464&amp;"|"&amp;$R1464)</f>
        <v/>
      </c>
    </row>
    <row r="1465" ht="11.55" customHeight="1">
      <c r="A1465" s="10" t="n">
        <v>46107</v>
      </c>
      <c r="B1465" s="7" t="inlineStr">
        <is>
          <t>Quinta</t>
        </is>
      </c>
      <c r="C1465" s="7" t="inlineStr">
        <is>
          <t>CT ÁGUA VERMELHA M.D.</t>
        </is>
      </c>
      <c r="D1465" s="7" t="inlineStr">
        <is>
          <t>FABIO E VALMIR</t>
        </is>
      </c>
      <c r="E1465" s="7" t="inlineStr">
        <is>
          <t>Antônio</t>
        </is>
      </c>
      <c r="F1465" s="13" t="inlineStr">
        <is>
          <t>Transformação PVD 16</t>
        </is>
      </c>
      <c r="G1465" s="7" t="inlineStr">
        <is>
          <t>16</t>
        </is>
      </c>
      <c r="H1465" s="7" t="n"/>
      <c r="I1465" s="7" t="inlineStr">
        <is>
          <t>16</t>
        </is>
      </c>
      <c r="J1465" s="7" t="inlineStr">
        <is>
          <t>Transformação</t>
        </is>
      </c>
      <c r="K1465" s="7" t="inlineStr">
        <is>
          <t>Planejamento</t>
        </is>
      </c>
      <c r="L1465" s="16" t="inlineStr">
        <is>
          <t>PDS-Março(1).docx</t>
        </is>
      </c>
      <c r="M1465">
        <f>IF($A1465="","",TEXT($A1465,"mmmm/yyyy"))</f>
        <v/>
      </c>
      <c r="P1465">
        <f>IFERROR(_xludf.XLOOKUP($N1465,Base_Enderecos!$A:$A,Base_Enderecos!$B:$B,""),"")</f>
        <v/>
      </c>
      <c r="Q1465">
        <f>IFERROR(_xludf.XLOOKUP($N1465,Base_Enderecos!$A:$A,Base_Enderecos!$C:$C,""),"")</f>
        <v/>
      </c>
      <c r="R1465">
        <f>IF(OR(ISNUMBER(SEARCH("HDD",$F1465)),ISNUMBER(SEARCH("MND",$F1465)),ISNUMBER(SEARCH("PEAD",$F1465)),ISNUMBER(SEARCH("Puxe",$J1465)),ISNUMBER(SEARCH("Apoio HDD",$F1465))),"MND",IF(OR(ISNUMBER(SEARCH("VCA",$F1465)),ISNUMBER(SEARCH("PVC",$F1465)),ISNUMBER(SEARCH("vca",$J1465)),ISNUMBER(SEARCH("Transformação",$J1465))),"VCA",IF(OR(ISNUMBER(SEARCH("crava",$F1465)),ISNUMBER(SEARCH("tubo cravado",$F1465)),ISNUMBER(SEARCH("shaft",$J1465)),ISNUMBER(SEARCH("concreto",$F1465))),"TUBO CRAVADO","")))</f>
        <v/>
      </c>
      <c r="T1465">
        <f>IF($A1465="","",TEXT($A1465,"yyyymm")&amp;"|"&amp;$C1465&amp;"|"&amp;$F1465&amp;"|"&amp;$N1465&amp;"|"&amp;$R1465)</f>
        <v/>
      </c>
    </row>
    <row r="1466" ht="11.55" customHeight="1">
      <c r="A1466" s="10" t="n">
        <v>46107</v>
      </c>
      <c r="B1466" s="7" t="inlineStr">
        <is>
          <t>Quinta</t>
        </is>
      </c>
      <c r="C1466" s="7" t="inlineStr">
        <is>
          <t>CT ÁGUA VERMELHA M.D.</t>
        </is>
      </c>
      <c r="D1466" s="7" t="inlineStr">
        <is>
          <t>FABIO E VALMIR</t>
        </is>
      </c>
      <c r="E1466" s="7" t="inlineStr">
        <is>
          <t>Marcelo</t>
        </is>
      </c>
      <c r="F1466" s="13" t="inlineStr">
        <is>
          <t>Transformação PVD 10</t>
        </is>
      </c>
      <c r="G1466" s="7" t="inlineStr">
        <is>
          <t>10</t>
        </is>
      </c>
      <c r="H1466" s="7" t="n"/>
      <c r="I1466" s="7" t="inlineStr">
        <is>
          <t>10</t>
        </is>
      </c>
      <c r="J1466" s="7" t="inlineStr">
        <is>
          <t>Transformação</t>
        </is>
      </c>
      <c r="K1466" s="7" t="inlineStr">
        <is>
          <t>Planejamento</t>
        </is>
      </c>
      <c r="L1466" s="16" t="inlineStr">
        <is>
          <t>PDS-Março(1).docx</t>
        </is>
      </c>
      <c r="M1466">
        <f>IF($A1466="","",TEXT($A1466,"mmmm/yyyy"))</f>
        <v/>
      </c>
      <c r="P1466">
        <f>IFERROR(_xludf.XLOOKUP($N1466,Base_Enderecos!$A:$A,Base_Enderecos!$B:$B,""),"")</f>
        <v/>
      </c>
      <c r="Q1466">
        <f>IFERROR(_xludf.XLOOKUP($N1466,Base_Enderecos!$A:$A,Base_Enderecos!$C:$C,""),"")</f>
        <v/>
      </c>
      <c r="R1466">
        <f>IF(OR(ISNUMBER(SEARCH("HDD",$F1466)),ISNUMBER(SEARCH("MND",$F1466)),ISNUMBER(SEARCH("PEAD",$F1466)),ISNUMBER(SEARCH("Puxe",$J1466)),ISNUMBER(SEARCH("Apoio HDD",$F1466))),"MND",IF(OR(ISNUMBER(SEARCH("VCA",$F1466)),ISNUMBER(SEARCH("PVC",$F1466)),ISNUMBER(SEARCH("vca",$J1466)),ISNUMBER(SEARCH("Transformação",$J1466))),"VCA",IF(OR(ISNUMBER(SEARCH("crava",$F1466)),ISNUMBER(SEARCH("tubo cravado",$F1466)),ISNUMBER(SEARCH("shaft",$J1466)),ISNUMBER(SEARCH("concreto",$F1466))),"TUBO CRAVADO","")))</f>
        <v/>
      </c>
      <c r="T1466">
        <f>IF($A1466="","",TEXT($A1466,"yyyymm")&amp;"|"&amp;$C1466&amp;"|"&amp;$F1466&amp;"|"&amp;$N1466&amp;"|"&amp;$R1466)</f>
        <v/>
      </c>
    </row>
    <row r="1467" ht="11.55" customHeight="1">
      <c r="A1467" s="10" t="n">
        <v>46107</v>
      </c>
      <c r="B1467" s="7" t="inlineStr">
        <is>
          <t>Quinta</t>
        </is>
      </c>
      <c r="C1467" s="7" t="inlineStr">
        <is>
          <t>CT ÁGUA VERMELHA M.D.</t>
        </is>
      </c>
      <c r="D1467" s="7" t="inlineStr">
        <is>
          <t>FABIO E VALMIR</t>
        </is>
      </c>
      <c r="E1467" s="7" t="inlineStr">
        <is>
          <t>Claudinei</t>
        </is>
      </c>
      <c r="F1467" s="13" t="inlineStr">
        <is>
          <t>Apoio Casa</t>
        </is>
      </c>
      <c r="G1467" s="7" t="n"/>
      <c r="H1467" s="7" t="n"/>
      <c r="I1467" s="7" t="n"/>
      <c r="J1467" s="7" t="n"/>
      <c r="K1467" s="7" t="inlineStr">
        <is>
          <t>Planejamento</t>
        </is>
      </c>
      <c r="L1467" s="16" t="inlineStr">
        <is>
          <t>PDS-Março(1).docx</t>
        </is>
      </c>
      <c r="M1467">
        <f>IF($A1467="","",TEXT($A1467,"mmmm/yyyy"))</f>
        <v/>
      </c>
      <c r="P1467">
        <f>IFERROR(_xludf.XLOOKUP($N1467,Base_Enderecos!$A:$A,Base_Enderecos!$B:$B,""),"")</f>
        <v/>
      </c>
      <c r="Q1467">
        <f>IFERROR(_xludf.XLOOKUP($N1467,Base_Enderecos!$A:$A,Base_Enderecos!$C:$C,""),"")</f>
        <v/>
      </c>
      <c r="R1467">
        <f>IF(OR(ISNUMBER(SEARCH("HDD",$F1467)),ISNUMBER(SEARCH("MND",$F1467)),ISNUMBER(SEARCH("PEAD",$F1467)),ISNUMBER(SEARCH("Puxe",$J1467)),ISNUMBER(SEARCH("Apoio HDD",$F1467))),"MND",IF(OR(ISNUMBER(SEARCH("VCA",$F1467)),ISNUMBER(SEARCH("PVC",$F1467)),ISNUMBER(SEARCH("vca",$J1467)),ISNUMBER(SEARCH("Transformação",$J1467))),"VCA",IF(OR(ISNUMBER(SEARCH("crava",$F1467)),ISNUMBER(SEARCH("tubo cravado",$F1467)),ISNUMBER(SEARCH("shaft",$J1467)),ISNUMBER(SEARCH("concreto",$F1467))),"TUBO CRAVADO","")))</f>
        <v/>
      </c>
      <c r="T1467">
        <f>IF($A1467="","",TEXT($A1467,"yyyymm")&amp;"|"&amp;$C1467&amp;"|"&amp;$F1467&amp;"|"&amp;$N1467&amp;"|"&amp;$R1467)</f>
        <v/>
      </c>
    </row>
    <row r="1468" ht="11.55" customHeight="1">
      <c r="A1468" s="10" t="n">
        <v>46107</v>
      </c>
      <c r="B1468" s="7" t="inlineStr">
        <is>
          <t>Quinta</t>
        </is>
      </c>
      <c r="C1468" s="7" t="inlineStr">
        <is>
          <t>CT ÁGUA VERMELHA M.E.</t>
        </is>
      </c>
      <c r="D1468" s="7" t="inlineStr">
        <is>
          <t>FABIO E VALMIR</t>
        </is>
      </c>
      <c r="E1468" s="7" t="inlineStr">
        <is>
          <t>Higor</t>
        </is>
      </c>
      <c r="F1468" s="13" t="inlineStr">
        <is>
          <t>Interligação PVE 16</t>
        </is>
      </c>
      <c r="G1468" s="7" t="inlineStr">
        <is>
          <t>16</t>
        </is>
      </c>
      <c r="H1468" s="7" t="n"/>
      <c r="I1468" s="7" t="inlineStr">
        <is>
          <t>16</t>
        </is>
      </c>
      <c r="J1468" s="7" t="inlineStr">
        <is>
          <t>Interligação</t>
        </is>
      </c>
      <c r="K1468" s="7" t="inlineStr">
        <is>
          <t>Planejamento</t>
        </is>
      </c>
      <c r="L1468" s="16" t="inlineStr">
        <is>
          <t>PDS-Março(1).docx</t>
        </is>
      </c>
      <c r="M1468">
        <f>IF($A1468="","",TEXT($A1468,"mmmm/yyyy"))</f>
        <v/>
      </c>
      <c r="P1468">
        <f>IFERROR(_xludf.XLOOKUP($N1468,Base_Enderecos!$A:$A,Base_Enderecos!$B:$B,""),"")</f>
        <v/>
      </c>
      <c r="Q1468">
        <f>IFERROR(_xludf.XLOOKUP($N1468,Base_Enderecos!$A:$A,Base_Enderecos!$C:$C,""),"")</f>
        <v/>
      </c>
      <c r="R1468">
        <f>IF(OR(ISNUMBER(SEARCH("HDD",$F1468)),ISNUMBER(SEARCH("MND",$F1468)),ISNUMBER(SEARCH("PEAD",$F1468)),ISNUMBER(SEARCH("Puxe",$J1468)),ISNUMBER(SEARCH("Apoio HDD",$F1468))),"MND",IF(OR(ISNUMBER(SEARCH("VCA",$F1468)),ISNUMBER(SEARCH("PVC",$F1468)),ISNUMBER(SEARCH("vca",$J1468)),ISNUMBER(SEARCH("Transformação",$J1468))),"VCA",IF(OR(ISNUMBER(SEARCH("crava",$F1468)),ISNUMBER(SEARCH("tubo cravado",$F1468)),ISNUMBER(SEARCH("shaft",$J1468)),ISNUMBER(SEARCH("concreto",$F1468))),"TUBO CRAVADO","")))</f>
        <v/>
      </c>
      <c r="T1468">
        <f>IF($A1468="","",TEXT($A1468,"yyyymm")&amp;"|"&amp;$C1468&amp;"|"&amp;$F1468&amp;"|"&amp;$N1468&amp;"|"&amp;$R1468)</f>
        <v/>
      </c>
    </row>
    <row r="1469" ht="11.55" customHeight="1">
      <c r="A1469" s="10" t="n">
        <v>46107</v>
      </c>
      <c r="B1469" s="7" t="inlineStr">
        <is>
          <t>Quinta</t>
        </is>
      </c>
      <c r="C1469" s="7" t="inlineStr">
        <is>
          <t>RCE FCO. SOUTO MAIOR</t>
        </is>
      </c>
      <c r="D1469" s="7" t="inlineStr">
        <is>
          <t>SILVESTRE</t>
        </is>
      </c>
      <c r="E1469" s="7" t="inlineStr">
        <is>
          <t>Valter</t>
        </is>
      </c>
      <c r="F1469" s="13" t="inlineStr">
        <is>
          <t>VCA e Ligações – Rua Canto da Serra</t>
        </is>
      </c>
      <c r="G1469" s="7" t="n"/>
      <c r="H1469" s="7" t="n"/>
      <c r="I1469" s="7" t="n"/>
      <c r="J1469" s="7" t="inlineStr">
        <is>
          <t>VCA</t>
        </is>
      </c>
      <c r="K1469" s="7" t="inlineStr">
        <is>
          <t>Planejamento</t>
        </is>
      </c>
      <c r="L1469" s="16" t="inlineStr">
        <is>
          <t>PDS-Março(1).docx</t>
        </is>
      </c>
      <c r="M1469">
        <f>IF($A1469="","",TEXT($A1469,"mmmm/yyyy"))</f>
        <v/>
      </c>
      <c r="P1469">
        <f>IFERROR(_xludf.XLOOKUP($N1469,Base_Enderecos!$A:$A,Base_Enderecos!$B:$B,""),"")</f>
        <v/>
      </c>
      <c r="Q1469">
        <f>IFERROR(_xludf.XLOOKUP($N1469,Base_Enderecos!$A:$A,Base_Enderecos!$C:$C,""),"")</f>
        <v/>
      </c>
      <c r="R1469">
        <f>IF(OR(ISNUMBER(SEARCH("HDD",$F1469)),ISNUMBER(SEARCH("MND",$F1469)),ISNUMBER(SEARCH("PEAD",$F1469)),ISNUMBER(SEARCH("Puxe",$J1469)),ISNUMBER(SEARCH("Apoio HDD",$F1469))),"MND",IF(OR(ISNUMBER(SEARCH("VCA",$F1469)),ISNUMBER(SEARCH("PVC",$F1469)),ISNUMBER(SEARCH("vca",$J1469)),ISNUMBER(SEARCH("Transformação",$J1469))),"VCA",IF(OR(ISNUMBER(SEARCH("crava",$F1469)),ISNUMBER(SEARCH("tubo cravado",$F1469)),ISNUMBER(SEARCH("shaft",$J1469)),ISNUMBER(SEARCH("concreto",$F1469))),"TUBO CRAVADO","")))</f>
        <v/>
      </c>
      <c r="T1469">
        <f>IF($A1469="","",TEXT($A1469,"yyyymm")&amp;"|"&amp;$C1469&amp;"|"&amp;$F1469&amp;"|"&amp;$N1469&amp;"|"&amp;$R1469)</f>
        <v/>
      </c>
    </row>
    <row r="1470" ht="11.55" customHeight="1">
      <c r="A1470" s="10" t="n">
        <v>46107</v>
      </c>
      <c r="B1470" s="7" t="inlineStr">
        <is>
          <t>Quinta</t>
        </is>
      </c>
      <c r="C1470" s="7" t="inlineStr">
        <is>
          <t>RCE FCO. SOUTO MAIOR</t>
        </is>
      </c>
      <c r="D1470" s="7" t="inlineStr">
        <is>
          <t>SILVESTRE</t>
        </is>
      </c>
      <c r="E1470" s="7" t="inlineStr">
        <is>
          <t>Ricardo</t>
        </is>
      </c>
      <c r="F1470" s="13" t="inlineStr">
        <is>
          <t>VCA e Ligações – Rua Canto da Serra</t>
        </is>
      </c>
      <c r="G1470" s="7" t="n"/>
      <c r="H1470" s="7" t="n"/>
      <c r="I1470" s="7" t="n"/>
      <c r="J1470" s="7" t="inlineStr">
        <is>
          <t>VCA</t>
        </is>
      </c>
      <c r="K1470" s="7" t="inlineStr">
        <is>
          <t>Planejamento</t>
        </is>
      </c>
      <c r="L1470" s="16" t="inlineStr">
        <is>
          <t>PDS-Março(1).docx</t>
        </is>
      </c>
      <c r="M1470">
        <f>IF($A1470="","",TEXT($A1470,"mmmm/yyyy"))</f>
        <v/>
      </c>
      <c r="P1470">
        <f>IFERROR(_xludf.XLOOKUP($N1470,Base_Enderecos!$A:$A,Base_Enderecos!$B:$B,""),"")</f>
        <v/>
      </c>
      <c r="Q1470">
        <f>IFERROR(_xludf.XLOOKUP($N1470,Base_Enderecos!$A:$A,Base_Enderecos!$C:$C,""),"")</f>
        <v/>
      </c>
      <c r="R1470">
        <f>IF(OR(ISNUMBER(SEARCH("HDD",$F1470)),ISNUMBER(SEARCH("MND",$F1470)),ISNUMBER(SEARCH("PEAD",$F1470)),ISNUMBER(SEARCH("Puxe",$J1470)),ISNUMBER(SEARCH("Apoio HDD",$F1470))),"MND",IF(OR(ISNUMBER(SEARCH("VCA",$F1470)),ISNUMBER(SEARCH("PVC",$F1470)),ISNUMBER(SEARCH("vca",$J1470)),ISNUMBER(SEARCH("Transformação",$J1470))),"VCA",IF(OR(ISNUMBER(SEARCH("crava",$F1470)),ISNUMBER(SEARCH("tubo cravado",$F1470)),ISNUMBER(SEARCH("shaft",$J1470)),ISNUMBER(SEARCH("concreto",$F1470))),"TUBO CRAVADO","")))</f>
        <v/>
      </c>
      <c r="T1470">
        <f>IF($A1470="","",TEXT($A1470,"yyyymm")&amp;"|"&amp;$C1470&amp;"|"&amp;$F1470&amp;"|"&amp;$N1470&amp;"|"&amp;$R1470)</f>
        <v/>
      </c>
    </row>
    <row r="1471" ht="11.55" customHeight="1">
      <c r="A1471" s="10" t="n">
        <v>46107</v>
      </c>
      <c r="B1471" s="7" t="inlineStr">
        <is>
          <t>Quinta</t>
        </is>
      </c>
      <c r="C1471" s="7" t="inlineStr">
        <is>
          <t>CTS LUIS BOTELHO MOURÃO</t>
        </is>
      </c>
      <c r="D1471" s="7" t="inlineStr">
        <is>
          <t>ROBSON</t>
        </is>
      </c>
      <c r="E1471" s="7" t="inlineStr">
        <is>
          <t>Marcio</t>
        </is>
      </c>
      <c r="F1471" s="13" t="inlineStr">
        <is>
          <t>Shaft PV 06</t>
        </is>
      </c>
      <c r="G1471" s="7" t="inlineStr">
        <is>
          <t>06</t>
        </is>
      </c>
      <c r="H1471" s="7" t="n"/>
      <c r="I1471" s="7" t="inlineStr">
        <is>
          <t>06</t>
        </is>
      </c>
      <c r="J1471" s="7" t="inlineStr">
        <is>
          <t>Shaft</t>
        </is>
      </c>
      <c r="K1471" s="7" t="inlineStr">
        <is>
          <t>Planejamento</t>
        </is>
      </c>
      <c r="L1471" s="16" t="inlineStr">
        <is>
          <t>PDS-Março(1).docx</t>
        </is>
      </c>
      <c r="M1471">
        <f>IF($A1471="","",TEXT($A1471,"mmmm/yyyy"))</f>
        <v/>
      </c>
      <c r="P1471">
        <f>IFERROR(_xludf.XLOOKUP($N1471,Base_Enderecos!$A:$A,Base_Enderecos!$B:$B,""),"")</f>
        <v/>
      </c>
      <c r="Q1471">
        <f>IFERROR(_xludf.XLOOKUP($N1471,Base_Enderecos!$A:$A,Base_Enderecos!$C:$C,""),"")</f>
        <v/>
      </c>
      <c r="R1471">
        <f>IF(OR(ISNUMBER(SEARCH("HDD",$F1471)),ISNUMBER(SEARCH("MND",$F1471)),ISNUMBER(SEARCH("PEAD",$F1471)),ISNUMBER(SEARCH("Puxe",$J1471)),ISNUMBER(SEARCH("Apoio HDD",$F1471))),"MND",IF(OR(ISNUMBER(SEARCH("VCA",$F1471)),ISNUMBER(SEARCH("PVC",$F1471)),ISNUMBER(SEARCH("vca",$J1471)),ISNUMBER(SEARCH("Transformação",$J1471))),"VCA",IF(OR(ISNUMBER(SEARCH("crava",$F1471)),ISNUMBER(SEARCH("tubo cravado",$F1471)),ISNUMBER(SEARCH("shaft",$J1471)),ISNUMBER(SEARCH("concreto",$F1471))),"TUBO CRAVADO","")))</f>
        <v/>
      </c>
      <c r="T1471">
        <f>IF($A1471="","",TEXT($A1471,"yyyymm")&amp;"|"&amp;$C1471&amp;"|"&amp;$F1471&amp;"|"&amp;$N1471&amp;"|"&amp;$R1471)</f>
        <v/>
      </c>
    </row>
    <row r="1472" ht="11.55" customHeight="1">
      <c r="A1472" s="10" t="n">
        <v>46107</v>
      </c>
      <c r="B1472" s="7" t="inlineStr">
        <is>
          <t>Quinta</t>
        </is>
      </c>
      <c r="C1472" s="7" t="inlineStr">
        <is>
          <t>CTS LUIS BOTELHO MOURÃO</t>
        </is>
      </c>
      <c r="D1472" s="7" t="inlineStr">
        <is>
          <t>ROBSON</t>
        </is>
      </c>
      <c r="E1472" s="7" t="inlineStr">
        <is>
          <t>Bruno</t>
        </is>
      </c>
      <c r="F1472" s="13" t="inlineStr">
        <is>
          <t>Shaft PV 04</t>
        </is>
      </c>
      <c r="G1472" s="7" t="inlineStr">
        <is>
          <t>04</t>
        </is>
      </c>
      <c r="H1472" s="7" t="n"/>
      <c r="I1472" s="7" t="inlineStr">
        <is>
          <t>04</t>
        </is>
      </c>
      <c r="J1472" s="7" t="inlineStr">
        <is>
          <t>Shaft</t>
        </is>
      </c>
      <c r="K1472" s="7" t="inlineStr">
        <is>
          <t>Planejamento</t>
        </is>
      </c>
      <c r="L1472" s="16" t="inlineStr">
        <is>
          <t>PDS-Março(1).docx</t>
        </is>
      </c>
      <c r="M1472">
        <f>IF($A1472="","",TEXT($A1472,"mmmm/yyyy"))</f>
        <v/>
      </c>
      <c r="P1472">
        <f>IFERROR(_xludf.XLOOKUP($N1472,Base_Enderecos!$A:$A,Base_Enderecos!$B:$B,""),"")</f>
        <v/>
      </c>
      <c r="Q1472">
        <f>IFERROR(_xludf.XLOOKUP($N1472,Base_Enderecos!$A:$A,Base_Enderecos!$C:$C,""),"")</f>
        <v/>
      </c>
      <c r="R1472">
        <f>IF(OR(ISNUMBER(SEARCH("HDD",$F1472)),ISNUMBER(SEARCH("MND",$F1472)),ISNUMBER(SEARCH("PEAD",$F1472)),ISNUMBER(SEARCH("Puxe",$J1472)),ISNUMBER(SEARCH("Apoio HDD",$F1472))),"MND",IF(OR(ISNUMBER(SEARCH("VCA",$F1472)),ISNUMBER(SEARCH("PVC",$F1472)),ISNUMBER(SEARCH("vca",$J1472)),ISNUMBER(SEARCH("Transformação",$J1472))),"VCA",IF(OR(ISNUMBER(SEARCH("crava",$F1472)),ISNUMBER(SEARCH("tubo cravado",$F1472)),ISNUMBER(SEARCH("shaft",$J1472)),ISNUMBER(SEARCH("concreto",$F1472))),"TUBO CRAVADO","")))</f>
        <v/>
      </c>
      <c r="T1472">
        <f>IF($A1472="","",TEXT($A1472,"yyyymm")&amp;"|"&amp;$C1472&amp;"|"&amp;$F1472&amp;"|"&amp;$N1472&amp;"|"&amp;$R1472)</f>
        <v/>
      </c>
    </row>
    <row r="1473" ht="11.55" customHeight="1">
      <c r="A1473" s="10" t="n">
        <v>46107</v>
      </c>
      <c r="B1473" s="7" t="inlineStr">
        <is>
          <t>Quinta</t>
        </is>
      </c>
      <c r="C1473" s="7" t="inlineStr">
        <is>
          <t>CTS LUIS BOTELHO MOURÃO</t>
        </is>
      </c>
      <c r="D1473" s="7" t="inlineStr">
        <is>
          <t>ROBSON</t>
        </is>
      </c>
      <c r="E1473" s="7" t="inlineStr">
        <is>
          <t>Cidão</t>
        </is>
      </c>
      <c r="F1473" s="13" t="inlineStr">
        <is>
          <t>Shaft PV 03</t>
        </is>
      </c>
      <c r="G1473" s="7" t="inlineStr">
        <is>
          <t>03</t>
        </is>
      </c>
      <c r="H1473" s="7" t="n"/>
      <c r="I1473" s="7" t="inlineStr">
        <is>
          <t>03</t>
        </is>
      </c>
      <c r="J1473" s="7" t="inlineStr">
        <is>
          <t>Shaft</t>
        </is>
      </c>
      <c r="K1473" s="7" t="inlineStr">
        <is>
          <t>Planejamento</t>
        </is>
      </c>
      <c r="L1473" s="16" t="inlineStr">
        <is>
          <t>PDS-Março(1).docx</t>
        </is>
      </c>
      <c r="M1473">
        <f>IF($A1473="","",TEXT($A1473,"mmmm/yyyy"))</f>
        <v/>
      </c>
      <c r="P1473">
        <f>IFERROR(_xludf.XLOOKUP($N1473,Base_Enderecos!$A:$A,Base_Enderecos!$B:$B,""),"")</f>
        <v/>
      </c>
      <c r="Q1473">
        <f>IFERROR(_xludf.XLOOKUP($N1473,Base_Enderecos!$A:$A,Base_Enderecos!$C:$C,""),"")</f>
        <v/>
      </c>
      <c r="R1473">
        <f>IF(OR(ISNUMBER(SEARCH("HDD",$F1473)),ISNUMBER(SEARCH("MND",$F1473)),ISNUMBER(SEARCH("PEAD",$F1473)),ISNUMBER(SEARCH("Puxe",$J1473)),ISNUMBER(SEARCH("Apoio HDD",$F1473))),"MND",IF(OR(ISNUMBER(SEARCH("VCA",$F1473)),ISNUMBER(SEARCH("PVC",$F1473)),ISNUMBER(SEARCH("vca",$J1473)),ISNUMBER(SEARCH("Transformação",$J1473))),"VCA",IF(OR(ISNUMBER(SEARCH("crava",$F1473)),ISNUMBER(SEARCH("tubo cravado",$F1473)),ISNUMBER(SEARCH("shaft",$J1473)),ISNUMBER(SEARCH("concreto",$F1473))),"TUBO CRAVADO","")))</f>
        <v/>
      </c>
      <c r="T1473">
        <f>IF($A1473="","",TEXT($A1473,"yyyymm")&amp;"|"&amp;$C1473&amp;"|"&amp;$F1473&amp;"|"&amp;$N1473&amp;"|"&amp;$R1473)</f>
        <v/>
      </c>
    </row>
    <row r="1474" ht="11.55" customHeight="1">
      <c r="A1474" s="10" t="n">
        <v>46107</v>
      </c>
      <c r="B1474" s="7" t="inlineStr">
        <is>
          <t>Quinta</t>
        </is>
      </c>
      <c r="C1474" s="7" t="inlineStr">
        <is>
          <t>Vacal</t>
        </is>
      </c>
      <c r="D1474" s="7" t="n"/>
      <c r="E1474" s="7" t="inlineStr">
        <is>
          <t>Conceição – BRD</t>
        </is>
      </c>
      <c r="F1474" s="13" t="inlineStr">
        <is>
          <t>Apoio Vacal</t>
        </is>
      </c>
      <c r="G1474" s="7" t="n"/>
      <c r="H1474" s="7" t="n"/>
      <c r="I1474" s="7" t="n"/>
      <c r="J1474" s="7" t="inlineStr">
        <is>
          <t>Vacal</t>
        </is>
      </c>
      <c r="K1474" s="7" t="inlineStr">
        <is>
          <t>Apoio</t>
        </is>
      </c>
      <c r="L1474" s="16" t="inlineStr">
        <is>
          <t>PDS-Março(1).docx</t>
        </is>
      </c>
      <c r="M1474">
        <f>IF($A1474="","",TEXT($A1474,"mmmm/yyyy"))</f>
        <v/>
      </c>
      <c r="P1474">
        <f>IFERROR(_xludf.XLOOKUP($N1474,Base_Enderecos!$A:$A,Base_Enderecos!$B:$B,""),"")</f>
        <v/>
      </c>
      <c r="Q1474">
        <f>IFERROR(_xludf.XLOOKUP($N1474,Base_Enderecos!$A:$A,Base_Enderecos!$C:$C,""),"")</f>
        <v/>
      </c>
      <c r="R1474">
        <f>IF(OR(ISNUMBER(SEARCH("HDD",$F1474)),ISNUMBER(SEARCH("MND",$F1474)),ISNUMBER(SEARCH("PEAD",$F1474)),ISNUMBER(SEARCH("Puxe",$J1474)),ISNUMBER(SEARCH("Apoio HDD",$F1474))),"MND",IF(OR(ISNUMBER(SEARCH("VCA",$F1474)),ISNUMBER(SEARCH("PVC",$F1474)),ISNUMBER(SEARCH("vca",$J1474)),ISNUMBER(SEARCH("Transformação",$J1474))),"VCA",IF(OR(ISNUMBER(SEARCH("crava",$F1474)),ISNUMBER(SEARCH("tubo cravado",$F1474)),ISNUMBER(SEARCH("shaft",$J1474)),ISNUMBER(SEARCH("concreto",$F1474))),"TUBO CRAVADO","")))</f>
        <v/>
      </c>
      <c r="T1474">
        <f>IF($A1474="","",TEXT($A1474,"yyyymm")&amp;"|"&amp;$C1474&amp;"|"&amp;$F1474&amp;"|"&amp;$N1474&amp;"|"&amp;$R1474)</f>
        <v/>
      </c>
    </row>
    <row r="1475" ht="11.55" customHeight="1">
      <c r="A1475" s="10" t="n">
        <v>46107</v>
      </c>
      <c r="B1475" s="7" t="inlineStr">
        <is>
          <t>Quinta</t>
        </is>
      </c>
      <c r="C1475" s="7" t="inlineStr">
        <is>
          <t>Vacal</t>
        </is>
      </c>
      <c r="D1475" s="7" t="n"/>
      <c r="E1475" s="7" t="inlineStr">
        <is>
          <t>Água Vermelha - Renasce</t>
        </is>
      </c>
      <c r="F1475" s="13" t="inlineStr">
        <is>
          <t>Apoio Vacal</t>
        </is>
      </c>
      <c r="G1475" s="7" t="n"/>
      <c r="H1475" s="7" t="n"/>
      <c r="I1475" s="7" t="n"/>
      <c r="J1475" s="7" t="inlineStr">
        <is>
          <t>Vacal</t>
        </is>
      </c>
      <c r="K1475" s="7" t="inlineStr">
        <is>
          <t>Apoio</t>
        </is>
      </c>
      <c r="L1475" s="16" t="inlineStr">
        <is>
          <t>PDS-Março(1).docx</t>
        </is>
      </c>
      <c r="M1475">
        <f>IF($A1475="","",TEXT($A1475,"mmmm/yyyy"))</f>
        <v/>
      </c>
      <c r="P1475">
        <f>IFERROR(_xludf.XLOOKUP($N1475,Base_Enderecos!$A:$A,Base_Enderecos!$B:$B,""),"")</f>
        <v/>
      </c>
      <c r="Q1475">
        <f>IFERROR(_xludf.XLOOKUP($N1475,Base_Enderecos!$A:$A,Base_Enderecos!$C:$C,""),"")</f>
        <v/>
      </c>
      <c r="R1475">
        <f>IF(OR(ISNUMBER(SEARCH("HDD",$F1475)),ISNUMBER(SEARCH("MND",$F1475)),ISNUMBER(SEARCH("PEAD",$F1475)),ISNUMBER(SEARCH("Puxe",$J1475)),ISNUMBER(SEARCH("Apoio HDD",$F1475))),"MND",IF(OR(ISNUMBER(SEARCH("VCA",$F1475)),ISNUMBER(SEARCH("PVC",$F1475)),ISNUMBER(SEARCH("vca",$J1475)),ISNUMBER(SEARCH("Transformação",$J1475))),"VCA",IF(OR(ISNUMBER(SEARCH("crava",$F1475)),ISNUMBER(SEARCH("tubo cravado",$F1475)),ISNUMBER(SEARCH("shaft",$J1475)),ISNUMBER(SEARCH("concreto",$F1475))),"TUBO CRAVADO","")))</f>
        <v/>
      </c>
      <c r="T1475">
        <f>IF($A1475="","",TEXT($A1475,"yyyymm")&amp;"|"&amp;$C1475&amp;"|"&amp;$F1475&amp;"|"&amp;$N1475&amp;"|"&amp;$R1475)</f>
        <v/>
      </c>
    </row>
    <row r="1476" ht="11.55" customHeight="1">
      <c r="A1476" s="10" t="n">
        <v>46107</v>
      </c>
      <c r="B1476" s="7" t="inlineStr">
        <is>
          <t>Quinta</t>
        </is>
      </c>
      <c r="C1476" s="7" t="inlineStr">
        <is>
          <t>Vacal</t>
        </is>
      </c>
      <c r="D1476" s="7" t="n"/>
      <c r="E1476" s="7" t="inlineStr">
        <is>
          <t>Botelho Mourão - Renasce</t>
        </is>
      </c>
      <c r="F1476" s="13" t="inlineStr">
        <is>
          <t>Apoio Vacal</t>
        </is>
      </c>
      <c r="G1476" s="7" t="n"/>
      <c r="H1476" s="7" t="n"/>
      <c r="I1476" s="7" t="n"/>
      <c r="J1476" s="7" t="inlineStr">
        <is>
          <t>Vacal</t>
        </is>
      </c>
      <c r="K1476" s="7" t="inlineStr">
        <is>
          <t>Apoio</t>
        </is>
      </c>
      <c r="L1476" s="16" t="inlineStr">
        <is>
          <t>PDS-Março(1).docx</t>
        </is>
      </c>
      <c r="M1476">
        <f>IF($A1476="","",TEXT($A1476,"mmmm/yyyy"))</f>
        <v/>
      </c>
      <c r="P1476">
        <f>IFERROR(_xludf.XLOOKUP($N1476,Base_Enderecos!$A:$A,Base_Enderecos!$B:$B,""),"")</f>
        <v/>
      </c>
      <c r="Q1476">
        <f>IFERROR(_xludf.XLOOKUP($N1476,Base_Enderecos!$A:$A,Base_Enderecos!$C:$C,""),"")</f>
        <v/>
      </c>
      <c r="R1476">
        <f>IF(OR(ISNUMBER(SEARCH("HDD",$F1476)),ISNUMBER(SEARCH("MND",$F1476)),ISNUMBER(SEARCH("PEAD",$F1476)),ISNUMBER(SEARCH("Puxe",$J1476)),ISNUMBER(SEARCH("Apoio HDD",$F1476))),"MND",IF(OR(ISNUMBER(SEARCH("VCA",$F1476)),ISNUMBER(SEARCH("PVC",$F1476)),ISNUMBER(SEARCH("vca",$J1476)),ISNUMBER(SEARCH("Transformação",$J1476))),"VCA",IF(OR(ISNUMBER(SEARCH("crava",$F1476)),ISNUMBER(SEARCH("tubo cravado",$F1476)),ISNUMBER(SEARCH("shaft",$J1476)),ISNUMBER(SEARCH("concreto",$F1476))),"TUBO CRAVADO","")))</f>
        <v/>
      </c>
      <c r="T1476">
        <f>IF($A1476="","",TEXT($A1476,"yyyymm")&amp;"|"&amp;$C1476&amp;"|"&amp;$F1476&amp;"|"&amp;$N1476&amp;"|"&amp;$R1476)</f>
        <v/>
      </c>
    </row>
    <row r="1477" ht="11.55" customHeight="1">
      <c r="A1477" s="10" t="n">
        <v>46107</v>
      </c>
      <c r="B1477" s="7" t="inlineStr">
        <is>
          <t>Quinta</t>
        </is>
      </c>
      <c r="C1477" s="7" t="inlineStr">
        <is>
          <t>Vacal</t>
        </is>
      </c>
      <c r="D1477" s="7" t="n"/>
      <c r="E1477" s="7" t="inlineStr">
        <is>
          <t>Água Vermelha – Hidrosol</t>
        </is>
      </c>
      <c r="F1477" s="13" t="inlineStr">
        <is>
          <t>Apoio Vacal</t>
        </is>
      </c>
      <c r="G1477" s="7" t="n"/>
      <c r="H1477" s="7" t="n"/>
      <c r="I1477" s="7" t="n"/>
      <c r="J1477" s="7" t="inlineStr">
        <is>
          <t>Vacal</t>
        </is>
      </c>
      <c r="K1477" s="7" t="inlineStr">
        <is>
          <t>Apoio</t>
        </is>
      </c>
      <c r="L1477" s="16" t="inlineStr">
        <is>
          <t>PDS-Março(1).docx</t>
        </is>
      </c>
      <c r="M1477">
        <f>IF($A1477="","",TEXT($A1477,"mmmm/yyyy"))</f>
        <v/>
      </c>
      <c r="P1477">
        <f>IFERROR(_xludf.XLOOKUP($N1477,Base_Enderecos!$A:$A,Base_Enderecos!$B:$B,""),"")</f>
        <v/>
      </c>
      <c r="Q1477">
        <f>IFERROR(_xludf.XLOOKUP($N1477,Base_Enderecos!$A:$A,Base_Enderecos!$C:$C,""),"")</f>
        <v/>
      </c>
      <c r="R1477">
        <f>IF(OR(ISNUMBER(SEARCH("HDD",$F1477)),ISNUMBER(SEARCH("MND",$F1477)),ISNUMBER(SEARCH("PEAD",$F1477)),ISNUMBER(SEARCH("Puxe",$J1477)),ISNUMBER(SEARCH("Apoio HDD",$F1477))),"MND",IF(OR(ISNUMBER(SEARCH("VCA",$F1477)),ISNUMBER(SEARCH("PVC",$F1477)),ISNUMBER(SEARCH("vca",$J1477)),ISNUMBER(SEARCH("Transformação",$J1477))),"VCA",IF(OR(ISNUMBER(SEARCH("crava",$F1477)),ISNUMBER(SEARCH("tubo cravado",$F1477)),ISNUMBER(SEARCH("shaft",$J1477)),ISNUMBER(SEARCH("concreto",$F1477))),"TUBO CRAVADO","")))</f>
        <v/>
      </c>
      <c r="T1477">
        <f>IF($A1477="","",TEXT($A1477,"yyyymm")&amp;"|"&amp;$C1477&amp;"|"&amp;$F1477&amp;"|"&amp;$N1477&amp;"|"&amp;$R1477)</f>
        <v/>
      </c>
    </row>
    <row r="1478" ht="11.55" customHeight="1">
      <c r="A1478" s="10" t="n">
        <v>46107</v>
      </c>
      <c r="B1478" s="7" t="inlineStr">
        <is>
          <t>Quinta</t>
        </is>
      </c>
      <c r="C1478" s="7" t="inlineStr">
        <is>
          <t>Guindauto</t>
        </is>
      </c>
      <c r="D1478" s="7" t="n"/>
      <c r="E1478" s="7" t="inlineStr">
        <is>
          <t>Rodrigo</t>
        </is>
      </c>
      <c r="F1478" s="13" t="inlineStr">
        <is>
          <t>Rodrigo - Apoio as equipes</t>
        </is>
      </c>
      <c r="G1478" s="7" t="n"/>
      <c r="H1478" s="7" t="n"/>
      <c r="I1478" s="7" t="n"/>
      <c r="J1478" s="7" t="inlineStr">
        <is>
          <t>Guindauto</t>
        </is>
      </c>
      <c r="K1478" s="7" t="inlineStr">
        <is>
          <t>Apoio</t>
        </is>
      </c>
      <c r="L1478" s="16" t="inlineStr">
        <is>
          <t>PDS-Março(1).docx</t>
        </is>
      </c>
      <c r="M1478">
        <f>IF($A1478="","",TEXT($A1478,"mmmm/yyyy"))</f>
        <v/>
      </c>
      <c r="P1478">
        <f>IFERROR(_xludf.XLOOKUP($N1478,Base_Enderecos!$A:$A,Base_Enderecos!$B:$B,""),"")</f>
        <v/>
      </c>
      <c r="Q1478">
        <f>IFERROR(_xludf.XLOOKUP($N1478,Base_Enderecos!$A:$A,Base_Enderecos!$C:$C,""),"")</f>
        <v/>
      </c>
      <c r="R1478">
        <f>IF(OR(ISNUMBER(SEARCH("HDD",$F1478)),ISNUMBER(SEARCH("MND",$F1478)),ISNUMBER(SEARCH("PEAD",$F1478)),ISNUMBER(SEARCH("Puxe",$J1478)),ISNUMBER(SEARCH("Apoio HDD",$F1478))),"MND",IF(OR(ISNUMBER(SEARCH("VCA",$F1478)),ISNUMBER(SEARCH("PVC",$F1478)),ISNUMBER(SEARCH("vca",$J1478)),ISNUMBER(SEARCH("Transformação",$J1478))),"VCA",IF(OR(ISNUMBER(SEARCH("crava",$F1478)),ISNUMBER(SEARCH("tubo cravado",$F1478)),ISNUMBER(SEARCH("shaft",$J1478)),ISNUMBER(SEARCH("concreto",$F1478))),"TUBO CRAVADO","")))</f>
        <v/>
      </c>
      <c r="T1478">
        <f>IF($A1478="","",TEXT($A1478,"yyyymm")&amp;"|"&amp;$C1478&amp;"|"&amp;$F1478&amp;"|"&amp;$N1478&amp;"|"&amp;$R1478)</f>
        <v/>
      </c>
    </row>
    <row r="1479" ht="11.55" customHeight="1">
      <c r="A1479" s="10" t="n">
        <v>46107</v>
      </c>
      <c r="B1479" s="7" t="inlineStr">
        <is>
          <t>Quinta</t>
        </is>
      </c>
      <c r="C1479" s="7" t="inlineStr">
        <is>
          <t>Guindauto</t>
        </is>
      </c>
      <c r="D1479" s="7" t="n"/>
      <c r="E1479" s="7" t="inlineStr">
        <is>
          <t>Marcio</t>
        </is>
      </c>
      <c r="F1479" s="13" t="inlineStr">
        <is>
          <t>Marcio - Apoio as equipes</t>
        </is>
      </c>
      <c r="G1479" s="7" t="n"/>
      <c r="H1479" s="7" t="n"/>
      <c r="I1479" s="7" t="n"/>
      <c r="J1479" s="7" t="inlineStr">
        <is>
          <t>Guindauto</t>
        </is>
      </c>
      <c r="K1479" s="7" t="inlineStr">
        <is>
          <t>Apoio</t>
        </is>
      </c>
      <c r="L1479" s="16" t="inlineStr">
        <is>
          <t>PDS-Março(1).docx</t>
        </is>
      </c>
      <c r="M1479">
        <f>IF($A1479="","",TEXT($A1479,"mmmm/yyyy"))</f>
        <v/>
      </c>
      <c r="P1479">
        <f>IFERROR(_xludf.XLOOKUP($N1479,Base_Enderecos!$A:$A,Base_Enderecos!$B:$B,""),"")</f>
        <v/>
      </c>
      <c r="Q1479">
        <f>IFERROR(_xludf.XLOOKUP($N1479,Base_Enderecos!$A:$A,Base_Enderecos!$C:$C,""),"")</f>
        <v/>
      </c>
      <c r="R1479">
        <f>IF(OR(ISNUMBER(SEARCH("HDD",$F1479)),ISNUMBER(SEARCH("MND",$F1479)),ISNUMBER(SEARCH("PEAD",$F1479)),ISNUMBER(SEARCH("Puxe",$J1479)),ISNUMBER(SEARCH("Apoio HDD",$F1479))),"MND",IF(OR(ISNUMBER(SEARCH("VCA",$F1479)),ISNUMBER(SEARCH("PVC",$F1479)),ISNUMBER(SEARCH("vca",$J1479)),ISNUMBER(SEARCH("Transformação",$J1479))),"VCA",IF(OR(ISNUMBER(SEARCH("crava",$F1479)),ISNUMBER(SEARCH("tubo cravado",$F1479)),ISNUMBER(SEARCH("shaft",$J1479)),ISNUMBER(SEARCH("concreto",$F1479))),"TUBO CRAVADO","")))</f>
        <v/>
      </c>
      <c r="T1479">
        <f>IF($A1479="","",TEXT($A1479,"yyyymm")&amp;"|"&amp;$C1479&amp;"|"&amp;$F1479&amp;"|"&amp;$N1479&amp;"|"&amp;$R1479)</f>
        <v/>
      </c>
    </row>
    <row r="1480" ht="11.55" customHeight="1">
      <c r="A1480" s="10" t="n">
        <v>46108</v>
      </c>
      <c r="B1480" s="7" t="inlineStr">
        <is>
          <t>Sexta</t>
        </is>
      </c>
      <c r="C1480" s="7" t="inlineStr">
        <is>
          <t>CTS CONCEIÇÃO</t>
        </is>
      </c>
      <c r="D1480" s="7" t="inlineStr">
        <is>
          <t>LEANDRO E SILVESTRE</t>
        </is>
      </c>
      <c r="E1480" s="7" t="inlineStr">
        <is>
          <t>GR Drill</t>
        </is>
      </c>
      <c r="F1480" s="13" t="inlineStr">
        <is>
          <t>Piloto e puxe entre PV 09 ao 10.1</t>
        </is>
      </c>
      <c r="G1480" s="7" t="inlineStr">
        <is>
          <t>09</t>
        </is>
      </c>
      <c r="H1480" s="7" t="n"/>
      <c r="I1480" s="7" t="inlineStr">
        <is>
          <t>09</t>
        </is>
      </c>
      <c r="J1480" s="7" t="inlineStr">
        <is>
          <t>Piloto e puxe</t>
        </is>
      </c>
      <c r="K1480" s="7" t="inlineStr">
        <is>
          <t>Planejamento</t>
        </is>
      </c>
      <c r="L1480" s="16" t="inlineStr">
        <is>
          <t>PDS-Março(1).docx</t>
        </is>
      </c>
      <c r="M1480">
        <f>IF($A1480="","",TEXT($A1480,"mmmm/yyyy"))</f>
        <v/>
      </c>
      <c r="P1480">
        <f>IFERROR(_xludf.XLOOKUP($N1480,Base_Enderecos!$A:$A,Base_Enderecos!$B:$B,""),"")</f>
        <v/>
      </c>
      <c r="Q1480">
        <f>IFERROR(_xludf.XLOOKUP($N1480,Base_Enderecos!$A:$A,Base_Enderecos!$C:$C,""),"")</f>
        <v/>
      </c>
      <c r="R1480">
        <f>IF(OR(ISNUMBER(SEARCH("HDD",$F1480)),ISNUMBER(SEARCH("MND",$F1480)),ISNUMBER(SEARCH("PEAD",$F1480)),ISNUMBER(SEARCH("Puxe",$J1480)),ISNUMBER(SEARCH("Apoio HDD",$F1480))),"MND",IF(OR(ISNUMBER(SEARCH("VCA",$F1480)),ISNUMBER(SEARCH("PVC",$F1480)),ISNUMBER(SEARCH("vca",$J1480)),ISNUMBER(SEARCH("Transformação",$J1480))),"VCA",IF(OR(ISNUMBER(SEARCH("crava",$F1480)),ISNUMBER(SEARCH("tubo cravado",$F1480)),ISNUMBER(SEARCH("shaft",$J1480)),ISNUMBER(SEARCH("concreto",$F1480))),"TUBO CRAVADO","")))</f>
        <v/>
      </c>
      <c r="T1480">
        <f>IF($A1480="","",TEXT($A1480,"yyyymm")&amp;"|"&amp;$C1480&amp;"|"&amp;$F1480&amp;"|"&amp;$N1480&amp;"|"&amp;$R1480)</f>
        <v/>
      </c>
    </row>
    <row r="1481" ht="11.55" customHeight="1">
      <c r="A1481" s="10" t="n">
        <v>46108</v>
      </c>
      <c r="B1481" s="7" t="inlineStr">
        <is>
          <t>Sexta</t>
        </is>
      </c>
      <c r="C1481" s="7" t="inlineStr">
        <is>
          <t>CTS CONCEIÇÃO</t>
        </is>
      </c>
      <c r="D1481" s="7" t="inlineStr">
        <is>
          <t>LEANDRO E SILVESTRE</t>
        </is>
      </c>
      <c r="E1481" s="7" t="inlineStr">
        <is>
          <t>Medeiros</t>
        </is>
      </c>
      <c r="F1481" s="13" t="inlineStr">
        <is>
          <t>Apoio HDD entre PV 09 ao 10.1</t>
        </is>
      </c>
      <c r="G1481" s="7" t="inlineStr">
        <is>
          <t>09</t>
        </is>
      </c>
      <c r="H1481" s="7" t="n"/>
      <c r="I1481" s="7" t="inlineStr">
        <is>
          <t>09</t>
        </is>
      </c>
      <c r="J1481" s="7" t="inlineStr">
        <is>
          <t>Apoio HDD</t>
        </is>
      </c>
      <c r="K1481" s="7" t="inlineStr">
        <is>
          <t>Planejamento</t>
        </is>
      </c>
      <c r="L1481" s="16" t="inlineStr">
        <is>
          <t>PDS-Março(1).docx</t>
        </is>
      </c>
      <c r="M1481">
        <f>IF($A1481="","",TEXT($A1481,"mmmm/yyyy"))</f>
        <v/>
      </c>
      <c r="P1481">
        <f>IFERROR(_xludf.XLOOKUP($N1481,Base_Enderecos!$A:$A,Base_Enderecos!$B:$B,""),"")</f>
        <v/>
      </c>
      <c r="Q1481">
        <f>IFERROR(_xludf.XLOOKUP($N1481,Base_Enderecos!$A:$A,Base_Enderecos!$C:$C,""),"")</f>
        <v/>
      </c>
      <c r="R1481">
        <f>IF(OR(ISNUMBER(SEARCH("HDD",$F1481)),ISNUMBER(SEARCH("MND",$F1481)),ISNUMBER(SEARCH("PEAD",$F1481)),ISNUMBER(SEARCH("Puxe",$J1481)),ISNUMBER(SEARCH("Apoio HDD",$F1481))),"MND",IF(OR(ISNUMBER(SEARCH("VCA",$F1481)),ISNUMBER(SEARCH("PVC",$F1481)),ISNUMBER(SEARCH("vca",$J1481)),ISNUMBER(SEARCH("Transformação",$J1481))),"VCA",IF(OR(ISNUMBER(SEARCH("crava",$F1481)),ISNUMBER(SEARCH("tubo cravado",$F1481)),ISNUMBER(SEARCH("shaft",$J1481)),ISNUMBER(SEARCH("concreto",$F1481))),"TUBO CRAVADO","")))</f>
        <v/>
      </c>
      <c r="T1481">
        <f>IF($A1481="","",TEXT($A1481,"yyyymm")&amp;"|"&amp;$C1481&amp;"|"&amp;$F1481&amp;"|"&amp;$N1481&amp;"|"&amp;$R1481)</f>
        <v/>
      </c>
    </row>
    <row r="1482" ht="11.55" customHeight="1">
      <c r="A1482" s="10" t="n">
        <v>46108</v>
      </c>
      <c r="B1482" s="7" t="inlineStr">
        <is>
          <t>Sexta</t>
        </is>
      </c>
      <c r="C1482" s="7" t="inlineStr">
        <is>
          <t>CTS CONCEIÇÃO</t>
        </is>
      </c>
      <c r="D1482" s="7" t="inlineStr">
        <is>
          <t>LEANDRO E SILVESTRE</t>
        </is>
      </c>
      <c r="E1482" s="7" t="inlineStr">
        <is>
          <t>Carlos</t>
        </is>
      </c>
      <c r="F1482" s="13" t="inlineStr">
        <is>
          <t>Shaft PV 10</t>
        </is>
      </c>
      <c r="G1482" s="7" t="inlineStr">
        <is>
          <t>10</t>
        </is>
      </c>
      <c r="H1482" s="7" t="n"/>
      <c r="I1482" s="7" t="inlineStr">
        <is>
          <t>10</t>
        </is>
      </c>
      <c r="J1482" s="7" t="inlineStr">
        <is>
          <t>Shaft</t>
        </is>
      </c>
      <c r="K1482" s="7" t="inlineStr">
        <is>
          <t>Planejamento</t>
        </is>
      </c>
      <c r="L1482" s="16" t="inlineStr">
        <is>
          <t>PDS-Março(1).docx</t>
        </is>
      </c>
      <c r="M1482">
        <f>IF($A1482="","",TEXT($A1482,"mmmm/yyyy"))</f>
        <v/>
      </c>
      <c r="P1482">
        <f>IFERROR(_xludf.XLOOKUP($N1482,Base_Enderecos!$A:$A,Base_Enderecos!$B:$B,""),"")</f>
        <v/>
      </c>
      <c r="Q1482">
        <f>IFERROR(_xludf.XLOOKUP($N1482,Base_Enderecos!$A:$A,Base_Enderecos!$C:$C,""),"")</f>
        <v/>
      </c>
      <c r="R1482">
        <f>IF(OR(ISNUMBER(SEARCH("HDD",$F1482)),ISNUMBER(SEARCH("MND",$F1482)),ISNUMBER(SEARCH("PEAD",$F1482)),ISNUMBER(SEARCH("Puxe",$J1482)),ISNUMBER(SEARCH("Apoio HDD",$F1482))),"MND",IF(OR(ISNUMBER(SEARCH("VCA",$F1482)),ISNUMBER(SEARCH("PVC",$F1482)),ISNUMBER(SEARCH("vca",$J1482)),ISNUMBER(SEARCH("Transformação",$J1482))),"VCA",IF(OR(ISNUMBER(SEARCH("crava",$F1482)),ISNUMBER(SEARCH("tubo cravado",$F1482)),ISNUMBER(SEARCH("shaft",$J1482)),ISNUMBER(SEARCH("concreto",$F1482))),"TUBO CRAVADO","")))</f>
        <v/>
      </c>
      <c r="T1482">
        <f>IF($A1482="","",TEXT($A1482,"yyyymm")&amp;"|"&amp;$C1482&amp;"|"&amp;$F1482&amp;"|"&amp;$N1482&amp;"|"&amp;$R1482)</f>
        <v/>
      </c>
    </row>
    <row r="1483" ht="11.55" customHeight="1">
      <c r="A1483" s="10" t="n">
        <v>46108</v>
      </c>
      <c r="B1483" s="7" t="inlineStr">
        <is>
          <t>Sexta</t>
        </is>
      </c>
      <c r="C1483" s="7" t="inlineStr">
        <is>
          <t>CTS CONCEIÇÃO</t>
        </is>
      </c>
      <c r="D1483" s="7" t="inlineStr">
        <is>
          <t>LEANDRO E SILVESTRE</t>
        </is>
      </c>
      <c r="E1483" s="7" t="inlineStr">
        <is>
          <t>Cesar</t>
        </is>
      </c>
      <c r="F1483" s="13" t="inlineStr">
        <is>
          <t>Shaft PV 10.2</t>
        </is>
      </c>
      <c r="G1483" s="7" t="inlineStr">
        <is>
          <t>10.2</t>
        </is>
      </c>
      <c r="H1483" s="7" t="n"/>
      <c r="I1483" s="7" t="inlineStr">
        <is>
          <t>10.2</t>
        </is>
      </c>
      <c r="J1483" s="7" t="inlineStr">
        <is>
          <t>Shaft</t>
        </is>
      </c>
      <c r="K1483" s="7" t="inlineStr">
        <is>
          <t>Planejamento</t>
        </is>
      </c>
      <c r="L1483" s="16" t="inlineStr">
        <is>
          <t>PDS-Março(1).docx</t>
        </is>
      </c>
      <c r="M1483">
        <f>IF($A1483="","",TEXT($A1483,"mmmm/yyyy"))</f>
        <v/>
      </c>
      <c r="P1483">
        <f>IFERROR(_xludf.XLOOKUP($N1483,Base_Enderecos!$A:$A,Base_Enderecos!$B:$B,""),"")</f>
        <v/>
      </c>
      <c r="Q1483">
        <f>IFERROR(_xludf.XLOOKUP($N1483,Base_Enderecos!$A:$A,Base_Enderecos!$C:$C,""),"")</f>
        <v/>
      </c>
      <c r="R1483">
        <f>IF(OR(ISNUMBER(SEARCH("HDD",$F1483)),ISNUMBER(SEARCH("MND",$F1483)),ISNUMBER(SEARCH("PEAD",$F1483)),ISNUMBER(SEARCH("Puxe",$J1483)),ISNUMBER(SEARCH("Apoio HDD",$F1483))),"MND",IF(OR(ISNUMBER(SEARCH("VCA",$F1483)),ISNUMBER(SEARCH("PVC",$F1483)),ISNUMBER(SEARCH("vca",$J1483)),ISNUMBER(SEARCH("Transformação",$J1483))),"VCA",IF(OR(ISNUMBER(SEARCH("crava",$F1483)),ISNUMBER(SEARCH("tubo cravado",$F1483)),ISNUMBER(SEARCH("shaft",$J1483)),ISNUMBER(SEARCH("concreto",$F1483))),"TUBO CRAVADO","")))</f>
        <v/>
      </c>
      <c r="T1483">
        <f>IF($A1483="","",TEXT($A1483,"yyyymm")&amp;"|"&amp;$C1483&amp;"|"&amp;$F1483&amp;"|"&amp;$N1483&amp;"|"&amp;$R1483)</f>
        <v/>
      </c>
    </row>
    <row r="1484" ht="11.55" customHeight="1">
      <c r="A1484" s="10" t="n">
        <v>46108</v>
      </c>
      <c r="B1484" s="7" t="inlineStr">
        <is>
          <t>Sexta</t>
        </is>
      </c>
      <c r="C1484" s="7" t="inlineStr">
        <is>
          <t>CTS CONCEIÇÃO</t>
        </is>
      </c>
      <c r="D1484" s="7" t="inlineStr">
        <is>
          <t>LEANDRO E SILVESTRE</t>
        </is>
      </c>
      <c r="E1484" s="7" t="inlineStr">
        <is>
          <t>Edivando</t>
        </is>
      </c>
      <c r="F1484" s="13" t="inlineStr">
        <is>
          <t>Transformação PV 06</t>
        </is>
      </c>
      <c r="G1484" s="7" t="inlineStr">
        <is>
          <t>06</t>
        </is>
      </c>
      <c r="H1484" s="7" t="n"/>
      <c r="I1484" s="7" t="inlineStr">
        <is>
          <t>06</t>
        </is>
      </c>
      <c r="J1484" s="7" t="inlineStr">
        <is>
          <t>Transformação</t>
        </is>
      </c>
      <c r="K1484" s="7" t="inlineStr">
        <is>
          <t>Planejamento</t>
        </is>
      </c>
      <c r="L1484" s="16" t="inlineStr">
        <is>
          <t>PDS-Março(1).docx</t>
        </is>
      </c>
      <c r="M1484">
        <f>IF($A1484="","",TEXT($A1484,"mmmm/yyyy"))</f>
        <v/>
      </c>
      <c r="P1484">
        <f>IFERROR(_xludf.XLOOKUP($N1484,Base_Enderecos!$A:$A,Base_Enderecos!$B:$B,""),"")</f>
        <v/>
      </c>
      <c r="Q1484">
        <f>IFERROR(_xludf.XLOOKUP($N1484,Base_Enderecos!$A:$A,Base_Enderecos!$C:$C,""),"")</f>
        <v/>
      </c>
      <c r="R1484">
        <f>IF(OR(ISNUMBER(SEARCH("HDD",$F1484)),ISNUMBER(SEARCH("MND",$F1484)),ISNUMBER(SEARCH("PEAD",$F1484)),ISNUMBER(SEARCH("Puxe",$J1484)),ISNUMBER(SEARCH("Apoio HDD",$F1484))),"MND",IF(OR(ISNUMBER(SEARCH("VCA",$F1484)),ISNUMBER(SEARCH("PVC",$F1484)),ISNUMBER(SEARCH("vca",$J1484)),ISNUMBER(SEARCH("Transformação",$J1484))),"VCA",IF(OR(ISNUMBER(SEARCH("crava",$F1484)),ISNUMBER(SEARCH("tubo cravado",$F1484)),ISNUMBER(SEARCH("shaft",$J1484)),ISNUMBER(SEARCH("concreto",$F1484))),"TUBO CRAVADO","")))</f>
        <v/>
      </c>
      <c r="T1484">
        <f>IF($A1484="","",TEXT($A1484,"yyyymm")&amp;"|"&amp;$C1484&amp;"|"&amp;$F1484&amp;"|"&amp;$N1484&amp;"|"&amp;$R1484)</f>
        <v/>
      </c>
    </row>
    <row r="1485" ht="11.55" customHeight="1">
      <c r="A1485" s="10" t="n">
        <v>46108</v>
      </c>
      <c r="B1485" s="7" t="inlineStr">
        <is>
          <t>Sexta</t>
        </is>
      </c>
      <c r="C1485" s="7" t="inlineStr">
        <is>
          <t>CTS CONCEIÇÃO</t>
        </is>
      </c>
      <c r="D1485" s="7" t="inlineStr">
        <is>
          <t>LEANDRO E SILVESTRE</t>
        </is>
      </c>
      <c r="E1485" s="7" t="inlineStr">
        <is>
          <t>Sergio</t>
        </is>
      </c>
      <c r="F1485" s="13" t="inlineStr">
        <is>
          <t>Transformação PV 4.2</t>
        </is>
      </c>
      <c r="G1485" s="7" t="inlineStr">
        <is>
          <t>4.2</t>
        </is>
      </c>
      <c r="H1485" s="7" t="n"/>
      <c r="I1485" s="7" t="inlineStr">
        <is>
          <t>4.2</t>
        </is>
      </c>
      <c r="J1485" s="7" t="inlineStr">
        <is>
          <t>Transformação</t>
        </is>
      </c>
      <c r="K1485" s="7" t="inlineStr">
        <is>
          <t>Planejamento</t>
        </is>
      </c>
      <c r="L1485" s="16" t="inlineStr">
        <is>
          <t>PDS-Março(1).docx</t>
        </is>
      </c>
      <c r="M1485">
        <f>IF($A1485="","",TEXT($A1485,"mmmm/yyyy"))</f>
        <v/>
      </c>
      <c r="P1485">
        <f>IFERROR(_xludf.XLOOKUP($N1485,Base_Enderecos!$A:$A,Base_Enderecos!$B:$B,""),"")</f>
        <v/>
      </c>
      <c r="Q1485">
        <f>IFERROR(_xludf.XLOOKUP($N1485,Base_Enderecos!$A:$A,Base_Enderecos!$C:$C,""),"")</f>
        <v/>
      </c>
      <c r="R1485">
        <f>IF(OR(ISNUMBER(SEARCH("HDD",$F1485)),ISNUMBER(SEARCH("MND",$F1485)),ISNUMBER(SEARCH("PEAD",$F1485)),ISNUMBER(SEARCH("Puxe",$J1485)),ISNUMBER(SEARCH("Apoio HDD",$F1485))),"MND",IF(OR(ISNUMBER(SEARCH("VCA",$F1485)),ISNUMBER(SEARCH("PVC",$F1485)),ISNUMBER(SEARCH("vca",$J1485)),ISNUMBER(SEARCH("Transformação",$J1485))),"VCA",IF(OR(ISNUMBER(SEARCH("crava",$F1485)),ISNUMBER(SEARCH("tubo cravado",$F1485)),ISNUMBER(SEARCH("shaft",$J1485)),ISNUMBER(SEARCH("concreto",$F1485))),"TUBO CRAVADO","")))</f>
        <v/>
      </c>
      <c r="T1485">
        <f>IF($A1485="","",TEXT($A1485,"yyyymm")&amp;"|"&amp;$C1485&amp;"|"&amp;$F1485&amp;"|"&amp;$N1485&amp;"|"&amp;$R1485)</f>
        <v/>
      </c>
    </row>
    <row r="1486" ht="11.55" customHeight="1">
      <c r="A1486" s="10" t="n">
        <v>46108</v>
      </c>
      <c r="B1486" s="7" t="inlineStr">
        <is>
          <t>Sexta</t>
        </is>
      </c>
      <c r="C1486" s="7" t="inlineStr">
        <is>
          <t>CT ÁGUA VERMELHA M.D.</t>
        </is>
      </c>
      <c r="D1486" s="7" t="inlineStr">
        <is>
          <t>FABIO E VALMIR</t>
        </is>
      </c>
      <c r="E1486" s="7" t="inlineStr">
        <is>
          <t>Johnatan</t>
        </is>
      </c>
      <c r="F1486" s="13" t="inlineStr">
        <is>
          <t>Transformação PVD 07</t>
        </is>
      </c>
      <c r="G1486" s="7" t="inlineStr">
        <is>
          <t>07</t>
        </is>
      </c>
      <c r="H1486" s="7" t="n"/>
      <c r="I1486" s="7" t="inlineStr">
        <is>
          <t>07</t>
        </is>
      </c>
      <c r="J1486" s="7" t="inlineStr">
        <is>
          <t>Transformação</t>
        </is>
      </c>
      <c r="K1486" s="7" t="inlineStr">
        <is>
          <t>Planejamento</t>
        </is>
      </c>
      <c r="L1486" s="16" t="inlineStr">
        <is>
          <t>PDS-Março(1).docx</t>
        </is>
      </c>
      <c r="M1486">
        <f>IF($A1486="","",TEXT($A1486,"mmmm/yyyy"))</f>
        <v/>
      </c>
      <c r="P1486">
        <f>IFERROR(_xludf.XLOOKUP($N1486,Base_Enderecos!$A:$A,Base_Enderecos!$B:$B,""),"")</f>
        <v/>
      </c>
      <c r="Q1486">
        <f>IFERROR(_xludf.XLOOKUP($N1486,Base_Enderecos!$A:$A,Base_Enderecos!$C:$C,""),"")</f>
        <v/>
      </c>
      <c r="R1486">
        <f>IF(OR(ISNUMBER(SEARCH("HDD",$F1486)),ISNUMBER(SEARCH("MND",$F1486)),ISNUMBER(SEARCH("PEAD",$F1486)),ISNUMBER(SEARCH("Puxe",$J1486)),ISNUMBER(SEARCH("Apoio HDD",$F1486))),"MND",IF(OR(ISNUMBER(SEARCH("VCA",$F1486)),ISNUMBER(SEARCH("PVC",$F1486)),ISNUMBER(SEARCH("vca",$J1486)),ISNUMBER(SEARCH("Transformação",$J1486))),"VCA",IF(OR(ISNUMBER(SEARCH("crava",$F1486)),ISNUMBER(SEARCH("tubo cravado",$F1486)),ISNUMBER(SEARCH("shaft",$J1486)),ISNUMBER(SEARCH("concreto",$F1486))),"TUBO CRAVADO","")))</f>
        <v/>
      </c>
      <c r="T1486">
        <f>IF($A1486="","",TEXT($A1486,"yyyymm")&amp;"|"&amp;$C1486&amp;"|"&amp;$F1486&amp;"|"&amp;$N1486&amp;"|"&amp;$R1486)</f>
        <v/>
      </c>
    </row>
    <row r="1487" ht="11.55" customHeight="1">
      <c r="A1487" s="10" t="n">
        <v>46108</v>
      </c>
      <c r="B1487" s="7" t="inlineStr">
        <is>
          <t>Sexta</t>
        </is>
      </c>
      <c r="C1487" s="7" t="inlineStr">
        <is>
          <t>CT ÁGUA VERMELHA M.D.</t>
        </is>
      </c>
      <c r="D1487" s="7" t="inlineStr">
        <is>
          <t>FABIO E VALMIR</t>
        </is>
      </c>
      <c r="E1487" s="7" t="inlineStr">
        <is>
          <t>Antônio</t>
        </is>
      </c>
      <c r="F1487" s="13" t="inlineStr">
        <is>
          <t>Transformação PVD 16</t>
        </is>
      </c>
      <c r="G1487" s="7" t="inlineStr">
        <is>
          <t>16</t>
        </is>
      </c>
      <c r="H1487" s="7" t="n"/>
      <c r="I1487" s="7" t="inlineStr">
        <is>
          <t>16</t>
        </is>
      </c>
      <c r="J1487" s="7" t="inlineStr">
        <is>
          <t>Transformação</t>
        </is>
      </c>
      <c r="K1487" s="7" t="inlineStr">
        <is>
          <t>Planejamento</t>
        </is>
      </c>
      <c r="L1487" s="16" t="inlineStr">
        <is>
          <t>PDS-Março(1).docx</t>
        </is>
      </c>
      <c r="M1487">
        <f>IF($A1487="","",TEXT($A1487,"mmmm/yyyy"))</f>
        <v/>
      </c>
      <c r="P1487">
        <f>IFERROR(_xludf.XLOOKUP($N1487,Base_Enderecos!$A:$A,Base_Enderecos!$B:$B,""),"")</f>
        <v/>
      </c>
      <c r="Q1487">
        <f>IFERROR(_xludf.XLOOKUP($N1487,Base_Enderecos!$A:$A,Base_Enderecos!$C:$C,""),"")</f>
        <v/>
      </c>
      <c r="R1487">
        <f>IF(OR(ISNUMBER(SEARCH("HDD",$F1487)),ISNUMBER(SEARCH("MND",$F1487)),ISNUMBER(SEARCH("PEAD",$F1487)),ISNUMBER(SEARCH("Puxe",$J1487)),ISNUMBER(SEARCH("Apoio HDD",$F1487))),"MND",IF(OR(ISNUMBER(SEARCH("VCA",$F1487)),ISNUMBER(SEARCH("PVC",$F1487)),ISNUMBER(SEARCH("vca",$J1487)),ISNUMBER(SEARCH("Transformação",$J1487))),"VCA",IF(OR(ISNUMBER(SEARCH("crava",$F1487)),ISNUMBER(SEARCH("tubo cravado",$F1487)),ISNUMBER(SEARCH("shaft",$J1487)),ISNUMBER(SEARCH("concreto",$F1487))),"TUBO CRAVADO","")))</f>
        <v/>
      </c>
      <c r="T1487">
        <f>IF($A1487="","",TEXT($A1487,"yyyymm")&amp;"|"&amp;$C1487&amp;"|"&amp;$F1487&amp;"|"&amp;$N1487&amp;"|"&amp;$R1487)</f>
        <v/>
      </c>
    </row>
    <row r="1488" ht="11.55" customHeight="1">
      <c r="A1488" s="10" t="n">
        <v>46108</v>
      </c>
      <c r="B1488" s="7" t="inlineStr">
        <is>
          <t>Sexta</t>
        </is>
      </c>
      <c r="C1488" s="7" t="inlineStr">
        <is>
          <t>CT ÁGUA VERMELHA M.D.</t>
        </is>
      </c>
      <c r="D1488" s="7" t="inlineStr">
        <is>
          <t>FABIO E VALMIR</t>
        </is>
      </c>
      <c r="E1488" s="7" t="inlineStr">
        <is>
          <t>Marcelo</t>
        </is>
      </c>
      <c r="F1488" s="13" t="inlineStr">
        <is>
          <t>Transformação PVD 10</t>
        </is>
      </c>
      <c r="G1488" s="7" t="inlineStr">
        <is>
          <t>10</t>
        </is>
      </c>
      <c r="H1488" s="7" t="n"/>
      <c r="I1488" s="7" t="inlineStr">
        <is>
          <t>10</t>
        </is>
      </c>
      <c r="J1488" s="7" t="inlineStr">
        <is>
          <t>Transformação</t>
        </is>
      </c>
      <c r="K1488" s="7" t="inlineStr">
        <is>
          <t>Planejamento</t>
        </is>
      </c>
      <c r="L1488" s="16" t="inlineStr">
        <is>
          <t>PDS-Março(1).docx</t>
        </is>
      </c>
      <c r="M1488">
        <f>IF($A1488="","",TEXT($A1488,"mmmm/yyyy"))</f>
        <v/>
      </c>
      <c r="P1488">
        <f>IFERROR(_xludf.XLOOKUP($N1488,Base_Enderecos!$A:$A,Base_Enderecos!$B:$B,""),"")</f>
        <v/>
      </c>
      <c r="Q1488">
        <f>IFERROR(_xludf.XLOOKUP($N1488,Base_Enderecos!$A:$A,Base_Enderecos!$C:$C,""),"")</f>
        <v/>
      </c>
      <c r="R1488">
        <f>IF(OR(ISNUMBER(SEARCH("HDD",$F1488)),ISNUMBER(SEARCH("MND",$F1488)),ISNUMBER(SEARCH("PEAD",$F1488)),ISNUMBER(SEARCH("Puxe",$J1488)),ISNUMBER(SEARCH("Apoio HDD",$F1488))),"MND",IF(OR(ISNUMBER(SEARCH("VCA",$F1488)),ISNUMBER(SEARCH("PVC",$F1488)),ISNUMBER(SEARCH("vca",$J1488)),ISNUMBER(SEARCH("Transformação",$J1488))),"VCA",IF(OR(ISNUMBER(SEARCH("crava",$F1488)),ISNUMBER(SEARCH("tubo cravado",$F1488)),ISNUMBER(SEARCH("shaft",$J1488)),ISNUMBER(SEARCH("concreto",$F1488))),"TUBO CRAVADO","")))</f>
        <v/>
      </c>
      <c r="T1488">
        <f>IF($A1488="","",TEXT($A1488,"yyyymm")&amp;"|"&amp;$C1488&amp;"|"&amp;$F1488&amp;"|"&amp;$N1488&amp;"|"&amp;$R1488)</f>
        <v/>
      </c>
    </row>
    <row r="1489" ht="11.55" customHeight="1">
      <c r="A1489" s="10" t="n">
        <v>46108</v>
      </c>
      <c r="B1489" s="7" t="inlineStr">
        <is>
          <t>Sexta</t>
        </is>
      </c>
      <c r="C1489" s="7" t="inlineStr">
        <is>
          <t>CT ÁGUA VERMELHA M.D.</t>
        </is>
      </c>
      <c r="D1489" s="7" t="inlineStr">
        <is>
          <t>FABIO E VALMIR</t>
        </is>
      </c>
      <c r="E1489" s="7" t="inlineStr">
        <is>
          <t>Claudinei</t>
        </is>
      </c>
      <c r="F1489" s="13" t="inlineStr">
        <is>
          <t>Apoio Casa</t>
        </is>
      </c>
      <c r="G1489" s="7" t="n"/>
      <c r="H1489" s="7" t="n"/>
      <c r="I1489" s="7" t="n"/>
      <c r="J1489" s="7" t="n"/>
      <c r="K1489" s="7" t="inlineStr">
        <is>
          <t>Planejamento</t>
        </is>
      </c>
      <c r="L1489" s="16" t="inlineStr">
        <is>
          <t>PDS-Março(1).docx</t>
        </is>
      </c>
      <c r="M1489">
        <f>IF($A1489="","",TEXT($A1489,"mmmm/yyyy"))</f>
        <v/>
      </c>
      <c r="P1489">
        <f>IFERROR(_xludf.XLOOKUP($N1489,Base_Enderecos!$A:$A,Base_Enderecos!$B:$B,""),"")</f>
        <v/>
      </c>
      <c r="Q1489">
        <f>IFERROR(_xludf.XLOOKUP($N1489,Base_Enderecos!$A:$A,Base_Enderecos!$C:$C,""),"")</f>
        <v/>
      </c>
      <c r="R1489">
        <f>IF(OR(ISNUMBER(SEARCH("HDD",$F1489)),ISNUMBER(SEARCH("MND",$F1489)),ISNUMBER(SEARCH("PEAD",$F1489)),ISNUMBER(SEARCH("Puxe",$J1489)),ISNUMBER(SEARCH("Apoio HDD",$F1489))),"MND",IF(OR(ISNUMBER(SEARCH("VCA",$F1489)),ISNUMBER(SEARCH("PVC",$F1489)),ISNUMBER(SEARCH("vca",$J1489)),ISNUMBER(SEARCH("Transformação",$J1489))),"VCA",IF(OR(ISNUMBER(SEARCH("crava",$F1489)),ISNUMBER(SEARCH("tubo cravado",$F1489)),ISNUMBER(SEARCH("shaft",$J1489)),ISNUMBER(SEARCH("concreto",$F1489))),"TUBO CRAVADO","")))</f>
        <v/>
      </c>
      <c r="T1489">
        <f>IF($A1489="","",TEXT($A1489,"yyyymm")&amp;"|"&amp;$C1489&amp;"|"&amp;$F1489&amp;"|"&amp;$N1489&amp;"|"&amp;$R1489)</f>
        <v/>
      </c>
    </row>
    <row r="1490" ht="11.55" customHeight="1">
      <c r="A1490" s="10" t="n">
        <v>46108</v>
      </c>
      <c r="B1490" s="7" t="inlineStr">
        <is>
          <t>Sexta</t>
        </is>
      </c>
      <c r="C1490" s="7" t="inlineStr">
        <is>
          <t>CT ÁGUA VERMELHA M.E.</t>
        </is>
      </c>
      <c r="D1490" s="7" t="inlineStr">
        <is>
          <t>FABIO E VALMIR</t>
        </is>
      </c>
      <c r="E1490" s="7" t="inlineStr">
        <is>
          <t>Higor</t>
        </is>
      </c>
      <c r="F1490" s="13" t="inlineStr">
        <is>
          <t>Transformação PVE 16</t>
        </is>
      </c>
      <c r="G1490" s="7" t="inlineStr">
        <is>
          <t>16</t>
        </is>
      </c>
      <c r="H1490" s="7" t="n"/>
      <c r="I1490" s="7" t="inlineStr">
        <is>
          <t>16</t>
        </is>
      </c>
      <c r="J1490" s="7" t="inlineStr">
        <is>
          <t>Transformação</t>
        </is>
      </c>
      <c r="K1490" s="7" t="inlineStr">
        <is>
          <t>Planejamento</t>
        </is>
      </c>
      <c r="L1490" s="16" t="inlineStr">
        <is>
          <t>PDS-Março(1).docx</t>
        </is>
      </c>
      <c r="M1490">
        <f>IF($A1490="","",TEXT($A1490,"mmmm/yyyy"))</f>
        <v/>
      </c>
      <c r="P1490">
        <f>IFERROR(_xludf.XLOOKUP($N1490,Base_Enderecos!$A:$A,Base_Enderecos!$B:$B,""),"")</f>
        <v/>
      </c>
      <c r="Q1490">
        <f>IFERROR(_xludf.XLOOKUP($N1490,Base_Enderecos!$A:$A,Base_Enderecos!$C:$C,""),"")</f>
        <v/>
      </c>
      <c r="R1490">
        <f>IF(OR(ISNUMBER(SEARCH("HDD",$F1490)),ISNUMBER(SEARCH("MND",$F1490)),ISNUMBER(SEARCH("PEAD",$F1490)),ISNUMBER(SEARCH("Puxe",$J1490)),ISNUMBER(SEARCH("Apoio HDD",$F1490))),"MND",IF(OR(ISNUMBER(SEARCH("VCA",$F1490)),ISNUMBER(SEARCH("PVC",$F1490)),ISNUMBER(SEARCH("vca",$J1490)),ISNUMBER(SEARCH("Transformação",$J1490))),"VCA",IF(OR(ISNUMBER(SEARCH("crava",$F1490)),ISNUMBER(SEARCH("tubo cravado",$F1490)),ISNUMBER(SEARCH("shaft",$J1490)),ISNUMBER(SEARCH("concreto",$F1490))),"TUBO CRAVADO","")))</f>
        <v/>
      </c>
      <c r="T1490">
        <f>IF($A1490="","",TEXT($A1490,"yyyymm")&amp;"|"&amp;$C1490&amp;"|"&amp;$F1490&amp;"|"&amp;$N1490&amp;"|"&amp;$R1490)</f>
        <v/>
      </c>
    </row>
    <row r="1491" ht="11.55" customHeight="1">
      <c r="A1491" s="10" t="n">
        <v>46108</v>
      </c>
      <c r="B1491" s="7" t="inlineStr">
        <is>
          <t>Sexta</t>
        </is>
      </c>
      <c r="C1491" s="7" t="inlineStr">
        <is>
          <t>RCE FCO. SOUTO MAIOR</t>
        </is>
      </c>
      <c r="D1491" s="7" t="inlineStr">
        <is>
          <t>SILVESTRE</t>
        </is>
      </c>
      <c r="E1491" s="7" t="inlineStr">
        <is>
          <t>Valter</t>
        </is>
      </c>
      <c r="F1491" s="13" t="inlineStr">
        <is>
          <t>VCA e Ligações – Rua Canto da Serra</t>
        </is>
      </c>
      <c r="G1491" s="7" t="n"/>
      <c r="H1491" s="7" t="n"/>
      <c r="I1491" s="7" t="n"/>
      <c r="J1491" s="7" t="inlineStr">
        <is>
          <t>VCA</t>
        </is>
      </c>
      <c r="K1491" s="7" t="inlineStr">
        <is>
          <t>Planejamento</t>
        </is>
      </c>
      <c r="L1491" s="16" t="inlineStr">
        <is>
          <t>PDS-Março(1).docx</t>
        </is>
      </c>
      <c r="M1491">
        <f>IF($A1491="","",TEXT($A1491,"mmmm/yyyy"))</f>
        <v/>
      </c>
      <c r="P1491">
        <f>IFERROR(_xludf.XLOOKUP($N1491,Base_Enderecos!$A:$A,Base_Enderecos!$B:$B,""),"")</f>
        <v/>
      </c>
      <c r="Q1491">
        <f>IFERROR(_xludf.XLOOKUP($N1491,Base_Enderecos!$A:$A,Base_Enderecos!$C:$C,""),"")</f>
        <v/>
      </c>
      <c r="R1491">
        <f>IF(OR(ISNUMBER(SEARCH("HDD",$F1491)),ISNUMBER(SEARCH("MND",$F1491)),ISNUMBER(SEARCH("PEAD",$F1491)),ISNUMBER(SEARCH("Puxe",$J1491)),ISNUMBER(SEARCH("Apoio HDD",$F1491))),"MND",IF(OR(ISNUMBER(SEARCH("VCA",$F1491)),ISNUMBER(SEARCH("PVC",$F1491)),ISNUMBER(SEARCH("vca",$J1491)),ISNUMBER(SEARCH("Transformação",$J1491))),"VCA",IF(OR(ISNUMBER(SEARCH("crava",$F1491)),ISNUMBER(SEARCH("tubo cravado",$F1491)),ISNUMBER(SEARCH("shaft",$J1491)),ISNUMBER(SEARCH("concreto",$F1491))),"TUBO CRAVADO","")))</f>
        <v/>
      </c>
      <c r="T1491">
        <f>IF($A1491="","",TEXT($A1491,"yyyymm")&amp;"|"&amp;$C1491&amp;"|"&amp;$F1491&amp;"|"&amp;$N1491&amp;"|"&amp;$R1491)</f>
        <v/>
      </c>
    </row>
    <row r="1492" ht="11.55" customHeight="1">
      <c r="A1492" s="10" t="n">
        <v>46108</v>
      </c>
      <c r="B1492" s="7" t="inlineStr">
        <is>
          <t>Sexta</t>
        </is>
      </c>
      <c r="C1492" s="7" t="inlineStr">
        <is>
          <t>RCE FCO. SOUTO MAIOR</t>
        </is>
      </c>
      <c r="D1492" s="7" t="inlineStr">
        <is>
          <t>SILVESTRE</t>
        </is>
      </c>
      <c r="E1492" s="7" t="inlineStr">
        <is>
          <t>Ricardo</t>
        </is>
      </c>
      <c r="F1492" s="13" t="inlineStr">
        <is>
          <t>VCA e Ligações – Rua Canto da Serra</t>
        </is>
      </c>
      <c r="G1492" s="7" t="n"/>
      <c r="H1492" s="7" t="n"/>
      <c r="I1492" s="7" t="n"/>
      <c r="J1492" s="7" t="inlineStr">
        <is>
          <t>VCA</t>
        </is>
      </c>
      <c r="K1492" s="7" t="inlineStr">
        <is>
          <t>Planejamento</t>
        </is>
      </c>
      <c r="L1492" s="16" t="inlineStr">
        <is>
          <t>PDS-Março(1).docx</t>
        </is>
      </c>
      <c r="M1492">
        <f>IF($A1492="","",TEXT($A1492,"mmmm/yyyy"))</f>
        <v/>
      </c>
      <c r="P1492">
        <f>IFERROR(_xludf.XLOOKUP($N1492,Base_Enderecos!$A:$A,Base_Enderecos!$B:$B,""),"")</f>
        <v/>
      </c>
      <c r="Q1492">
        <f>IFERROR(_xludf.XLOOKUP($N1492,Base_Enderecos!$A:$A,Base_Enderecos!$C:$C,""),"")</f>
        <v/>
      </c>
      <c r="R1492">
        <f>IF(OR(ISNUMBER(SEARCH("HDD",$F1492)),ISNUMBER(SEARCH("MND",$F1492)),ISNUMBER(SEARCH("PEAD",$F1492)),ISNUMBER(SEARCH("Puxe",$J1492)),ISNUMBER(SEARCH("Apoio HDD",$F1492))),"MND",IF(OR(ISNUMBER(SEARCH("VCA",$F1492)),ISNUMBER(SEARCH("PVC",$F1492)),ISNUMBER(SEARCH("vca",$J1492)),ISNUMBER(SEARCH("Transformação",$J1492))),"VCA",IF(OR(ISNUMBER(SEARCH("crava",$F1492)),ISNUMBER(SEARCH("tubo cravado",$F1492)),ISNUMBER(SEARCH("shaft",$J1492)),ISNUMBER(SEARCH("concreto",$F1492))),"TUBO CRAVADO","")))</f>
        <v/>
      </c>
      <c r="T1492">
        <f>IF($A1492="","",TEXT($A1492,"yyyymm")&amp;"|"&amp;$C1492&amp;"|"&amp;$F1492&amp;"|"&amp;$N1492&amp;"|"&amp;$R1492)</f>
        <v/>
      </c>
    </row>
    <row r="1493" ht="11.55" customHeight="1">
      <c r="A1493" s="10" t="n">
        <v>46108</v>
      </c>
      <c r="B1493" s="7" t="inlineStr">
        <is>
          <t>Sexta</t>
        </is>
      </c>
      <c r="C1493" s="7" t="inlineStr">
        <is>
          <t>CTS LUIS BOTELHO MOURÃO</t>
        </is>
      </c>
      <c r="D1493" s="7" t="inlineStr">
        <is>
          <t>ROBSON</t>
        </is>
      </c>
      <c r="E1493" s="7" t="inlineStr">
        <is>
          <t>Goiania Drill</t>
        </is>
      </c>
      <c r="F1493" s="13" t="inlineStr">
        <is>
          <t>Piloto e puxe PV 03 ao PV 04</t>
        </is>
      </c>
      <c r="G1493" s="7" t="inlineStr">
        <is>
          <t>03</t>
        </is>
      </c>
      <c r="H1493" s="7" t="inlineStr">
        <is>
          <t>04</t>
        </is>
      </c>
      <c r="I1493" s="7" t="inlineStr">
        <is>
          <t>03, 04</t>
        </is>
      </c>
      <c r="J1493" s="7" t="inlineStr">
        <is>
          <t>Piloto e puxe</t>
        </is>
      </c>
      <c r="K1493" s="7" t="inlineStr">
        <is>
          <t>Planejamento</t>
        </is>
      </c>
      <c r="L1493" s="16" t="inlineStr">
        <is>
          <t>PDS-Março(1).docx</t>
        </is>
      </c>
      <c r="M1493">
        <f>IF($A1493="","",TEXT($A1493,"mmmm/yyyy"))</f>
        <v/>
      </c>
      <c r="P1493">
        <f>IFERROR(_xludf.XLOOKUP($N1493,Base_Enderecos!$A:$A,Base_Enderecos!$B:$B,""),"")</f>
        <v/>
      </c>
      <c r="Q1493">
        <f>IFERROR(_xludf.XLOOKUP($N1493,Base_Enderecos!$A:$A,Base_Enderecos!$C:$C,""),"")</f>
        <v/>
      </c>
      <c r="R1493">
        <f>IF(OR(ISNUMBER(SEARCH("HDD",$F1493)),ISNUMBER(SEARCH("MND",$F1493)),ISNUMBER(SEARCH("PEAD",$F1493)),ISNUMBER(SEARCH("Puxe",$J1493)),ISNUMBER(SEARCH("Apoio HDD",$F1493))),"MND",IF(OR(ISNUMBER(SEARCH("VCA",$F1493)),ISNUMBER(SEARCH("PVC",$F1493)),ISNUMBER(SEARCH("vca",$J1493)),ISNUMBER(SEARCH("Transformação",$J1493))),"VCA",IF(OR(ISNUMBER(SEARCH("crava",$F1493)),ISNUMBER(SEARCH("tubo cravado",$F1493)),ISNUMBER(SEARCH("shaft",$J1493)),ISNUMBER(SEARCH("concreto",$F1493))),"TUBO CRAVADO","")))</f>
        <v/>
      </c>
      <c r="T1493">
        <f>IF($A1493="","",TEXT($A1493,"yyyymm")&amp;"|"&amp;$C1493&amp;"|"&amp;$F1493&amp;"|"&amp;$N1493&amp;"|"&amp;$R1493)</f>
        <v/>
      </c>
    </row>
    <row r="1494" ht="11.55" customHeight="1">
      <c r="A1494" s="10" t="n">
        <v>46108</v>
      </c>
      <c r="B1494" s="7" t="inlineStr">
        <is>
          <t>Sexta</t>
        </is>
      </c>
      <c r="C1494" s="7" t="inlineStr">
        <is>
          <t>CTS LUIS BOTELHO MOURÃO</t>
        </is>
      </c>
      <c r="D1494" s="7" t="inlineStr">
        <is>
          <t>ROBSON</t>
        </is>
      </c>
      <c r="E1494" s="7" t="inlineStr">
        <is>
          <t>Bruno</t>
        </is>
      </c>
      <c r="F1494" s="13" t="inlineStr">
        <is>
          <t>Apoio HDD PV 03 ao PV 04</t>
        </is>
      </c>
      <c r="G1494" s="7" t="inlineStr">
        <is>
          <t>03</t>
        </is>
      </c>
      <c r="H1494" s="7" t="inlineStr">
        <is>
          <t>04</t>
        </is>
      </c>
      <c r="I1494" s="7" t="inlineStr">
        <is>
          <t>03, 04</t>
        </is>
      </c>
      <c r="J1494" s="7" t="inlineStr">
        <is>
          <t>Apoio HDD</t>
        </is>
      </c>
      <c r="K1494" s="7" t="inlineStr">
        <is>
          <t>Planejamento</t>
        </is>
      </c>
      <c r="L1494" s="16" t="inlineStr">
        <is>
          <t>PDS-Março(1).docx</t>
        </is>
      </c>
      <c r="M1494">
        <f>IF($A1494="","",TEXT($A1494,"mmmm/yyyy"))</f>
        <v/>
      </c>
      <c r="P1494">
        <f>IFERROR(_xludf.XLOOKUP($N1494,Base_Enderecos!$A:$A,Base_Enderecos!$B:$B,""),"")</f>
        <v/>
      </c>
      <c r="Q1494">
        <f>IFERROR(_xludf.XLOOKUP($N1494,Base_Enderecos!$A:$A,Base_Enderecos!$C:$C,""),"")</f>
        <v/>
      </c>
      <c r="R1494">
        <f>IF(OR(ISNUMBER(SEARCH("HDD",$F1494)),ISNUMBER(SEARCH("MND",$F1494)),ISNUMBER(SEARCH("PEAD",$F1494)),ISNUMBER(SEARCH("Puxe",$J1494)),ISNUMBER(SEARCH("Apoio HDD",$F1494))),"MND",IF(OR(ISNUMBER(SEARCH("VCA",$F1494)),ISNUMBER(SEARCH("PVC",$F1494)),ISNUMBER(SEARCH("vca",$J1494)),ISNUMBER(SEARCH("Transformação",$J1494))),"VCA",IF(OR(ISNUMBER(SEARCH("crava",$F1494)),ISNUMBER(SEARCH("tubo cravado",$F1494)),ISNUMBER(SEARCH("shaft",$J1494)),ISNUMBER(SEARCH("concreto",$F1494))),"TUBO CRAVADO","")))</f>
        <v/>
      </c>
      <c r="T1494">
        <f>IF($A1494="","",TEXT($A1494,"yyyymm")&amp;"|"&amp;$C1494&amp;"|"&amp;$F1494&amp;"|"&amp;$N1494&amp;"|"&amp;$R1494)</f>
        <v/>
      </c>
    </row>
    <row r="1495" ht="11.55" customHeight="1">
      <c r="A1495" s="10" t="n">
        <v>46108</v>
      </c>
      <c r="B1495" s="7" t="inlineStr">
        <is>
          <t>Sexta</t>
        </is>
      </c>
      <c r="C1495" s="7" t="inlineStr">
        <is>
          <t>CTS LUIS BOTELHO MOURÃO</t>
        </is>
      </c>
      <c r="D1495" s="7" t="inlineStr">
        <is>
          <t>ROBSON</t>
        </is>
      </c>
      <c r="E1495" s="7" t="inlineStr">
        <is>
          <t>Cidão</t>
        </is>
      </c>
      <c r="F1495" s="13" t="inlineStr">
        <is>
          <t>Shaft PV 03</t>
        </is>
      </c>
      <c r="G1495" s="7" t="inlineStr">
        <is>
          <t>03</t>
        </is>
      </c>
      <c r="H1495" s="7" t="n"/>
      <c r="I1495" s="7" t="inlineStr">
        <is>
          <t>03</t>
        </is>
      </c>
      <c r="J1495" s="7" t="inlineStr">
        <is>
          <t>Shaft</t>
        </is>
      </c>
      <c r="K1495" s="7" t="inlineStr">
        <is>
          <t>Planejamento</t>
        </is>
      </c>
      <c r="L1495" s="16" t="inlineStr">
        <is>
          <t>PDS-Março(1).docx</t>
        </is>
      </c>
      <c r="M1495">
        <f>IF($A1495="","",TEXT($A1495,"mmmm/yyyy"))</f>
        <v/>
      </c>
      <c r="P1495">
        <f>IFERROR(_xludf.XLOOKUP($N1495,Base_Enderecos!$A:$A,Base_Enderecos!$B:$B,""),"")</f>
        <v/>
      </c>
      <c r="Q1495">
        <f>IFERROR(_xludf.XLOOKUP($N1495,Base_Enderecos!$A:$A,Base_Enderecos!$C:$C,""),"")</f>
        <v/>
      </c>
      <c r="R1495">
        <f>IF(OR(ISNUMBER(SEARCH("HDD",$F1495)),ISNUMBER(SEARCH("MND",$F1495)),ISNUMBER(SEARCH("PEAD",$F1495)),ISNUMBER(SEARCH("Puxe",$J1495)),ISNUMBER(SEARCH("Apoio HDD",$F1495))),"MND",IF(OR(ISNUMBER(SEARCH("VCA",$F1495)),ISNUMBER(SEARCH("PVC",$F1495)),ISNUMBER(SEARCH("vca",$J1495)),ISNUMBER(SEARCH("Transformação",$J1495))),"VCA",IF(OR(ISNUMBER(SEARCH("crava",$F1495)),ISNUMBER(SEARCH("tubo cravado",$F1495)),ISNUMBER(SEARCH("shaft",$J1495)),ISNUMBER(SEARCH("concreto",$F1495))),"TUBO CRAVADO","")))</f>
        <v/>
      </c>
      <c r="T1495">
        <f>IF($A1495="","",TEXT($A1495,"yyyymm")&amp;"|"&amp;$C1495&amp;"|"&amp;$F1495&amp;"|"&amp;$N1495&amp;"|"&amp;$R1495)</f>
        <v/>
      </c>
    </row>
    <row r="1496" ht="11.55" customHeight="1">
      <c r="A1496" s="10" t="n">
        <v>46108</v>
      </c>
      <c r="B1496" s="7" t="inlineStr">
        <is>
          <t>Sexta</t>
        </is>
      </c>
      <c r="C1496" s="7" t="inlineStr">
        <is>
          <t>CTS LUIS BOTELHO MOURÃO</t>
        </is>
      </c>
      <c r="D1496" s="7" t="inlineStr">
        <is>
          <t>ROBSON</t>
        </is>
      </c>
      <c r="E1496" s="7" t="inlineStr">
        <is>
          <t>Marcio</t>
        </is>
      </c>
      <c r="F1496" s="13" t="inlineStr">
        <is>
          <t>Shaft PV 06</t>
        </is>
      </c>
      <c r="G1496" s="7" t="inlineStr">
        <is>
          <t>06</t>
        </is>
      </c>
      <c r="H1496" s="7" t="n"/>
      <c r="I1496" s="7" t="inlineStr">
        <is>
          <t>06</t>
        </is>
      </c>
      <c r="J1496" s="7" t="inlineStr">
        <is>
          <t>Shaft</t>
        </is>
      </c>
      <c r="K1496" s="7" t="inlineStr">
        <is>
          <t>Planejamento</t>
        </is>
      </c>
      <c r="L1496" s="16" t="inlineStr">
        <is>
          <t>PDS-Março(1).docx</t>
        </is>
      </c>
      <c r="M1496">
        <f>IF($A1496="","",TEXT($A1496,"mmmm/yyyy"))</f>
        <v/>
      </c>
      <c r="P1496">
        <f>IFERROR(_xludf.XLOOKUP($N1496,Base_Enderecos!$A:$A,Base_Enderecos!$B:$B,""),"")</f>
        <v/>
      </c>
      <c r="Q1496">
        <f>IFERROR(_xludf.XLOOKUP($N1496,Base_Enderecos!$A:$A,Base_Enderecos!$C:$C,""),"")</f>
        <v/>
      </c>
      <c r="R1496">
        <f>IF(OR(ISNUMBER(SEARCH("HDD",$F1496)),ISNUMBER(SEARCH("MND",$F1496)),ISNUMBER(SEARCH("PEAD",$F1496)),ISNUMBER(SEARCH("Puxe",$J1496)),ISNUMBER(SEARCH("Apoio HDD",$F1496))),"MND",IF(OR(ISNUMBER(SEARCH("VCA",$F1496)),ISNUMBER(SEARCH("PVC",$F1496)),ISNUMBER(SEARCH("vca",$J1496)),ISNUMBER(SEARCH("Transformação",$J1496))),"VCA",IF(OR(ISNUMBER(SEARCH("crava",$F1496)),ISNUMBER(SEARCH("tubo cravado",$F1496)),ISNUMBER(SEARCH("shaft",$J1496)),ISNUMBER(SEARCH("concreto",$F1496))),"TUBO CRAVADO","")))</f>
        <v/>
      </c>
      <c r="T1496">
        <f>IF($A1496="","",TEXT($A1496,"yyyymm")&amp;"|"&amp;$C1496&amp;"|"&amp;$F1496&amp;"|"&amp;$N1496&amp;"|"&amp;$R1496)</f>
        <v/>
      </c>
    </row>
    <row r="1497" ht="11.55" customHeight="1">
      <c r="A1497" s="10" t="n">
        <v>46108</v>
      </c>
      <c r="B1497" s="7" t="inlineStr">
        <is>
          <t>Sexta</t>
        </is>
      </c>
      <c r="C1497" s="7" t="inlineStr">
        <is>
          <t>Vacal</t>
        </is>
      </c>
      <c r="D1497" s="7" t="n"/>
      <c r="E1497" s="7" t="inlineStr">
        <is>
          <t>Conceição – BRD</t>
        </is>
      </c>
      <c r="F1497" s="13" t="inlineStr">
        <is>
          <t>Apoio Vacal</t>
        </is>
      </c>
      <c r="G1497" s="7" t="n"/>
      <c r="H1497" s="7" t="n"/>
      <c r="I1497" s="7" t="n"/>
      <c r="J1497" s="7" t="inlineStr">
        <is>
          <t>Vacal</t>
        </is>
      </c>
      <c r="K1497" s="7" t="inlineStr">
        <is>
          <t>Apoio</t>
        </is>
      </c>
      <c r="L1497" s="16" t="inlineStr">
        <is>
          <t>PDS-Março(1).docx</t>
        </is>
      </c>
      <c r="M1497">
        <f>IF($A1497="","",TEXT($A1497,"mmmm/yyyy"))</f>
        <v/>
      </c>
      <c r="P1497">
        <f>IFERROR(_xludf.XLOOKUP($N1497,Base_Enderecos!$A:$A,Base_Enderecos!$B:$B,""),"")</f>
        <v/>
      </c>
      <c r="Q1497">
        <f>IFERROR(_xludf.XLOOKUP($N1497,Base_Enderecos!$A:$A,Base_Enderecos!$C:$C,""),"")</f>
        <v/>
      </c>
      <c r="R1497">
        <f>IF(OR(ISNUMBER(SEARCH("HDD",$F1497)),ISNUMBER(SEARCH("MND",$F1497)),ISNUMBER(SEARCH("PEAD",$F1497)),ISNUMBER(SEARCH("Puxe",$J1497)),ISNUMBER(SEARCH("Apoio HDD",$F1497))),"MND",IF(OR(ISNUMBER(SEARCH("VCA",$F1497)),ISNUMBER(SEARCH("PVC",$F1497)),ISNUMBER(SEARCH("vca",$J1497)),ISNUMBER(SEARCH("Transformação",$J1497))),"VCA",IF(OR(ISNUMBER(SEARCH("crava",$F1497)),ISNUMBER(SEARCH("tubo cravado",$F1497)),ISNUMBER(SEARCH("shaft",$J1497)),ISNUMBER(SEARCH("concreto",$F1497))),"TUBO CRAVADO","")))</f>
        <v/>
      </c>
      <c r="T1497">
        <f>IF($A1497="","",TEXT($A1497,"yyyymm")&amp;"|"&amp;$C1497&amp;"|"&amp;$F1497&amp;"|"&amp;$N1497&amp;"|"&amp;$R1497)</f>
        <v/>
      </c>
    </row>
    <row r="1498" ht="11.55" customHeight="1">
      <c r="A1498" s="10" t="n">
        <v>46108</v>
      </c>
      <c r="B1498" s="7" t="inlineStr">
        <is>
          <t>Sexta</t>
        </is>
      </c>
      <c r="C1498" s="7" t="inlineStr">
        <is>
          <t>Vacal</t>
        </is>
      </c>
      <c r="D1498" s="7" t="n"/>
      <c r="E1498" s="7" t="inlineStr">
        <is>
          <t>Água Vermelha - Renasce</t>
        </is>
      </c>
      <c r="F1498" s="13" t="inlineStr">
        <is>
          <t>Apoio Vacal</t>
        </is>
      </c>
      <c r="G1498" s="7" t="n"/>
      <c r="H1498" s="7" t="n"/>
      <c r="I1498" s="7" t="n"/>
      <c r="J1498" s="7" t="inlineStr">
        <is>
          <t>Vacal</t>
        </is>
      </c>
      <c r="K1498" s="7" t="inlineStr">
        <is>
          <t>Apoio</t>
        </is>
      </c>
      <c r="L1498" s="16" t="inlineStr">
        <is>
          <t>PDS-Março(1).docx</t>
        </is>
      </c>
      <c r="M1498">
        <f>IF($A1498="","",TEXT($A1498,"mmmm/yyyy"))</f>
        <v/>
      </c>
      <c r="P1498">
        <f>IFERROR(_xludf.XLOOKUP($N1498,Base_Enderecos!$A:$A,Base_Enderecos!$B:$B,""),"")</f>
        <v/>
      </c>
      <c r="Q1498">
        <f>IFERROR(_xludf.XLOOKUP($N1498,Base_Enderecos!$A:$A,Base_Enderecos!$C:$C,""),"")</f>
        <v/>
      </c>
      <c r="R1498">
        <f>IF(OR(ISNUMBER(SEARCH("HDD",$F1498)),ISNUMBER(SEARCH("MND",$F1498)),ISNUMBER(SEARCH("PEAD",$F1498)),ISNUMBER(SEARCH("Puxe",$J1498)),ISNUMBER(SEARCH("Apoio HDD",$F1498))),"MND",IF(OR(ISNUMBER(SEARCH("VCA",$F1498)),ISNUMBER(SEARCH("PVC",$F1498)),ISNUMBER(SEARCH("vca",$J1498)),ISNUMBER(SEARCH("Transformação",$J1498))),"VCA",IF(OR(ISNUMBER(SEARCH("crava",$F1498)),ISNUMBER(SEARCH("tubo cravado",$F1498)),ISNUMBER(SEARCH("shaft",$J1498)),ISNUMBER(SEARCH("concreto",$F1498))),"TUBO CRAVADO","")))</f>
        <v/>
      </c>
      <c r="T1498">
        <f>IF($A1498="","",TEXT($A1498,"yyyymm")&amp;"|"&amp;$C1498&amp;"|"&amp;$F1498&amp;"|"&amp;$N1498&amp;"|"&amp;$R1498)</f>
        <v/>
      </c>
    </row>
    <row r="1499" ht="11.55" customHeight="1">
      <c r="A1499" s="10" t="n">
        <v>46108</v>
      </c>
      <c r="B1499" s="7" t="inlineStr">
        <is>
          <t>Sexta</t>
        </is>
      </c>
      <c r="C1499" s="7" t="inlineStr">
        <is>
          <t>Vacal</t>
        </is>
      </c>
      <c r="D1499" s="7" t="n"/>
      <c r="E1499" s="7" t="inlineStr">
        <is>
          <t>Botelho Mourão - Renasce</t>
        </is>
      </c>
      <c r="F1499" s="13" t="inlineStr">
        <is>
          <t>Apoio Vacal</t>
        </is>
      </c>
      <c r="G1499" s="7" t="n"/>
      <c r="H1499" s="7" t="n"/>
      <c r="I1499" s="7" t="n"/>
      <c r="J1499" s="7" t="inlineStr">
        <is>
          <t>Vacal</t>
        </is>
      </c>
      <c r="K1499" s="7" t="inlineStr">
        <is>
          <t>Apoio</t>
        </is>
      </c>
      <c r="L1499" s="16" t="inlineStr">
        <is>
          <t>PDS-Março(1).docx</t>
        </is>
      </c>
      <c r="M1499">
        <f>IF($A1499="","",TEXT($A1499,"mmmm/yyyy"))</f>
        <v/>
      </c>
      <c r="P1499">
        <f>IFERROR(_xludf.XLOOKUP($N1499,Base_Enderecos!$A:$A,Base_Enderecos!$B:$B,""),"")</f>
        <v/>
      </c>
      <c r="Q1499">
        <f>IFERROR(_xludf.XLOOKUP($N1499,Base_Enderecos!$A:$A,Base_Enderecos!$C:$C,""),"")</f>
        <v/>
      </c>
      <c r="R1499">
        <f>IF(OR(ISNUMBER(SEARCH("HDD",$F1499)),ISNUMBER(SEARCH("MND",$F1499)),ISNUMBER(SEARCH("PEAD",$F1499)),ISNUMBER(SEARCH("Puxe",$J1499)),ISNUMBER(SEARCH("Apoio HDD",$F1499))),"MND",IF(OR(ISNUMBER(SEARCH("VCA",$F1499)),ISNUMBER(SEARCH("PVC",$F1499)),ISNUMBER(SEARCH("vca",$J1499)),ISNUMBER(SEARCH("Transformação",$J1499))),"VCA",IF(OR(ISNUMBER(SEARCH("crava",$F1499)),ISNUMBER(SEARCH("tubo cravado",$F1499)),ISNUMBER(SEARCH("shaft",$J1499)),ISNUMBER(SEARCH("concreto",$F1499))),"TUBO CRAVADO","")))</f>
        <v/>
      </c>
      <c r="T1499">
        <f>IF($A1499="","",TEXT($A1499,"yyyymm")&amp;"|"&amp;$C1499&amp;"|"&amp;$F1499&amp;"|"&amp;$N1499&amp;"|"&amp;$R1499)</f>
        <v/>
      </c>
    </row>
    <row r="1500" ht="11.55" customHeight="1">
      <c r="A1500" s="10" t="n">
        <v>46108</v>
      </c>
      <c r="B1500" s="7" t="inlineStr">
        <is>
          <t>Sexta</t>
        </is>
      </c>
      <c r="C1500" s="7" t="inlineStr">
        <is>
          <t>Vacal</t>
        </is>
      </c>
      <c r="D1500" s="7" t="n"/>
      <c r="E1500" s="7" t="inlineStr">
        <is>
          <t>Água Vermelha – Hidrosol</t>
        </is>
      </c>
      <c r="F1500" s="13" t="inlineStr">
        <is>
          <t>Apoio Vacal</t>
        </is>
      </c>
      <c r="G1500" s="7" t="n"/>
      <c r="H1500" s="7" t="n"/>
      <c r="I1500" s="7" t="n"/>
      <c r="J1500" s="7" t="inlineStr">
        <is>
          <t>Vacal</t>
        </is>
      </c>
      <c r="K1500" s="7" t="inlineStr">
        <is>
          <t>Apoio</t>
        </is>
      </c>
      <c r="L1500" s="16" t="inlineStr">
        <is>
          <t>PDS-Março(1).docx</t>
        </is>
      </c>
      <c r="M1500">
        <f>IF($A1500="","",TEXT($A1500,"mmmm/yyyy"))</f>
        <v/>
      </c>
      <c r="P1500">
        <f>IFERROR(_xludf.XLOOKUP($N1500,Base_Enderecos!$A:$A,Base_Enderecos!$B:$B,""),"")</f>
        <v/>
      </c>
      <c r="Q1500">
        <f>IFERROR(_xludf.XLOOKUP($N1500,Base_Enderecos!$A:$A,Base_Enderecos!$C:$C,""),"")</f>
        <v/>
      </c>
      <c r="R1500">
        <f>IF(OR(ISNUMBER(SEARCH("HDD",$F1500)),ISNUMBER(SEARCH("MND",$F1500)),ISNUMBER(SEARCH("PEAD",$F1500)),ISNUMBER(SEARCH("Puxe",$J1500)),ISNUMBER(SEARCH("Apoio HDD",$F1500))),"MND",IF(OR(ISNUMBER(SEARCH("VCA",$F1500)),ISNUMBER(SEARCH("PVC",$F1500)),ISNUMBER(SEARCH("vca",$J1500)),ISNUMBER(SEARCH("Transformação",$J1500))),"VCA",IF(OR(ISNUMBER(SEARCH("crava",$F1500)),ISNUMBER(SEARCH("tubo cravado",$F1500)),ISNUMBER(SEARCH("shaft",$J1500)),ISNUMBER(SEARCH("concreto",$F1500))),"TUBO CRAVADO","")))</f>
        <v/>
      </c>
      <c r="T1500">
        <f>IF($A1500="","",TEXT($A1500,"yyyymm")&amp;"|"&amp;$C1500&amp;"|"&amp;$F1500&amp;"|"&amp;$N1500&amp;"|"&amp;$R1500)</f>
        <v/>
      </c>
    </row>
    <row r="1501" ht="11.55" customHeight="1">
      <c r="A1501" s="10" t="n">
        <v>46108</v>
      </c>
      <c r="B1501" s="7" t="inlineStr">
        <is>
          <t>Sexta</t>
        </is>
      </c>
      <c r="C1501" s="7" t="inlineStr">
        <is>
          <t>Guindauto</t>
        </is>
      </c>
      <c r="D1501" s="7" t="n"/>
      <c r="E1501" s="7" t="inlineStr">
        <is>
          <t>Rodrigo</t>
        </is>
      </c>
      <c r="F1501" s="13" t="inlineStr">
        <is>
          <t>Rodrigo - Apoio as equipes</t>
        </is>
      </c>
      <c r="G1501" s="7" t="n"/>
      <c r="H1501" s="7" t="n"/>
      <c r="I1501" s="7" t="n"/>
      <c r="J1501" s="7" t="inlineStr">
        <is>
          <t>Guindauto</t>
        </is>
      </c>
      <c r="K1501" s="7" t="inlineStr">
        <is>
          <t>Apoio</t>
        </is>
      </c>
      <c r="L1501" s="16" t="inlineStr">
        <is>
          <t>PDS-Março(1).docx</t>
        </is>
      </c>
      <c r="M1501">
        <f>IF($A1501="","",TEXT($A1501,"mmmm/yyyy"))</f>
        <v/>
      </c>
      <c r="P1501">
        <f>IFERROR(_xludf.XLOOKUP($N1501,Base_Enderecos!$A:$A,Base_Enderecos!$B:$B,""),"")</f>
        <v/>
      </c>
      <c r="Q1501">
        <f>IFERROR(_xludf.XLOOKUP($N1501,Base_Enderecos!$A:$A,Base_Enderecos!$C:$C,""),"")</f>
        <v/>
      </c>
      <c r="R1501">
        <f>IF(OR(ISNUMBER(SEARCH("HDD",$F1501)),ISNUMBER(SEARCH("MND",$F1501)),ISNUMBER(SEARCH("PEAD",$F1501)),ISNUMBER(SEARCH("Puxe",$J1501)),ISNUMBER(SEARCH("Apoio HDD",$F1501))),"MND",IF(OR(ISNUMBER(SEARCH("VCA",$F1501)),ISNUMBER(SEARCH("PVC",$F1501)),ISNUMBER(SEARCH("vca",$J1501)),ISNUMBER(SEARCH("Transformação",$J1501))),"VCA",IF(OR(ISNUMBER(SEARCH("crava",$F1501)),ISNUMBER(SEARCH("tubo cravado",$F1501)),ISNUMBER(SEARCH("shaft",$J1501)),ISNUMBER(SEARCH("concreto",$F1501))),"TUBO CRAVADO","")))</f>
        <v/>
      </c>
      <c r="T1501">
        <f>IF($A1501="","",TEXT($A1501,"yyyymm")&amp;"|"&amp;$C1501&amp;"|"&amp;$F1501&amp;"|"&amp;$N1501&amp;"|"&amp;$R1501)</f>
        <v/>
      </c>
    </row>
    <row r="1502" ht="11.55" customHeight="1">
      <c r="A1502" s="10" t="n">
        <v>46108</v>
      </c>
      <c r="B1502" s="7" t="inlineStr">
        <is>
          <t>Sexta</t>
        </is>
      </c>
      <c r="C1502" s="7" t="inlineStr">
        <is>
          <t>Guindauto</t>
        </is>
      </c>
      <c r="D1502" s="7" t="n"/>
      <c r="E1502" s="7" t="inlineStr">
        <is>
          <t>Marcio</t>
        </is>
      </c>
      <c r="F1502" s="13" t="inlineStr">
        <is>
          <t>Marcio - Apoio as equipes</t>
        </is>
      </c>
      <c r="G1502" s="7" t="n"/>
      <c r="H1502" s="7" t="n"/>
      <c r="I1502" s="7" t="n"/>
      <c r="J1502" s="7" t="inlineStr">
        <is>
          <t>Guindauto</t>
        </is>
      </c>
      <c r="K1502" s="7" t="inlineStr">
        <is>
          <t>Apoio</t>
        </is>
      </c>
      <c r="L1502" s="16" t="inlineStr">
        <is>
          <t>PDS-Março(1).docx</t>
        </is>
      </c>
      <c r="M1502">
        <f>IF($A1502="","",TEXT($A1502,"mmmm/yyyy"))</f>
        <v/>
      </c>
      <c r="P1502">
        <f>IFERROR(_xludf.XLOOKUP($N1502,Base_Enderecos!$A:$A,Base_Enderecos!$B:$B,""),"")</f>
        <v/>
      </c>
      <c r="Q1502">
        <f>IFERROR(_xludf.XLOOKUP($N1502,Base_Enderecos!$A:$A,Base_Enderecos!$C:$C,""),"")</f>
        <v/>
      </c>
      <c r="R1502">
        <f>IF(OR(ISNUMBER(SEARCH("HDD",$F1502)),ISNUMBER(SEARCH("MND",$F1502)),ISNUMBER(SEARCH("PEAD",$F1502)),ISNUMBER(SEARCH("Puxe",$J1502)),ISNUMBER(SEARCH("Apoio HDD",$F1502))),"MND",IF(OR(ISNUMBER(SEARCH("VCA",$F1502)),ISNUMBER(SEARCH("PVC",$F1502)),ISNUMBER(SEARCH("vca",$J1502)),ISNUMBER(SEARCH("Transformação",$J1502))),"VCA",IF(OR(ISNUMBER(SEARCH("crava",$F1502)),ISNUMBER(SEARCH("tubo cravado",$F1502)),ISNUMBER(SEARCH("shaft",$J1502)),ISNUMBER(SEARCH("concreto",$F1502))),"TUBO CRAVADO","")))</f>
        <v/>
      </c>
      <c r="T1502">
        <f>IF($A1502="","",TEXT($A1502,"yyyymm")&amp;"|"&amp;$C1502&amp;"|"&amp;$F1502&amp;"|"&amp;$N1502&amp;"|"&amp;$R1502)</f>
        <v/>
      </c>
    </row>
    <row r="1503" ht="11.55" customHeight="1">
      <c r="A1503" s="10" t="n">
        <v>46109</v>
      </c>
      <c r="B1503" s="7" t="n"/>
      <c r="C1503" s="7" t="inlineStr">
        <is>
          <t>CTS CONCEIÇÃO</t>
        </is>
      </c>
      <c r="D1503" s="7" t="inlineStr">
        <is>
          <t>LEANDRO E SILVESTRE</t>
        </is>
      </c>
      <c r="E1503" s="7" t="inlineStr">
        <is>
          <t>GR Drill</t>
        </is>
      </c>
      <c r="F1503" s="13" t="inlineStr">
        <is>
          <t>Piloto e puxe entre PV 09 ao 10.1</t>
        </is>
      </c>
      <c r="G1503" s="7" t="inlineStr">
        <is>
          <t>09</t>
        </is>
      </c>
      <c r="H1503" s="7" t="n"/>
      <c r="I1503" s="7" t="inlineStr">
        <is>
          <t>09</t>
        </is>
      </c>
      <c r="J1503" s="7" t="inlineStr">
        <is>
          <t>Piloto e puxe</t>
        </is>
      </c>
      <c r="K1503" s="7" t="inlineStr">
        <is>
          <t>Planejamento</t>
        </is>
      </c>
      <c r="L1503" s="16" t="inlineStr">
        <is>
          <t>PDS-Março(1).docx</t>
        </is>
      </c>
      <c r="M1503">
        <f>IF($A1503="","",TEXT($A1503,"mmmm/yyyy"))</f>
        <v/>
      </c>
      <c r="P1503">
        <f>IFERROR(_xludf.XLOOKUP($N1503,Base_Enderecos!$A:$A,Base_Enderecos!$B:$B,""),"")</f>
        <v/>
      </c>
      <c r="Q1503">
        <f>IFERROR(_xludf.XLOOKUP($N1503,Base_Enderecos!$A:$A,Base_Enderecos!$C:$C,""),"")</f>
        <v/>
      </c>
      <c r="R1503">
        <f>IF(OR(ISNUMBER(SEARCH("HDD",$F1503)),ISNUMBER(SEARCH("MND",$F1503)),ISNUMBER(SEARCH("PEAD",$F1503)),ISNUMBER(SEARCH("Puxe",$J1503)),ISNUMBER(SEARCH("Apoio HDD",$F1503))),"MND",IF(OR(ISNUMBER(SEARCH("VCA",$F1503)),ISNUMBER(SEARCH("PVC",$F1503)),ISNUMBER(SEARCH("vca",$J1503)),ISNUMBER(SEARCH("Transformação",$J1503))),"VCA",IF(OR(ISNUMBER(SEARCH("crava",$F1503)),ISNUMBER(SEARCH("tubo cravado",$F1503)),ISNUMBER(SEARCH("shaft",$J1503)),ISNUMBER(SEARCH("concreto",$F1503))),"TUBO CRAVADO","")))</f>
        <v/>
      </c>
      <c r="T1503">
        <f>IF($A1503="","",TEXT($A1503,"yyyymm")&amp;"|"&amp;$C1503&amp;"|"&amp;$F1503&amp;"|"&amp;$N1503&amp;"|"&amp;$R1503)</f>
        <v/>
      </c>
    </row>
    <row r="1504" ht="11.55" customHeight="1">
      <c r="A1504" s="10" t="n">
        <v>46109</v>
      </c>
      <c r="B1504" s="7" t="n"/>
      <c r="C1504" s="7" t="inlineStr">
        <is>
          <t>CTS CONCEIÇÃO</t>
        </is>
      </c>
      <c r="D1504" s="7" t="inlineStr">
        <is>
          <t>LEANDRO E SILVESTRE</t>
        </is>
      </c>
      <c r="E1504" s="7" t="inlineStr">
        <is>
          <t>Medeiros</t>
        </is>
      </c>
      <c r="F1504" s="13" t="inlineStr">
        <is>
          <t>Apoio HDD entre PV 09 ao 10.1</t>
        </is>
      </c>
      <c r="G1504" s="7" t="inlineStr">
        <is>
          <t>09</t>
        </is>
      </c>
      <c r="H1504" s="7" t="n"/>
      <c r="I1504" s="7" t="inlineStr">
        <is>
          <t>09</t>
        </is>
      </c>
      <c r="J1504" s="7" t="inlineStr">
        <is>
          <t>Apoio HDD</t>
        </is>
      </c>
      <c r="K1504" s="7" t="inlineStr">
        <is>
          <t>Planejamento</t>
        </is>
      </c>
      <c r="L1504" s="16" t="inlineStr">
        <is>
          <t>PDS-Março(1).docx</t>
        </is>
      </c>
      <c r="M1504">
        <f>IF($A1504="","",TEXT($A1504,"mmmm/yyyy"))</f>
        <v/>
      </c>
      <c r="P1504">
        <f>IFERROR(_xludf.XLOOKUP($N1504,Base_Enderecos!$A:$A,Base_Enderecos!$B:$B,""),"")</f>
        <v/>
      </c>
      <c r="Q1504">
        <f>IFERROR(_xludf.XLOOKUP($N1504,Base_Enderecos!$A:$A,Base_Enderecos!$C:$C,""),"")</f>
        <v/>
      </c>
      <c r="R1504">
        <f>IF(OR(ISNUMBER(SEARCH("HDD",$F1504)),ISNUMBER(SEARCH("MND",$F1504)),ISNUMBER(SEARCH("PEAD",$F1504)),ISNUMBER(SEARCH("Puxe",$J1504)),ISNUMBER(SEARCH("Apoio HDD",$F1504))),"MND",IF(OR(ISNUMBER(SEARCH("VCA",$F1504)),ISNUMBER(SEARCH("PVC",$F1504)),ISNUMBER(SEARCH("vca",$J1504)),ISNUMBER(SEARCH("Transformação",$J1504))),"VCA",IF(OR(ISNUMBER(SEARCH("crava",$F1504)),ISNUMBER(SEARCH("tubo cravado",$F1504)),ISNUMBER(SEARCH("shaft",$J1504)),ISNUMBER(SEARCH("concreto",$F1504))),"TUBO CRAVADO","")))</f>
        <v/>
      </c>
      <c r="T1504">
        <f>IF($A1504="","",TEXT($A1504,"yyyymm")&amp;"|"&amp;$C1504&amp;"|"&amp;$F1504&amp;"|"&amp;$N1504&amp;"|"&amp;$R1504)</f>
        <v/>
      </c>
    </row>
    <row r="1505" ht="11.55" customHeight="1">
      <c r="A1505" s="10" t="n">
        <v>46109</v>
      </c>
      <c r="B1505" s="7" t="n"/>
      <c r="C1505" s="7" t="inlineStr">
        <is>
          <t>CTS CONCEIÇÃO</t>
        </is>
      </c>
      <c r="D1505" s="7" t="inlineStr">
        <is>
          <t>LEANDRO E SILVESTRE</t>
        </is>
      </c>
      <c r="E1505" s="7" t="inlineStr">
        <is>
          <t>Carlos</t>
        </is>
      </c>
      <c r="F1505" s="13" t="inlineStr">
        <is>
          <t>Transformação 06</t>
        </is>
      </c>
      <c r="G1505" s="7" t="n"/>
      <c r="H1505" s="7" t="n"/>
      <c r="I1505" s="7" t="n"/>
      <c r="J1505" s="7" t="inlineStr">
        <is>
          <t>Transformação</t>
        </is>
      </c>
      <c r="K1505" s="7" t="inlineStr">
        <is>
          <t>Planejamento</t>
        </is>
      </c>
      <c r="L1505" s="16" t="inlineStr">
        <is>
          <t>PDS-Março(1).docx</t>
        </is>
      </c>
      <c r="M1505">
        <f>IF($A1505="","",TEXT($A1505,"mmmm/yyyy"))</f>
        <v/>
      </c>
      <c r="P1505">
        <f>IFERROR(_xludf.XLOOKUP($N1505,Base_Enderecos!$A:$A,Base_Enderecos!$B:$B,""),"")</f>
        <v/>
      </c>
      <c r="Q1505">
        <f>IFERROR(_xludf.XLOOKUP($N1505,Base_Enderecos!$A:$A,Base_Enderecos!$C:$C,""),"")</f>
        <v/>
      </c>
      <c r="R1505">
        <f>IF(OR(ISNUMBER(SEARCH("HDD",$F1505)),ISNUMBER(SEARCH("MND",$F1505)),ISNUMBER(SEARCH("PEAD",$F1505)),ISNUMBER(SEARCH("Puxe",$J1505)),ISNUMBER(SEARCH("Apoio HDD",$F1505))),"MND",IF(OR(ISNUMBER(SEARCH("VCA",$F1505)),ISNUMBER(SEARCH("PVC",$F1505)),ISNUMBER(SEARCH("vca",$J1505)),ISNUMBER(SEARCH("Transformação",$J1505))),"VCA",IF(OR(ISNUMBER(SEARCH("crava",$F1505)),ISNUMBER(SEARCH("tubo cravado",$F1505)),ISNUMBER(SEARCH("shaft",$J1505)),ISNUMBER(SEARCH("concreto",$F1505))),"TUBO CRAVADO","")))</f>
        <v/>
      </c>
      <c r="T1505">
        <f>IF($A1505="","",TEXT($A1505,"yyyymm")&amp;"|"&amp;$C1505&amp;"|"&amp;$F1505&amp;"|"&amp;$N1505&amp;"|"&amp;$R1505)</f>
        <v/>
      </c>
    </row>
    <row r="1506" ht="11.55" customHeight="1">
      <c r="A1506" s="10" t="n">
        <v>46109</v>
      </c>
      <c r="B1506" s="7" t="n"/>
      <c r="C1506" s="7" t="inlineStr">
        <is>
          <t>CTS CONCEIÇÃO</t>
        </is>
      </c>
      <c r="D1506" s="7" t="inlineStr">
        <is>
          <t>LEANDRO E SILVESTRE</t>
        </is>
      </c>
      <c r="E1506" s="7" t="inlineStr">
        <is>
          <t>Cesar</t>
        </is>
      </c>
      <c r="F1506" s="13" t="inlineStr">
        <is>
          <t>Transformação PV 08</t>
        </is>
      </c>
      <c r="G1506" s="7" t="inlineStr">
        <is>
          <t>08</t>
        </is>
      </c>
      <c r="H1506" s="7" t="n"/>
      <c r="I1506" s="7" t="inlineStr">
        <is>
          <t>08</t>
        </is>
      </c>
      <c r="J1506" s="7" t="inlineStr">
        <is>
          <t>Transformação</t>
        </is>
      </c>
      <c r="K1506" s="7" t="inlineStr">
        <is>
          <t>Planejamento</t>
        </is>
      </c>
      <c r="L1506" s="16" t="inlineStr">
        <is>
          <t>PDS-Março(1).docx</t>
        </is>
      </c>
      <c r="M1506">
        <f>IF($A1506="","",TEXT($A1506,"mmmm/yyyy"))</f>
        <v/>
      </c>
      <c r="P1506">
        <f>IFERROR(_xludf.XLOOKUP($N1506,Base_Enderecos!$A:$A,Base_Enderecos!$B:$B,""),"")</f>
        <v/>
      </c>
      <c r="Q1506">
        <f>IFERROR(_xludf.XLOOKUP($N1506,Base_Enderecos!$A:$A,Base_Enderecos!$C:$C,""),"")</f>
        <v/>
      </c>
      <c r="R1506">
        <f>IF(OR(ISNUMBER(SEARCH("HDD",$F1506)),ISNUMBER(SEARCH("MND",$F1506)),ISNUMBER(SEARCH("PEAD",$F1506)),ISNUMBER(SEARCH("Puxe",$J1506)),ISNUMBER(SEARCH("Apoio HDD",$F1506))),"MND",IF(OR(ISNUMBER(SEARCH("VCA",$F1506)),ISNUMBER(SEARCH("PVC",$F1506)),ISNUMBER(SEARCH("vca",$J1506)),ISNUMBER(SEARCH("Transformação",$J1506))),"VCA",IF(OR(ISNUMBER(SEARCH("crava",$F1506)),ISNUMBER(SEARCH("tubo cravado",$F1506)),ISNUMBER(SEARCH("shaft",$J1506)),ISNUMBER(SEARCH("concreto",$F1506))),"TUBO CRAVADO","")))</f>
        <v/>
      </c>
      <c r="T1506">
        <f>IF($A1506="","",TEXT($A1506,"yyyymm")&amp;"|"&amp;$C1506&amp;"|"&amp;$F1506&amp;"|"&amp;$N1506&amp;"|"&amp;$R1506)</f>
        <v/>
      </c>
    </row>
    <row r="1507" ht="11.55" customHeight="1">
      <c r="A1507" s="10" t="n">
        <v>46109</v>
      </c>
      <c r="B1507" s="7" t="n"/>
      <c r="C1507" s="7" t="inlineStr">
        <is>
          <t>CTS CONCEIÇÃO</t>
        </is>
      </c>
      <c r="D1507" s="7" t="inlineStr">
        <is>
          <t>LEANDRO E SILVESTRE</t>
        </is>
      </c>
      <c r="E1507" s="7" t="inlineStr">
        <is>
          <t>Edivando</t>
        </is>
      </c>
      <c r="F1507" s="13" t="inlineStr">
        <is>
          <t>Transformação PV 02</t>
        </is>
      </c>
      <c r="G1507" s="7" t="inlineStr">
        <is>
          <t>02</t>
        </is>
      </c>
      <c r="H1507" s="7" t="n"/>
      <c r="I1507" s="7" t="inlineStr">
        <is>
          <t>02</t>
        </is>
      </c>
      <c r="J1507" s="7" t="inlineStr">
        <is>
          <t>Transformação</t>
        </is>
      </c>
      <c r="K1507" s="7" t="inlineStr">
        <is>
          <t>Planejamento</t>
        </is>
      </c>
      <c r="L1507" s="16" t="inlineStr">
        <is>
          <t>PDS-Março(1).docx</t>
        </is>
      </c>
      <c r="M1507">
        <f>IF($A1507="","",TEXT($A1507,"mmmm/yyyy"))</f>
        <v/>
      </c>
      <c r="P1507">
        <f>IFERROR(_xludf.XLOOKUP($N1507,Base_Enderecos!$A:$A,Base_Enderecos!$B:$B,""),"")</f>
        <v/>
      </c>
      <c r="Q1507">
        <f>IFERROR(_xludf.XLOOKUP($N1507,Base_Enderecos!$A:$A,Base_Enderecos!$C:$C,""),"")</f>
        <v/>
      </c>
      <c r="R1507">
        <f>IF(OR(ISNUMBER(SEARCH("HDD",$F1507)),ISNUMBER(SEARCH("MND",$F1507)),ISNUMBER(SEARCH("PEAD",$F1507)),ISNUMBER(SEARCH("Puxe",$J1507)),ISNUMBER(SEARCH("Apoio HDD",$F1507))),"MND",IF(OR(ISNUMBER(SEARCH("VCA",$F1507)),ISNUMBER(SEARCH("PVC",$F1507)),ISNUMBER(SEARCH("vca",$J1507)),ISNUMBER(SEARCH("Transformação",$J1507))),"VCA",IF(OR(ISNUMBER(SEARCH("crava",$F1507)),ISNUMBER(SEARCH("tubo cravado",$F1507)),ISNUMBER(SEARCH("shaft",$J1507)),ISNUMBER(SEARCH("concreto",$F1507))),"TUBO CRAVADO","")))</f>
        <v/>
      </c>
      <c r="T1507">
        <f>IF($A1507="","",TEXT($A1507,"yyyymm")&amp;"|"&amp;$C1507&amp;"|"&amp;$F1507&amp;"|"&amp;$N1507&amp;"|"&amp;$R1507)</f>
        <v/>
      </c>
    </row>
    <row r="1508" ht="11.55" customHeight="1">
      <c r="A1508" s="10" t="n">
        <v>46109</v>
      </c>
      <c r="B1508" s="7" t="n"/>
      <c r="C1508" s="7" t="inlineStr">
        <is>
          <t>CTS CONCEIÇÃO</t>
        </is>
      </c>
      <c r="D1508" s="7" t="inlineStr">
        <is>
          <t>LEANDRO E SILVESTRE</t>
        </is>
      </c>
      <c r="E1508" s="7" t="inlineStr">
        <is>
          <t>Sergio</t>
        </is>
      </c>
      <c r="F1508" s="13" t="inlineStr">
        <is>
          <t>Transformação PV 4.2</t>
        </is>
      </c>
      <c r="G1508" s="7" t="inlineStr">
        <is>
          <t>4.2</t>
        </is>
      </c>
      <c r="H1508" s="7" t="n"/>
      <c r="I1508" s="7" t="inlineStr">
        <is>
          <t>4.2</t>
        </is>
      </c>
      <c r="J1508" s="7" t="inlineStr">
        <is>
          <t>Transformação</t>
        </is>
      </c>
      <c r="K1508" s="7" t="inlineStr">
        <is>
          <t>Planejamento</t>
        </is>
      </c>
      <c r="L1508" s="16" t="inlineStr">
        <is>
          <t>PDS-Março(1).docx</t>
        </is>
      </c>
      <c r="M1508">
        <f>IF($A1508="","",TEXT($A1508,"mmmm/yyyy"))</f>
        <v/>
      </c>
      <c r="P1508">
        <f>IFERROR(_xludf.XLOOKUP($N1508,Base_Enderecos!$A:$A,Base_Enderecos!$B:$B,""),"")</f>
        <v/>
      </c>
      <c r="Q1508">
        <f>IFERROR(_xludf.XLOOKUP($N1508,Base_Enderecos!$A:$A,Base_Enderecos!$C:$C,""),"")</f>
        <v/>
      </c>
      <c r="R1508">
        <f>IF(OR(ISNUMBER(SEARCH("HDD",$F1508)),ISNUMBER(SEARCH("MND",$F1508)),ISNUMBER(SEARCH("PEAD",$F1508)),ISNUMBER(SEARCH("Puxe",$J1508)),ISNUMBER(SEARCH("Apoio HDD",$F1508))),"MND",IF(OR(ISNUMBER(SEARCH("VCA",$F1508)),ISNUMBER(SEARCH("PVC",$F1508)),ISNUMBER(SEARCH("vca",$J1508)),ISNUMBER(SEARCH("Transformação",$J1508))),"VCA",IF(OR(ISNUMBER(SEARCH("crava",$F1508)),ISNUMBER(SEARCH("tubo cravado",$F1508)),ISNUMBER(SEARCH("shaft",$J1508)),ISNUMBER(SEARCH("concreto",$F1508))),"TUBO CRAVADO","")))</f>
        <v/>
      </c>
      <c r="T1508">
        <f>IF($A1508="","",TEXT($A1508,"yyyymm")&amp;"|"&amp;$C1508&amp;"|"&amp;$F1508&amp;"|"&amp;$N1508&amp;"|"&amp;$R1508)</f>
        <v/>
      </c>
    </row>
    <row r="1509" ht="11.55" customHeight="1">
      <c r="A1509" s="10" t="n">
        <v>46109</v>
      </c>
      <c r="B1509" s="7" t="n"/>
      <c r="C1509" s="7" t="inlineStr">
        <is>
          <t>CT ÁGUA VERMELHA M.D.</t>
        </is>
      </c>
      <c r="D1509" s="7" t="inlineStr">
        <is>
          <t>FABIO E VALMIR</t>
        </is>
      </c>
      <c r="E1509" s="7" t="inlineStr">
        <is>
          <t>Johnatan</t>
        </is>
      </c>
      <c r="F1509" s="13" t="inlineStr">
        <is>
          <t>Transformação PVD 07</t>
        </is>
      </c>
      <c r="G1509" s="7" t="inlineStr">
        <is>
          <t>07</t>
        </is>
      </c>
      <c r="H1509" s="7" t="n"/>
      <c r="I1509" s="7" t="inlineStr">
        <is>
          <t>07</t>
        </is>
      </c>
      <c r="J1509" s="7" t="inlineStr">
        <is>
          <t>Transformação</t>
        </is>
      </c>
      <c r="K1509" s="7" t="inlineStr">
        <is>
          <t>Planejamento</t>
        </is>
      </c>
      <c r="L1509" s="16" t="inlineStr">
        <is>
          <t>PDS-Março(1).docx</t>
        </is>
      </c>
      <c r="M1509">
        <f>IF($A1509="","",TEXT($A1509,"mmmm/yyyy"))</f>
        <v/>
      </c>
      <c r="P1509">
        <f>IFERROR(_xludf.XLOOKUP($N1509,Base_Enderecos!$A:$A,Base_Enderecos!$B:$B,""),"")</f>
        <v/>
      </c>
      <c r="Q1509">
        <f>IFERROR(_xludf.XLOOKUP($N1509,Base_Enderecos!$A:$A,Base_Enderecos!$C:$C,""),"")</f>
        <v/>
      </c>
      <c r="R1509">
        <f>IF(OR(ISNUMBER(SEARCH("HDD",$F1509)),ISNUMBER(SEARCH("MND",$F1509)),ISNUMBER(SEARCH("PEAD",$F1509)),ISNUMBER(SEARCH("Puxe",$J1509)),ISNUMBER(SEARCH("Apoio HDD",$F1509))),"MND",IF(OR(ISNUMBER(SEARCH("VCA",$F1509)),ISNUMBER(SEARCH("PVC",$F1509)),ISNUMBER(SEARCH("vca",$J1509)),ISNUMBER(SEARCH("Transformação",$J1509))),"VCA",IF(OR(ISNUMBER(SEARCH("crava",$F1509)),ISNUMBER(SEARCH("tubo cravado",$F1509)),ISNUMBER(SEARCH("shaft",$J1509)),ISNUMBER(SEARCH("concreto",$F1509))),"TUBO CRAVADO","")))</f>
        <v/>
      </c>
      <c r="T1509">
        <f>IF($A1509="","",TEXT($A1509,"yyyymm")&amp;"|"&amp;$C1509&amp;"|"&amp;$F1509&amp;"|"&amp;$N1509&amp;"|"&amp;$R1509)</f>
        <v/>
      </c>
    </row>
    <row r="1510" ht="11.55" customHeight="1">
      <c r="A1510" s="10" t="n">
        <v>46109</v>
      </c>
      <c r="B1510" s="7" t="n"/>
      <c r="C1510" s="7" t="inlineStr">
        <is>
          <t>CT ÁGUA VERMELHA M.D.</t>
        </is>
      </c>
      <c r="D1510" s="7" t="inlineStr">
        <is>
          <t>FABIO E VALMIR</t>
        </is>
      </c>
      <c r="E1510" s="7" t="inlineStr">
        <is>
          <t>Antônio</t>
        </is>
      </c>
      <c r="F1510" s="13" t="inlineStr">
        <is>
          <t>Transformação PVD 16</t>
        </is>
      </c>
      <c r="G1510" s="7" t="inlineStr">
        <is>
          <t>16</t>
        </is>
      </c>
      <c r="H1510" s="7" t="n"/>
      <c r="I1510" s="7" t="inlineStr">
        <is>
          <t>16</t>
        </is>
      </c>
      <c r="J1510" s="7" t="inlineStr">
        <is>
          <t>Transformação</t>
        </is>
      </c>
      <c r="K1510" s="7" t="inlineStr">
        <is>
          <t>Planejamento</t>
        </is>
      </c>
      <c r="L1510" s="16" t="inlineStr">
        <is>
          <t>PDS-Março(1).docx</t>
        </is>
      </c>
      <c r="M1510">
        <f>IF($A1510="","",TEXT($A1510,"mmmm/yyyy"))</f>
        <v/>
      </c>
      <c r="P1510">
        <f>IFERROR(_xludf.XLOOKUP($N1510,Base_Enderecos!$A:$A,Base_Enderecos!$B:$B,""),"")</f>
        <v/>
      </c>
      <c r="Q1510">
        <f>IFERROR(_xludf.XLOOKUP($N1510,Base_Enderecos!$A:$A,Base_Enderecos!$C:$C,""),"")</f>
        <v/>
      </c>
      <c r="R1510">
        <f>IF(OR(ISNUMBER(SEARCH("HDD",$F1510)),ISNUMBER(SEARCH("MND",$F1510)),ISNUMBER(SEARCH("PEAD",$F1510)),ISNUMBER(SEARCH("Puxe",$J1510)),ISNUMBER(SEARCH("Apoio HDD",$F1510))),"MND",IF(OR(ISNUMBER(SEARCH("VCA",$F1510)),ISNUMBER(SEARCH("PVC",$F1510)),ISNUMBER(SEARCH("vca",$J1510)),ISNUMBER(SEARCH("Transformação",$J1510))),"VCA",IF(OR(ISNUMBER(SEARCH("crava",$F1510)),ISNUMBER(SEARCH("tubo cravado",$F1510)),ISNUMBER(SEARCH("shaft",$J1510)),ISNUMBER(SEARCH("concreto",$F1510))),"TUBO CRAVADO","")))</f>
        <v/>
      </c>
      <c r="T1510">
        <f>IF($A1510="","",TEXT($A1510,"yyyymm")&amp;"|"&amp;$C1510&amp;"|"&amp;$F1510&amp;"|"&amp;$N1510&amp;"|"&amp;$R1510)</f>
        <v/>
      </c>
    </row>
    <row r="1511" ht="11.55" customHeight="1">
      <c r="A1511" s="10" t="n">
        <v>46109</v>
      </c>
      <c r="B1511" s="7" t="n"/>
      <c r="C1511" s="7" t="inlineStr">
        <is>
          <t>CT ÁGUA VERMELHA M.D.</t>
        </is>
      </c>
      <c r="D1511" s="7" t="inlineStr">
        <is>
          <t>FABIO E VALMIR</t>
        </is>
      </c>
      <c r="E1511" s="7" t="inlineStr">
        <is>
          <t>Claudinei</t>
        </is>
      </c>
      <c r="F1511" s="13" t="inlineStr">
        <is>
          <t>Apoio Casa</t>
        </is>
      </c>
      <c r="G1511" s="7" t="n"/>
      <c r="H1511" s="7" t="n"/>
      <c r="I1511" s="7" t="n"/>
      <c r="J1511" s="7" t="n"/>
      <c r="K1511" s="7" t="inlineStr">
        <is>
          <t>Planejamento</t>
        </is>
      </c>
      <c r="L1511" s="16" t="inlineStr">
        <is>
          <t>PDS-Março(1).docx</t>
        </is>
      </c>
      <c r="M1511">
        <f>IF($A1511="","",TEXT($A1511,"mmmm/yyyy"))</f>
        <v/>
      </c>
      <c r="P1511">
        <f>IFERROR(_xludf.XLOOKUP($N1511,Base_Enderecos!$A:$A,Base_Enderecos!$B:$B,""),"")</f>
        <v/>
      </c>
      <c r="Q1511">
        <f>IFERROR(_xludf.XLOOKUP($N1511,Base_Enderecos!$A:$A,Base_Enderecos!$C:$C,""),"")</f>
        <v/>
      </c>
      <c r="R1511">
        <f>IF(OR(ISNUMBER(SEARCH("HDD",$F1511)),ISNUMBER(SEARCH("MND",$F1511)),ISNUMBER(SEARCH("PEAD",$F1511)),ISNUMBER(SEARCH("Puxe",$J1511)),ISNUMBER(SEARCH("Apoio HDD",$F1511))),"MND",IF(OR(ISNUMBER(SEARCH("VCA",$F1511)),ISNUMBER(SEARCH("PVC",$F1511)),ISNUMBER(SEARCH("vca",$J1511)),ISNUMBER(SEARCH("Transformação",$J1511))),"VCA",IF(OR(ISNUMBER(SEARCH("crava",$F1511)),ISNUMBER(SEARCH("tubo cravado",$F1511)),ISNUMBER(SEARCH("shaft",$J1511)),ISNUMBER(SEARCH("concreto",$F1511))),"TUBO CRAVADO","")))</f>
        <v/>
      </c>
      <c r="T1511">
        <f>IF($A1511="","",TEXT($A1511,"yyyymm")&amp;"|"&amp;$C1511&amp;"|"&amp;$F1511&amp;"|"&amp;$N1511&amp;"|"&amp;$R1511)</f>
        <v/>
      </c>
    </row>
    <row r="1512" ht="11.55" customHeight="1">
      <c r="A1512" s="10" t="n">
        <v>46109</v>
      </c>
      <c r="B1512" s="7" t="n"/>
      <c r="C1512" s="7" t="inlineStr">
        <is>
          <t>CT ÁGUA VERMELHA M.E.</t>
        </is>
      </c>
      <c r="D1512" s="7" t="inlineStr">
        <is>
          <t>FABIO E VALMIR</t>
        </is>
      </c>
      <c r="E1512" s="7" t="inlineStr">
        <is>
          <t>Marcelo</t>
        </is>
      </c>
      <c r="F1512" s="13" t="inlineStr">
        <is>
          <t>Transformação PVE 16</t>
        </is>
      </c>
      <c r="G1512" s="7" t="inlineStr">
        <is>
          <t>16</t>
        </is>
      </c>
      <c r="H1512" s="7" t="n"/>
      <c r="I1512" s="7" t="inlineStr">
        <is>
          <t>16</t>
        </is>
      </c>
      <c r="J1512" s="7" t="inlineStr">
        <is>
          <t>Transformação</t>
        </is>
      </c>
      <c r="K1512" s="7" t="inlineStr">
        <is>
          <t>Planejamento</t>
        </is>
      </c>
      <c r="L1512" s="16" t="inlineStr">
        <is>
          <t>PDS-Março(1).docx</t>
        </is>
      </c>
      <c r="M1512">
        <f>IF($A1512="","",TEXT($A1512,"mmmm/yyyy"))</f>
        <v/>
      </c>
      <c r="P1512">
        <f>IFERROR(_xludf.XLOOKUP($N1512,Base_Enderecos!$A:$A,Base_Enderecos!$B:$B,""),"")</f>
        <v/>
      </c>
      <c r="Q1512">
        <f>IFERROR(_xludf.XLOOKUP($N1512,Base_Enderecos!$A:$A,Base_Enderecos!$C:$C,""),"")</f>
        <v/>
      </c>
      <c r="R1512">
        <f>IF(OR(ISNUMBER(SEARCH("HDD",$F1512)),ISNUMBER(SEARCH("MND",$F1512)),ISNUMBER(SEARCH("PEAD",$F1512)),ISNUMBER(SEARCH("Puxe",$J1512)),ISNUMBER(SEARCH("Apoio HDD",$F1512))),"MND",IF(OR(ISNUMBER(SEARCH("VCA",$F1512)),ISNUMBER(SEARCH("PVC",$F1512)),ISNUMBER(SEARCH("vca",$J1512)),ISNUMBER(SEARCH("Transformação",$J1512))),"VCA",IF(OR(ISNUMBER(SEARCH("crava",$F1512)),ISNUMBER(SEARCH("tubo cravado",$F1512)),ISNUMBER(SEARCH("shaft",$J1512)),ISNUMBER(SEARCH("concreto",$F1512))),"TUBO CRAVADO","")))</f>
        <v/>
      </c>
      <c r="T1512">
        <f>IF($A1512="","",TEXT($A1512,"yyyymm")&amp;"|"&amp;$C1512&amp;"|"&amp;$F1512&amp;"|"&amp;$N1512&amp;"|"&amp;$R1512)</f>
        <v/>
      </c>
    </row>
    <row r="1513" ht="11.55" customHeight="1">
      <c r="A1513" s="10" t="n">
        <v>46109</v>
      </c>
      <c r="B1513" s="7" t="n"/>
      <c r="C1513" s="7" t="inlineStr">
        <is>
          <t>RCE FCO. SOUTO MAIOR</t>
        </is>
      </c>
      <c r="D1513" s="7" t="inlineStr">
        <is>
          <t>SILVESTRE</t>
        </is>
      </c>
      <c r="E1513" s="7" t="inlineStr">
        <is>
          <t>Valter</t>
        </is>
      </c>
      <c r="F1513" s="13" t="inlineStr">
        <is>
          <t>VCA e Ligações – Rua Canto da Serra</t>
        </is>
      </c>
      <c r="G1513" s="7" t="n"/>
      <c r="H1513" s="7" t="n"/>
      <c r="I1513" s="7" t="n"/>
      <c r="J1513" s="7" t="inlineStr">
        <is>
          <t>VCA</t>
        </is>
      </c>
      <c r="K1513" s="7" t="inlineStr">
        <is>
          <t>Planejamento</t>
        </is>
      </c>
      <c r="L1513" s="16" t="inlineStr">
        <is>
          <t>PDS-Março(1).docx</t>
        </is>
      </c>
      <c r="M1513">
        <f>IF($A1513="","",TEXT($A1513,"mmmm/yyyy"))</f>
        <v/>
      </c>
      <c r="P1513">
        <f>IFERROR(_xludf.XLOOKUP($N1513,Base_Enderecos!$A:$A,Base_Enderecos!$B:$B,""),"")</f>
        <v/>
      </c>
      <c r="Q1513">
        <f>IFERROR(_xludf.XLOOKUP($N1513,Base_Enderecos!$A:$A,Base_Enderecos!$C:$C,""),"")</f>
        <v/>
      </c>
      <c r="R1513">
        <f>IF(OR(ISNUMBER(SEARCH("HDD",$F1513)),ISNUMBER(SEARCH("MND",$F1513)),ISNUMBER(SEARCH("PEAD",$F1513)),ISNUMBER(SEARCH("Puxe",$J1513)),ISNUMBER(SEARCH("Apoio HDD",$F1513))),"MND",IF(OR(ISNUMBER(SEARCH("VCA",$F1513)),ISNUMBER(SEARCH("PVC",$F1513)),ISNUMBER(SEARCH("vca",$J1513)),ISNUMBER(SEARCH("Transformação",$J1513))),"VCA",IF(OR(ISNUMBER(SEARCH("crava",$F1513)),ISNUMBER(SEARCH("tubo cravado",$F1513)),ISNUMBER(SEARCH("shaft",$J1513)),ISNUMBER(SEARCH("concreto",$F1513))),"TUBO CRAVADO","")))</f>
        <v/>
      </c>
      <c r="T1513">
        <f>IF($A1513="","",TEXT($A1513,"yyyymm")&amp;"|"&amp;$C1513&amp;"|"&amp;$F1513&amp;"|"&amp;$N1513&amp;"|"&amp;$R1513)</f>
        <v/>
      </c>
    </row>
    <row r="1514" ht="11.55" customHeight="1">
      <c r="A1514" s="10" t="n">
        <v>46109</v>
      </c>
      <c r="B1514" s="7" t="n"/>
      <c r="C1514" s="7" t="inlineStr">
        <is>
          <t>RCE FCO. SOUTO MAIOR</t>
        </is>
      </c>
      <c r="D1514" s="7" t="inlineStr">
        <is>
          <t>SILVESTRE</t>
        </is>
      </c>
      <c r="E1514" s="7" t="inlineStr">
        <is>
          <t>Ricardo</t>
        </is>
      </c>
      <c r="F1514" s="13" t="inlineStr">
        <is>
          <t>VCA e Ligações – Rua Canto da Serra</t>
        </is>
      </c>
      <c r="G1514" s="7" t="n"/>
      <c r="H1514" s="7" t="n"/>
      <c r="I1514" s="7" t="n"/>
      <c r="J1514" s="7" t="inlineStr">
        <is>
          <t>VCA</t>
        </is>
      </c>
      <c r="K1514" s="7" t="inlineStr">
        <is>
          <t>Planejamento</t>
        </is>
      </c>
      <c r="L1514" s="16" t="inlineStr">
        <is>
          <t>PDS-Março(1).docx</t>
        </is>
      </c>
      <c r="M1514">
        <f>IF($A1514="","",TEXT($A1514,"mmmm/yyyy"))</f>
        <v/>
      </c>
      <c r="P1514">
        <f>IFERROR(_xludf.XLOOKUP($N1514,Base_Enderecos!$A:$A,Base_Enderecos!$B:$B,""),"")</f>
        <v/>
      </c>
      <c r="Q1514">
        <f>IFERROR(_xludf.XLOOKUP($N1514,Base_Enderecos!$A:$A,Base_Enderecos!$C:$C,""),"")</f>
        <v/>
      </c>
      <c r="R1514">
        <f>IF(OR(ISNUMBER(SEARCH("HDD",$F1514)),ISNUMBER(SEARCH("MND",$F1514)),ISNUMBER(SEARCH("PEAD",$F1514)),ISNUMBER(SEARCH("Puxe",$J1514)),ISNUMBER(SEARCH("Apoio HDD",$F1514))),"MND",IF(OR(ISNUMBER(SEARCH("VCA",$F1514)),ISNUMBER(SEARCH("PVC",$F1514)),ISNUMBER(SEARCH("vca",$J1514)),ISNUMBER(SEARCH("Transformação",$J1514))),"VCA",IF(OR(ISNUMBER(SEARCH("crava",$F1514)),ISNUMBER(SEARCH("tubo cravado",$F1514)),ISNUMBER(SEARCH("shaft",$J1514)),ISNUMBER(SEARCH("concreto",$F1514))),"TUBO CRAVADO","")))</f>
        <v/>
      </c>
      <c r="T1514">
        <f>IF($A1514="","",TEXT($A1514,"yyyymm")&amp;"|"&amp;$C1514&amp;"|"&amp;$F1514&amp;"|"&amp;$N1514&amp;"|"&amp;$R1514)</f>
        <v/>
      </c>
    </row>
    <row r="1515" ht="11.55" customHeight="1">
      <c r="A1515" s="10" t="n">
        <v>46109</v>
      </c>
      <c r="B1515" s="7" t="n"/>
      <c r="C1515" s="7" t="inlineStr">
        <is>
          <t>CTS LUIS BOTELHO MOURÃO</t>
        </is>
      </c>
      <c r="D1515" s="7" t="inlineStr">
        <is>
          <t>ROBSON</t>
        </is>
      </c>
      <c r="E1515" s="7" t="inlineStr">
        <is>
          <t>Goiania Drill</t>
        </is>
      </c>
      <c r="F1515" s="13" t="inlineStr">
        <is>
          <t>Piloto e puxe PV 03 ao PV 04</t>
        </is>
      </c>
      <c r="G1515" s="7" t="inlineStr">
        <is>
          <t>03</t>
        </is>
      </c>
      <c r="H1515" s="7" t="inlineStr">
        <is>
          <t>04</t>
        </is>
      </c>
      <c r="I1515" s="7" t="inlineStr">
        <is>
          <t>03, 04</t>
        </is>
      </c>
      <c r="J1515" s="7" t="inlineStr">
        <is>
          <t>Piloto e puxe</t>
        </is>
      </c>
      <c r="K1515" s="7" t="inlineStr">
        <is>
          <t>Planejamento</t>
        </is>
      </c>
      <c r="L1515" s="16" t="inlineStr">
        <is>
          <t>PDS-Março(1).docx</t>
        </is>
      </c>
      <c r="M1515">
        <f>IF($A1515="","",TEXT($A1515,"mmmm/yyyy"))</f>
        <v/>
      </c>
      <c r="P1515">
        <f>IFERROR(_xludf.XLOOKUP($N1515,Base_Enderecos!$A:$A,Base_Enderecos!$B:$B,""),"")</f>
        <v/>
      </c>
      <c r="Q1515">
        <f>IFERROR(_xludf.XLOOKUP($N1515,Base_Enderecos!$A:$A,Base_Enderecos!$C:$C,""),"")</f>
        <v/>
      </c>
      <c r="R1515">
        <f>IF(OR(ISNUMBER(SEARCH("HDD",$F1515)),ISNUMBER(SEARCH("MND",$F1515)),ISNUMBER(SEARCH("PEAD",$F1515)),ISNUMBER(SEARCH("Puxe",$J1515)),ISNUMBER(SEARCH("Apoio HDD",$F1515))),"MND",IF(OR(ISNUMBER(SEARCH("VCA",$F1515)),ISNUMBER(SEARCH("PVC",$F1515)),ISNUMBER(SEARCH("vca",$J1515)),ISNUMBER(SEARCH("Transformação",$J1515))),"VCA",IF(OR(ISNUMBER(SEARCH("crava",$F1515)),ISNUMBER(SEARCH("tubo cravado",$F1515)),ISNUMBER(SEARCH("shaft",$J1515)),ISNUMBER(SEARCH("concreto",$F1515))),"TUBO CRAVADO","")))</f>
        <v/>
      </c>
      <c r="T1515">
        <f>IF($A1515="","",TEXT($A1515,"yyyymm")&amp;"|"&amp;$C1515&amp;"|"&amp;$F1515&amp;"|"&amp;$N1515&amp;"|"&amp;$R1515)</f>
        <v/>
      </c>
    </row>
    <row r="1516" ht="11.55" customHeight="1">
      <c r="A1516" s="10" t="n">
        <v>46109</v>
      </c>
      <c r="B1516" s="7" t="n"/>
      <c r="C1516" s="7" t="inlineStr">
        <is>
          <t>CTS LUIS BOTELHO MOURÃO</t>
        </is>
      </c>
      <c r="D1516" s="7" t="inlineStr">
        <is>
          <t>ROBSON</t>
        </is>
      </c>
      <c r="E1516" s="7" t="inlineStr">
        <is>
          <t>Bruno</t>
        </is>
      </c>
      <c r="F1516" s="13" t="inlineStr">
        <is>
          <t>Apoio HDD PV 03 ao PV 04</t>
        </is>
      </c>
      <c r="G1516" s="7" t="inlineStr">
        <is>
          <t>03</t>
        </is>
      </c>
      <c r="H1516" s="7" t="inlineStr">
        <is>
          <t>04</t>
        </is>
      </c>
      <c r="I1516" s="7" t="inlineStr">
        <is>
          <t>03, 04</t>
        </is>
      </c>
      <c r="J1516" s="7" t="inlineStr">
        <is>
          <t>Apoio HDD</t>
        </is>
      </c>
      <c r="K1516" s="7" t="inlineStr">
        <is>
          <t>Planejamento</t>
        </is>
      </c>
      <c r="L1516" s="16" t="inlineStr">
        <is>
          <t>PDS-Março(1).docx</t>
        </is>
      </c>
      <c r="M1516">
        <f>IF($A1516="","",TEXT($A1516,"mmmm/yyyy"))</f>
        <v/>
      </c>
      <c r="P1516">
        <f>IFERROR(_xludf.XLOOKUP($N1516,Base_Enderecos!$A:$A,Base_Enderecos!$B:$B,""),"")</f>
        <v/>
      </c>
      <c r="Q1516">
        <f>IFERROR(_xludf.XLOOKUP($N1516,Base_Enderecos!$A:$A,Base_Enderecos!$C:$C,""),"")</f>
        <v/>
      </c>
      <c r="R1516">
        <f>IF(OR(ISNUMBER(SEARCH("HDD",$F1516)),ISNUMBER(SEARCH("MND",$F1516)),ISNUMBER(SEARCH("PEAD",$F1516)),ISNUMBER(SEARCH("Puxe",$J1516)),ISNUMBER(SEARCH("Apoio HDD",$F1516))),"MND",IF(OR(ISNUMBER(SEARCH("VCA",$F1516)),ISNUMBER(SEARCH("PVC",$F1516)),ISNUMBER(SEARCH("vca",$J1516)),ISNUMBER(SEARCH("Transformação",$J1516))),"VCA",IF(OR(ISNUMBER(SEARCH("crava",$F1516)),ISNUMBER(SEARCH("tubo cravado",$F1516)),ISNUMBER(SEARCH("shaft",$J1516)),ISNUMBER(SEARCH("concreto",$F1516))),"TUBO CRAVADO","")))</f>
        <v/>
      </c>
      <c r="T1516">
        <f>IF($A1516="","",TEXT($A1516,"yyyymm")&amp;"|"&amp;$C1516&amp;"|"&amp;$F1516&amp;"|"&amp;$N1516&amp;"|"&amp;$R1516)</f>
        <v/>
      </c>
    </row>
    <row r="1517" ht="11.55" customHeight="1">
      <c r="A1517" s="10" t="n">
        <v>46109</v>
      </c>
      <c r="B1517" s="7" t="n"/>
      <c r="C1517" s="7" t="inlineStr">
        <is>
          <t>CTS LUIS BOTELHO MOURÃO</t>
        </is>
      </c>
      <c r="D1517" s="7" t="inlineStr">
        <is>
          <t>ROBSON</t>
        </is>
      </c>
      <c r="E1517" s="7" t="inlineStr">
        <is>
          <t>Cidão</t>
        </is>
      </c>
      <c r="F1517" s="13" t="inlineStr">
        <is>
          <t>Shaft PV 03</t>
        </is>
      </c>
      <c r="G1517" s="7" t="inlineStr">
        <is>
          <t>03</t>
        </is>
      </c>
      <c r="H1517" s="7" t="n"/>
      <c r="I1517" s="7" t="inlineStr">
        <is>
          <t>03</t>
        </is>
      </c>
      <c r="J1517" s="7" t="inlineStr">
        <is>
          <t>Shaft</t>
        </is>
      </c>
      <c r="K1517" s="7" t="inlineStr">
        <is>
          <t>Planejamento</t>
        </is>
      </c>
      <c r="L1517" s="16" t="inlineStr">
        <is>
          <t>PDS-Março(1).docx</t>
        </is>
      </c>
      <c r="M1517">
        <f>IF($A1517="","",TEXT($A1517,"mmmm/yyyy"))</f>
        <v/>
      </c>
      <c r="P1517">
        <f>IFERROR(_xludf.XLOOKUP($N1517,Base_Enderecos!$A:$A,Base_Enderecos!$B:$B,""),"")</f>
        <v/>
      </c>
      <c r="Q1517">
        <f>IFERROR(_xludf.XLOOKUP($N1517,Base_Enderecos!$A:$A,Base_Enderecos!$C:$C,""),"")</f>
        <v/>
      </c>
      <c r="R1517">
        <f>IF(OR(ISNUMBER(SEARCH("HDD",$F1517)),ISNUMBER(SEARCH("MND",$F1517)),ISNUMBER(SEARCH("PEAD",$F1517)),ISNUMBER(SEARCH("Puxe",$J1517)),ISNUMBER(SEARCH("Apoio HDD",$F1517))),"MND",IF(OR(ISNUMBER(SEARCH("VCA",$F1517)),ISNUMBER(SEARCH("PVC",$F1517)),ISNUMBER(SEARCH("vca",$J1517)),ISNUMBER(SEARCH("Transformação",$J1517))),"VCA",IF(OR(ISNUMBER(SEARCH("crava",$F1517)),ISNUMBER(SEARCH("tubo cravado",$F1517)),ISNUMBER(SEARCH("shaft",$J1517)),ISNUMBER(SEARCH("concreto",$F1517))),"TUBO CRAVADO","")))</f>
        <v/>
      </c>
      <c r="T1517">
        <f>IF($A1517="","",TEXT($A1517,"yyyymm")&amp;"|"&amp;$C1517&amp;"|"&amp;$F1517&amp;"|"&amp;$N1517&amp;"|"&amp;$R1517)</f>
        <v/>
      </c>
    </row>
    <row r="1518" ht="11.55" customHeight="1">
      <c r="A1518" s="10" t="n">
        <v>46109</v>
      </c>
      <c r="B1518" s="7" t="n"/>
      <c r="C1518" s="7" t="inlineStr">
        <is>
          <t>CTS LUIS BOTELHO MOURÃO</t>
        </is>
      </c>
      <c r="D1518" s="7" t="inlineStr">
        <is>
          <t>ROBSON</t>
        </is>
      </c>
      <c r="E1518" s="7" t="inlineStr">
        <is>
          <t>Marcio</t>
        </is>
      </c>
      <c r="F1518" s="13" t="inlineStr">
        <is>
          <t>Shaft PV 06</t>
        </is>
      </c>
      <c r="G1518" s="7" t="inlineStr">
        <is>
          <t>06</t>
        </is>
      </c>
      <c r="H1518" s="7" t="n"/>
      <c r="I1518" s="7" t="inlineStr">
        <is>
          <t>06</t>
        </is>
      </c>
      <c r="J1518" s="7" t="inlineStr">
        <is>
          <t>Shaft</t>
        </is>
      </c>
      <c r="K1518" s="7" t="inlineStr">
        <is>
          <t>Planejamento</t>
        </is>
      </c>
      <c r="L1518" s="16" t="inlineStr">
        <is>
          <t>PDS-Março(1).docx</t>
        </is>
      </c>
      <c r="M1518">
        <f>IF($A1518="","",TEXT($A1518,"mmmm/yyyy"))</f>
        <v/>
      </c>
      <c r="P1518">
        <f>IFERROR(_xludf.XLOOKUP($N1518,Base_Enderecos!$A:$A,Base_Enderecos!$B:$B,""),"")</f>
        <v/>
      </c>
      <c r="Q1518">
        <f>IFERROR(_xludf.XLOOKUP($N1518,Base_Enderecos!$A:$A,Base_Enderecos!$C:$C,""),"")</f>
        <v/>
      </c>
      <c r="R1518">
        <f>IF(OR(ISNUMBER(SEARCH("HDD",$F1518)),ISNUMBER(SEARCH("MND",$F1518)),ISNUMBER(SEARCH("PEAD",$F1518)),ISNUMBER(SEARCH("Puxe",$J1518)),ISNUMBER(SEARCH("Apoio HDD",$F1518))),"MND",IF(OR(ISNUMBER(SEARCH("VCA",$F1518)),ISNUMBER(SEARCH("PVC",$F1518)),ISNUMBER(SEARCH("vca",$J1518)),ISNUMBER(SEARCH("Transformação",$J1518))),"VCA",IF(OR(ISNUMBER(SEARCH("crava",$F1518)),ISNUMBER(SEARCH("tubo cravado",$F1518)),ISNUMBER(SEARCH("shaft",$J1518)),ISNUMBER(SEARCH("concreto",$F1518))),"TUBO CRAVADO","")))</f>
        <v/>
      </c>
      <c r="T1518">
        <f>IF($A1518="","",TEXT($A1518,"yyyymm")&amp;"|"&amp;$C1518&amp;"|"&amp;$F1518&amp;"|"&amp;$N1518&amp;"|"&amp;$R1518)</f>
        <v/>
      </c>
    </row>
    <row r="1519" ht="11.55" customHeight="1">
      <c r="A1519" s="10" t="n">
        <v>46109</v>
      </c>
      <c r="B1519" s="7" t="n"/>
      <c r="C1519" s="7" t="inlineStr">
        <is>
          <t>Vacal</t>
        </is>
      </c>
      <c r="D1519" s="7" t="n"/>
      <c r="E1519" s="7" t="inlineStr">
        <is>
          <t>Conceição – Hidrosol</t>
        </is>
      </c>
      <c r="F1519" s="13" t="inlineStr">
        <is>
          <t>Apoio Vacal</t>
        </is>
      </c>
      <c r="G1519" s="7" t="n"/>
      <c r="H1519" s="7" t="n"/>
      <c r="I1519" s="7" t="n"/>
      <c r="J1519" s="7" t="inlineStr">
        <is>
          <t>Vacal</t>
        </is>
      </c>
      <c r="K1519" s="7" t="inlineStr">
        <is>
          <t>Apoio</t>
        </is>
      </c>
      <c r="L1519" s="16" t="inlineStr">
        <is>
          <t>PDS-Março(1).docx</t>
        </is>
      </c>
      <c r="M1519">
        <f>IF($A1519="","",TEXT($A1519,"mmmm/yyyy"))</f>
        <v/>
      </c>
      <c r="P1519">
        <f>IFERROR(_xludf.XLOOKUP($N1519,Base_Enderecos!$A:$A,Base_Enderecos!$B:$B,""),"")</f>
        <v/>
      </c>
      <c r="Q1519">
        <f>IFERROR(_xludf.XLOOKUP($N1519,Base_Enderecos!$A:$A,Base_Enderecos!$C:$C,""),"")</f>
        <v/>
      </c>
      <c r="R1519">
        <f>IF(OR(ISNUMBER(SEARCH("HDD",$F1519)),ISNUMBER(SEARCH("MND",$F1519)),ISNUMBER(SEARCH("PEAD",$F1519)),ISNUMBER(SEARCH("Puxe",$J1519)),ISNUMBER(SEARCH("Apoio HDD",$F1519))),"MND",IF(OR(ISNUMBER(SEARCH("VCA",$F1519)),ISNUMBER(SEARCH("PVC",$F1519)),ISNUMBER(SEARCH("vca",$J1519)),ISNUMBER(SEARCH("Transformação",$J1519))),"VCA",IF(OR(ISNUMBER(SEARCH("crava",$F1519)),ISNUMBER(SEARCH("tubo cravado",$F1519)),ISNUMBER(SEARCH("shaft",$J1519)),ISNUMBER(SEARCH("concreto",$F1519))),"TUBO CRAVADO","")))</f>
        <v/>
      </c>
      <c r="T1519">
        <f>IF($A1519="","",TEXT($A1519,"yyyymm")&amp;"|"&amp;$C1519&amp;"|"&amp;$F1519&amp;"|"&amp;$N1519&amp;"|"&amp;$R1519)</f>
        <v/>
      </c>
    </row>
    <row r="1520" ht="11.55" customHeight="1">
      <c r="A1520" s="10" t="n">
        <v>46109</v>
      </c>
      <c r="B1520" s="7" t="n"/>
      <c r="C1520" s="7" t="inlineStr">
        <is>
          <t>Vacal</t>
        </is>
      </c>
      <c r="D1520" s="7" t="n"/>
      <c r="E1520" s="7" t="inlineStr">
        <is>
          <t>Água Vermelha - Renasce</t>
        </is>
      </c>
      <c r="F1520" s="13" t="inlineStr">
        <is>
          <t>Apoio Vacal</t>
        </is>
      </c>
      <c r="G1520" s="7" t="n"/>
      <c r="H1520" s="7" t="n"/>
      <c r="I1520" s="7" t="n"/>
      <c r="J1520" s="7" t="inlineStr">
        <is>
          <t>Vacal</t>
        </is>
      </c>
      <c r="K1520" s="7" t="inlineStr">
        <is>
          <t>Apoio</t>
        </is>
      </c>
      <c r="L1520" s="16" t="inlineStr">
        <is>
          <t>PDS-Março(1).docx</t>
        </is>
      </c>
      <c r="M1520">
        <f>IF($A1520="","",TEXT($A1520,"mmmm/yyyy"))</f>
        <v/>
      </c>
      <c r="P1520">
        <f>IFERROR(_xludf.XLOOKUP($N1520,Base_Enderecos!$A:$A,Base_Enderecos!$B:$B,""),"")</f>
        <v/>
      </c>
      <c r="Q1520">
        <f>IFERROR(_xludf.XLOOKUP($N1520,Base_Enderecos!$A:$A,Base_Enderecos!$C:$C,""),"")</f>
        <v/>
      </c>
      <c r="R1520">
        <f>IF(OR(ISNUMBER(SEARCH("HDD",$F1520)),ISNUMBER(SEARCH("MND",$F1520)),ISNUMBER(SEARCH("PEAD",$F1520)),ISNUMBER(SEARCH("Puxe",$J1520)),ISNUMBER(SEARCH("Apoio HDD",$F1520))),"MND",IF(OR(ISNUMBER(SEARCH("VCA",$F1520)),ISNUMBER(SEARCH("PVC",$F1520)),ISNUMBER(SEARCH("vca",$J1520)),ISNUMBER(SEARCH("Transformação",$J1520))),"VCA",IF(OR(ISNUMBER(SEARCH("crava",$F1520)),ISNUMBER(SEARCH("tubo cravado",$F1520)),ISNUMBER(SEARCH("shaft",$J1520)),ISNUMBER(SEARCH("concreto",$F1520))),"TUBO CRAVADO","")))</f>
        <v/>
      </c>
      <c r="T1520">
        <f>IF($A1520="","",TEXT($A1520,"yyyymm")&amp;"|"&amp;$C1520&amp;"|"&amp;$F1520&amp;"|"&amp;$N1520&amp;"|"&amp;$R1520)</f>
        <v/>
      </c>
    </row>
    <row r="1521" ht="11.55" customHeight="1">
      <c r="A1521" s="10" t="n">
        <v>46109</v>
      </c>
      <c r="B1521" s="7" t="n"/>
      <c r="C1521" s="7" t="inlineStr">
        <is>
          <t>Vacal</t>
        </is>
      </c>
      <c r="D1521" s="7" t="n"/>
      <c r="E1521" s="7" t="inlineStr">
        <is>
          <t>Botelho Mourão - Renasce</t>
        </is>
      </c>
      <c r="F1521" s="13" t="inlineStr">
        <is>
          <t>Apoio Vacal</t>
        </is>
      </c>
      <c r="G1521" s="7" t="n"/>
      <c r="H1521" s="7" t="n"/>
      <c r="I1521" s="7" t="n"/>
      <c r="J1521" s="7" t="inlineStr">
        <is>
          <t>Vacal</t>
        </is>
      </c>
      <c r="K1521" s="7" t="inlineStr">
        <is>
          <t>Apoio</t>
        </is>
      </c>
      <c r="L1521" s="16" t="inlineStr">
        <is>
          <t>PDS-Março(1).docx</t>
        </is>
      </c>
      <c r="M1521">
        <f>IF($A1521="","",TEXT($A1521,"mmmm/yyyy"))</f>
        <v/>
      </c>
      <c r="P1521">
        <f>IFERROR(_xludf.XLOOKUP($N1521,Base_Enderecos!$A:$A,Base_Enderecos!$B:$B,""),"")</f>
        <v/>
      </c>
      <c r="Q1521">
        <f>IFERROR(_xludf.XLOOKUP($N1521,Base_Enderecos!$A:$A,Base_Enderecos!$C:$C,""),"")</f>
        <v/>
      </c>
      <c r="R1521">
        <f>IF(OR(ISNUMBER(SEARCH("HDD",$F1521)),ISNUMBER(SEARCH("MND",$F1521)),ISNUMBER(SEARCH("PEAD",$F1521)),ISNUMBER(SEARCH("Puxe",$J1521)),ISNUMBER(SEARCH("Apoio HDD",$F1521))),"MND",IF(OR(ISNUMBER(SEARCH("VCA",$F1521)),ISNUMBER(SEARCH("PVC",$F1521)),ISNUMBER(SEARCH("vca",$J1521)),ISNUMBER(SEARCH("Transformação",$J1521))),"VCA",IF(OR(ISNUMBER(SEARCH("crava",$F1521)),ISNUMBER(SEARCH("tubo cravado",$F1521)),ISNUMBER(SEARCH("shaft",$J1521)),ISNUMBER(SEARCH("concreto",$F1521))),"TUBO CRAVADO","")))</f>
        <v/>
      </c>
      <c r="T1521">
        <f>IF($A1521="","",TEXT($A1521,"yyyymm")&amp;"|"&amp;$C1521&amp;"|"&amp;$F1521&amp;"|"&amp;$N1521&amp;"|"&amp;$R1521)</f>
        <v/>
      </c>
    </row>
    <row r="1522" ht="11.55" customHeight="1">
      <c r="A1522" s="10" t="n">
        <v>46109</v>
      </c>
      <c r="B1522" s="7" t="n"/>
      <c r="C1522" s="7" t="inlineStr">
        <is>
          <t>Vacal</t>
        </is>
      </c>
      <c r="D1522" s="7" t="n"/>
      <c r="E1522" s="7" t="inlineStr">
        <is>
          <t>Água Vermelha – Renasce</t>
        </is>
      </c>
      <c r="F1522" s="13" t="inlineStr">
        <is>
          <t>Apoio Vacal</t>
        </is>
      </c>
      <c r="G1522" s="7" t="n"/>
      <c r="H1522" s="7" t="n"/>
      <c r="I1522" s="7" t="n"/>
      <c r="J1522" s="7" t="inlineStr">
        <is>
          <t>Vacal</t>
        </is>
      </c>
      <c r="K1522" s="7" t="inlineStr">
        <is>
          <t>Apoio</t>
        </is>
      </c>
      <c r="L1522" s="16" t="inlineStr">
        <is>
          <t>PDS-Março(1).docx</t>
        </is>
      </c>
      <c r="M1522">
        <f>IF($A1522="","",TEXT($A1522,"mmmm/yyyy"))</f>
        <v/>
      </c>
      <c r="P1522">
        <f>IFERROR(_xludf.XLOOKUP($N1522,Base_Enderecos!$A:$A,Base_Enderecos!$B:$B,""),"")</f>
        <v/>
      </c>
      <c r="Q1522">
        <f>IFERROR(_xludf.XLOOKUP($N1522,Base_Enderecos!$A:$A,Base_Enderecos!$C:$C,""),"")</f>
        <v/>
      </c>
      <c r="R1522">
        <f>IF(OR(ISNUMBER(SEARCH("HDD",$F1522)),ISNUMBER(SEARCH("MND",$F1522)),ISNUMBER(SEARCH("PEAD",$F1522)),ISNUMBER(SEARCH("Puxe",$J1522)),ISNUMBER(SEARCH("Apoio HDD",$F1522))),"MND",IF(OR(ISNUMBER(SEARCH("VCA",$F1522)),ISNUMBER(SEARCH("PVC",$F1522)),ISNUMBER(SEARCH("vca",$J1522)),ISNUMBER(SEARCH("Transformação",$J1522))),"VCA",IF(OR(ISNUMBER(SEARCH("crava",$F1522)),ISNUMBER(SEARCH("tubo cravado",$F1522)),ISNUMBER(SEARCH("shaft",$J1522)),ISNUMBER(SEARCH("concreto",$F1522))),"TUBO CRAVADO","")))</f>
        <v/>
      </c>
      <c r="T1522">
        <f>IF($A1522="","",TEXT($A1522,"yyyymm")&amp;"|"&amp;$C1522&amp;"|"&amp;$F1522&amp;"|"&amp;$N1522&amp;"|"&amp;$R1522)</f>
        <v/>
      </c>
    </row>
    <row r="1523" ht="11.55" customHeight="1">
      <c r="A1523" s="10" t="n">
        <v>46109</v>
      </c>
      <c r="B1523" s="7" t="n"/>
      <c r="C1523" s="7" t="inlineStr">
        <is>
          <t>Guindauto</t>
        </is>
      </c>
      <c r="D1523" s="7" t="n"/>
      <c r="E1523" s="7" t="inlineStr">
        <is>
          <t>Rodrigo</t>
        </is>
      </c>
      <c r="F1523" s="13" t="inlineStr">
        <is>
          <t>Rodrigo - Apoio as equipes</t>
        </is>
      </c>
      <c r="G1523" s="7" t="n"/>
      <c r="H1523" s="7" t="n"/>
      <c r="I1523" s="7" t="n"/>
      <c r="J1523" s="7" t="inlineStr">
        <is>
          <t>Guindauto</t>
        </is>
      </c>
      <c r="K1523" s="7" t="inlineStr">
        <is>
          <t>Apoio</t>
        </is>
      </c>
      <c r="L1523" s="16" t="inlineStr">
        <is>
          <t>PDS-Março(1).docx</t>
        </is>
      </c>
      <c r="M1523">
        <f>IF($A1523="","",TEXT($A1523,"mmmm/yyyy"))</f>
        <v/>
      </c>
      <c r="P1523">
        <f>IFERROR(_xludf.XLOOKUP($N1523,Base_Enderecos!$A:$A,Base_Enderecos!$B:$B,""),"")</f>
        <v/>
      </c>
      <c r="Q1523">
        <f>IFERROR(_xludf.XLOOKUP($N1523,Base_Enderecos!$A:$A,Base_Enderecos!$C:$C,""),"")</f>
        <v/>
      </c>
      <c r="R1523">
        <f>IF(OR(ISNUMBER(SEARCH("HDD",$F1523)),ISNUMBER(SEARCH("MND",$F1523)),ISNUMBER(SEARCH("PEAD",$F1523)),ISNUMBER(SEARCH("Puxe",$J1523)),ISNUMBER(SEARCH("Apoio HDD",$F1523))),"MND",IF(OR(ISNUMBER(SEARCH("VCA",$F1523)),ISNUMBER(SEARCH("PVC",$F1523)),ISNUMBER(SEARCH("vca",$J1523)),ISNUMBER(SEARCH("Transformação",$J1523))),"VCA",IF(OR(ISNUMBER(SEARCH("crava",$F1523)),ISNUMBER(SEARCH("tubo cravado",$F1523)),ISNUMBER(SEARCH("shaft",$J1523)),ISNUMBER(SEARCH("concreto",$F1523))),"TUBO CRAVADO","")))</f>
        <v/>
      </c>
      <c r="T1523">
        <f>IF($A1523="","",TEXT($A1523,"yyyymm")&amp;"|"&amp;$C1523&amp;"|"&amp;$F1523&amp;"|"&amp;$N1523&amp;"|"&amp;$R1523)</f>
        <v/>
      </c>
    </row>
    <row r="1524" ht="11.55" customHeight="1">
      <c r="A1524" s="10" t="n">
        <v>46109</v>
      </c>
      <c r="B1524" s="7" t="n"/>
      <c r="C1524" s="7" t="inlineStr">
        <is>
          <t>Guindauto</t>
        </is>
      </c>
      <c r="D1524" s="7" t="n"/>
      <c r="E1524" s="7" t="inlineStr">
        <is>
          <t>Marcio</t>
        </is>
      </c>
      <c r="F1524" s="13" t="inlineStr">
        <is>
          <t>Marcio - Apoio as equipes</t>
        </is>
      </c>
      <c r="G1524" s="7" t="n"/>
      <c r="H1524" s="7" t="n"/>
      <c r="I1524" s="7" t="n"/>
      <c r="J1524" s="7" t="inlineStr">
        <is>
          <t>Guindauto</t>
        </is>
      </c>
      <c r="K1524" s="7" t="inlineStr">
        <is>
          <t>Apoio</t>
        </is>
      </c>
      <c r="L1524" s="16" t="inlineStr">
        <is>
          <t>PDS-Março(1).docx</t>
        </is>
      </c>
      <c r="M1524">
        <f>IF($A1524="","",TEXT($A1524,"mmmm/yyyy"))</f>
        <v/>
      </c>
      <c r="P1524">
        <f>IFERROR(_xludf.XLOOKUP($N1524,Base_Enderecos!$A:$A,Base_Enderecos!$B:$B,""),"")</f>
        <v/>
      </c>
      <c r="Q1524">
        <f>IFERROR(_xludf.XLOOKUP($N1524,Base_Enderecos!$A:$A,Base_Enderecos!$C:$C,""),"")</f>
        <v/>
      </c>
      <c r="R1524">
        <f>IF(OR(ISNUMBER(SEARCH("HDD",$F1524)),ISNUMBER(SEARCH("MND",$F1524)),ISNUMBER(SEARCH("PEAD",$F1524)),ISNUMBER(SEARCH("Puxe",$J1524)),ISNUMBER(SEARCH("Apoio HDD",$F1524))),"MND",IF(OR(ISNUMBER(SEARCH("VCA",$F1524)),ISNUMBER(SEARCH("PVC",$F1524)),ISNUMBER(SEARCH("vca",$J1524)),ISNUMBER(SEARCH("Transformação",$J1524))),"VCA",IF(OR(ISNUMBER(SEARCH("crava",$F1524)),ISNUMBER(SEARCH("tubo cravado",$F1524)),ISNUMBER(SEARCH("shaft",$J1524)),ISNUMBER(SEARCH("concreto",$F1524))),"TUBO CRAVADO","")))</f>
        <v/>
      </c>
      <c r="T1524">
        <f>IF($A1524="","",TEXT($A1524,"yyyymm")&amp;"|"&amp;$C1524&amp;"|"&amp;$F1524&amp;"|"&amp;$N1524&amp;"|"&amp;$R1524)</f>
        <v/>
      </c>
    </row>
    <row r="1525" ht="11.55" customHeight="1">
      <c r="A1525" s="10" t="n">
        <v>46111</v>
      </c>
      <c r="B1525" s="7" t="inlineStr">
        <is>
          <t>Segunda</t>
        </is>
      </c>
      <c r="C1525" s="7" t="inlineStr">
        <is>
          <t>CTS CONCEIÇÃO</t>
        </is>
      </c>
      <c r="D1525" s="7" t="inlineStr">
        <is>
          <t>LEANDRO E SILVESTRE</t>
        </is>
      </c>
      <c r="E1525" s="7" t="inlineStr">
        <is>
          <t>GR Drill</t>
        </is>
      </c>
      <c r="F1525" s="13" t="inlineStr">
        <is>
          <t>Piloto e puxe entre PV 09 ao 10.1</t>
        </is>
      </c>
      <c r="G1525" s="7" t="inlineStr">
        <is>
          <t>09</t>
        </is>
      </c>
      <c r="H1525" s="7" t="n"/>
      <c r="I1525" s="7" t="inlineStr">
        <is>
          <t>09</t>
        </is>
      </c>
      <c r="J1525" s="7" t="inlineStr">
        <is>
          <t>Piloto e puxe</t>
        </is>
      </c>
      <c r="K1525" s="7" t="inlineStr">
        <is>
          <t>Planejamento</t>
        </is>
      </c>
      <c r="L1525" s="16" t="inlineStr">
        <is>
          <t>PDS-Março(1).docx</t>
        </is>
      </c>
      <c r="M1525">
        <f>IF($A1525="","",TEXT($A1525,"mmmm/yyyy"))</f>
        <v/>
      </c>
      <c r="P1525">
        <f>IFERROR(_xludf.XLOOKUP($N1525,Base_Enderecos!$A:$A,Base_Enderecos!$B:$B,""),"")</f>
        <v/>
      </c>
      <c r="Q1525">
        <f>IFERROR(_xludf.XLOOKUP($N1525,Base_Enderecos!$A:$A,Base_Enderecos!$C:$C,""),"")</f>
        <v/>
      </c>
      <c r="R1525">
        <f>IF(OR(ISNUMBER(SEARCH("HDD",$F1525)),ISNUMBER(SEARCH("MND",$F1525)),ISNUMBER(SEARCH("PEAD",$F1525)),ISNUMBER(SEARCH("Puxe",$J1525)),ISNUMBER(SEARCH("Apoio HDD",$F1525))),"MND",IF(OR(ISNUMBER(SEARCH("VCA",$F1525)),ISNUMBER(SEARCH("PVC",$F1525)),ISNUMBER(SEARCH("vca",$J1525)),ISNUMBER(SEARCH("Transformação",$J1525))),"VCA",IF(OR(ISNUMBER(SEARCH("crava",$F1525)),ISNUMBER(SEARCH("tubo cravado",$F1525)),ISNUMBER(SEARCH("shaft",$J1525)),ISNUMBER(SEARCH("concreto",$F1525))),"TUBO CRAVADO","")))</f>
        <v/>
      </c>
      <c r="T1525">
        <f>IF($A1525="","",TEXT($A1525,"yyyymm")&amp;"|"&amp;$C1525&amp;"|"&amp;$F1525&amp;"|"&amp;$N1525&amp;"|"&amp;$R1525)</f>
        <v/>
      </c>
    </row>
    <row r="1526" ht="11.55" customHeight="1">
      <c r="A1526" s="10" t="n">
        <v>46111</v>
      </c>
      <c r="B1526" s="7" t="inlineStr">
        <is>
          <t>Segunda</t>
        </is>
      </c>
      <c r="C1526" s="7" t="inlineStr">
        <is>
          <t>CTS CONCEIÇÃO</t>
        </is>
      </c>
      <c r="D1526" s="7" t="inlineStr">
        <is>
          <t>LEANDRO E SILVESTRE</t>
        </is>
      </c>
      <c r="E1526" s="7" t="inlineStr">
        <is>
          <t>Medeiros</t>
        </is>
      </c>
      <c r="F1526" s="13" t="inlineStr">
        <is>
          <t>Apoio HDD entre PV 09 ao 10.1</t>
        </is>
      </c>
      <c r="G1526" s="7" t="inlineStr">
        <is>
          <t>09</t>
        </is>
      </c>
      <c r="H1526" s="7" t="n"/>
      <c r="I1526" s="7" t="inlineStr">
        <is>
          <t>09</t>
        </is>
      </c>
      <c r="J1526" s="7" t="inlineStr">
        <is>
          <t>Apoio HDD</t>
        </is>
      </c>
      <c r="K1526" s="7" t="inlineStr">
        <is>
          <t>Planejamento</t>
        </is>
      </c>
      <c r="L1526" s="16" t="inlineStr">
        <is>
          <t>PDS-Março(1).docx</t>
        </is>
      </c>
      <c r="M1526">
        <f>IF($A1526="","",TEXT($A1526,"mmmm/yyyy"))</f>
        <v/>
      </c>
      <c r="P1526">
        <f>IFERROR(_xludf.XLOOKUP($N1526,Base_Enderecos!$A:$A,Base_Enderecos!$B:$B,""),"")</f>
        <v/>
      </c>
      <c r="Q1526">
        <f>IFERROR(_xludf.XLOOKUP($N1526,Base_Enderecos!$A:$A,Base_Enderecos!$C:$C,""),"")</f>
        <v/>
      </c>
      <c r="R1526">
        <f>IF(OR(ISNUMBER(SEARCH("HDD",$F1526)),ISNUMBER(SEARCH("MND",$F1526)),ISNUMBER(SEARCH("PEAD",$F1526)),ISNUMBER(SEARCH("Puxe",$J1526)),ISNUMBER(SEARCH("Apoio HDD",$F1526))),"MND",IF(OR(ISNUMBER(SEARCH("VCA",$F1526)),ISNUMBER(SEARCH("PVC",$F1526)),ISNUMBER(SEARCH("vca",$J1526)),ISNUMBER(SEARCH("Transformação",$J1526))),"VCA",IF(OR(ISNUMBER(SEARCH("crava",$F1526)),ISNUMBER(SEARCH("tubo cravado",$F1526)),ISNUMBER(SEARCH("shaft",$J1526)),ISNUMBER(SEARCH("concreto",$F1526))),"TUBO CRAVADO","")))</f>
        <v/>
      </c>
      <c r="T1526">
        <f>IF($A1526="","",TEXT($A1526,"yyyymm")&amp;"|"&amp;$C1526&amp;"|"&amp;$F1526&amp;"|"&amp;$N1526&amp;"|"&amp;$R1526)</f>
        <v/>
      </c>
    </row>
    <row r="1527" ht="11.55" customHeight="1">
      <c r="A1527" s="10" t="n">
        <v>46111</v>
      </c>
      <c r="B1527" s="7" t="inlineStr">
        <is>
          <t>Segunda</t>
        </is>
      </c>
      <c r="C1527" s="7" t="inlineStr">
        <is>
          <t>CTS CONCEIÇÃO</t>
        </is>
      </c>
      <c r="D1527" s="7" t="inlineStr">
        <is>
          <t>LEANDRO E SILVESTRE</t>
        </is>
      </c>
      <c r="E1527" s="7" t="inlineStr">
        <is>
          <t>Carlos</t>
        </is>
      </c>
      <c r="F1527" s="13" t="inlineStr">
        <is>
          <t>Shaft PV 10.2</t>
        </is>
      </c>
      <c r="G1527" s="7" t="inlineStr">
        <is>
          <t>10.2</t>
        </is>
      </c>
      <c r="H1527" s="7" t="n"/>
      <c r="I1527" s="7" t="inlineStr">
        <is>
          <t>10.2</t>
        </is>
      </c>
      <c r="J1527" s="7" t="inlineStr">
        <is>
          <t>Shaft</t>
        </is>
      </c>
      <c r="K1527" s="7" t="inlineStr">
        <is>
          <t>Planejamento</t>
        </is>
      </c>
      <c r="L1527" s="16" t="inlineStr">
        <is>
          <t>PDS-Março(1).docx</t>
        </is>
      </c>
      <c r="M1527">
        <f>IF($A1527="","",TEXT($A1527,"mmmm/yyyy"))</f>
        <v/>
      </c>
      <c r="P1527">
        <f>IFERROR(_xludf.XLOOKUP($N1527,Base_Enderecos!$A:$A,Base_Enderecos!$B:$B,""),"")</f>
        <v/>
      </c>
      <c r="Q1527">
        <f>IFERROR(_xludf.XLOOKUP($N1527,Base_Enderecos!$A:$A,Base_Enderecos!$C:$C,""),"")</f>
        <v/>
      </c>
      <c r="R1527">
        <f>IF(OR(ISNUMBER(SEARCH("HDD",$F1527)),ISNUMBER(SEARCH("MND",$F1527)),ISNUMBER(SEARCH("PEAD",$F1527)),ISNUMBER(SEARCH("Puxe",$J1527)),ISNUMBER(SEARCH("Apoio HDD",$F1527))),"MND",IF(OR(ISNUMBER(SEARCH("VCA",$F1527)),ISNUMBER(SEARCH("PVC",$F1527)),ISNUMBER(SEARCH("vca",$J1527)),ISNUMBER(SEARCH("Transformação",$J1527))),"VCA",IF(OR(ISNUMBER(SEARCH("crava",$F1527)),ISNUMBER(SEARCH("tubo cravado",$F1527)),ISNUMBER(SEARCH("shaft",$J1527)),ISNUMBER(SEARCH("concreto",$F1527))),"TUBO CRAVADO","")))</f>
        <v/>
      </c>
      <c r="T1527">
        <f>IF($A1527="","",TEXT($A1527,"yyyymm")&amp;"|"&amp;$C1527&amp;"|"&amp;$F1527&amp;"|"&amp;$N1527&amp;"|"&amp;$R1527)</f>
        <v/>
      </c>
    </row>
    <row r="1528" ht="11.55" customHeight="1">
      <c r="A1528" s="10" t="n">
        <v>46111</v>
      </c>
      <c r="B1528" s="7" t="inlineStr">
        <is>
          <t>Segunda</t>
        </is>
      </c>
      <c r="C1528" s="7" t="inlineStr">
        <is>
          <t>CTS CONCEIÇÃO</t>
        </is>
      </c>
      <c r="D1528" s="7" t="inlineStr">
        <is>
          <t>LEANDRO E SILVESTRE</t>
        </is>
      </c>
      <c r="E1528" s="7" t="inlineStr">
        <is>
          <t>Cesar</t>
        </is>
      </c>
      <c r="F1528" s="13" t="inlineStr">
        <is>
          <t>Transformação PV 08</t>
        </is>
      </c>
      <c r="G1528" s="7" t="inlineStr">
        <is>
          <t>08</t>
        </is>
      </c>
      <c r="H1528" s="7" t="n"/>
      <c r="I1528" s="7" t="inlineStr">
        <is>
          <t>08</t>
        </is>
      </c>
      <c r="J1528" s="7" t="inlineStr">
        <is>
          <t>Transformação</t>
        </is>
      </c>
      <c r="K1528" s="7" t="inlineStr">
        <is>
          <t>Planejamento</t>
        </is>
      </c>
      <c r="L1528" s="16" t="inlineStr">
        <is>
          <t>PDS-Março(1).docx</t>
        </is>
      </c>
      <c r="M1528">
        <f>IF($A1528="","",TEXT($A1528,"mmmm/yyyy"))</f>
        <v/>
      </c>
      <c r="P1528">
        <f>IFERROR(_xludf.XLOOKUP($N1528,Base_Enderecos!$A:$A,Base_Enderecos!$B:$B,""),"")</f>
        <v/>
      </c>
      <c r="Q1528">
        <f>IFERROR(_xludf.XLOOKUP($N1528,Base_Enderecos!$A:$A,Base_Enderecos!$C:$C,""),"")</f>
        <v/>
      </c>
      <c r="R1528">
        <f>IF(OR(ISNUMBER(SEARCH("HDD",$F1528)),ISNUMBER(SEARCH("MND",$F1528)),ISNUMBER(SEARCH("PEAD",$F1528)),ISNUMBER(SEARCH("Puxe",$J1528)),ISNUMBER(SEARCH("Apoio HDD",$F1528))),"MND",IF(OR(ISNUMBER(SEARCH("VCA",$F1528)),ISNUMBER(SEARCH("PVC",$F1528)),ISNUMBER(SEARCH("vca",$J1528)),ISNUMBER(SEARCH("Transformação",$J1528))),"VCA",IF(OR(ISNUMBER(SEARCH("crava",$F1528)),ISNUMBER(SEARCH("tubo cravado",$F1528)),ISNUMBER(SEARCH("shaft",$J1528)),ISNUMBER(SEARCH("concreto",$F1528))),"TUBO CRAVADO","")))</f>
        <v/>
      </c>
      <c r="T1528">
        <f>IF($A1528="","",TEXT($A1528,"yyyymm")&amp;"|"&amp;$C1528&amp;"|"&amp;$F1528&amp;"|"&amp;$N1528&amp;"|"&amp;$R1528)</f>
        <v/>
      </c>
    </row>
    <row r="1529" ht="11.55" customHeight="1">
      <c r="A1529" s="10" t="n">
        <v>46111</v>
      </c>
      <c r="B1529" s="7" t="inlineStr">
        <is>
          <t>Segunda</t>
        </is>
      </c>
      <c r="C1529" s="7" t="inlineStr">
        <is>
          <t>CTS CONCEIÇÃO</t>
        </is>
      </c>
      <c r="D1529" s="7" t="inlineStr">
        <is>
          <t>LEANDRO E SILVESTRE</t>
        </is>
      </c>
      <c r="E1529" s="7" t="inlineStr">
        <is>
          <t>Sergio</t>
        </is>
      </c>
      <c r="F1529" s="13" t="inlineStr">
        <is>
          <t>Interligação PV 4.2</t>
        </is>
      </c>
      <c r="G1529" s="7" t="inlineStr">
        <is>
          <t>4.2</t>
        </is>
      </c>
      <c r="H1529" s="7" t="n"/>
      <c r="I1529" s="7" t="inlineStr">
        <is>
          <t>4.2</t>
        </is>
      </c>
      <c r="J1529" s="7" t="inlineStr">
        <is>
          <t>Interligação</t>
        </is>
      </c>
      <c r="K1529" s="7" t="inlineStr">
        <is>
          <t>Planejamento</t>
        </is>
      </c>
      <c r="L1529" s="16" t="inlineStr">
        <is>
          <t>PDS-Março(1).docx</t>
        </is>
      </c>
      <c r="M1529">
        <f>IF($A1529="","",TEXT($A1529,"mmmm/yyyy"))</f>
        <v/>
      </c>
      <c r="P1529">
        <f>IFERROR(_xludf.XLOOKUP($N1529,Base_Enderecos!$A:$A,Base_Enderecos!$B:$B,""),"")</f>
        <v/>
      </c>
      <c r="Q1529">
        <f>IFERROR(_xludf.XLOOKUP($N1529,Base_Enderecos!$A:$A,Base_Enderecos!$C:$C,""),"")</f>
        <v/>
      </c>
      <c r="R1529">
        <f>IF(OR(ISNUMBER(SEARCH("HDD",$F1529)),ISNUMBER(SEARCH("MND",$F1529)),ISNUMBER(SEARCH("PEAD",$F1529)),ISNUMBER(SEARCH("Puxe",$J1529)),ISNUMBER(SEARCH("Apoio HDD",$F1529))),"MND",IF(OR(ISNUMBER(SEARCH("VCA",$F1529)),ISNUMBER(SEARCH("PVC",$F1529)),ISNUMBER(SEARCH("vca",$J1529)),ISNUMBER(SEARCH("Transformação",$J1529))),"VCA",IF(OR(ISNUMBER(SEARCH("crava",$F1529)),ISNUMBER(SEARCH("tubo cravado",$F1529)),ISNUMBER(SEARCH("shaft",$J1529)),ISNUMBER(SEARCH("concreto",$F1529))),"TUBO CRAVADO","")))</f>
        <v/>
      </c>
      <c r="T1529">
        <f>IF($A1529="","",TEXT($A1529,"yyyymm")&amp;"|"&amp;$C1529&amp;"|"&amp;$F1529&amp;"|"&amp;$N1529&amp;"|"&amp;$R1529)</f>
        <v/>
      </c>
    </row>
    <row r="1530" ht="11.55" customHeight="1">
      <c r="A1530" s="10" t="n">
        <v>46111</v>
      </c>
      <c r="B1530" s="7" t="inlineStr">
        <is>
          <t>Segunda</t>
        </is>
      </c>
      <c r="C1530" s="7" t="inlineStr">
        <is>
          <t>CT ÁGUA VERMELHA M.D. e M.E</t>
        </is>
      </c>
      <c r="D1530" s="7" t="inlineStr">
        <is>
          <t>FABIO</t>
        </is>
      </c>
      <c r="E1530" s="7" t="inlineStr">
        <is>
          <t>Johnatan</t>
        </is>
      </c>
      <c r="F1530" s="13" t="inlineStr">
        <is>
          <t>Transformação PVD 07</t>
        </is>
      </c>
      <c r="G1530" s="7" t="inlineStr">
        <is>
          <t>07</t>
        </is>
      </c>
      <c r="H1530" s="7" t="n"/>
      <c r="I1530" s="7" t="inlineStr">
        <is>
          <t>07</t>
        </is>
      </c>
      <c r="J1530" s="7" t="inlineStr">
        <is>
          <t>Transformação</t>
        </is>
      </c>
      <c r="K1530" s="7" t="inlineStr">
        <is>
          <t>Planejamento</t>
        </is>
      </c>
      <c r="L1530" s="16" t="inlineStr">
        <is>
          <t>PDS-Março(1).docx</t>
        </is>
      </c>
      <c r="M1530">
        <f>IF($A1530="","",TEXT($A1530,"mmmm/yyyy"))</f>
        <v/>
      </c>
      <c r="P1530">
        <f>IFERROR(_xludf.XLOOKUP($N1530,Base_Enderecos!$A:$A,Base_Enderecos!$B:$B,""),"")</f>
        <v/>
      </c>
      <c r="Q1530">
        <f>IFERROR(_xludf.XLOOKUP($N1530,Base_Enderecos!$A:$A,Base_Enderecos!$C:$C,""),"")</f>
        <v/>
      </c>
      <c r="R1530">
        <f>IF(OR(ISNUMBER(SEARCH("HDD",$F1530)),ISNUMBER(SEARCH("MND",$F1530)),ISNUMBER(SEARCH("PEAD",$F1530)),ISNUMBER(SEARCH("Puxe",$J1530)),ISNUMBER(SEARCH("Apoio HDD",$F1530))),"MND",IF(OR(ISNUMBER(SEARCH("VCA",$F1530)),ISNUMBER(SEARCH("PVC",$F1530)),ISNUMBER(SEARCH("vca",$J1530)),ISNUMBER(SEARCH("Transformação",$J1530))),"VCA",IF(OR(ISNUMBER(SEARCH("crava",$F1530)),ISNUMBER(SEARCH("tubo cravado",$F1530)),ISNUMBER(SEARCH("shaft",$J1530)),ISNUMBER(SEARCH("concreto",$F1530))),"TUBO CRAVADO","")))</f>
        <v/>
      </c>
      <c r="T1530">
        <f>IF($A1530="","",TEXT($A1530,"yyyymm")&amp;"|"&amp;$C1530&amp;"|"&amp;$F1530&amp;"|"&amp;$N1530&amp;"|"&amp;$R1530)</f>
        <v/>
      </c>
    </row>
    <row r="1531" ht="11.55" customHeight="1">
      <c r="A1531" s="10" t="n">
        <v>46111</v>
      </c>
      <c r="B1531" s="7" t="inlineStr">
        <is>
          <t>Segunda</t>
        </is>
      </c>
      <c r="C1531" s="7" t="inlineStr">
        <is>
          <t>CT ÁGUA VERMELHA M.D. e M.E</t>
        </is>
      </c>
      <c r="D1531" s="7" t="inlineStr">
        <is>
          <t>FABIO</t>
        </is>
      </c>
      <c r="E1531" s="7" t="inlineStr">
        <is>
          <t>Claudinei</t>
        </is>
      </c>
      <c r="F1531" s="13" t="inlineStr">
        <is>
          <t>Apoio casa (PVD 7)</t>
        </is>
      </c>
      <c r="G1531" s="7" t="inlineStr">
        <is>
          <t>7</t>
        </is>
      </c>
      <c r="H1531" s="7" t="n"/>
      <c r="I1531" s="7" t="inlineStr">
        <is>
          <t>7</t>
        </is>
      </c>
      <c r="J1531" s="7" t="n"/>
      <c r="K1531" s="7" t="inlineStr">
        <is>
          <t>Planejamento</t>
        </is>
      </c>
      <c r="L1531" s="16" t="inlineStr">
        <is>
          <t>PDS-Março(1).docx</t>
        </is>
      </c>
      <c r="M1531">
        <f>IF($A1531="","",TEXT($A1531,"mmmm/yyyy"))</f>
        <v/>
      </c>
      <c r="P1531">
        <f>IFERROR(_xludf.XLOOKUP($N1531,Base_Enderecos!$A:$A,Base_Enderecos!$B:$B,""),"")</f>
        <v/>
      </c>
      <c r="Q1531">
        <f>IFERROR(_xludf.XLOOKUP($N1531,Base_Enderecos!$A:$A,Base_Enderecos!$C:$C,""),"")</f>
        <v/>
      </c>
      <c r="R1531">
        <f>IF(OR(ISNUMBER(SEARCH("HDD",$F1531)),ISNUMBER(SEARCH("MND",$F1531)),ISNUMBER(SEARCH("PEAD",$F1531)),ISNUMBER(SEARCH("Puxe",$J1531)),ISNUMBER(SEARCH("Apoio HDD",$F1531))),"MND",IF(OR(ISNUMBER(SEARCH("VCA",$F1531)),ISNUMBER(SEARCH("PVC",$F1531)),ISNUMBER(SEARCH("vca",$J1531)),ISNUMBER(SEARCH("Transformação",$J1531))),"VCA",IF(OR(ISNUMBER(SEARCH("crava",$F1531)),ISNUMBER(SEARCH("tubo cravado",$F1531)),ISNUMBER(SEARCH("shaft",$J1531)),ISNUMBER(SEARCH("concreto",$F1531))),"TUBO CRAVADO","")))</f>
        <v/>
      </c>
      <c r="T1531">
        <f>IF($A1531="","",TEXT($A1531,"yyyymm")&amp;"|"&amp;$C1531&amp;"|"&amp;$F1531&amp;"|"&amp;$N1531&amp;"|"&amp;$R1531)</f>
        <v/>
      </c>
    </row>
    <row r="1532" ht="11.55" customHeight="1">
      <c r="A1532" s="10" t="n">
        <v>46111</v>
      </c>
      <c r="B1532" s="7" t="inlineStr">
        <is>
          <t>Segunda</t>
        </is>
      </c>
      <c r="C1532" s="7" t="inlineStr">
        <is>
          <t>CT ÁGUA VERMELHA M.D. e M.E</t>
        </is>
      </c>
      <c r="D1532" s="7" t="inlineStr">
        <is>
          <t>FABIO</t>
        </is>
      </c>
      <c r="E1532" s="7" t="inlineStr">
        <is>
          <t>Edivando</t>
        </is>
      </c>
      <c r="F1532" s="13" t="inlineStr">
        <is>
          <t>Transformação PVE 16</t>
        </is>
      </c>
      <c r="G1532" s="7" t="inlineStr">
        <is>
          <t>16</t>
        </is>
      </c>
      <c r="H1532" s="7" t="n"/>
      <c r="I1532" s="7" t="inlineStr">
        <is>
          <t>16</t>
        </is>
      </c>
      <c r="J1532" s="7" t="inlineStr">
        <is>
          <t>Transformação</t>
        </is>
      </c>
      <c r="K1532" s="7" t="inlineStr">
        <is>
          <t>Planejamento</t>
        </is>
      </c>
      <c r="L1532" s="16" t="inlineStr">
        <is>
          <t>PDS-Março(1).docx</t>
        </is>
      </c>
      <c r="M1532">
        <f>IF($A1532="","",TEXT($A1532,"mmmm/yyyy"))</f>
        <v/>
      </c>
      <c r="P1532">
        <f>IFERROR(_xludf.XLOOKUP($N1532,Base_Enderecos!$A:$A,Base_Enderecos!$B:$B,""),"")</f>
        <v/>
      </c>
      <c r="Q1532">
        <f>IFERROR(_xludf.XLOOKUP($N1532,Base_Enderecos!$A:$A,Base_Enderecos!$C:$C,""),"")</f>
        <v/>
      </c>
      <c r="R1532">
        <f>IF(OR(ISNUMBER(SEARCH("HDD",$F1532)),ISNUMBER(SEARCH("MND",$F1532)),ISNUMBER(SEARCH("PEAD",$F1532)),ISNUMBER(SEARCH("Puxe",$J1532)),ISNUMBER(SEARCH("Apoio HDD",$F1532))),"MND",IF(OR(ISNUMBER(SEARCH("VCA",$F1532)),ISNUMBER(SEARCH("PVC",$F1532)),ISNUMBER(SEARCH("vca",$J1532)),ISNUMBER(SEARCH("Transformação",$J1532))),"VCA",IF(OR(ISNUMBER(SEARCH("crava",$F1532)),ISNUMBER(SEARCH("tubo cravado",$F1532)),ISNUMBER(SEARCH("shaft",$J1532)),ISNUMBER(SEARCH("concreto",$F1532))),"TUBO CRAVADO","")))</f>
        <v/>
      </c>
      <c r="T1532">
        <f>IF($A1532="","",TEXT($A1532,"yyyymm")&amp;"|"&amp;$C1532&amp;"|"&amp;$F1532&amp;"|"&amp;$N1532&amp;"|"&amp;$R1532)</f>
        <v/>
      </c>
    </row>
    <row r="1533" ht="11.55" customHeight="1">
      <c r="A1533" s="10" t="n">
        <v>46111</v>
      </c>
      <c r="B1533" s="7" t="inlineStr">
        <is>
          <t>Segunda</t>
        </is>
      </c>
      <c r="C1533" s="7" t="inlineStr">
        <is>
          <t>Int. AGUA BOA</t>
        </is>
      </c>
      <c r="D1533" s="7" t="inlineStr">
        <is>
          <t>VALMIR</t>
        </is>
      </c>
      <c r="E1533" s="7" t="inlineStr">
        <is>
          <t>Antônio</t>
        </is>
      </c>
      <c r="F1533" s="13" t="inlineStr">
        <is>
          <t>Shaft PV 04</t>
        </is>
      </c>
      <c r="G1533" s="7" t="inlineStr">
        <is>
          <t>04</t>
        </is>
      </c>
      <c r="H1533" s="7" t="n"/>
      <c r="I1533" s="7" t="inlineStr">
        <is>
          <t>04</t>
        </is>
      </c>
      <c r="J1533" s="7" t="inlineStr">
        <is>
          <t>Shaft</t>
        </is>
      </c>
      <c r="K1533" s="7" t="inlineStr">
        <is>
          <t>Planejamento</t>
        </is>
      </c>
      <c r="L1533" s="16" t="inlineStr">
        <is>
          <t>PDS-Março(1).docx</t>
        </is>
      </c>
      <c r="M1533">
        <f>IF($A1533="","",TEXT($A1533,"mmmm/yyyy"))</f>
        <v/>
      </c>
      <c r="P1533">
        <f>IFERROR(_xludf.XLOOKUP($N1533,Base_Enderecos!$A:$A,Base_Enderecos!$B:$B,""),"")</f>
        <v/>
      </c>
      <c r="Q1533">
        <f>IFERROR(_xludf.XLOOKUP($N1533,Base_Enderecos!$A:$A,Base_Enderecos!$C:$C,""),"")</f>
        <v/>
      </c>
      <c r="R1533">
        <f>IF(OR(ISNUMBER(SEARCH("HDD",$F1533)),ISNUMBER(SEARCH("MND",$F1533)),ISNUMBER(SEARCH("PEAD",$F1533)),ISNUMBER(SEARCH("Puxe",$J1533)),ISNUMBER(SEARCH("Apoio HDD",$F1533))),"MND",IF(OR(ISNUMBER(SEARCH("VCA",$F1533)),ISNUMBER(SEARCH("PVC",$F1533)),ISNUMBER(SEARCH("vca",$J1533)),ISNUMBER(SEARCH("Transformação",$J1533))),"VCA",IF(OR(ISNUMBER(SEARCH("crava",$F1533)),ISNUMBER(SEARCH("tubo cravado",$F1533)),ISNUMBER(SEARCH("shaft",$J1533)),ISNUMBER(SEARCH("concreto",$F1533))),"TUBO CRAVADO","")))</f>
        <v/>
      </c>
      <c r="T1533">
        <f>IF($A1533="","",TEXT($A1533,"yyyymm")&amp;"|"&amp;$C1533&amp;"|"&amp;$F1533&amp;"|"&amp;$N1533&amp;"|"&amp;$R1533)</f>
        <v/>
      </c>
    </row>
    <row r="1534" ht="11.55" customHeight="1">
      <c r="A1534" s="10" t="n">
        <v>46111</v>
      </c>
      <c r="B1534" s="7" t="inlineStr">
        <is>
          <t>Segunda</t>
        </is>
      </c>
      <c r="C1534" s="7" t="inlineStr">
        <is>
          <t>Int. AGUA BOA</t>
        </is>
      </c>
      <c r="D1534" s="7" t="inlineStr">
        <is>
          <t>VALMIR</t>
        </is>
      </c>
      <c r="E1534" s="7" t="inlineStr">
        <is>
          <t>Marcelo</t>
        </is>
      </c>
      <c r="F1534" s="13" t="inlineStr">
        <is>
          <t>Shaft PV 03</t>
        </is>
      </c>
      <c r="G1534" s="7" t="inlineStr">
        <is>
          <t>03</t>
        </is>
      </c>
      <c r="H1534" s="7" t="n"/>
      <c r="I1534" s="7" t="inlineStr">
        <is>
          <t>03</t>
        </is>
      </c>
      <c r="J1534" s="7" t="inlineStr">
        <is>
          <t>Shaft</t>
        </is>
      </c>
      <c r="K1534" s="7" t="inlineStr">
        <is>
          <t>Planejamento</t>
        </is>
      </c>
      <c r="L1534" s="16" t="inlineStr">
        <is>
          <t>PDS-Março(1).docx</t>
        </is>
      </c>
      <c r="M1534">
        <f>IF($A1534="","",TEXT($A1534,"mmmm/yyyy"))</f>
        <v/>
      </c>
      <c r="P1534">
        <f>IFERROR(_xludf.XLOOKUP($N1534,Base_Enderecos!$A:$A,Base_Enderecos!$B:$B,""),"")</f>
        <v/>
      </c>
      <c r="Q1534">
        <f>IFERROR(_xludf.XLOOKUP($N1534,Base_Enderecos!$A:$A,Base_Enderecos!$C:$C,""),"")</f>
        <v/>
      </c>
      <c r="R1534">
        <f>IF(OR(ISNUMBER(SEARCH("HDD",$F1534)),ISNUMBER(SEARCH("MND",$F1534)),ISNUMBER(SEARCH("PEAD",$F1534)),ISNUMBER(SEARCH("Puxe",$J1534)),ISNUMBER(SEARCH("Apoio HDD",$F1534))),"MND",IF(OR(ISNUMBER(SEARCH("VCA",$F1534)),ISNUMBER(SEARCH("PVC",$F1534)),ISNUMBER(SEARCH("vca",$J1534)),ISNUMBER(SEARCH("Transformação",$J1534))),"VCA",IF(OR(ISNUMBER(SEARCH("crava",$F1534)),ISNUMBER(SEARCH("tubo cravado",$F1534)),ISNUMBER(SEARCH("shaft",$J1534)),ISNUMBER(SEARCH("concreto",$F1534))),"TUBO CRAVADO","")))</f>
        <v/>
      </c>
      <c r="T1534">
        <f>IF($A1534="","",TEXT($A1534,"yyyymm")&amp;"|"&amp;$C1534&amp;"|"&amp;$F1534&amp;"|"&amp;$N1534&amp;"|"&amp;$R1534)</f>
        <v/>
      </c>
    </row>
    <row r="1535" ht="11.55" customHeight="1">
      <c r="A1535" s="10" t="n">
        <v>46111</v>
      </c>
      <c r="B1535" s="7" t="inlineStr">
        <is>
          <t>Segunda</t>
        </is>
      </c>
      <c r="C1535" s="7" t="inlineStr">
        <is>
          <t>RCE FCO. SOUTO MAIOR</t>
        </is>
      </c>
      <c r="D1535" s="7" t="inlineStr">
        <is>
          <t>SILVESTRE</t>
        </is>
      </c>
      <c r="E1535" s="7" t="inlineStr">
        <is>
          <t>Valter</t>
        </is>
      </c>
      <c r="F1535" s="13" t="inlineStr">
        <is>
          <t>VCA e Ligações – Rua Canto da Serra</t>
        </is>
      </c>
      <c r="G1535" s="7" t="n"/>
      <c r="H1535" s="7" t="n"/>
      <c r="I1535" s="7" t="n"/>
      <c r="J1535" s="7" t="inlineStr">
        <is>
          <t>VCA</t>
        </is>
      </c>
      <c r="K1535" s="7" t="inlineStr">
        <is>
          <t>Planejamento</t>
        </is>
      </c>
      <c r="L1535" s="16" t="inlineStr">
        <is>
          <t>PDS-Março(1).docx</t>
        </is>
      </c>
      <c r="M1535">
        <f>IF($A1535="","",TEXT($A1535,"mmmm/yyyy"))</f>
        <v/>
      </c>
      <c r="P1535">
        <f>IFERROR(_xludf.XLOOKUP($N1535,Base_Enderecos!$A:$A,Base_Enderecos!$B:$B,""),"")</f>
        <v/>
      </c>
      <c r="Q1535">
        <f>IFERROR(_xludf.XLOOKUP($N1535,Base_Enderecos!$A:$A,Base_Enderecos!$C:$C,""),"")</f>
        <v/>
      </c>
      <c r="R1535">
        <f>IF(OR(ISNUMBER(SEARCH("HDD",$F1535)),ISNUMBER(SEARCH("MND",$F1535)),ISNUMBER(SEARCH("PEAD",$F1535)),ISNUMBER(SEARCH("Puxe",$J1535)),ISNUMBER(SEARCH("Apoio HDD",$F1535))),"MND",IF(OR(ISNUMBER(SEARCH("VCA",$F1535)),ISNUMBER(SEARCH("PVC",$F1535)),ISNUMBER(SEARCH("vca",$J1535)),ISNUMBER(SEARCH("Transformação",$J1535))),"VCA",IF(OR(ISNUMBER(SEARCH("crava",$F1535)),ISNUMBER(SEARCH("tubo cravado",$F1535)),ISNUMBER(SEARCH("shaft",$J1535)),ISNUMBER(SEARCH("concreto",$F1535))),"TUBO CRAVADO","")))</f>
        <v/>
      </c>
      <c r="T1535">
        <f>IF($A1535="","",TEXT($A1535,"yyyymm")&amp;"|"&amp;$C1535&amp;"|"&amp;$F1535&amp;"|"&amp;$N1535&amp;"|"&amp;$R1535)</f>
        <v/>
      </c>
    </row>
    <row r="1536" ht="11.55" customHeight="1">
      <c r="A1536" s="10" t="n">
        <v>46111</v>
      </c>
      <c r="B1536" s="7" t="inlineStr">
        <is>
          <t>Segunda</t>
        </is>
      </c>
      <c r="C1536" s="7" t="inlineStr">
        <is>
          <t>RCE FCO. SOUTO MAIOR</t>
        </is>
      </c>
      <c r="D1536" s="7" t="inlineStr">
        <is>
          <t>SILVESTRE</t>
        </is>
      </c>
      <c r="E1536" s="7" t="inlineStr">
        <is>
          <t>Ricardo</t>
        </is>
      </c>
      <c r="F1536" s="13" t="inlineStr">
        <is>
          <t>VCA e Ligações – Rua Canto da Serra</t>
        </is>
      </c>
      <c r="G1536" s="7" t="n"/>
      <c r="H1536" s="7" t="n"/>
      <c r="I1536" s="7" t="n"/>
      <c r="J1536" s="7" t="inlineStr">
        <is>
          <t>VCA</t>
        </is>
      </c>
      <c r="K1536" s="7" t="inlineStr">
        <is>
          <t>Planejamento</t>
        </is>
      </c>
      <c r="L1536" s="16" t="inlineStr">
        <is>
          <t>PDS-Março(1).docx</t>
        </is>
      </c>
      <c r="M1536">
        <f>IF($A1536="","",TEXT($A1536,"mmmm/yyyy"))</f>
        <v/>
      </c>
      <c r="P1536">
        <f>IFERROR(_xludf.XLOOKUP($N1536,Base_Enderecos!$A:$A,Base_Enderecos!$B:$B,""),"")</f>
        <v/>
      </c>
      <c r="Q1536">
        <f>IFERROR(_xludf.XLOOKUP($N1536,Base_Enderecos!$A:$A,Base_Enderecos!$C:$C,""),"")</f>
        <v/>
      </c>
      <c r="R1536">
        <f>IF(OR(ISNUMBER(SEARCH("HDD",$F1536)),ISNUMBER(SEARCH("MND",$F1536)),ISNUMBER(SEARCH("PEAD",$F1536)),ISNUMBER(SEARCH("Puxe",$J1536)),ISNUMBER(SEARCH("Apoio HDD",$F1536))),"MND",IF(OR(ISNUMBER(SEARCH("VCA",$F1536)),ISNUMBER(SEARCH("PVC",$F1536)),ISNUMBER(SEARCH("vca",$J1536)),ISNUMBER(SEARCH("Transformação",$J1536))),"VCA",IF(OR(ISNUMBER(SEARCH("crava",$F1536)),ISNUMBER(SEARCH("tubo cravado",$F1536)),ISNUMBER(SEARCH("shaft",$J1536)),ISNUMBER(SEARCH("concreto",$F1536))),"TUBO CRAVADO","")))</f>
        <v/>
      </c>
      <c r="T1536">
        <f>IF($A1536="","",TEXT($A1536,"yyyymm")&amp;"|"&amp;$C1536&amp;"|"&amp;$F1536&amp;"|"&amp;$N1536&amp;"|"&amp;$R1536)</f>
        <v/>
      </c>
    </row>
    <row r="1537" ht="11.55" customHeight="1">
      <c r="A1537" s="10" t="n">
        <v>46111</v>
      </c>
      <c r="B1537" s="7" t="inlineStr">
        <is>
          <t>Segunda</t>
        </is>
      </c>
      <c r="C1537" s="7" t="inlineStr">
        <is>
          <t>CTS LUIS BOTELHO MOURÃO</t>
        </is>
      </c>
      <c r="D1537" s="7" t="inlineStr">
        <is>
          <t>ROBSON</t>
        </is>
      </c>
      <c r="E1537" s="7" t="inlineStr">
        <is>
          <t>Goiania Drill</t>
        </is>
      </c>
      <c r="F1537" s="13" t="inlineStr">
        <is>
          <t>Piloto e puxe PV 04 ao PV 05</t>
        </is>
      </c>
      <c r="G1537" s="7" t="inlineStr">
        <is>
          <t>04</t>
        </is>
      </c>
      <c r="H1537" s="7" t="inlineStr">
        <is>
          <t>05</t>
        </is>
      </c>
      <c r="I1537" s="7" t="inlineStr">
        <is>
          <t>04, 05</t>
        </is>
      </c>
      <c r="J1537" s="7" t="inlineStr">
        <is>
          <t>Piloto e puxe</t>
        </is>
      </c>
      <c r="K1537" s="7" t="inlineStr">
        <is>
          <t>Planejamento</t>
        </is>
      </c>
      <c r="L1537" s="16" t="inlineStr">
        <is>
          <t>PDS-Março(1).docx</t>
        </is>
      </c>
      <c r="M1537">
        <f>IF($A1537="","",TEXT($A1537,"mmmm/yyyy"))</f>
        <v/>
      </c>
      <c r="P1537">
        <f>IFERROR(_xludf.XLOOKUP($N1537,Base_Enderecos!$A:$A,Base_Enderecos!$B:$B,""),"")</f>
        <v/>
      </c>
      <c r="Q1537">
        <f>IFERROR(_xludf.XLOOKUP($N1537,Base_Enderecos!$A:$A,Base_Enderecos!$C:$C,""),"")</f>
        <v/>
      </c>
      <c r="R1537">
        <f>IF(OR(ISNUMBER(SEARCH("HDD",$F1537)),ISNUMBER(SEARCH("MND",$F1537)),ISNUMBER(SEARCH("PEAD",$F1537)),ISNUMBER(SEARCH("Puxe",$J1537)),ISNUMBER(SEARCH("Apoio HDD",$F1537))),"MND",IF(OR(ISNUMBER(SEARCH("VCA",$F1537)),ISNUMBER(SEARCH("PVC",$F1537)),ISNUMBER(SEARCH("vca",$J1537)),ISNUMBER(SEARCH("Transformação",$J1537))),"VCA",IF(OR(ISNUMBER(SEARCH("crava",$F1537)),ISNUMBER(SEARCH("tubo cravado",$F1537)),ISNUMBER(SEARCH("shaft",$J1537)),ISNUMBER(SEARCH("concreto",$F1537))),"TUBO CRAVADO","")))</f>
        <v/>
      </c>
      <c r="T1537">
        <f>IF($A1537="","",TEXT($A1537,"yyyymm")&amp;"|"&amp;$C1537&amp;"|"&amp;$F1537&amp;"|"&amp;$N1537&amp;"|"&amp;$R1537)</f>
        <v/>
      </c>
    </row>
    <row r="1538" ht="11.55" customHeight="1">
      <c r="A1538" s="10" t="n">
        <v>46111</v>
      </c>
      <c r="B1538" s="7" t="inlineStr">
        <is>
          <t>Segunda</t>
        </is>
      </c>
      <c r="C1538" s="7" t="inlineStr">
        <is>
          <t>CTS LUIS BOTELHO MOURÃO</t>
        </is>
      </c>
      <c r="D1538" s="7" t="inlineStr">
        <is>
          <t>ROBSON</t>
        </is>
      </c>
      <c r="E1538" s="7" t="inlineStr">
        <is>
          <t>Bruno</t>
        </is>
      </c>
      <c r="F1538" s="13" t="inlineStr">
        <is>
          <t>Apoio HDD PV 04 ao PV 05</t>
        </is>
      </c>
      <c r="G1538" s="7" t="inlineStr">
        <is>
          <t>04</t>
        </is>
      </c>
      <c r="H1538" s="7" t="inlineStr">
        <is>
          <t>05</t>
        </is>
      </c>
      <c r="I1538" s="7" t="inlineStr">
        <is>
          <t>04, 05</t>
        </is>
      </c>
      <c r="J1538" s="7" t="inlineStr">
        <is>
          <t>Apoio HDD</t>
        </is>
      </c>
      <c r="K1538" s="7" t="inlineStr">
        <is>
          <t>Planejamento</t>
        </is>
      </c>
      <c r="L1538" s="16" t="inlineStr">
        <is>
          <t>PDS-Março(1).docx</t>
        </is>
      </c>
      <c r="M1538">
        <f>IF($A1538="","",TEXT($A1538,"mmmm/yyyy"))</f>
        <v/>
      </c>
      <c r="P1538">
        <f>IFERROR(_xludf.XLOOKUP($N1538,Base_Enderecos!$A:$A,Base_Enderecos!$B:$B,""),"")</f>
        <v/>
      </c>
      <c r="Q1538">
        <f>IFERROR(_xludf.XLOOKUP($N1538,Base_Enderecos!$A:$A,Base_Enderecos!$C:$C,""),"")</f>
        <v/>
      </c>
      <c r="R1538">
        <f>IF(OR(ISNUMBER(SEARCH("HDD",$F1538)),ISNUMBER(SEARCH("MND",$F1538)),ISNUMBER(SEARCH("PEAD",$F1538)),ISNUMBER(SEARCH("Puxe",$J1538)),ISNUMBER(SEARCH("Apoio HDD",$F1538))),"MND",IF(OR(ISNUMBER(SEARCH("VCA",$F1538)),ISNUMBER(SEARCH("PVC",$F1538)),ISNUMBER(SEARCH("vca",$J1538)),ISNUMBER(SEARCH("Transformação",$J1538))),"VCA",IF(OR(ISNUMBER(SEARCH("crava",$F1538)),ISNUMBER(SEARCH("tubo cravado",$F1538)),ISNUMBER(SEARCH("shaft",$J1538)),ISNUMBER(SEARCH("concreto",$F1538))),"TUBO CRAVADO","")))</f>
        <v/>
      </c>
      <c r="T1538">
        <f>IF($A1538="","",TEXT($A1538,"yyyymm")&amp;"|"&amp;$C1538&amp;"|"&amp;$F1538&amp;"|"&amp;$N1538&amp;"|"&amp;$R1538)</f>
        <v/>
      </c>
    </row>
    <row r="1539" ht="11.55" customHeight="1">
      <c r="A1539" s="10" t="n">
        <v>46111</v>
      </c>
      <c r="B1539" s="7" t="inlineStr">
        <is>
          <t>Segunda</t>
        </is>
      </c>
      <c r="C1539" s="7" t="inlineStr">
        <is>
          <t>CTS LUIS BOTELHO MOURÃO</t>
        </is>
      </c>
      <c r="D1539" s="7" t="inlineStr">
        <is>
          <t>ROBSON</t>
        </is>
      </c>
      <c r="E1539" s="7" t="inlineStr">
        <is>
          <t>Cidão</t>
        </is>
      </c>
      <c r="F1539" s="13" t="inlineStr">
        <is>
          <t>Reparo rede esgoto</t>
        </is>
      </c>
      <c r="G1539" s="7" t="n"/>
      <c r="H1539" s="7" t="n"/>
      <c r="I1539" s="7" t="n"/>
      <c r="J1539" s="7" t="inlineStr">
        <is>
          <t>Reparo</t>
        </is>
      </c>
      <c r="K1539" s="7" t="inlineStr">
        <is>
          <t>Planejamento</t>
        </is>
      </c>
      <c r="L1539" s="16" t="inlineStr">
        <is>
          <t>PDS-Março(1).docx</t>
        </is>
      </c>
      <c r="M1539">
        <f>IF($A1539="","",TEXT($A1539,"mmmm/yyyy"))</f>
        <v/>
      </c>
      <c r="P1539">
        <f>IFERROR(_xludf.XLOOKUP($N1539,Base_Enderecos!$A:$A,Base_Enderecos!$B:$B,""),"")</f>
        <v/>
      </c>
      <c r="Q1539">
        <f>IFERROR(_xludf.XLOOKUP($N1539,Base_Enderecos!$A:$A,Base_Enderecos!$C:$C,""),"")</f>
        <v/>
      </c>
      <c r="R1539">
        <f>IF(OR(ISNUMBER(SEARCH("HDD",$F1539)),ISNUMBER(SEARCH("MND",$F1539)),ISNUMBER(SEARCH("PEAD",$F1539)),ISNUMBER(SEARCH("Puxe",$J1539)),ISNUMBER(SEARCH("Apoio HDD",$F1539))),"MND",IF(OR(ISNUMBER(SEARCH("VCA",$F1539)),ISNUMBER(SEARCH("PVC",$F1539)),ISNUMBER(SEARCH("vca",$J1539)),ISNUMBER(SEARCH("Transformação",$J1539))),"VCA",IF(OR(ISNUMBER(SEARCH("crava",$F1539)),ISNUMBER(SEARCH("tubo cravado",$F1539)),ISNUMBER(SEARCH("shaft",$J1539)),ISNUMBER(SEARCH("concreto",$F1539))),"TUBO CRAVADO","")))</f>
        <v/>
      </c>
      <c r="T1539">
        <f>IF($A1539="","",TEXT($A1539,"yyyymm")&amp;"|"&amp;$C1539&amp;"|"&amp;$F1539&amp;"|"&amp;$N1539&amp;"|"&amp;$R1539)</f>
        <v/>
      </c>
    </row>
    <row r="1540" ht="11.55" customHeight="1">
      <c r="A1540" s="10" t="n">
        <v>46111</v>
      </c>
      <c r="B1540" s="7" t="inlineStr">
        <is>
          <t>Segunda</t>
        </is>
      </c>
      <c r="C1540" s="7" t="inlineStr">
        <is>
          <t>CTS LUIS BOTELHO MOURÃO</t>
        </is>
      </c>
      <c r="D1540" s="7" t="inlineStr">
        <is>
          <t>ROBSON</t>
        </is>
      </c>
      <c r="E1540" s="7" t="inlineStr">
        <is>
          <t>Cidão</t>
        </is>
      </c>
      <c r="F1540" s="13" t="inlineStr">
        <is>
          <t>Shaft PV 07</t>
        </is>
      </c>
      <c r="G1540" s="7" t="inlineStr">
        <is>
          <t>07</t>
        </is>
      </c>
      <c r="H1540" s="7" t="n"/>
      <c r="I1540" s="7" t="inlineStr">
        <is>
          <t>07</t>
        </is>
      </c>
      <c r="J1540" s="7" t="inlineStr">
        <is>
          <t>Shaft</t>
        </is>
      </c>
      <c r="K1540" s="7" t="inlineStr">
        <is>
          <t>Planejamento</t>
        </is>
      </c>
      <c r="L1540" s="16" t="inlineStr">
        <is>
          <t>PDS-Março(1).docx</t>
        </is>
      </c>
      <c r="M1540">
        <f>IF($A1540="","",TEXT($A1540,"mmmm/yyyy"))</f>
        <v/>
      </c>
      <c r="P1540">
        <f>IFERROR(_xludf.XLOOKUP($N1540,Base_Enderecos!$A:$A,Base_Enderecos!$B:$B,""),"")</f>
        <v/>
      </c>
      <c r="Q1540">
        <f>IFERROR(_xludf.XLOOKUP($N1540,Base_Enderecos!$A:$A,Base_Enderecos!$C:$C,""),"")</f>
        <v/>
      </c>
      <c r="R1540">
        <f>IF(OR(ISNUMBER(SEARCH("HDD",$F1540)),ISNUMBER(SEARCH("MND",$F1540)),ISNUMBER(SEARCH("PEAD",$F1540)),ISNUMBER(SEARCH("Puxe",$J1540)),ISNUMBER(SEARCH("Apoio HDD",$F1540))),"MND",IF(OR(ISNUMBER(SEARCH("VCA",$F1540)),ISNUMBER(SEARCH("PVC",$F1540)),ISNUMBER(SEARCH("vca",$J1540)),ISNUMBER(SEARCH("Transformação",$J1540))),"VCA",IF(OR(ISNUMBER(SEARCH("crava",$F1540)),ISNUMBER(SEARCH("tubo cravado",$F1540)),ISNUMBER(SEARCH("shaft",$J1540)),ISNUMBER(SEARCH("concreto",$F1540))),"TUBO CRAVADO","")))</f>
        <v/>
      </c>
      <c r="T1540">
        <f>IF($A1540="","",TEXT($A1540,"yyyymm")&amp;"|"&amp;$C1540&amp;"|"&amp;$F1540&amp;"|"&amp;$N1540&amp;"|"&amp;$R1540)</f>
        <v/>
      </c>
    </row>
    <row r="1541" ht="11.55" customHeight="1">
      <c r="A1541" s="10" t="n">
        <v>46111</v>
      </c>
      <c r="B1541" s="7" t="inlineStr">
        <is>
          <t>Segunda</t>
        </is>
      </c>
      <c r="C1541" s="7" t="inlineStr">
        <is>
          <t>CTS LUIS BOTELHO MOURÃO</t>
        </is>
      </c>
      <c r="D1541" s="7" t="inlineStr">
        <is>
          <t>ROBSON</t>
        </is>
      </c>
      <c r="E1541" s="7" t="inlineStr">
        <is>
          <t>Higor</t>
        </is>
      </c>
      <c r="F1541" s="13" t="inlineStr">
        <is>
          <t>Shaft PV 08</t>
        </is>
      </c>
      <c r="G1541" s="7" t="inlineStr">
        <is>
          <t>08</t>
        </is>
      </c>
      <c r="H1541" s="7" t="n"/>
      <c r="I1541" s="7" t="inlineStr">
        <is>
          <t>08</t>
        </is>
      </c>
      <c r="J1541" s="7" t="inlineStr">
        <is>
          <t>Shaft</t>
        </is>
      </c>
      <c r="K1541" s="7" t="inlineStr">
        <is>
          <t>Planejamento</t>
        </is>
      </c>
      <c r="L1541" s="16" t="inlineStr">
        <is>
          <t>PDS-Março(1).docx</t>
        </is>
      </c>
      <c r="M1541">
        <f>IF($A1541="","",TEXT($A1541,"mmmm/yyyy"))</f>
        <v/>
      </c>
      <c r="P1541">
        <f>IFERROR(_xludf.XLOOKUP($N1541,Base_Enderecos!$A:$A,Base_Enderecos!$B:$B,""),"")</f>
        <v/>
      </c>
      <c r="Q1541">
        <f>IFERROR(_xludf.XLOOKUP($N1541,Base_Enderecos!$A:$A,Base_Enderecos!$C:$C,""),"")</f>
        <v/>
      </c>
      <c r="R1541">
        <f>IF(OR(ISNUMBER(SEARCH("HDD",$F1541)),ISNUMBER(SEARCH("MND",$F1541)),ISNUMBER(SEARCH("PEAD",$F1541)),ISNUMBER(SEARCH("Puxe",$J1541)),ISNUMBER(SEARCH("Apoio HDD",$F1541))),"MND",IF(OR(ISNUMBER(SEARCH("VCA",$F1541)),ISNUMBER(SEARCH("PVC",$F1541)),ISNUMBER(SEARCH("vca",$J1541)),ISNUMBER(SEARCH("Transformação",$J1541))),"VCA",IF(OR(ISNUMBER(SEARCH("crava",$F1541)),ISNUMBER(SEARCH("tubo cravado",$F1541)),ISNUMBER(SEARCH("shaft",$J1541)),ISNUMBER(SEARCH("concreto",$F1541))),"TUBO CRAVADO","")))</f>
        <v/>
      </c>
      <c r="T1541">
        <f>IF($A1541="","",TEXT($A1541,"yyyymm")&amp;"|"&amp;$C1541&amp;"|"&amp;$F1541&amp;"|"&amp;$N1541&amp;"|"&amp;$R1541)</f>
        <v/>
      </c>
    </row>
    <row r="1542" ht="11.55" customHeight="1">
      <c r="A1542" s="10" t="n">
        <v>46111</v>
      </c>
      <c r="B1542" s="7" t="inlineStr">
        <is>
          <t>Segunda</t>
        </is>
      </c>
      <c r="C1542" s="7" t="inlineStr">
        <is>
          <t>Vacal</t>
        </is>
      </c>
      <c r="D1542" s="7" t="n"/>
      <c r="E1542" s="7" t="inlineStr">
        <is>
          <t>Conceição – Renasce</t>
        </is>
      </c>
      <c r="F1542" s="13" t="inlineStr">
        <is>
          <t>Apoio Vacal</t>
        </is>
      </c>
      <c r="G1542" s="7" t="n"/>
      <c r="H1542" s="7" t="n"/>
      <c r="I1542" s="7" t="n"/>
      <c r="J1542" s="7" t="inlineStr">
        <is>
          <t>Vacal</t>
        </is>
      </c>
      <c r="K1542" s="7" t="inlineStr">
        <is>
          <t>Apoio</t>
        </is>
      </c>
      <c r="L1542" s="16" t="inlineStr">
        <is>
          <t>PDS-Março(1).docx</t>
        </is>
      </c>
      <c r="M1542">
        <f>IF($A1542="","",TEXT($A1542,"mmmm/yyyy"))</f>
        <v/>
      </c>
      <c r="P1542">
        <f>IFERROR(_xludf.XLOOKUP($N1542,Base_Enderecos!$A:$A,Base_Enderecos!$B:$B,""),"")</f>
        <v/>
      </c>
      <c r="Q1542">
        <f>IFERROR(_xludf.XLOOKUP($N1542,Base_Enderecos!$A:$A,Base_Enderecos!$C:$C,""),"")</f>
        <v/>
      </c>
      <c r="R1542">
        <f>IF(OR(ISNUMBER(SEARCH("HDD",$F1542)),ISNUMBER(SEARCH("MND",$F1542)),ISNUMBER(SEARCH("PEAD",$F1542)),ISNUMBER(SEARCH("Puxe",$J1542)),ISNUMBER(SEARCH("Apoio HDD",$F1542))),"MND",IF(OR(ISNUMBER(SEARCH("VCA",$F1542)),ISNUMBER(SEARCH("PVC",$F1542)),ISNUMBER(SEARCH("vca",$J1542)),ISNUMBER(SEARCH("Transformação",$J1542))),"VCA",IF(OR(ISNUMBER(SEARCH("crava",$F1542)),ISNUMBER(SEARCH("tubo cravado",$F1542)),ISNUMBER(SEARCH("shaft",$J1542)),ISNUMBER(SEARCH("concreto",$F1542))),"TUBO CRAVADO","")))</f>
        <v/>
      </c>
      <c r="T1542">
        <f>IF($A1542="","",TEXT($A1542,"yyyymm")&amp;"|"&amp;$C1542&amp;"|"&amp;$F1542&amp;"|"&amp;$N1542&amp;"|"&amp;$R1542)</f>
        <v/>
      </c>
    </row>
    <row r="1543" ht="11.55" customHeight="1">
      <c r="A1543" s="10" t="n">
        <v>46111</v>
      </c>
      <c r="B1543" s="7" t="inlineStr">
        <is>
          <t>Segunda</t>
        </is>
      </c>
      <c r="C1543" s="7" t="inlineStr">
        <is>
          <t>Vacal</t>
        </is>
      </c>
      <c r="D1543" s="7" t="n"/>
      <c r="E1543" s="7" t="inlineStr">
        <is>
          <t>Água Vermelha - Hidrosol</t>
        </is>
      </c>
      <c r="F1543" s="13" t="inlineStr">
        <is>
          <t>Apoio Vacal</t>
        </is>
      </c>
      <c r="G1543" s="7" t="n"/>
      <c r="H1543" s="7" t="n"/>
      <c r="I1543" s="7" t="n"/>
      <c r="J1543" s="7" t="inlineStr">
        <is>
          <t>Vacal</t>
        </is>
      </c>
      <c r="K1543" s="7" t="inlineStr">
        <is>
          <t>Apoio</t>
        </is>
      </c>
      <c r="L1543" s="16" t="inlineStr">
        <is>
          <t>PDS-Março(1).docx</t>
        </is>
      </c>
      <c r="M1543">
        <f>IF($A1543="","",TEXT($A1543,"mmmm/yyyy"))</f>
        <v/>
      </c>
      <c r="P1543">
        <f>IFERROR(_xludf.XLOOKUP($N1543,Base_Enderecos!$A:$A,Base_Enderecos!$B:$B,""),"")</f>
        <v/>
      </c>
      <c r="Q1543">
        <f>IFERROR(_xludf.XLOOKUP($N1543,Base_Enderecos!$A:$A,Base_Enderecos!$C:$C,""),"")</f>
        <v/>
      </c>
      <c r="R1543">
        <f>IF(OR(ISNUMBER(SEARCH("HDD",$F1543)),ISNUMBER(SEARCH("MND",$F1543)),ISNUMBER(SEARCH("PEAD",$F1543)),ISNUMBER(SEARCH("Puxe",$J1543)),ISNUMBER(SEARCH("Apoio HDD",$F1543))),"MND",IF(OR(ISNUMBER(SEARCH("VCA",$F1543)),ISNUMBER(SEARCH("PVC",$F1543)),ISNUMBER(SEARCH("vca",$J1543)),ISNUMBER(SEARCH("Transformação",$J1543))),"VCA",IF(OR(ISNUMBER(SEARCH("crava",$F1543)),ISNUMBER(SEARCH("tubo cravado",$F1543)),ISNUMBER(SEARCH("shaft",$J1543)),ISNUMBER(SEARCH("concreto",$F1543))),"TUBO CRAVADO","")))</f>
        <v/>
      </c>
      <c r="T1543">
        <f>IF($A1543="","",TEXT($A1543,"yyyymm")&amp;"|"&amp;$C1543&amp;"|"&amp;$F1543&amp;"|"&amp;$N1543&amp;"|"&amp;$R1543)</f>
        <v/>
      </c>
    </row>
    <row r="1544" ht="11.55" customHeight="1">
      <c r="A1544" s="10" t="n">
        <v>46111</v>
      </c>
      <c r="B1544" s="7" t="inlineStr">
        <is>
          <t>Segunda</t>
        </is>
      </c>
      <c r="C1544" s="7" t="inlineStr">
        <is>
          <t>Vacal</t>
        </is>
      </c>
      <c r="D1544" s="7" t="n"/>
      <c r="E1544" s="7" t="inlineStr">
        <is>
          <t>Botelho Mourão - Renasce</t>
        </is>
      </c>
      <c r="F1544" s="13" t="inlineStr">
        <is>
          <t>Apoio Vacal</t>
        </is>
      </c>
      <c r="G1544" s="7" t="n"/>
      <c r="H1544" s="7" t="n"/>
      <c r="I1544" s="7" t="n"/>
      <c r="J1544" s="7" t="inlineStr">
        <is>
          <t>Vacal</t>
        </is>
      </c>
      <c r="K1544" s="7" t="inlineStr">
        <is>
          <t>Apoio</t>
        </is>
      </c>
      <c r="L1544" s="16" t="inlineStr">
        <is>
          <t>PDS-Março(1).docx</t>
        </is>
      </c>
      <c r="M1544">
        <f>IF($A1544="","",TEXT($A1544,"mmmm/yyyy"))</f>
        <v/>
      </c>
      <c r="P1544">
        <f>IFERROR(_xludf.XLOOKUP($N1544,Base_Enderecos!$A:$A,Base_Enderecos!$B:$B,""),"")</f>
        <v/>
      </c>
      <c r="Q1544">
        <f>IFERROR(_xludf.XLOOKUP($N1544,Base_Enderecos!$A:$A,Base_Enderecos!$C:$C,""),"")</f>
        <v/>
      </c>
      <c r="R1544">
        <f>IF(OR(ISNUMBER(SEARCH("HDD",$F1544)),ISNUMBER(SEARCH("MND",$F1544)),ISNUMBER(SEARCH("PEAD",$F1544)),ISNUMBER(SEARCH("Puxe",$J1544)),ISNUMBER(SEARCH("Apoio HDD",$F1544))),"MND",IF(OR(ISNUMBER(SEARCH("VCA",$F1544)),ISNUMBER(SEARCH("PVC",$F1544)),ISNUMBER(SEARCH("vca",$J1544)),ISNUMBER(SEARCH("Transformação",$J1544))),"VCA",IF(OR(ISNUMBER(SEARCH("crava",$F1544)),ISNUMBER(SEARCH("tubo cravado",$F1544)),ISNUMBER(SEARCH("shaft",$J1544)),ISNUMBER(SEARCH("concreto",$F1544))),"TUBO CRAVADO","")))</f>
        <v/>
      </c>
      <c r="T1544">
        <f>IF($A1544="","",TEXT($A1544,"yyyymm")&amp;"|"&amp;$C1544&amp;"|"&amp;$F1544&amp;"|"&amp;$N1544&amp;"|"&amp;$R1544)</f>
        <v/>
      </c>
    </row>
    <row r="1545" ht="11.55" customHeight="1">
      <c r="A1545" s="10" t="n">
        <v>46111</v>
      </c>
      <c r="B1545" s="7" t="inlineStr">
        <is>
          <t>Segunda</t>
        </is>
      </c>
      <c r="C1545" s="7" t="inlineStr">
        <is>
          <t>Vacal</t>
        </is>
      </c>
      <c r="D1545" s="7" t="n"/>
      <c r="E1545" s="7" t="inlineStr">
        <is>
          <t>ITI 15 – Renasce</t>
        </is>
      </c>
      <c r="F1545" s="13" t="inlineStr">
        <is>
          <t>Apoio Vacal</t>
        </is>
      </c>
      <c r="G1545" s="7" t="n"/>
      <c r="H1545" s="7" t="n"/>
      <c r="I1545" s="7" t="n"/>
      <c r="J1545" s="7" t="inlineStr">
        <is>
          <t>Vacal</t>
        </is>
      </c>
      <c r="K1545" s="7" t="inlineStr">
        <is>
          <t>Apoio</t>
        </is>
      </c>
      <c r="L1545" s="16" t="inlineStr">
        <is>
          <t>PDS-Março(1).docx</t>
        </is>
      </c>
      <c r="M1545">
        <f>IF($A1545="","",TEXT($A1545,"mmmm/yyyy"))</f>
        <v/>
      </c>
      <c r="P1545">
        <f>IFERROR(_xludf.XLOOKUP($N1545,Base_Enderecos!$A:$A,Base_Enderecos!$B:$B,""),"")</f>
        <v/>
      </c>
      <c r="Q1545">
        <f>IFERROR(_xludf.XLOOKUP($N1545,Base_Enderecos!$A:$A,Base_Enderecos!$C:$C,""),"")</f>
        <v/>
      </c>
      <c r="R1545">
        <f>IF(OR(ISNUMBER(SEARCH("HDD",$F1545)),ISNUMBER(SEARCH("MND",$F1545)),ISNUMBER(SEARCH("PEAD",$F1545)),ISNUMBER(SEARCH("Puxe",$J1545)),ISNUMBER(SEARCH("Apoio HDD",$F1545))),"MND",IF(OR(ISNUMBER(SEARCH("VCA",$F1545)),ISNUMBER(SEARCH("PVC",$F1545)),ISNUMBER(SEARCH("vca",$J1545)),ISNUMBER(SEARCH("Transformação",$J1545))),"VCA",IF(OR(ISNUMBER(SEARCH("crava",$F1545)),ISNUMBER(SEARCH("tubo cravado",$F1545)),ISNUMBER(SEARCH("shaft",$J1545)),ISNUMBER(SEARCH("concreto",$F1545))),"TUBO CRAVADO","")))</f>
        <v/>
      </c>
      <c r="T1545">
        <f>IF($A1545="","",TEXT($A1545,"yyyymm")&amp;"|"&amp;$C1545&amp;"|"&amp;$F1545&amp;"|"&amp;$N1545&amp;"|"&amp;$R1545)</f>
        <v/>
      </c>
    </row>
    <row r="1546" ht="11.55" customHeight="1">
      <c r="A1546" s="10" t="n">
        <v>46111</v>
      </c>
      <c r="B1546" s="7" t="inlineStr">
        <is>
          <t>Segunda</t>
        </is>
      </c>
      <c r="C1546" s="7" t="inlineStr">
        <is>
          <t>Guindauto</t>
        </is>
      </c>
      <c r="D1546" s="7" t="n"/>
      <c r="E1546" s="7" t="inlineStr">
        <is>
          <t>Rodrigo</t>
        </is>
      </c>
      <c r="F1546" s="13" t="inlineStr">
        <is>
          <t>Rodrigo - Apoio as equipes</t>
        </is>
      </c>
      <c r="G1546" s="7" t="n"/>
      <c r="H1546" s="7" t="n"/>
      <c r="I1546" s="7" t="n"/>
      <c r="J1546" s="7" t="inlineStr">
        <is>
          <t>Guindauto</t>
        </is>
      </c>
      <c r="K1546" s="7" t="inlineStr">
        <is>
          <t>Apoio</t>
        </is>
      </c>
      <c r="L1546" s="16" t="inlineStr">
        <is>
          <t>PDS-Março(1).docx</t>
        </is>
      </c>
      <c r="M1546">
        <f>IF($A1546="","",TEXT($A1546,"mmmm/yyyy"))</f>
        <v/>
      </c>
      <c r="P1546">
        <f>IFERROR(_xludf.XLOOKUP($N1546,Base_Enderecos!$A:$A,Base_Enderecos!$B:$B,""),"")</f>
        <v/>
      </c>
      <c r="Q1546">
        <f>IFERROR(_xludf.XLOOKUP($N1546,Base_Enderecos!$A:$A,Base_Enderecos!$C:$C,""),"")</f>
        <v/>
      </c>
      <c r="R1546">
        <f>IF(OR(ISNUMBER(SEARCH("HDD",$F1546)),ISNUMBER(SEARCH("MND",$F1546)),ISNUMBER(SEARCH("PEAD",$F1546)),ISNUMBER(SEARCH("Puxe",$J1546)),ISNUMBER(SEARCH("Apoio HDD",$F1546))),"MND",IF(OR(ISNUMBER(SEARCH("VCA",$F1546)),ISNUMBER(SEARCH("PVC",$F1546)),ISNUMBER(SEARCH("vca",$J1546)),ISNUMBER(SEARCH("Transformação",$J1546))),"VCA",IF(OR(ISNUMBER(SEARCH("crava",$F1546)),ISNUMBER(SEARCH("tubo cravado",$F1546)),ISNUMBER(SEARCH("shaft",$J1546)),ISNUMBER(SEARCH("concreto",$F1546))),"TUBO CRAVADO","")))</f>
        <v/>
      </c>
      <c r="T1546">
        <f>IF($A1546="","",TEXT($A1546,"yyyymm")&amp;"|"&amp;$C1546&amp;"|"&amp;$F1546&amp;"|"&amp;$N1546&amp;"|"&amp;$R1546)</f>
        <v/>
      </c>
    </row>
    <row r="1547" ht="11.55" customHeight="1">
      <c r="A1547" s="10" t="n">
        <v>46111</v>
      </c>
      <c r="B1547" s="7" t="inlineStr">
        <is>
          <t>Segunda</t>
        </is>
      </c>
      <c r="C1547" s="7" t="inlineStr">
        <is>
          <t>Guindauto</t>
        </is>
      </c>
      <c r="D1547" s="7" t="n"/>
      <c r="E1547" s="7" t="inlineStr">
        <is>
          <t>Marcio</t>
        </is>
      </c>
      <c r="F1547" s="13" t="inlineStr">
        <is>
          <t>Marcio - Apoio as equipes</t>
        </is>
      </c>
      <c r="G1547" s="7" t="n"/>
      <c r="H1547" s="7" t="n"/>
      <c r="I1547" s="7" t="n"/>
      <c r="J1547" s="7" t="inlineStr">
        <is>
          <t>Guindauto</t>
        </is>
      </c>
      <c r="K1547" s="7" t="inlineStr">
        <is>
          <t>Apoio</t>
        </is>
      </c>
      <c r="L1547" s="16" t="inlineStr">
        <is>
          <t>PDS-Março(1).docx</t>
        </is>
      </c>
      <c r="M1547">
        <f>IF($A1547="","",TEXT($A1547,"mmmm/yyyy"))</f>
        <v/>
      </c>
      <c r="P1547">
        <f>IFERROR(_xludf.XLOOKUP($N1547,Base_Enderecos!$A:$A,Base_Enderecos!$B:$B,""),"")</f>
        <v/>
      </c>
      <c r="Q1547">
        <f>IFERROR(_xludf.XLOOKUP($N1547,Base_Enderecos!$A:$A,Base_Enderecos!$C:$C,""),"")</f>
        <v/>
      </c>
      <c r="R1547">
        <f>IF(OR(ISNUMBER(SEARCH("HDD",$F1547)),ISNUMBER(SEARCH("MND",$F1547)),ISNUMBER(SEARCH("PEAD",$F1547)),ISNUMBER(SEARCH("Puxe",$J1547)),ISNUMBER(SEARCH("Apoio HDD",$F1547))),"MND",IF(OR(ISNUMBER(SEARCH("VCA",$F1547)),ISNUMBER(SEARCH("PVC",$F1547)),ISNUMBER(SEARCH("vca",$J1547)),ISNUMBER(SEARCH("Transformação",$J1547))),"VCA",IF(OR(ISNUMBER(SEARCH("crava",$F1547)),ISNUMBER(SEARCH("tubo cravado",$F1547)),ISNUMBER(SEARCH("shaft",$J1547)),ISNUMBER(SEARCH("concreto",$F1547))),"TUBO CRAVADO","")))</f>
        <v/>
      </c>
      <c r="T1547">
        <f>IF($A1547="","",TEXT($A1547,"yyyymm")&amp;"|"&amp;$C1547&amp;"|"&amp;$F1547&amp;"|"&amp;$N1547&amp;"|"&amp;$R1547)</f>
        <v/>
      </c>
    </row>
    <row r="1548" ht="11.55" customHeight="1">
      <c r="A1548" s="10" t="n">
        <v>46112</v>
      </c>
      <c r="B1548" s="7" t="inlineStr">
        <is>
          <t>Terça</t>
        </is>
      </c>
      <c r="C1548" s="7" t="inlineStr">
        <is>
          <t>CTS CONCEIÇÃO</t>
        </is>
      </c>
      <c r="D1548" s="7" t="inlineStr">
        <is>
          <t>LEANDRO</t>
        </is>
      </c>
      <c r="E1548" s="7" t="inlineStr">
        <is>
          <t>GR Drill</t>
        </is>
      </c>
      <c r="F1548" s="13" t="inlineStr">
        <is>
          <t>Piloto e puxe entre PV 09 ao 10.1</t>
        </is>
      </c>
      <c r="G1548" s="7" t="inlineStr">
        <is>
          <t>09</t>
        </is>
      </c>
      <c r="H1548" s="7" t="n"/>
      <c r="I1548" s="7" t="inlineStr">
        <is>
          <t>09</t>
        </is>
      </c>
      <c r="J1548" s="7" t="inlineStr">
        <is>
          <t>Piloto e puxe</t>
        </is>
      </c>
      <c r="K1548" s="7" t="inlineStr">
        <is>
          <t>Planejamento</t>
        </is>
      </c>
      <c r="L1548" s="16" t="inlineStr">
        <is>
          <t>PDS-Março(1).docx</t>
        </is>
      </c>
      <c r="M1548">
        <f>IF($A1548="","",TEXT($A1548,"mmmm/yyyy"))</f>
        <v/>
      </c>
      <c r="P1548">
        <f>IFERROR(_xludf.XLOOKUP($N1548,Base_Enderecos!$A:$A,Base_Enderecos!$B:$B,""),"")</f>
        <v/>
      </c>
      <c r="Q1548">
        <f>IFERROR(_xludf.XLOOKUP($N1548,Base_Enderecos!$A:$A,Base_Enderecos!$C:$C,""),"")</f>
        <v/>
      </c>
      <c r="R1548">
        <f>IF(OR(ISNUMBER(SEARCH("HDD",$F1548)),ISNUMBER(SEARCH("MND",$F1548)),ISNUMBER(SEARCH("PEAD",$F1548)),ISNUMBER(SEARCH("Puxe",$J1548)),ISNUMBER(SEARCH("Apoio HDD",$F1548))),"MND",IF(OR(ISNUMBER(SEARCH("VCA",$F1548)),ISNUMBER(SEARCH("PVC",$F1548)),ISNUMBER(SEARCH("vca",$J1548)),ISNUMBER(SEARCH("Transformação",$J1548))),"VCA",IF(OR(ISNUMBER(SEARCH("crava",$F1548)),ISNUMBER(SEARCH("tubo cravado",$F1548)),ISNUMBER(SEARCH("shaft",$J1548)),ISNUMBER(SEARCH("concreto",$F1548))),"TUBO CRAVADO","")))</f>
        <v/>
      </c>
      <c r="T1548">
        <f>IF($A1548="","",TEXT($A1548,"yyyymm")&amp;"|"&amp;$C1548&amp;"|"&amp;$F1548&amp;"|"&amp;$N1548&amp;"|"&amp;$R1548)</f>
        <v/>
      </c>
    </row>
    <row r="1549" ht="11.55" customHeight="1">
      <c r="A1549" s="10" t="n">
        <v>46112</v>
      </c>
      <c r="B1549" s="7" t="inlineStr">
        <is>
          <t>Terça</t>
        </is>
      </c>
      <c r="C1549" s="7" t="inlineStr">
        <is>
          <t>CTS CONCEIÇÃO</t>
        </is>
      </c>
      <c r="D1549" s="7" t="inlineStr">
        <is>
          <t>LEANDRO</t>
        </is>
      </c>
      <c r="E1549" s="7" t="inlineStr">
        <is>
          <t>Medeiros</t>
        </is>
      </c>
      <c r="F1549" s="13" t="inlineStr">
        <is>
          <t>Apoio HDD entre PV 09 ao 10.1</t>
        </is>
      </c>
      <c r="G1549" s="7" t="inlineStr">
        <is>
          <t>09</t>
        </is>
      </c>
      <c r="H1549" s="7" t="n"/>
      <c r="I1549" s="7" t="inlineStr">
        <is>
          <t>09</t>
        </is>
      </c>
      <c r="J1549" s="7" t="inlineStr">
        <is>
          <t>Apoio HDD</t>
        </is>
      </c>
      <c r="K1549" s="7" t="inlineStr">
        <is>
          <t>Planejamento</t>
        </is>
      </c>
      <c r="L1549" s="16" t="inlineStr">
        <is>
          <t>PDS-Março(1).docx</t>
        </is>
      </c>
      <c r="M1549">
        <f>IF($A1549="","",TEXT($A1549,"mmmm/yyyy"))</f>
        <v/>
      </c>
      <c r="P1549">
        <f>IFERROR(_xludf.XLOOKUP($N1549,Base_Enderecos!$A:$A,Base_Enderecos!$B:$B,""),"")</f>
        <v/>
      </c>
      <c r="Q1549">
        <f>IFERROR(_xludf.XLOOKUP($N1549,Base_Enderecos!$A:$A,Base_Enderecos!$C:$C,""),"")</f>
        <v/>
      </c>
      <c r="R1549">
        <f>IF(OR(ISNUMBER(SEARCH("HDD",$F1549)),ISNUMBER(SEARCH("MND",$F1549)),ISNUMBER(SEARCH("PEAD",$F1549)),ISNUMBER(SEARCH("Puxe",$J1549)),ISNUMBER(SEARCH("Apoio HDD",$F1549))),"MND",IF(OR(ISNUMBER(SEARCH("VCA",$F1549)),ISNUMBER(SEARCH("PVC",$F1549)),ISNUMBER(SEARCH("vca",$J1549)),ISNUMBER(SEARCH("Transformação",$J1549))),"VCA",IF(OR(ISNUMBER(SEARCH("crava",$F1549)),ISNUMBER(SEARCH("tubo cravado",$F1549)),ISNUMBER(SEARCH("shaft",$J1549)),ISNUMBER(SEARCH("concreto",$F1549))),"TUBO CRAVADO","")))</f>
        <v/>
      </c>
      <c r="T1549">
        <f>IF($A1549="","",TEXT($A1549,"yyyymm")&amp;"|"&amp;$C1549&amp;"|"&amp;$F1549&amp;"|"&amp;$N1549&amp;"|"&amp;$R1549)</f>
        <v/>
      </c>
    </row>
    <row r="1550" ht="11.55" customHeight="1">
      <c r="A1550" s="10" t="n">
        <v>46112</v>
      </c>
      <c r="B1550" s="7" t="inlineStr">
        <is>
          <t>Terça</t>
        </is>
      </c>
      <c r="C1550" s="7" t="inlineStr">
        <is>
          <t>CTS CONCEIÇÃO</t>
        </is>
      </c>
      <c r="D1550" s="7" t="inlineStr">
        <is>
          <t>LEANDRO</t>
        </is>
      </c>
      <c r="E1550" s="7" t="inlineStr">
        <is>
          <t>Carlos</t>
        </is>
      </c>
      <c r="F1550" s="13" t="inlineStr">
        <is>
          <t>Shaft PV 10.2</t>
        </is>
      </c>
      <c r="G1550" s="7" t="inlineStr">
        <is>
          <t>10.2</t>
        </is>
      </c>
      <c r="H1550" s="7" t="n"/>
      <c r="I1550" s="7" t="inlineStr">
        <is>
          <t>10.2</t>
        </is>
      </c>
      <c r="J1550" s="7" t="inlineStr">
        <is>
          <t>Shaft</t>
        </is>
      </c>
      <c r="K1550" s="7" t="inlineStr">
        <is>
          <t>Planejamento</t>
        </is>
      </c>
      <c r="L1550" s="16" t="inlineStr">
        <is>
          <t>PDS-Março(1).docx</t>
        </is>
      </c>
      <c r="M1550">
        <f>IF($A1550="","",TEXT($A1550,"mmmm/yyyy"))</f>
        <v/>
      </c>
      <c r="P1550">
        <f>IFERROR(_xludf.XLOOKUP($N1550,Base_Enderecos!$A:$A,Base_Enderecos!$B:$B,""),"")</f>
        <v/>
      </c>
      <c r="Q1550">
        <f>IFERROR(_xludf.XLOOKUP($N1550,Base_Enderecos!$A:$A,Base_Enderecos!$C:$C,""),"")</f>
        <v/>
      </c>
      <c r="R1550">
        <f>IF(OR(ISNUMBER(SEARCH("HDD",$F1550)),ISNUMBER(SEARCH("MND",$F1550)),ISNUMBER(SEARCH("PEAD",$F1550)),ISNUMBER(SEARCH("Puxe",$J1550)),ISNUMBER(SEARCH("Apoio HDD",$F1550))),"MND",IF(OR(ISNUMBER(SEARCH("VCA",$F1550)),ISNUMBER(SEARCH("PVC",$F1550)),ISNUMBER(SEARCH("vca",$J1550)),ISNUMBER(SEARCH("Transformação",$J1550))),"VCA",IF(OR(ISNUMBER(SEARCH("crava",$F1550)),ISNUMBER(SEARCH("tubo cravado",$F1550)),ISNUMBER(SEARCH("shaft",$J1550)),ISNUMBER(SEARCH("concreto",$F1550))),"TUBO CRAVADO","")))</f>
        <v/>
      </c>
      <c r="T1550">
        <f>IF($A1550="","",TEXT($A1550,"yyyymm")&amp;"|"&amp;$C1550&amp;"|"&amp;$F1550&amp;"|"&amp;$N1550&amp;"|"&amp;$R1550)</f>
        <v/>
      </c>
    </row>
    <row r="1551" ht="11.55" customHeight="1">
      <c r="A1551" s="10" t="n">
        <v>46112</v>
      </c>
      <c r="B1551" s="7" t="inlineStr">
        <is>
          <t>Terça</t>
        </is>
      </c>
      <c r="C1551" s="7" t="inlineStr">
        <is>
          <t>CTS CONCEIÇÃO</t>
        </is>
      </c>
      <c r="D1551" s="7" t="inlineStr">
        <is>
          <t>LEANDRO</t>
        </is>
      </c>
      <c r="E1551" s="7" t="inlineStr">
        <is>
          <t>Cesar</t>
        </is>
      </c>
      <c r="F1551" s="13" t="inlineStr">
        <is>
          <t>Transformação PV 08</t>
        </is>
      </c>
      <c r="G1551" s="7" t="inlineStr">
        <is>
          <t>08</t>
        </is>
      </c>
      <c r="H1551" s="7" t="n"/>
      <c r="I1551" s="7" t="inlineStr">
        <is>
          <t>08</t>
        </is>
      </c>
      <c r="J1551" s="7" t="inlineStr">
        <is>
          <t>Transformação</t>
        </is>
      </c>
      <c r="K1551" s="7" t="inlineStr">
        <is>
          <t>Planejamento</t>
        </is>
      </c>
      <c r="L1551" s="16" t="inlineStr">
        <is>
          <t>PDS-Março(1).docx</t>
        </is>
      </c>
      <c r="M1551">
        <f>IF($A1551="","",TEXT($A1551,"mmmm/yyyy"))</f>
        <v/>
      </c>
      <c r="P1551">
        <f>IFERROR(_xludf.XLOOKUP($N1551,Base_Enderecos!$A:$A,Base_Enderecos!$B:$B,""),"")</f>
        <v/>
      </c>
      <c r="Q1551">
        <f>IFERROR(_xludf.XLOOKUP($N1551,Base_Enderecos!$A:$A,Base_Enderecos!$C:$C,""),"")</f>
        <v/>
      </c>
      <c r="R1551">
        <f>IF(OR(ISNUMBER(SEARCH("HDD",$F1551)),ISNUMBER(SEARCH("MND",$F1551)),ISNUMBER(SEARCH("PEAD",$F1551)),ISNUMBER(SEARCH("Puxe",$J1551)),ISNUMBER(SEARCH("Apoio HDD",$F1551))),"MND",IF(OR(ISNUMBER(SEARCH("VCA",$F1551)),ISNUMBER(SEARCH("PVC",$F1551)),ISNUMBER(SEARCH("vca",$J1551)),ISNUMBER(SEARCH("Transformação",$J1551))),"VCA",IF(OR(ISNUMBER(SEARCH("crava",$F1551)),ISNUMBER(SEARCH("tubo cravado",$F1551)),ISNUMBER(SEARCH("shaft",$J1551)),ISNUMBER(SEARCH("concreto",$F1551))),"TUBO CRAVADO","")))</f>
        <v/>
      </c>
      <c r="T1551">
        <f>IF($A1551="","",TEXT($A1551,"yyyymm")&amp;"|"&amp;$C1551&amp;"|"&amp;$F1551&amp;"|"&amp;$N1551&amp;"|"&amp;$R1551)</f>
        <v/>
      </c>
    </row>
    <row r="1552" ht="11.55" customHeight="1">
      <c r="A1552" s="10" t="n">
        <v>46112</v>
      </c>
      <c r="B1552" s="7" t="inlineStr">
        <is>
          <t>Terça</t>
        </is>
      </c>
      <c r="C1552" s="7" t="inlineStr">
        <is>
          <t>CTS CONCEIÇÃO</t>
        </is>
      </c>
      <c r="D1552" s="7" t="inlineStr">
        <is>
          <t>LEANDRO</t>
        </is>
      </c>
      <c r="E1552" s="7" t="inlineStr">
        <is>
          <t>Sergio</t>
        </is>
      </c>
      <c r="F1552" s="13" t="inlineStr">
        <is>
          <t>Interligação PV 4.2</t>
        </is>
      </c>
      <c r="G1552" s="7" t="inlineStr">
        <is>
          <t>4.2</t>
        </is>
      </c>
      <c r="H1552" s="7" t="n"/>
      <c r="I1552" s="7" t="inlineStr">
        <is>
          <t>4.2</t>
        </is>
      </c>
      <c r="J1552" s="7" t="inlineStr">
        <is>
          <t>Interligação</t>
        </is>
      </c>
      <c r="K1552" s="7" t="inlineStr">
        <is>
          <t>Planejamento</t>
        </is>
      </c>
      <c r="L1552" s="16" t="inlineStr">
        <is>
          <t>PDS-Março(1).docx</t>
        </is>
      </c>
      <c r="M1552">
        <f>IF($A1552="","",TEXT($A1552,"mmmm/yyyy"))</f>
        <v/>
      </c>
      <c r="P1552">
        <f>IFERROR(_xludf.XLOOKUP($N1552,Base_Enderecos!$A:$A,Base_Enderecos!$B:$B,""),"")</f>
        <v/>
      </c>
      <c r="Q1552">
        <f>IFERROR(_xludf.XLOOKUP($N1552,Base_Enderecos!$A:$A,Base_Enderecos!$C:$C,""),"")</f>
        <v/>
      </c>
      <c r="R1552">
        <f>IF(OR(ISNUMBER(SEARCH("HDD",$F1552)),ISNUMBER(SEARCH("MND",$F1552)),ISNUMBER(SEARCH("PEAD",$F1552)),ISNUMBER(SEARCH("Puxe",$J1552)),ISNUMBER(SEARCH("Apoio HDD",$F1552))),"MND",IF(OR(ISNUMBER(SEARCH("VCA",$F1552)),ISNUMBER(SEARCH("PVC",$F1552)),ISNUMBER(SEARCH("vca",$J1552)),ISNUMBER(SEARCH("Transformação",$J1552))),"VCA",IF(OR(ISNUMBER(SEARCH("crava",$F1552)),ISNUMBER(SEARCH("tubo cravado",$F1552)),ISNUMBER(SEARCH("shaft",$J1552)),ISNUMBER(SEARCH("concreto",$F1552))),"TUBO CRAVADO","")))</f>
        <v/>
      </c>
      <c r="T1552">
        <f>IF($A1552="","",TEXT($A1552,"yyyymm")&amp;"|"&amp;$C1552&amp;"|"&amp;$F1552&amp;"|"&amp;$N1552&amp;"|"&amp;$R1552)</f>
        <v/>
      </c>
    </row>
    <row r="1553" ht="11.55" customHeight="1">
      <c r="A1553" s="10" t="n">
        <v>46112</v>
      </c>
      <c r="B1553" s="7" t="inlineStr">
        <is>
          <t>Terça</t>
        </is>
      </c>
      <c r="C1553" s="7" t="inlineStr">
        <is>
          <t>CT ÁGUA VERMELHA M.D. e M.E</t>
        </is>
      </c>
      <c r="D1553" s="7" t="inlineStr">
        <is>
          <t>FABIO</t>
        </is>
      </c>
      <c r="E1553" s="7" t="inlineStr">
        <is>
          <t>Johnatan</t>
        </is>
      </c>
      <c r="F1553" s="13" t="inlineStr">
        <is>
          <t>Transformação PVD 07</t>
        </is>
      </c>
      <c r="G1553" s="7" t="inlineStr">
        <is>
          <t>07</t>
        </is>
      </c>
      <c r="H1553" s="7" t="n"/>
      <c r="I1553" s="7" t="inlineStr">
        <is>
          <t>07</t>
        </is>
      </c>
      <c r="J1553" s="7" t="inlineStr">
        <is>
          <t>Transformação</t>
        </is>
      </c>
      <c r="K1553" s="7" t="inlineStr">
        <is>
          <t>Planejamento</t>
        </is>
      </c>
      <c r="L1553" s="16" t="inlineStr">
        <is>
          <t>PDS-Março(1).docx</t>
        </is>
      </c>
      <c r="M1553">
        <f>IF($A1553="","",TEXT($A1553,"mmmm/yyyy"))</f>
        <v/>
      </c>
      <c r="P1553">
        <f>IFERROR(_xludf.XLOOKUP($N1553,Base_Enderecos!$A:$A,Base_Enderecos!$B:$B,""),"")</f>
        <v/>
      </c>
      <c r="Q1553">
        <f>IFERROR(_xludf.XLOOKUP($N1553,Base_Enderecos!$A:$A,Base_Enderecos!$C:$C,""),"")</f>
        <v/>
      </c>
      <c r="R1553">
        <f>IF(OR(ISNUMBER(SEARCH("HDD",$F1553)),ISNUMBER(SEARCH("MND",$F1553)),ISNUMBER(SEARCH("PEAD",$F1553)),ISNUMBER(SEARCH("Puxe",$J1553)),ISNUMBER(SEARCH("Apoio HDD",$F1553))),"MND",IF(OR(ISNUMBER(SEARCH("VCA",$F1553)),ISNUMBER(SEARCH("PVC",$F1553)),ISNUMBER(SEARCH("vca",$J1553)),ISNUMBER(SEARCH("Transformação",$J1553))),"VCA",IF(OR(ISNUMBER(SEARCH("crava",$F1553)),ISNUMBER(SEARCH("tubo cravado",$F1553)),ISNUMBER(SEARCH("shaft",$J1553)),ISNUMBER(SEARCH("concreto",$F1553))),"TUBO CRAVADO","")))</f>
        <v/>
      </c>
      <c r="T1553">
        <f>IF($A1553="","",TEXT($A1553,"yyyymm")&amp;"|"&amp;$C1553&amp;"|"&amp;$F1553&amp;"|"&amp;$N1553&amp;"|"&amp;$R1553)</f>
        <v/>
      </c>
    </row>
    <row r="1554" ht="11.55" customHeight="1">
      <c r="A1554" s="10" t="n">
        <v>46112</v>
      </c>
      <c r="B1554" s="7" t="inlineStr">
        <is>
          <t>Terça</t>
        </is>
      </c>
      <c r="C1554" s="7" t="inlineStr">
        <is>
          <t>CT ÁGUA VERMELHA M.D. e M.E</t>
        </is>
      </c>
      <c r="D1554" s="7" t="inlineStr">
        <is>
          <t>FABIO</t>
        </is>
      </c>
      <c r="E1554" s="7" t="inlineStr">
        <is>
          <t>Claudinei</t>
        </is>
      </c>
      <c r="F1554" s="13" t="inlineStr">
        <is>
          <t>Apoio casa (PVD 7)</t>
        </is>
      </c>
      <c r="G1554" s="7" t="inlineStr">
        <is>
          <t>7</t>
        </is>
      </c>
      <c r="H1554" s="7" t="n"/>
      <c r="I1554" s="7" t="inlineStr">
        <is>
          <t>7</t>
        </is>
      </c>
      <c r="J1554" s="7" t="n"/>
      <c r="K1554" s="7" t="inlineStr">
        <is>
          <t>Planejamento</t>
        </is>
      </c>
      <c r="L1554" s="16" t="inlineStr">
        <is>
          <t>PDS-Março(1).docx</t>
        </is>
      </c>
      <c r="M1554">
        <f>IF($A1554="","",TEXT($A1554,"mmmm/yyyy"))</f>
        <v/>
      </c>
      <c r="P1554">
        <f>IFERROR(_xludf.XLOOKUP($N1554,Base_Enderecos!$A:$A,Base_Enderecos!$B:$B,""),"")</f>
        <v/>
      </c>
      <c r="Q1554">
        <f>IFERROR(_xludf.XLOOKUP($N1554,Base_Enderecos!$A:$A,Base_Enderecos!$C:$C,""),"")</f>
        <v/>
      </c>
      <c r="R1554">
        <f>IF(OR(ISNUMBER(SEARCH("HDD",$F1554)),ISNUMBER(SEARCH("MND",$F1554)),ISNUMBER(SEARCH("PEAD",$F1554)),ISNUMBER(SEARCH("Puxe",$J1554)),ISNUMBER(SEARCH("Apoio HDD",$F1554))),"MND",IF(OR(ISNUMBER(SEARCH("VCA",$F1554)),ISNUMBER(SEARCH("PVC",$F1554)),ISNUMBER(SEARCH("vca",$J1554)),ISNUMBER(SEARCH("Transformação",$J1554))),"VCA",IF(OR(ISNUMBER(SEARCH("crava",$F1554)),ISNUMBER(SEARCH("tubo cravado",$F1554)),ISNUMBER(SEARCH("shaft",$J1554)),ISNUMBER(SEARCH("concreto",$F1554))),"TUBO CRAVADO","")))</f>
        <v/>
      </c>
      <c r="T1554">
        <f>IF($A1554="","",TEXT($A1554,"yyyymm")&amp;"|"&amp;$C1554&amp;"|"&amp;$F1554&amp;"|"&amp;$N1554&amp;"|"&amp;$R1554)</f>
        <v/>
      </c>
    </row>
    <row r="1555" ht="11.55" customHeight="1">
      <c r="A1555" s="10" t="n">
        <v>46112</v>
      </c>
      <c r="B1555" s="7" t="inlineStr">
        <is>
          <t>Terça</t>
        </is>
      </c>
      <c r="C1555" s="7" t="inlineStr">
        <is>
          <t>CT ÁGUA VERMELHA M.D. e M.E</t>
        </is>
      </c>
      <c r="D1555" s="7" t="inlineStr">
        <is>
          <t>FABIO</t>
        </is>
      </c>
      <c r="E1555" s="7" t="inlineStr">
        <is>
          <t>Marcelo</t>
        </is>
      </c>
      <c r="F1555" s="13" t="inlineStr">
        <is>
          <t>Transformação PVE 16</t>
        </is>
      </c>
      <c r="G1555" s="7" t="inlineStr">
        <is>
          <t>16</t>
        </is>
      </c>
      <c r="H1555" s="7" t="n"/>
      <c r="I1555" s="7" t="inlineStr">
        <is>
          <t>16</t>
        </is>
      </c>
      <c r="J1555" s="7" t="inlineStr">
        <is>
          <t>Transformação</t>
        </is>
      </c>
      <c r="K1555" s="7" t="inlineStr">
        <is>
          <t>Planejamento</t>
        </is>
      </c>
      <c r="L1555" s="16" t="inlineStr">
        <is>
          <t>PDS-Março(1).docx</t>
        </is>
      </c>
      <c r="M1555">
        <f>IF($A1555="","",TEXT($A1555,"mmmm/yyyy"))</f>
        <v/>
      </c>
      <c r="P1555">
        <f>IFERROR(_xludf.XLOOKUP($N1555,Base_Enderecos!$A:$A,Base_Enderecos!$B:$B,""),"")</f>
        <v/>
      </c>
      <c r="Q1555">
        <f>IFERROR(_xludf.XLOOKUP($N1555,Base_Enderecos!$A:$A,Base_Enderecos!$C:$C,""),"")</f>
        <v/>
      </c>
      <c r="R1555">
        <f>IF(OR(ISNUMBER(SEARCH("HDD",$F1555)),ISNUMBER(SEARCH("MND",$F1555)),ISNUMBER(SEARCH("PEAD",$F1555)),ISNUMBER(SEARCH("Puxe",$J1555)),ISNUMBER(SEARCH("Apoio HDD",$F1555))),"MND",IF(OR(ISNUMBER(SEARCH("VCA",$F1555)),ISNUMBER(SEARCH("PVC",$F1555)),ISNUMBER(SEARCH("vca",$J1555)),ISNUMBER(SEARCH("Transformação",$J1555))),"VCA",IF(OR(ISNUMBER(SEARCH("crava",$F1555)),ISNUMBER(SEARCH("tubo cravado",$F1555)),ISNUMBER(SEARCH("shaft",$J1555)),ISNUMBER(SEARCH("concreto",$F1555))),"TUBO CRAVADO","")))</f>
        <v/>
      </c>
      <c r="T1555">
        <f>IF($A1555="","",TEXT($A1555,"yyyymm")&amp;"|"&amp;$C1555&amp;"|"&amp;$F1555&amp;"|"&amp;$N1555&amp;"|"&amp;$R1555)</f>
        <v/>
      </c>
    </row>
    <row r="1556" ht="11.55" customHeight="1">
      <c r="A1556" s="10" t="n">
        <v>46112</v>
      </c>
      <c r="B1556" s="7" t="inlineStr">
        <is>
          <t>Terça</t>
        </is>
      </c>
      <c r="C1556" s="7" t="inlineStr">
        <is>
          <t>CT ÁGUA VERMELHA M.D. e M.E</t>
        </is>
      </c>
      <c r="D1556" s="7" t="inlineStr">
        <is>
          <t>FABIO</t>
        </is>
      </c>
      <c r="E1556" s="7" t="inlineStr">
        <is>
          <t>Edivando</t>
        </is>
      </c>
      <c r="F1556" s="13" t="inlineStr">
        <is>
          <t>Transformação PV.10.1</t>
        </is>
      </c>
      <c r="G1556" s="7" t="inlineStr">
        <is>
          <t>10.1</t>
        </is>
      </c>
      <c r="H1556" s="7" t="n"/>
      <c r="I1556" s="7" t="inlineStr">
        <is>
          <t>10.1</t>
        </is>
      </c>
      <c r="J1556" s="7" t="inlineStr">
        <is>
          <t>Transformação</t>
        </is>
      </c>
      <c r="K1556" s="7" t="inlineStr">
        <is>
          <t>Planejamento</t>
        </is>
      </c>
      <c r="L1556" s="16" t="inlineStr">
        <is>
          <t>PDS-Março(1).docx</t>
        </is>
      </c>
      <c r="M1556">
        <f>IF($A1556="","",TEXT($A1556,"mmmm/yyyy"))</f>
        <v/>
      </c>
      <c r="P1556">
        <f>IFERROR(_xludf.XLOOKUP($N1556,Base_Enderecos!$A:$A,Base_Enderecos!$B:$B,""),"")</f>
        <v/>
      </c>
      <c r="Q1556">
        <f>IFERROR(_xludf.XLOOKUP($N1556,Base_Enderecos!$A:$A,Base_Enderecos!$C:$C,""),"")</f>
        <v/>
      </c>
      <c r="R1556">
        <f>IF(OR(ISNUMBER(SEARCH("HDD",$F1556)),ISNUMBER(SEARCH("MND",$F1556)),ISNUMBER(SEARCH("PEAD",$F1556)),ISNUMBER(SEARCH("Puxe",$J1556)),ISNUMBER(SEARCH("Apoio HDD",$F1556))),"MND",IF(OR(ISNUMBER(SEARCH("VCA",$F1556)),ISNUMBER(SEARCH("PVC",$F1556)),ISNUMBER(SEARCH("vca",$J1556)),ISNUMBER(SEARCH("Transformação",$J1556))),"VCA",IF(OR(ISNUMBER(SEARCH("crava",$F1556)),ISNUMBER(SEARCH("tubo cravado",$F1556)),ISNUMBER(SEARCH("shaft",$J1556)),ISNUMBER(SEARCH("concreto",$F1556))),"TUBO CRAVADO","")))</f>
        <v/>
      </c>
      <c r="T1556">
        <f>IF($A1556="","",TEXT($A1556,"yyyymm")&amp;"|"&amp;$C1556&amp;"|"&amp;$F1556&amp;"|"&amp;$N1556&amp;"|"&amp;$R1556)</f>
        <v/>
      </c>
    </row>
    <row r="1557" ht="11.55" customHeight="1">
      <c r="A1557" s="10" t="n">
        <v>46112</v>
      </c>
      <c r="B1557" s="7" t="inlineStr">
        <is>
          <t>Terça</t>
        </is>
      </c>
      <c r="C1557" s="7" t="inlineStr">
        <is>
          <t>Int. AGUA BOA</t>
        </is>
      </c>
      <c r="D1557" s="7" t="inlineStr">
        <is>
          <t>VALMIR</t>
        </is>
      </c>
      <c r="E1557" s="7" t="inlineStr">
        <is>
          <t>WJ 02</t>
        </is>
      </c>
      <c r="F1557" s="13" t="inlineStr">
        <is>
          <t>Furo piloto e puxe PV 04 ao PV 03</t>
        </is>
      </c>
      <c r="G1557" s="7" t="inlineStr">
        <is>
          <t>04</t>
        </is>
      </c>
      <c r="H1557" s="7" t="inlineStr">
        <is>
          <t>03</t>
        </is>
      </c>
      <c r="I1557" s="7" t="inlineStr">
        <is>
          <t>04, 03</t>
        </is>
      </c>
      <c r="J1557" s="7" t="inlineStr">
        <is>
          <t>Furo piloto</t>
        </is>
      </c>
      <c r="K1557" s="7" t="inlineStr">
        <is>
          <t>Planejamento</t>
        </is>
      </c>
      <c r="L1557" s="16" t="inlineStr">
        <is>
          <t>PDS-Março(1).docx</t>
        </is>
      </c>
      <c r="M1557">
        <f>IF($A1557="","",TEXT($A1557,"mmmm/yyyy"))</f>
        <v/>
      </c>
      <c r="P1557">
        <f>IFERROR(_xludf.XLOOKUP($N1557,Base_Enderecos!$A:$A,Base_Enderecos!$B:$B,""),"")</f>
        <v/>
      </c>
      <c r="Q1557">
        <f>IFERROR(_xludf.XLOOKUP($N1557,Base_Enderecos!$A:$A,Base_Enderecos!$C:$C,""),"")</f>
        <v/>
      </c>
      <c r="R1557">
        <f>IF(OR(ISNUMBER(SEARCH("HDD",$F1557)),ISNUMBER(SEARCH("MND",$F1557)),ISNUMBER(SEARCH("PEAD",$F1557)),ISNUMBER(SEARCH("Puxe",$J1557)),ISNUMBER(SEARCH("Apoio HDD",$F1557))),"MND",IF(OR(ISNUMBER(SEARCH("VCA",$F1557)),ISNUMBER(SEARCH("PVC",$F1557)),ISNUMBER(SEARCH("vca",$J1557)),ISNUMBER(SEARCH("Transformação",$J1557))),"VCA",IF(OR(ISNUMBER(SEARCH("crava",$F1557)),ISNUMBER(SEARCH("tubo cravado",$F1557)),ISNUMBER(SEARCH("shaft",$J1557)),ISNUMBER(SEARCH("concreto",$F1557))),"TUBO CRAVADO","")))</f>
        <v/>
      </c>
      <c r="T1557">
        <f>IF($A1557="","",TEXT($A1557,"yyyymm")&amp;"|"&amp;$C1557&amp;"|"&amp;$F1557&amp;"|"&amp;$N1557&amp;"|"&amp;$R1557)</f>
        <v/>
      </c>
    </row>
    <row r="1558" ht="11.55" customHeight="1">
      <c r="A1558" s="10" t="n">
        <v>46112</v>
      </c>
      <c r="B1558" s="7" t="inlineStr">
        <is>
          <t>Terça</t>
        </is>
      </c>
      <c r="C1558" s="7" t="inlineStr">
        <is>
          <t>Int. AGUA BOA</t>
        </is>
      </c>
      <c r="D1558" s="7" t="inlineStr">
        <is>
          <t>VALMIR</t>
        </is>
      </c>
      <c r="E1558" s="7" t="inlineStr">
        <is>
          <t>Antônio</t>
        </is>
      </c>
      <c r="F1558" s="13" t="inlineStr">
        <is>
          <t>Apoio HDD PVE1 ao PV 03</t>
        </is>
      </c>
      <c r="G1558" s="7" t="inlineStr">
        <is>
          <t>1</t>
        </is>
      </c>
      <c r="H1558" s="7" t="inlineStr">
        <is>
          <t>03</t>
        </is>
      </c>
      <c r="I1558" s="7" t="inlineStr">
        <is>
          <t>1, 03</t>
        </is>
      </c>
      <c r="J1558" s="7" t="inlineStr">
        <is>
          <t>Apoio HDD</t>
        </is>
      </c>
      <c r="K1558" s="7" t="inlineStr">
        <is>
          <t>Planejamento</t>
        </is>
      </c>
      <c r="L1558" s="16" t="inlineStr">
        <is>
          <t>PDS-Março(1).docx</t>
        </is>
      </c>
      <c r="M1558">
        <f>IF($A1558="","",TEXT($A1558,"mmmm/yyyy"))</f>
        <v/>
      </c>
      <c r="P1558">
        <f>IFERROR(_xludf.XLOOKUP($N1558,Base_Enderecos!$A:$A,Base_Enderecos!$B:$B,""),"")</f>
        <v/>
      </c>
      <c r="Q1558">
        <f>IFERROR(_xludf.XLOOKUP($N1558,Base_Enderecos!$A:$A,Base_Enderecos!$C:$C,""),"")</f>
        <v/>
      </c>
      <c r="R1558">
        <f>IF(OR(ISNUMBER(SEARCH("HDD",$F1558)),ISNUMBER(SEARCH("MND",$F1558)),ISNUMBER(SEARCH("PEAD",$F1558)),ISNUMBER(SEARCH("Puxe",$J1558)),ISNUMBER(SEARCH("Apoio HDD",$F1558))),"MND",IF(OR(ISNUMBER(SEARCH("VCA",$F1558)),ISNUMBER(SEARCH("PVC",$F1558)),ISNUMBER(SEARCH("vca",$J1558)),ISNUMBER(SEARCH("Transformação",$J1558))),"VCA",IF(OR(ISNUMBER(SEARCH("crava",$F1558)),ISNUMBER(SEARCH("tubo cravado",$F1558)),ISNUMBER(SEARCH("shaft",$J1558)),ISNUMBER(SEARCH("concreto",$F1558))),"TUBO CRAVADO","")))</f>
        <v/>
      </c>
      <c r="T1558">
        <f>IF($A1558="","",TEXT($A1558,"yyyymm")&amp;"|"&amp;$C1558&amp;"|"&amp;$F1558&amp;"|"&amp;$N1558&amp;"|"&amp;$R1558)</f>
        <v/>
      </c>
    </row>
    <row r="1559" ht="11.55" customHeight="1">
      <c r="A1559" s="10" t="n">
        <v>46112</v>
      </c>
      <c r="B1559" s="7" t="inlineStr">
        <is>
          <t>Terça</t>
        </is>
      </c>
      <c r="C1559" s="7" t="inlineStr">
        <is>
          <t>RCE FCO. SOUTO MAIOR</t>
        </is>
      </c>
      <c r="D1559" s="7" t="inlineStr">
        <is>
          <t>SILVESTRE</t>
        </is>
      </c>
      <c r="E1559" s="7" t="inlineStr">
        <is>
          <t>Valter</t>
        </is>
      </c>
      <c r="F1559" s="13" t="inlineStr">
        <is>
          <t>VCA e Ligações – Rua Canto da Serra</t>
        </is>
      </c>
      <c r="G1559" s="7" t="n"/>
      <c r="H1559" s="7" t="n"/>
      <c r="I1559" s="7" t="n"/>
      <c r="J1559" s="7" t="inlineStr">
        <is>
          <t>VCA</t>
        </is>
      </c>
      <c r="K1559" s="7" t="inlineStr">
        <is>
          <t>Planejamento</t>
        </is>
      </c>
      <c r="L1559" s="16" t="inlineStr">
        <is>
          <t>PDS-Março(1).docx</t>
        </is>
      </c>
      <c r="M1559">
        <f>IF($A1559="","",TEXT($A1559,"mmmm/yyyy"))</f>
        <v/>
      </c>
      <c r="P1559">
        <f>IFERROR(_xludf.XLOOKUP($N1559,Base_Enderecos!$A:$A,Base_Enderecos!$B:$B,""),"")</f>
        <v/>
      </c>
      <c r="Q1559">
        <f>IFERROR(_xludf.XLOOKUP($N1559,Base_Enderecos!$A:$A,Base_Enderecos!$C:$C,""),"")</f>
        <v/>
      </c>
      <c r="R1559">
        <f>IF(OR(ISNUMBER(SEARCH("HDD",$F1559)),ISNUMBER(SEARCH("MND",$F1559)),ISNUMBER(SEARCH("PEAD",$F1559)),ISNUMBER(SEARCH("Puxe",$J1559)),ISNUMBER(SEARCH("Apoio HDD",$F1559))),"MND",IF(OR(ISNUMBER(SEARCH("VCA",$F1559)),ISNUMBER(SEARCH("PVC",$F1559)),ISNUMBER(SEARCH("vca",$J1559)),ISNUMBER(SEARCH("Transformação",$J1559))),"VCA",IF(OR(ISNUMBER(SEARCH("crava",$F1559)),ISNUMBER(SEARCH("tubo cravado",$F1559)),ISNUMBER(SEARCH("shaft",$J1559)),ISNUMBER(SEARCH("concreto",$F1559))),"TUBO CRAVADO","")))</f>
        <v/>
      </c>
      <c r="T1559">
        <f>IF($A1559="","",TEXT($A1559,"yyyymm")&amp;"|"&amp;$C1559&amp;"|"&amp;$F1559&amp;"|"&amp;$N1559&amp;"|"&amp;$R1559)</f>
        <v/>
      </c>
    </row>
    <row r="1560" ht="11.55" customHeight="1">
      <c r="A1560" s="10" t="n">
        <v>46112</v>
      </c>
      <c r="B1560" s="7" t="inlineStr">
        <is>
          <t>Terça</t>
        </is>
      </c>
      <c r="C1560" s="7" t="inlineStr">
        <is>
          <t>RCE FCO. SOUTO MAIOR</t>
        </is>
      </c>
      <c r="D1560" s="7" t="inlineStr">
        <is>
          <t>SILVESTRE</t>
        </is>
      </c>
      <c r="E1560" s="7" t="inlineStr">
        <is>
          <t>Ricardo</t>
        </is>
      </c>
      <c r="F1560" s="13" t="inlineStr">
        <is>
          <t>VCA e Ligações – Rua Canto da Serra</t>
        </is>
      </c>
      <c r="G1560" s="7" t="n"/>
      <c r="H1560" s="7" t="n"/>
      <c r="I1560" s="7" t="n"/>
      <c r="J1560" s="7" t="inlineStr">
        <is>
          <t>VCA</t>
        </is>
      </c>
      <c r="K1560" s="7" t="inlineStr">
        <is>
          <t>Planejamento</t>
        </is>
      </c>
      <c r="L1560" s="16" t="inlineStr">
        <is>
          <t>PDS-Março(1).docx</t>
        </is>
      </c>
      <c r="M1560">
        <f>IF($A1560="","",TEXT($A1560,"mmmm/yyyy"))</f>
        <v/>
      </c>
      <c r="P1560">
        <f>IFERROR(_xludf.XLOOKUP($N1560,Base_Enderecos!$A:$A,Base_Enderecos!$B:$B,""),"")</f>
        <v/>
      </c>
      <c r="Q1560">
        <f>IFERROR(_xludf.XLOOKUP($N1560,Base_Enderecos!$A:$A,Base_Enderecos!$C:$C,""),"")</f>
        <v/>
      </c>
      <c r="R1560">
        <f>IF(OR(ISNUMBER(SEARCH("HDD",$F1560)),ISNUMBER(SEARCH("MND",$F1560)),ISNUMBER(SEARCH("PEAD",$F1560)),ISNUMBER(SEARCH("Puxe",$J1560)),ISNUMBER(SEARCH("Apoio HDD",$F1560))),"MND",IF(OR(ISNUMBER(SEARCH("VCA",$F1560)),ISNUMBER(SEARCH("PVC",$F1560)),ISNUMBER(SEARCH("vca",$J1560)),ISNUMBER(SEARCH("Transformação",$J1560))),"VCA",IF(OR(ISNUMBER(SEARCH("crava",$F1560)),ISNUMBER(SEARCH("tubo cravado",$F1560)),ISNUMBER(SEARCH("shaft",$J1560)),ISNUMBER(SEARCH("concreto",$F1560))),"TUBO CRAVADO","")))</f>
        <v/>
      </c>
      <c r="T1560">
        <f>IF($A1560="","",TEXT($A1560,"yyyymm")&amp;"|"&amp;$C1560&amp;"|"&amp;$F1560&amp;"|"&amp;$N1560&amp;"|"&amp;$R1560)</f>
        <v/>
      </c>
    </row>
    <row r="1561" ht="11.55" customHeight="1">
      <c r="A1561" s="10" t="n">
        <v>46112</v>
      </c>
      <c r="B1561" s="7" t="inlineStr">
        <is>
          <t>Terça</t>
        </is>
      </c>
      <c r="C1561" s="7" t="inlineStr">
        <is>
          <t>CTS LUIS BOTELHO MOURÃO</t>
        </is>
      </c>
      <c r="D1561" s="7" t="inlineStr">
        <is>
          <t>ROBSON</t>
        </is>
      </c>
      <c r="E1561" s="7" t="inlineStr">
        <is>
          <t>Goiania Drill</t>
        </is>
      </c>
      <c r="F1561" s="13" t="inlineStr">
        <is>
          <t>Piloto e puxe PV 04 ao PV 05</t>
        </is>
      </c>
      <c r="G1561" s="7" t="inlineStr">
        <is>
          <t>04</t>
        </is>
      </c>
      <c r="H1561" s="7" t="inlineStr">
        <is>
          <t>05</t>
        </is>
      </c>
      <c r="I1561" s="7" t="inlineStr">
        <is>
          <t>04, 05</t>
        </is>
      </c>
      <c r="J1561" s="7" t="inlineStr">
        <is>
          <t>Piloto e puxe</t>
        </is>
      </c>
      <c r="K1561" s="7" t="inlineStr">
        <is>
          <t>Planejamento</t>
        </is>
      </c>
      <c r="L1561" s="16" t="inlineStr">
        <is>
          <t>PDS-Março(1).docx</t>
        </is>
      </c>
      <c r="M1561">
        <f>IF($A1561="","",TEXT($A1561,"mmmm/yyyy"))</f>
        <v/>
      </c>
      <c r="P1561">
        <f>IFERROR(_xludf.XLOOKUP($N1561,Base_Enderecos!$A:$A,Base_Enderecos!$B:$B,""),"")</f>
        <v/>
      </c>
      <c r="Q1561">
        <f>IFERROR(_xludf.XLOOKUP($N1561,Base_Enderecos!$A:$A,Base_Enderecos!$C:$C,""),"")</f>
        <v/>
      </c>
      <c r="R1561">
        <f>IF(OR(ISNUMBER(SEARCH("HDD",$F1561)),ISNUMBER(SEARCH("MND",$F1561)),ISNUMBER(SEARCH("PEAD",$F1561)),ISNUMBER(SEARCH("Puxe",$J1561)),ISNUMBER(SEARCH("Apoio HDD",$F1561))),"MND",IF(OR(ISNUMBER(SEARCH("VCA",$F1561)),ISNUMBER(SEARCH("PVC",$F1561)),ISNUMBER(SEARCH("vca",$J1561)),ISNUMBER(SEARCH("Transformação",$J1561))),"VCA",IF(OR(ISNUMBER(SEARCH("crava",$F1561)),ISNUMBER(SEARCH("tubo cravado",$F1561)),ISNUMBER(SEARCH("shaft",$J1561)),ISNUMBER(SEARCH("concreto",$F1561))),"TUBO CRAVADO","")))</f>
        <v/>
      </c>
      <c r="T1561">
        <f>IF($A1561="","",TEXT($A1561,"yyyymm")&amp;"|"&amp;$C1561&amp;"|"&amp;$F1561&amp;"|"&amp;$N1561&amp;"|"&amp;$R1561)</f>
        <v/>
      </c>
    </row>
    <row r="1562" ht="11.55" customHeight="1">
      <c r="A1562" s="10" t="n">
        <v>46112</v>
      </c>
      <c r="B1562" s="7" t="inlineStr">
        <is>
          <t>Terça</t>
        </is>
      </c>
      <c r="C1562" s="7" t="inlineStr">
        <is>
          <t>CTS LUIS BOTELHO MOURÃO</t>
        </is>
      </c>
      <c r="D1562" s="7" t="inlineStr">
        <is>
          <t>ROBSON</t>
        </is>
      </c>
      <c r="E1562" s="7" t="inlineStr">
        <is>
          <t>Bruno</t>
        </is>
      </c>
      <c r="F1562" s="13" t="inlineStr">
        <is>
          <t>Apoio HDD PV 04 ao PV 05</t>
        </is>
      </c>
      <c r="G1562" s="7" t="inlineStr">
        <is>
          <t>04</t>
        </is>
      </c>
      <c r="H1562" s="7" t="inlineStr">
        <is>
          <t>05</t>
        </is>
      </c>
      <c r="I1562" s="7" t="inlineStr">
        <is>
          <t>04, 05</t>
        </is>
      </c>
      <c r="J1562" s="7" t="inlineStr">
        <is>
          <t>Apoio HDD</t>
        </is>
      </c>
      <c r="K1562" s="7" t="inlineStr">
        <is>
          <t>Planejamento</t>
        </is>
      </c>
      <c r="L1562" s="16" t="inlineStr">
        <is>
          <t>PDS-Março(1).docx</t>
        </is>
      </c>
      <c r="M1562">
        <f>IF($A1562="","",TEXT($A1562,"mmmm/yyyy"))</f>
        <v/>
      </c>
      <c r="P1562">
        <f>IFERROR(_xludf.XLOOKUP($N1562,Base_Enderecos!$A:$A,Base_Enderecos!$B:$B,""),"")</f>
        <v/>
      </c>
      <c r="Q1562">
        <f>IFERROR(_xludf.XLOOKUP($N1562,Base_Enderecos!$A:$A,Base_Enderecos!$C:$C,""),"")</f>
        <v/>
      </c>
      <c r="R1562">
        <f>IF(OR(ISNUMBER(SEARCH("HDD",$F1562)),ISNUMBER(SEARCH("MND",$F1562)),ISNUMBER(SEARCH("PEAD",$F1562)),ISNUMBER(SEARCH("Puxe",$J1562)),ISNUMBER(SEARCH("Apoio HDD",$F1562))),"MND",IF(OR(ISNUMBER(SEARCH("VCA",$F1562)),ISNUMBER(SEARCH("PVC",$F1562)),ISNUMBER(SEARCH("vca",$J1562)),ISNUMBER(SEARCH("Transformação",$J1562))),"VCA",IF(OR(ISNUMBER(SEARCH("crava",$F1562)),ISNUMBER(SEARCH("tubo cravado",$F1562)),ISNUMBER(SEARCH("shaft",$J1562)),ISNUMBER(SEARCH("concreto",$F1562))),"TUBO CRAVADO","")))</f>
        <v/>
      </c>
      <c r="T1562">
        <f>IF($A1562="","",TEXT($A1562,"yyyymm")&amp;"|"&amp;$C1562&amp;"|"&amp;$F1562&amp;"|"&amp;$N1562&amp;"|"&amp;$R1562)</f>
        <v/>
      </c>
    </row>
    <row r="1563" ht="11.55" customHeight="1">
      <c r="A1563" s="10" t="n">
        <v>46112</v>
      </c>
      <c r="B1563" s="7" t="inlineStr">
        <is>
          <t>Terça</t>
        </is>
      </c>
      <c r="C1563" s="7" t="inlineStr">
        <is>
          <t>CTS LUIS BOTELHO MOURÃO</t>
        </is>
      </c>
      <c r="D1563" s="7" t="inlineStr">
        <is>
          <t>ROBSON</t>
        </is>
      </c>
      <c r="E1563" s="7" t="inlineStr">
        <is>
          <t>Marcio</t>
        </is>
      </c>
      <c r="F1563" s="13" t="inlineStr">
        <is>
          <t>Shaft PV 07</t>
        </is>
      </c>
      <c r="G1563" s="7" t="inlineStr">
        <is>
          <t>07</t>
        </is>
      </c>
      <c r="H1563" s="7" t="n"/>
      <c r="I1563" s="7" t="inlineStr">
        <is>
          <t>07</t>
        </is>
      </c>
      <c r="J1563" s="7" t="inlineStr">
        <is>
          <t>Shaft</t>
        </is>
      </c>
      <c r="K1563" s="7" t="inlineStr">
        <is>
          <t>Planejamento</t>
        </is>
      </c>
      <c r="L1563" s="16" t="inlineStr">
        <is>
          <t>PDS-Março(1).docx</t>
        </is>
      </c>
      <c r="M1563">
        <f>IF($A1563="","",TEXT($A1563,"mmmm/yyyy"))</f>
        <v/>
      </c>
      <c r="P1563">
        <f>IFERROR(_xludf.XLOOKUP($N1563,Base_Enderecos!$A:$A,Base_Enderecos!$B:$B,""),"")</f>
        <v/>
      </c>
      <c r="Q1563">
        <f>IFERROR(_xludf.XLOOKUP($N1563,Base_Enderecos!$A:$A,Base_Enderecos!$C:$C,""),"")</f>
        <v/>
      </c>
      <c r="R1563">
        <f>IF(OR(ISNUMBER(SEARCH("HDD",$F1563)),ISNUMBER(SEARCH("MND",$F1563)),ISNUMBER(SEARCH("PEAD",$F1563)),ISNUMBER(SEARCH("Puxe",$J1563)),ISNUMBER(SEARCH("Apoio HDD",$F1563))),"MND",IF(OR(ISNUMBER(SEARCH("VCA",$F1563)),ISNUMBER(SEARCH("PVC",$F1563)),ISNUMBER(SEARCH("vca",$J1563)),ISNUMBER(SEARCH("Transformação",$J1563))),"VCA",IF(OR(ISNUMBER(SEARCH("crava",$F1563)),ISNUMBER(SEARCH("tubo cravado",$F1563)),ISNUMBER(SEARCH("shaft",$J1563)),ISNUMBER(SEARCH("concreto",$F1563))),"TUBO CRAVADO","")))</f>
        <v/>
      </c>
      <c r="T1563">
        <f>IF($A1563="","",TEXT($A1563,"yyyymm")&amp;"|"&amp;$C1563&amp;"|"&amp;$F1563&amp;"|"&amp;$N1563&amp;"|"&amp;$R1563)</f>
        <v/>
      </c>
    </row>
    <row r="1564" ht="11.55" customHeight="1">
      <c r="A1564" s="10" t="n">
        <v>46112</v>
      </c>
      <c r="B1564" s="7" t="inlineStr">
        <is>
          <t>Terça</t>
        </is>
      </c>
      <c r="C1564" s="7" t="inlineStr">
        <is>
          <t>CTS LUIS BOTELHO MOURÃO</t>
        </is>
      </c>
      <c r="D1564" s="7" t="inlineStr">
        <is>
          <t>ROBSON</t>
        </is>
      </c>
      <c r="E1564" s="7" t="inlineStr">
        <is>
          <t>Cidão</t>
        </is>
      </c>
      <c r="F1564" s="13" t="inlineStr">
        <is>
          <t>Shaft PV 08</t>
        </is>
      </c>
      <c r="G1564" s="7" t="inlineStr">
        <is>
          <t>08</t>
        </is>
      </c>
      <c r="H1564" s="7" t="n"/>
      <c r="I1564" s="7" t="inlineStr">
        <is>
          <t>08</t>
        </is>
      </c>
      <c r="J1564" s="7" t="inlineStr">
        <is>
          <t>Shaft</t>
        </is>
      </c>
      <c r="K1564" s="7" t="inlineStr">
        <is>
          <t>Planejamento</t>
        </is>
      </c>
      <c r="L1564" s="16" t="inlineStr">
        <is>
          <t>PDS-Março(1).docx</t>
        </is>
      </c>
      <c r="M1564">
        <f>IF($A1564="","",TEXT($A1564,"mmmm/yyyy"))</f>
        <v/>
      </c>
      <c r="P1564">
        <f>IFERROR(_xludf.XLOOKUP($N1564,Base_Enderecos!$A:$A,Base_Enderecos!$B:$B,""),"")</f>
        <v/>
      </c>
      <c r="Q1564">
        <f>IFERROR(_xludf.XLOOKUP($N1564,Base_Enderecos!$A:$A,Base_Enderecos!$C:$C,""),"")</f>
        <v/>
      </c>
      <c r="R1564">
        <f>IF(OR(ISNUMBER(SEARCH("HDD",$F1564)),ISNUMBER(SEARCH("MND",$F1564)),ISNUMBER(SEARCH("PEAD",$F1564)),ISNUMBER(SEARCH("Puxe",$J1564)),ISNUMBER(SEARCH("Apoio HDD",$F1564))),"MND",IF(OR(ISNUMBER(SEARCH("VCA",$F1564)),ISNUMBER(SEARCH("PVC",$F1564)),ISNUMBER(SEARCH("vca",$J1564)),ISNUMBER(SEARCH("Transformação",$J1564))),"VCA",IF(OR(ISNUMBER(SEARCH("crava",$F1564)),ISNUMBER(SEARCH("tubo cravado",$F1564)),ISNUMBER(SEARCH("shaft",$J1564)),ISNUMBER(SEARCH("concreto",$F1564))),"TUBO CRAVADO","")))</f>
        <v/>
      </c>
      <c r="T1564">
        <f>IF($A1564="","",TEXT($A1564,"yyyymm")&amp;"|"&amp;$C1564&amp;"|"&amp;$F1564&amp;"|"&amp;$N1564&amp;"|"&amp;$R1564)</f>
        <v/>
      </c>
    </row>
    <row r="1565" ht="11.55" customHeight="1">
      <c r="A1565" s="10" t="n">
        <v>46112</v>
      </c>
      <c r="B1565" s="7" t="inlineStr">
        <is>
          <t>Terça</t>
        </is>
      </c>
      <c r="C1565" s="7" t="inlineStr">
        <is>
          <t>CTS LUIS BOTELHO MOURÃO</t>
        </is>
      </c>
      <c r="D1565" s="7" t="inlineStr">
        <is>
          <t>ROBSON</t>
        </is>
      </c>
      <c r="E1565" s="7" t="inlineStr">
        <is>
          <t>Higor</t>
        </is>
      </c>
      <c r="F1565" s="13" t="inlineStr">
        <is>
          <t>Shaft PV 09</t>
        </is>
      </c>
      <c r="G1565" s="7" t="inlineStr">
        <is>
          <t>09</t>
        </is>
      </c>
      <c r="H1565" s="7" t="n"/>
      <c r="I1565" s="7" t="inlineStr">
        <is>
          <t>09</t>
        </is>
      </c>
      <c r="J1565" s="7" t="inlineStr">
        <is>
          <t>Shaft</t>
        </is>
      </c>
      <c r="K1565" s="7" t="inlineStr">
        <is>
          <t>Planejamento</t>
        </is>
      </c>
      <c r="L1565" s="16" t="inlineStr">
        <is>
          <t>PDS-Março(1).docx</t>
        </is>
      </c>
      <c r="M1565">
        <f>IF($A1565="","",TEXT($A1565,"mmmm/yyyy"))</f>
        <v/>
      </c>
      <c r="P1565">
        <f>IFERROR(_xludf.XLOOKUP($N1565,Base_Enderecos!$A:$A,Base_Enderecos!$B:$B,""),"")</f>
        <v/>
      </c>
      <c r="Q1565">
        <f>IFERROR(_xludf.XLOOKUP($N1565,Base_Enderecos!$A:$A,Base_Enderecos!$C:$C,""),"")</f>
        <v/>
      </c>
      <c r="R1565">
        <f>IF(OR(ISNUMBER(SEARCH("HDD",$F1565)),ISNUMBER(SEARCH("MND",$F1565)),ISNUMBER(SEARCH("PEAD",$F1565)),ISNUMBER(SEARCH("Puxe",$J1565)),ISNUMBER(SEARCH("Apoio HDD",$F1565))),"MND",IF(OR(ISNUMBER(SEARCH("VCA",$F1565)),ISNUMBER(SEARCH("PVC",$F1565)),ISNUMBER(SEARCH("vca",$J1565)),ISNUMBER(SEARCH("Transformação",$J1565))),"VCA",IF(OR(ISNUMBER(SEARCH("crava",$F1565)),ISNUMBER(SEARCH("tubo cravado",$F1565)),ISNUMBER(SEARCH("shaft",$J1565)),ISNUMBER(SEARCH("concreto",$F1565))),"TUBO CRAVADO","")))</f>
        <v/>
      </c>
      <c r="T1565">
        <f>IF($A1565="","",TEXT($A1565,"yyyymm")&amp;"|"&amp;$C1565&amp;"|"&amp;$F1565&amp;"|"&amp;$N1565&amp;"|"&amp;$R1565)</f>
        <v/>
      </c>
    </row>
    <row r="1566" ht="11.55" customHeight="1">
      <c r="A1566" s="10" t="n">
        <v>46112</v>
      </c>
      <c r="B1566" s="7" t="inlineStr">
        <is>
          <t>Terça</t>
        </is>
      </c>
      <c r="C1566" s="7" t="inlineStr">
        <is>
          <t>Vacal</t>
        </is>
      </c>
      <c r="D1566" s="7" t="n"/>
      <c r="E1566" s="7" t="inlineStr">
        <is>
          <t>Conceição – Renasce</t>
        </is>
      </c>
      <c r="F1566" s="13" t="inlineStr">
        <is>
          <t>Apoio Vacal</t>
        </is>
      </c>
      <c r="G1566" s="7" t="n"/>
      <c r="H1566" s="7" t="n"/>
      <c r="I1566" s="7" t="n"/>
      <c r="J1566" s="7" t="inlineStr">
        <is>
          <t>Vacal</t>
        </is>
      </c>
      <c r="K1566" s="7" t="inlineStr">
        <is>
          <t>Apoio</t>
        </is>
      </c>
      <c r="L1566" s="16" t="inlineStr">
        <is>
          <t>PDS-Março(1).docx</t>
        </is>
      </c>
      <c r="M1566">
        <f>IF($A1566="","",TEXT($A1566,"mmmm/yyyy"))</f>
        <v/>
      </c>
      <c r="P1566">
        <f>IFERROR(_xludf.XLOOKUP($N1566,Base_Enderecos!$A:$A,Base_Enderecos!$B:$B,""),"")</f>
        <v/>
      </c>
      <c r="Q1566">
        <f>IFERROR(_xludf.XLOOKUP($N1566,Base_Enderecos!$A:$A,Base_Enderecos!$C:$C,""),"")</f>
        <v/>
      </c>
      <c r="R1566">
        <f>IF(OR(ISNUMBER(SEARCH("HDD",$F1566)),ISNUMBER(SEARCH("MND",$F1566)),ISNUMBER(SEARCH("PEAD",$F1566)),ISNUMBER(SEARCH("Puxe",$J1566)),ISNUMBER(SEARCH("Apoio HDD",$F1566))),"MND",IF(OR(ISNUMBER(SEARCH("VCA",$F1566)),ISNUMBER(SEARCH("PVC",$F1566)),ISNUMBER(SEARCH("vca",$J1566)),ISNUMBER(SEARCH("Transformação",$J1566))),"VCA",IF(OR(ISNUMBER(SEARCH("crava",$F1566)),ISNUMBER(SEARCH("tubo cravado",$F1566)),ISNUMBER(SEARCH("shaft",$J1566)),ISNUMBER(SEARCH("concreto",$F1566))),"TUBO CRAVADO","")))</f>
        <v/>
      </c>
      <c r="T1566">
        <f>IF($A1566="","",TEXT($A1566,"yyyymm")&amp;"|"&amp;$C1566&amp;"|"&amp;$F1566&amp;"|"&amp;$N1566&amp;"|"&amp;$R1566)</f>
        <v/>
      </c>
    </row>
    <row r="1567" ht="11.55" customHeight="1">
      <c r="A1567" s="10" t="n">
        <v>46112</v>
      </c>
      <c r="B1567" s="7" t="inlineStr">
        <is>
          <t>Terça</t>
        </is>
      </c>
      <c r="C1567" s="7" t="inlineStr">
        <is>
          <t>Vacal</t>
        </is>
      </c>
      <c r="D1567" s="7" t="n"/>
      <c r="E1567" s="7" t="inlineStr">
        <is>
          <t>Água Vermelha – Hidrosol</t>
        </is>
      </c>
      <c r="F1567" s="13" t="inlineStr">
        <is>
          <t>Apoio Vacal</t>
        </is>
      </c>
      <c r="G1567" s="7" t="n"/>
      <c r="H1567" s="7" t="n"/>
      <c r="I1567" s="7" t="n"/>
      <c r="J1567" s="7" t="inlineStr">
        <is>
          <t>Vacal</t>
        </is>
      </c>
      <c r="K1567" s="7" t="inlineStr">
        <is>
          <t>Apoio</t>
        </is>
      </c>
      <c r="L1567" s="16" t="inlineStr">
        <is>
          <t>PDS-Março(1).docx</t>
        </is>
      </c>
      <c r="M1567">
        <f>IF($A1567="","",TEXT($A1567,"mmmm/yyyy"))</f>
        <v/>
      </c>
      <c r="P1567">
        <f>IFERROR(_xludf.XLOOKUP($N1567,Base_Enderecos!$A:$A,Base_Enderecos!$B:$B,""),"")</f>
        <v/>
      </c>
      <c r="Q1567">
        <f>IFERROR(_xludf.XLOOKUP($N1567,Base_Enderecos!$A:$A,Base_Enderecos!$C:$C,""),"")</f>
        <v/>
      </c>
      <c r="R1567">
        <f>IF(OR(ISNUMBER(SEARCH("HDD",$F1567)),ISNUMBER(SEARCH("MND",$F1567)),ISNUMBER(SEARCH("PEAD",$F1567)),ISNUMBER(SEARCH("Puxe",$J1567)),ISNUMBER(SEARCH("Apoio HDD",$F1567))),"MND",IF(OR(ISNUMBER(SEARCH("VCA",$F1567)),ISNUMBER(SEARCH("PVC",$F1567)),ISNUMBER(SEARCH("vca",$J1567)),ISNUMBER(SEARCH("Transformação",$J1567))),"VCA",IF(OR(ISNUMBER(SEARCH("crava",$F1567)),ISNUMBER(SEARCH("tubo cravado",$F1567)),ISNUMBER(SEARCH("shaft",$J1567)),ISNUMBER(SEARCH("concreto",$F1567))),"TUBO CRAVADO","")))</f>
        <v/>
      </c>
      <c r="T1567">
        <f>IF($A1567="","",TEXT($A1567,"yyyymm")&amp;"|"&amp;$C1567&amp;"|"&amp;$F1567&amp;"|"&amp;$N1567&amp;"|"&amp;$R1567)</f>
        <v/>
      </c>
    </row>
    <row r="1568" ht="11.55" customHeight="1">
      <c r="A1568" s="10" t="n">
        <v>46112</v>
      </c>
      <c r="B1568" s="7" t="inlineStr">
        <is>
          <t>Terça</t>
        </is>
      </c>
      <c r="C1568" s="7" t="inlineStr">
        <is>
          <t>Vacal</t>
        </is>
      </c>
      <c r="D1568" s="7" t="n"/>
      <c r="E1568" s="7" t="inlineStr">
        <is>
          <t>Água Vermelha - Renasce</t>
        </is>
      </c>
      <c r="F1568" s="13" t="inlineStr">
        <is>
          <t>Apoio Vacal</t>
        </is>
      </c>
      <c r="G1568" s="7" t="n"/>
      <c r="H1568" s="7" t="n"/>
      <c r="I1568" s="7" t="n"/>
      <c r="J1568" s="7" t="inlineStr">
        <is>
          <t>Vacal</t>
        </is>
      </c>
      <c r="K1568" s="7" t="inlineStr">
        <is>
          <t>Apoio</t>
        </is>
      </c>
      <c r="L1568" s="16" t="inlineStr">
        <is>
          <t>PDS-Março(1).docx</t>
        </is>
      </c>
      <c r="M1568">
        <f>IF($A1568="","",TEXT($A1568,"mmmm/yyyy"))</f>
        <v/>
      </c>
      <c r="P1568">
        <f>IFERROR(_xludf.XLOOKUP($N1568,Base_Enderecos!$A:$A,Base_Enderecos!$B:$B,""),"")</f>
        <v/>
      </c>
      <c r="Q1568">
        <f>IFERROR(_xludf.XLOOKUP($N1568,Base_Enderecos!$A:$A,Base_Enderecos!$C:$C,""),"")</f>
        <v/>
      </c>
      <c r="R1568">
        <f>IF(OR(ISNUMBER(SEARCH("HDD",$F1568)),ISNUMBER(SEARCH("MND",$F1568)),ISNUMBER(SEARCH("PEAD",$F1568)),ISNUMBER(SEARCH("Puxe",$J1568)),ISNUMBER(SEARCH("Apoio HDD",$F1568))),"MND",IF(OR(ISNUMBER(SEARCH("VCA",$F1568)),ISNUMBER(SEARCH("PVC",$F1568)),ISNUMBER(SEARCH("vca",$J1568)),ISNUMBER(SEARCH("Transformação",$J1568))),"VCA",IF(OR(ISNUMBER(SEARCH("crava",$F1568)),ISNUMBER(SEARCH("tubo cravado",$F1568)),ISNUMBER(SEARCH("shaft",$J1568)),ISNUMBER(SEARCH("concreto",$F1568))),"TUBO CRAVADO","")))</f>
        <v/>
      </c>
      <c r="T1568">
        <f>IF($A1568="","",TEXT($A1568,"yyyymm")&amp;"|"&amp;$C1568&amp;"|"&amp;$F1568&amp;"|"&amp;$N1568&amp;"|"&amp;$R1568)</f>
        <v/>
      </c>
    </row>
    <row r="1569" ht="11.55" customHeight="1">
      <c r="A1569" s="10" t="n">
        <v>46112</v>
      </c>
      <c r="B1569" s="7" t="inlineStr">
        <is>
          <t>Terça</t>
        </is>
      </c>
      <c r="C1569" s="7" t="inlineStr">
        <is>
          <t>Vacal</t>
        </is>
      </c>
      <c r="D1569" s="7" t="n"/>
      <c r="E1569" s="7" t="inlineStr">
        <is>
          <t>Botelho Mourão - Renasce</t>
        </is>
      </c>
      <c r="F1569" s="13" t="inlineStr">
        <is>
          <t>Apoio Vacal</t>
        </is>
      </c>
      <c r="G1569" s="7" t="n"/>
      <c r="H1569" s="7" t="n"/>
      <c r="I1569" s="7" t="n"/>
      <c r="J1569" s="7" t="inlineStr">
        <is>
          <t>Vacal</t>
        </is>
      </c>
      <c r="K1569" s="7" t="inlineStr">
        <is>
          <t>Apoio</t>
        </is>
      </c>
      <c r="L1569" s="16" t="inlineStr">
        <is>
          <t>PDS-Março(1).docx</t>
        </is>
      </c>
      <c r="M1569">
        <f>IF($A1569="","",TEXT($A1569,"mmmm/yyyy"))</f>
        <v/>
      </c>
      <c r="P1569">
        <f>IFERROR(_xludf.XLOOKUP($N1569,Base_Enderecos!$A:$A,Base_Enderecos!$B:$B,""),"")</f>
        <v/>
      </c>
      <c r="Q1569">
        <f>IFERROR(_xludf.XLOOKUP($N1569,Base_Enderecos!$A:$A,Base_Enderecos!$C:$C,""),"")</f>
        <v/>
      </c>
      <c r="R1569">
        <f>IF(OR(ISNUMBER(SEARCH("HDD",$F1569)),ISNUMBER(SEARCH("MND",$F1569)),ISNUMBER(SEARCH("PEAD",$F1569)),ISNUMBER(SEARCH("Puxe",$J1569)),ISNUMBER(SEARCH("Apoio HDD",$F1569))),"MND",IF(OR(ISNUMBER(SEARCH("VCA",$F1569)),ISNUMBER(SEARCH("PVC",$F1569)),ISNUMBER(SEARCH("vca",$J1569)),ISNUMBER(SEARCH("Transformação",$J1569))),"VCA",IF(OR(ISNUMBER(SEARCH("crava",$F1569)),ISNUMBER(SEARCH("tubo cravado",$F1569)),ISNUMBER(SEARCH("shaft",$J1569)),ISNUMBER(SEARCH("concreto",$F1569))),"TUBO CRAVADO","")))</f>
        <v/>
      </c>
      <c r="T1569">
        <f>IF($A1569="","",TEXT($A1569,"yyyymm")&amp;"|"&amp;$C1569&amp;"|"&amp;$F1569&amp;"|"&amp;$N1569&amp;"|"&amp;$R1569)</f>
        <v/>
      </c>
    </row>
    <row r="1570" ht="11.55" customHeight="1">
      <c r="A1570" s="10" t="n">
        <v>46112</v>
      </c>
      <c r="B1570" s="7" t="inlineStr">
        <is>
          <t>Terça</t>
        </is>
      </c>
      <c r="C1570" s="7" t="inlineStr">
        <is>
          <t>Vacal</t>
        </is>
      </c>
      <c r="D1570" s="7" t="n"/>
      <c r="E1570" s="7" t="inlineStr">
        <is>
          <t>ITI 15 – Renasce</t>
        </is>
      </c>
      <c r="F1570" s="13" t="inlineStr">
        <is>
          <t>Apoio Vacal</t>
        </is>
      </c>
      <c r="G1570" s="7" t="n"/>
      <c r="H1570" s="7" t="n"/>
      <c r="I1570" s="7" t="n"/>
      <c r="J1570" s="7" t="inlineStr">
        <is>
          <t>Vacal</t>
        </is>
      </c>
      <c r="K1570" s="7" t="inlineStr">
        <is>
          <t>Apoio</t>
        </is>
      </c>
      <c r="L1570" s="16" t="inlineStr">
        <is>
          <t>PDS-Março(1).docx</t>
        </is>
      </c>
      <c r="M1570">
        <f>IF($A1570="","",TEXT($A1570,"mmmm/yyyy"))</f>
        <v/>
      </c>
      <c r="P1570">
        <f>IFERROR(_xludf.XLOOKUP($N1570,Base_Enderecos!$A:$A,Base_Enderecos!$B:$B,""),"")</f>
        <v/>
      </c>
      <c r="Q1570">
        <f>IFERROR(_xludf.XLOOKUP($N1570,Base_Enderecos!$A:$A,Base_Enderecos!$C:$C,""),"")</f>
        <v/>
      </c>
      <c r="R1570">
        <f>IF(OR(ISNUMBER(SEARCH("HDD",$F1570)),ISNUMBER(SEARCH("MND",$F1570)),ISNUMBER(SEARCH("PEAD",$F1570)),ISNUMBER(SEARCH("Puxe",$J1570)),ISNUMBER(SEARCH("Apoio HDD",$F1570))),"MND",IF(OR(ISNUMBER(SEARCH("VCA",$F1570)),ISNUMBER(SEARCH("PVC",$F1570)),ISNUMBER(SEARCH("vca",$J1570)),ISNUMBER(SEARCH("Transformação",$J1570))),"VCA",IF(OR(ISNUMBER(SEARCH("crava",$F1570)),ISNUMBER(SEARCH("tubo cravado",$F1570)),ISNUMBER(SEARCH("shaft",$J1570)),ISNUMBER(SEARCH("concreto",$F1570))),"TUBO CRAVADO","")))</f>
        <v/>
      </c>
      <c r="T1570">
        <f>IF($A1570="","",TEXT($A1570,"yyyymm")&amp;"|"&amp;$C1570&amp;"|"&amp;$F1570&amp;"|"&amp;$N1570&amp;"|"&amp;$R1570)</f>
        <v/>
      </c>
    </row>
    <row r="1571" ht="11.55" customHeight="1">
      <c r="A1571" s="10" t="n">
        <v>46112</v>
      </c>
      <c r="B1571" s="7" t="inlineStr">
        <is>
          <t>Terça</t>
        </is>
      </c>
      <c r="C1571" s="7" t="inlineStr">
        <is>
          <t>Guindauto</t>
        </is>
      </c>
      <c r="D1571" s="7" t="n"/>
      <c r="E1571" s="7" t="inlineStr">
        <is>
          <t>Rodrigo</t>
        </is>
      </c>
      <c r="F1571" s="13" t="inlineStr">
        <is>
          <t>Rodrigo - Apoio as equipes</t>
        </is>
      </c>
      <c r="G1571" s="7" t="n"/>
      <c r="H1571" s="7" t="n"/>
      <c r="I1571" s="7" t="n"/>
      <c r="J1571" s="7" t="inlineStr">
        <is>
          <t>Guindauto</t>
        </is>
      </c>
      <c r="K1571" s="7" t="inlineStr">
        <is>
          <t>Apoio</t>
        </is>
      </c>
      <c r="L1571" s="16" t="inlineStr">
        <is>
          <t>PDS-Março(1).docx</t>
        </is>
      </c>
      <c r="M1571">
        <f>IF($A1571="","",TEXT($A1571,"mmmm/yyyy"))</f>
        <v/>
      </c>
      <c r="P1571">
        <f>IFERROR(_xludf.XLOOKUP($N1571,Base_Enderecos!$A:$A,Base_Enderecos!$B:$B,""),"")</f>
        <v/>
      </c>
      <c r="Q1571">
        <f>IFERROR(_xludf.XLOOKUP($N1571,Base_Enderecos!$A:$A,Base_Enderecos!$C:$C,""),"")</f>
        <v/>
      </c>
      <c r="R1571">
        <f>IF(OR(ISNUMBER(SEARCH("HDD",$F1571)),ISNUMBER(SEARCH("MND",$F1571)),ISNUMBER(SEARCH("PEAD",$F1571)),ISNUMBER(SEARCH("Puxe",$J1571)),ISNUMBER(SEARCH("Apoio HDD",$F1571))),"MND",IF(OR(ISNUMBER(SEARCH("VCA",$F1571)),ISNUMBER(SEARCH("PVC",$F1571)),ISNUMBER(SEARCH("vca",$J1571)),ISNUMBER(SEARCH("Transformação",$J1571))),"VCA",IF(OR(ISNUMBER(SEARCH("crava",$F1571)),ISNUMBER(SEARCH("tubo cravado",$F1571)),ISNUMBER(SEARCH("shaft",$J1571)),ISNUMBER(SEARCH("concreto",$F1571))),"TUBO CRAVADO","")))</f>
        <v/>
      </c>
      <c r="T1571">
        <f>IF($A1571="","",TEXT($A1571,"yyyymm")&amp;"|"&amp;$C1571&amp;"|"&amp;$F1571&amp;"|"&amp;$N1571&amp;"|"&amp;$R1571)</f>
        <v/>
      </c>
    </row>
    <row r="1572" ht="11.55" customHeight="1">
      <c r="A1572" s="10" t="n">
        <v>46112</v>
      </c>
      <c r="B1572" s="7" t="inlineStr">
        <is>
          <t>Terça</t>
        </is>
      </c>
      <c r="C1572" s="7" t="inlineStr">
        <is>
          <t>Guindauto</t>
        </is>
      </c>
      <c r="D1572" s="7" t="n"/>
      <c r="E1572" s="7" t="inlineStr">
        <is>
          <t>Marcio</t>
        </is>
      </c>
      <c r="F1572" s="13" t="inlineStr">
        <is>
          <t>Marcio - Apoio as equipes</t>
        </is>
      </c>
      <c r="G1572" s="7" t="n"/>
      <c r="H1572" s="7" t="n"/>
      <c r="I1572" s="7" t="n"/>
      <c r="J1572" s="7" t="inlineStr">
        <is>
          <t>Guindauto</t>
        </is>
      </c>
      <c r="K1572" s="7" t="inlineStr">
        <is>
          <t>Apoio</t>
        </is>
      </c>
      <c r="L1572" s="16" t="inlineStr">
        <is>
          <t>PDS-Março(1).docx</t>
        </is>
      </c>
      <c r="M1572">
        <f>IF($A1572="","",TEXT($A1572,"mmmm/yyyy"))</f>
        <v/>
      </c>
      <c r="P1572">
        <f>IFERROR(_xludf.XLOOKUP($N1572,Base_Enderecos!$A:$A,Base_Enderecos!$B:$B,""),"")</f>
        <v/>
      </c>
      <c r="Q1572">
        <f>IFERROR(_xludf.XLOOKUP($N1572,Base_Enderecos!$A:$A,Base_Enderecos!$C:$C,""),"")</f>
        <v/>
      </c>
      <c r="R1572">
        <f>IF(OR(ISNUMBER(SEARCH("HDD",$F1572)),ISNUMBER(SEARCH("MND",$F1572)),ISNUMBER(SEARCH("PEAD",$F1572)),ISNUMBER(SEARCH("Puxe",$J1572)),ISNUMBER(SEARCH("Apoio HDD",$F1572))),"MND",IF(OR(ISNUMBER(SEARCH("VCA",$F1572)),ISNUMBER(SEARCH("PVC",$F1572)),ISNUMBER(SEARCH("vca",$J1572)),ISNUMBER(SEARCH("Transformação",$J1572))),"VCA",IF(OR(ISNUMBER(SEARCH("crava",$F1572)),ISNUMBER(SEARCH("tubo cravado",$F1572)),ISNUMBER(SEARCH("shaft",$J1572)),ISNUMBER(SEARCH("concreto",$F1572))),"TUBO CRAVADO","")))</f>
        <v/>
      </c>
      <c r="T1572">
        <f>IF($A1572="","",TEXT($A1572,"yyyymm")&amp;"|"&amp;$C1572&amp;"|"&amp;$F1572&amp;"|"&amp;$N1572&amp;"|"&amp;$R1572)</f>
        <v/>
      </c>
    </row>
    <row r="1573" ht="11.55" customHeight="1">
      <c r="A1573" s="10" t="n">
        <v>46113</v>
      </c>
      <c r="B1573" s="7" t="inlineStr">
        <is>
          <t>Quarta</t>
        </is>
      </c>
      <c r="C1573" s="7" t="inlineStr">
        <is>
          <t>CTS CONCEIÇÃO</t>
        </is>
      </c>
      <c r="D1573" s="7" t="inlineStr">
        <is>
          <t>LEANDRO</t>
        </is>
      </c>
      <c r="E1573" s="7" t="inlineStr">
        <is>
          <t>GR Drill</t>
        </is>
      </c>
      <c r="F1573" s="13" t="inlineStr">
        <is>
          <t>Piloto e puxe entre PV 09 ao 10.1</t>
        </is>
      </c>
      <c r="G1573" s="7" t="inlineStr">
        <is>
          <t>09</t>
        </is>
      </c>
      <c r="H1573" s="7" t="n"/>
      <c r="I1573" s="7" t="inlineStr">
        <is>
          <t>09</t>
        </is>
      </c>
      <c r="J1573" s="7" t="inlineStr">
        <is>
          <t>Piloto e puxe</t>
        </is>
      </c>
      <c r="K1573" s="7" t="inlineStr">
        <is>
          <t>Planejamento</t>
        </is>
      </c>
      <c r="L1573" s="16" t="inlineStr">
        <is>
          <t>PDS-Abril(2).docx</t>
        </is>
      </c>
      <c r="M1573">
        <f>IF($A1573="","",TEXT($A1573,"mmmm/yyyy"))</f>
        <v/>
      </c>
      <c r="P1573">
        <f>IFERROR(_xludf.XLOOKUP($N1573,Base_Enderecos!$A:$A,Base_Enderecos!$B:$B,""),"")</f>
        <v/>
      </c>
      <c r="Q1573">
        <f>IFERROR(_xludf.XLOOKUP($N1573,Base_Enderecos!$A:$A,Base_Enderecos!$C:$C,""),"")</f>
        <v/>
      </c>
      <c r="R1573">
        <f>IF(OR(ISNUMBER(SEARCH("HDD",$F1573)),ISNUMBER(SEARCH("MND",$F1573)),ISNUMBER(SEARCH("PEAD",$F1573)),ISNUMBER(SEARCH("Puxe",$J1573)),ISNUMBER(SEARCH("Apoio HDD",$F1573))),"MND",IF(OR(ISNUMBER(SEARCH("VCA",$F1573)),ISNUMBER(SEARCH("PVC",$F1573)),ISNUMBER(SEARCH("vca",$J1573)),ISNUMBER(SEARCH("Transformação",$J1573))),"VCA",IF(OR(ISNUMBER(SEARCH("crava",$F1573)),ISNUMBER(SEARCH("tubo cravado",$F1573)),ISNUMBER(SEARCH("shaft",$J1573)),ISNUMBER(SEARCH("concreto",$F1573))),"TUBO CRAVADO","")))</f>
        <v/>
      </c>
      <c r="T1573">
        <f>IF($A1573="","",TEXT($A1573,"yyyymm")&amp;"|"&amp;$C1573&amp;"|"&amp;$F1573&amp;"|"&amp;$N1573&amp;"|"&amp;$R1573)</f>
        <v/>
      </c>
    </row>
    <row r="1574" ht="11.55" customHeight="1">
      <c r="A1574" s="10" t="n">
        <v>46113</v>
      </c>
      <c r="B1574" s="7" t="inlineStr">
        <is>
          <t>Quarta</t>
        </is>
      </c>
      <c r="C1574" s="7" t="inlineStr">
        <is>
          <t>CTS CONCEIÇÃO</t>
        </is>
      </c>
      <c r="D1574" s="7" t="inlineStr">
        <is>
          <t>LEANDRO</t>
        </is>
      </c>
      <c r="E1574" s="7" t="inlineStr">
        <is>
          <t>Medeiros</t>
        </is>
      </c>
      <c r="F1574" s="13" t="inlineStr">
        <is>
          <t>Apoio HDD entre PV 09 ao 10.1</t>
        </is>
      </c>
      <c r="G1574" s="7" t="inlineStr">
        <is>
          <t>09</t>
        </is>
      </c>
      <c r="H1574" s="7" t="n"/>
      <c r="I1574" s="7" t="inlineStr">
        <is>
          <t>09</t>
        </is>
      </c>
      <c r="J1574" s="7" t="inlineStr">
        <is>
          <t>Apoio HDD</t>
        </is>
      </c>
      <c r="K1574" s="7" t="inlineStr">
        <is>
          <t>Planejamento</t>
        </is>
      </c>
      <c r="L1574" s="16" t="inlineStr">
        <is>
          <t>PDS-Abril(2).docx</t>
        </is>
      </c>
      <c r="M1574">
        <f>IF($A1574="","",TEXT($A1574,"mmmm/yyyy"))</f>
        <v/>
      </c>
      <c r="P1574">
        <f>IFERROR(_xludf.XLOOKUP($N1574,Base_Enderecos!$A:$A,Base_Enderecos!$B:$B,""),"")</f>
        <v/>
      </c>
      <c r="Q1574">
        <f>IFERROR(_xludf.XLOOKUP($N1574,Base_Enderecos!$A:$A,Base_Enderecos!$C:$C,""),"")</f>
        <v/>
      </c>
      <c r="R1574">
        <f>IF(OR(ISNUMBER(SEARCH("HDD",$F1574)),ISNUMBER(SEARCH("MND",$F1574)),ISNUMBER(SEARCH("PEAD",$F1574)),ISNUMBER(SEARCH("Puxe",$J1574)),ISNUMBER(SEARCH("Apoio HDD",$F1574))),"MND",IF(OR(ISNUMBER(SEARCH("VCA",$F1574)),ISNUMBER(SEARCH("PVC",$F1574)),ISNUMBER(SEARCH("vca",$J1574)),ISNUMBER(SEARCH("Transformação",$J1574))),"VCA",IF(OR(ISNUMBER(SEARCH("crava",$F1574)),ISNUMBER(SEARCH("tubo cravado",$F1574)),ISNUMBER(SEARCH("shaft",$J1574)),ISNUMBER(SEARCH("concreto",$F1574))),"TUBO CRAVADO","")))</f>
        <v/>
      </c>
      <c r="T1574">
        <f>IF($A1574="","",TEXT($A1574,"yyyymm")&amp;"|"&amp;$C1574&amp;"|"&amp;$F1574&amp;"|"&amp;$N1574&amp;"|"&amp;$R1574)</f>
        <v/>
      </c>
    </row>
    <row r="1575" ht="11.55" customHeight="1">
      <c r="A1575" s="10" t="n">
        <v>46113</v>
      </c>
      <c r="B1575" s="7" t="inlineStr">
        <is>
          <t>Quarta</t>
        </is>
      </c>
      <c r="C1575" s="7" t="inlineStr">
        <is>
          <t>CTS CONCEIÇÃO</t>
        </is>
      </c>
      <c r="D1575" s="7" t="inlineStr">
        <is>
          <t>LEANDRO</t>
        </is>
      </c>
      <c r="E1575" s="7" t="inlineStr">
        <is>
          <t>Cesar</t>
        </is>
      </c>
      <c r="F1575" s="13" t="inlineStr">
        <is>
          <t>Transformação PV 08</t>
        </is>
      </c>
      <c r="G1575" s="7" t="inlineStr">
        <is>
          <t>08</t>
        </is>
      </c>
      <c r="H1575" s="7" t="n"/>
      <c r="I1575" s="7" t="inlineStr">
        <is>
          <t>08</t>
        </is>
      </c>
      <c r="J1575" s="7" t="inlineStr">
        <is>
          <t>Transformação</t>
        </is>
      </c>
      <c r="K1575" s="7" t="inlineStr">
        <is>
          <t>Planejamento</t>
        </is>
      </c>
      <c r="L1575" s="16" t="inlineStr">
        <is>
          <t>PDS-Abril(2).docx</t>
        </is>
      </c>
      <c r="M1575">
        <f>IF($A1575="","",TEXT($A1575,"mmmm/yyyy"))</f>
        <v/>
      </c>
      <c r="P1575">
        <f>IFERROR(_xludf.XLOOKUP($N1575,Base_Enderecos!$A:$A,Base_Enderecos!$B:$B,""),"")</f>
        <v/>
      </c>
      <c r="Q1575">
        <f>IFERROR(_xludf.XLOOKUP($N1575,Base_Enderecos!$A:$A,Base_Enderecos!$C:$C,""),"")</f>
        <v/>
      </c>
      <c r="R1575">
        <f>IF(OR(ISNUMBER(SEARCH("HDD",$F1575)),ISNUMBER(SEARCH("MND",$F1575)),ISNUMBER(SEARCH("PEAD",$F1575)),ISNUMBER(SEARCH("Puxe",$J1575)),ISNUMBER(SEARCH("Apoio HDD",$F1575))),"MND",IF(OR(ISNUMBER(SEARCH("VCA",$F1575)),ISNUMBER(SEARCH("PVC",$F1575)),ISNUMBER(SEARCH("vca",$J1575)),ISNUMBER(SEARCH("Transformação",$J1575))),"VCA",IF(OR(ISNUMBER(SEARCH("crava",$F1575)),ISNUMBER(SEARCH("tubo cravado",$F1575)),ISNUMBER(SEARCH("shaft",$J1575)),ISNUMBER(SEARCH("concreto",$F1575))),"TUBO CRAVADO","")))</f>
        <v/>
      </c>
      <c r="T1575">
        <f>IF($A1575="","",TEXT($A1575,"yyyymm")&amp;"|"&amp;$C1575&amp;"|"&amp;$F1575&amp;"|"&amp;$N1575&amp;"|"&amp;$R1575)</f>
        <v/>
      </c>
    </row>
    <row r="1576" ht="11.55" customHeight="1">
      <c r="A1576" s="10" t="n">
        <v>46113</v>
      </c>
      <c r="B1576" s="7" t="inlineStr">
        <is>
          <t>Quarta</t>
        </is>
      </c>
      <c r="C1576" s="7" t="inlineStr">
        <is>
          <t>CTS CONCEIÇÃO</t>
        </is>
      </c>
      <c r="D1576" s="7" t="inlineStr">
        <is>
          <t>LEANDRO</t>
        </is>
      </c>
      <c r="E1576" s="7" t="inlineStr">
        <is>
          <t>Sergio</t>
        </is>
      </c>
      <c r="F1576" s="13" t="inlineStr">
        <is>
          <t>Interligação PV 4.2</t>
        </is>
      </c>
      <c r="G1576" s="7" t="inlineStr">
        <is>
          <t>4.2</t>
        </is>
      </c>
      <c r="H1576" s="7" t="n"/>
      <c r="I1576" s="7" t="inlineStr">
        <is>
          <t>4.2</t>
        </is>
      </c>
      <c r="J1576" s="7" t="inlineStr">
        <is>
          <t>Interligação</t>
        </is>
      </c>
      <c r="K1576" s="7" t="inlineStr">
        <is>
          <t>Planejamento</t>
        </is>
      </c>
      <c r="L1576" s="16" t="inlineStr">
        <is>
          <t>PDS-Abril(2).docx</t>
        </is>
      </c>
      <c r="M1576">
        <f>IF($A1576="","",TEXT($A1576,"mmmm/yyyy"))</f>
        <v/>
      </c>
      <c r="P1576">
        <f>IFERROR(_xludf.XLOOKUP($N1576,Base_Enderecos!$A:$A,Base_Enderecos!$B:$B,""),"")</f>
        <v/>
      </c>
      <c r="Q1576">
        <f>IFERROR(_xludf.XLOOKUP($N1576,Base_Enderecos!$A:$A,Base_Enderecos!$C:$C,""),"")</f>
        <v/>
      </c>
      <c r="R1576">
        <f>IF(OR(ISNUMBER(SEARCH("HDD",$F1576)),ISNUMBER(SEARCH("MND",$F1576)),ISNUMBER(SEARCH("PEAD",$F1576)),ISNUMBER(SEARCH("Puxe",$J1576)),ISNUMBER(SEARCH("Apoio HDD",$F1576))),"MND",IF(OR(ISNUMBER(SEARCH("VCA",$F1576)),ISNUMBER(SEARCH("PVC",$F1576)),ISNUMBER(SEARCH("vca",$J1576)),ISNUMBER(SEARCH("Transformação",$J1576))),"VCA",IF(OR(ISNUMBER(SEARCH("crava",$F1576)),ISNUMBER(SEARCH("tubo cravado",$F1576)),ISNUMBER(SEARCH("shaft",$J1576)),ISNUMBER(SEARCH("concreto",$F1576))),"TUBO CRAVADO","")))</f>
        <v/>
      </c>
      <c r="T1576">
        <f>IF($A1576="","",TEXT($A1576,"yyyymm")&amp;"|"&amp;$C1576&amp;"|"&amp;$F1576&amp;"|"&amp;$N1576&amp;"|"&amp;$R1576)</f>
        <v/>
      </c>
    </row>
    <row r="1577" ht="11.55" customHeight="1">
      <c r="A1577" s="10" t="n">
        <v>46113</v>
      </c>
      <c r="B1577" s="7" t="inlineStr">
        <is>
          <t>Quarta</t>
        </is>
      </c>
      <c r="C1577" s="7" t="inlineStr">
        <is>
          <t>CT ÁGUA VERMELHA M.D. e M.E</t>
        </is>
      </c>
      <c r="D1577" s="7" t="inlineStr">
        <is>
          <t>FABIO</t>
        </is>
      </c>
      <c r="E1577" s="7" t="inlineStr">
        <is>
          <t>Johnatan</t>
        </is>
      </c>
      <c r="F1577" s="13" t="inlineStr">
        <is>
          <t>Transformação PVD 07</t>
        </is>
      </c>
      <c r="G1577" s="7" t="inlineStr">
        <is>
          <t>07</t>
        </is>
      </c>
      <c r="H1577" s="7" t="n"/>
      <c r="I1577" s="7" t="inlineStr">
        <is>
          <t>07</t>
        </is>
      </c>
      <c r="J1577" s="7" t="inlineStr">
        <is>
          <t>Transformação</t>
        </is>
      </c>
      <c r="K1577" s="7" t="inlineStr">
        <is>
          <t>Planejamento</t>
        </is>
      </c>
      <c r="L1577" s="16" t="inlineStr">
        <is>
          <t>PDS-Abril(2).docx</t>
        </is>
      </c>
      <c r="M1577">
        <f>IF($A1577="","",TEXT($A1577,"mmmm/yyyy"))</f>
        <v/>
      </c>
      <c r="P1577">
        <f>IFERROR(_xludf.XLOOKUP($N1577,Base_Enderecos!$A:$A,Base_Enderecos!$B:$B,""),"")</f>
        <v/>
      </c>
      <c r="Q1577">
        <f>IFERROR(_xludf.XLOOKUP($N1577,Base_Enderecos!$A:$A,Base_Enderecos!$C:$C,""),"")</f>
        <v/>
      </c>
      <c r="R1577">
        <f>IF(OR(ISNUMBER(SEARCH("HDD",$F1577)),ISNUMBER(SEARCH("MND",$F1577)),ISNUMBER(SEARCH("PEAD",$F1577)),ISNUMBER(SEARCH("Puxe",$J1577)),ISNUMBER(SEARCH("Apoio HDD",$F1577))),"MND",IF(OR(ISNUMBER(SEARCH("VCA",$F1577)),ISNUMBER(SEARCH("PVC",$F1577)),ISNUMBER(SEARCH("vca",$J1577)),ISNUMBER(SEARCH("Transformação",$J1577))),"VCA",IF(OR(ISNUMBER(SEARCH("crava",$F1577)),ISNUMBER(SEARCH("tubo cravado",$F1577)),ISNUMBER(SEARCH("shaft",$J1577)),ISNUMBER(SEARCH("concreto",$F1577))),"TUBO CRAVADO","")))</f>
        <v/>
      </c>
      <c r="T1577">
        <f>IF($A1577="","",TEXT($A1577,"yyyymm")&amp;"|"&amp;$C1577&amp;"|"&amp;$F1577&amp;"|"&amp;$N1577&amp;"|"&amp;$R1577)</f>
        <v/>
      </c>
    </row>
    <row r="1578" ht="11.55" customHeight="1">
      <c r="A1578" s="10" t="n">
        <v>46113</v>
      </c>
      <c r="B1578" s="7" t="inlineStr">
        <is>
          <t>Quarta</t>
        </is>
      </c>
      <c r="C1578" s="7" t="inlineStr">
        <is>
          <t>CT ÁGUA VERMELHA M.D. e M.E</t>
        </is>
      </c>
      <c r="D1578" s="7" t="inlineStr">
        <is>
          <t>FABIO</t>
        </is>
      </c>
      <c r="E1578" s="7" t="inlineStr">
        <is>
          <t>Claudinei</t>
        </is>
      </c>
      <c r="F1578" s="13" t="inlineStr">
        <is>
          <t>Apoio casa (PVD 7)</t>
        </is>
      </c>
      <c r="G1578" s="7" t="inlineStr">
        <is>
          <t>7</t>
        </is>
      </c>
      <c r="H1578" s="7" t="n"/>
      <c r="I1578" s="7" t="inlineStr">
        <is>
          <t>7</t>
        </is>
      </c>
      <c r="J1578" s="7" t="n"/>
      <c r="K1578" s="7" t="inlineStr">
        <is>
          <t>Planejamento</t>
        </is>
      </c>
      <c r="L1578" s="16" t="inlineStr">
        <is>
          <t>PDS-Abril(2).docx</t>
        </is>
      </c>
      <c r="M1578">
        <f>IF($A1578="","",TEXT($A1578,"mmmm/yyyy"))</f>
        <v/>
      </c>
      <c r="P1578">
        <f>IFERROR(_xludf.XLOOKUP($N1578,Base_Enderecos!$A:$A,Base_Enderecos!$B:$B,""),"")</f>
        <v/>
      </c>
      <c r="Q1578">
        <f>IFERROR(_xludf.XLOOKUP($N1578,Base_Enderecos!$A:$A,Base_Enderecos!$C:$C,""),"")</f>
        <v/>
      </c>
      <c r="R1578">
        <f>IF(OR(ISNUMBER(SEARCH("HDD",$F1578)),ISNUMBER(SEARCH("MND",$F1578)),ISNUMBER(SEARCH("PEAD",$F1578)),ISNUMBER(SEARCH("Puxe",$J1578)),ISNUMBER(SEARCH("Apoio HDD",$F1578))),"MND",IF(OR(ISNUMBER(SEARCH("VCA",$F1578)),ISNUMBER(SEARCH("PVC",$F1578)),ISNUMBER(SEARCH("vca",$J1578)),ISNUMBER(SEARCH("Transformação",$J1578))),"VCA",IF(OR(ISNUMBER(SEARCH("crava",$F1578)),ISNUMBER(SEARCH("tubo cravado",$F1578)),ISNUMBER(SEARCH("shaft",$J1578)),ISNUMBER(SEARCH("concreto",$F1578))),"TUBO CRAVADO","")))</f>
        <v/>
      </c>
      <c r="T1578">
        <f>IF($A1578="","",TEXT($A1578,"yyyymm")&amp;"|"&amp;$C1578&amp;"|"&amp;$F1578&amp;"|"&amp;$N1578&amp;"|"&amp;$R1578)</f>
        <v/>
      </c>
    </row>
    <row r="1579" ht="11.55" customHeight="1">
      <c r="A1579" s="10" t="n">
        <v>46113</v>
      </c>
      <c r="B1579" s="7" t="inlineStr">
        <is>
          <t>Quarta</t>
        </is>
      </c>
      <c r="C1579" s="7" t="inlineStr">
        <is>
          <t>CT ÁGUA VERMELHA M.D. e M.E</t>
        </is>
      </c>
      <c r="D1579" s="7" t="inlineStr">
        <is>
          <t>FABIO</t>
        </is>
      </c>
      <c r="E1579" s="7" t="inlineStr">
        <is>
          <t>Marcelo</t>
        </is>
      </c>
      <c r="F1579" s="13" t="inlineStr">
        <is>
          <t>Transformação PVE 16</t>
        </is>
      </c>
      <c r="G1579" s="7" t="inlineStr">
        <is>
          <t>16</t>
        </is>
      </c>
      <c r="H1579" s="7" t="n"/>
      <c r="I1579" s="7" t="inlineStr">
        <is>
          <t>16</t>
        </is>
      </c>
      <c r="J1579" s="7" t="inlineStr">
        <is>
          <t>Transformação</t>
        </is>
      </c>
      <c r="K1579" s="7" t="inlineStr">
        <is>
          <t>Planejamento</t>
        </is>
      </c>
      <c r="L1579" s="16" t="inlineStr">
        <is>
          <t>PDS-Abril(2).docx</t>
        </is>
      </c>
      <c r="M1579">
        <f>IF($A1579="","",TEXT($A1579,"mmmm/yyyy"))</f>
        <v/>
      </c>
      <c r="P1579">
        <f>IFERROR(_xludf.XLOOKUP($N1579,Base_Enderecos!$A:$A,Base_Enderecos!$B:$B,""),"")</f>
        <v/>
      </c>
      <c r="Q1579">
        <f>IFERROR(_xludf.XLOOKUP($N1579,Base_Enderecos!$A:$A,Base_Enderecos!$C:$C,""),"")</f>
        <v/>
      </c>
      <c r="R1579">
        <f>IF(OR(ISNUMBER(SEARCH("HDD",$F1579)),ISNUMBER(SEARCH("MND",$F1579)),ISNUMBER(SEARCH("PEAD",$F1579)),ISNUMBER(SEARCH("Puxe",$J1579)),ISNUMBER(SEARCH("Apoio HDD",$F1579))),"MND",IF(OR(ISNUMBER(SEARCH("VCA",$F1579)),ISNUMBER(SEARCH("PVC",$F1579)),ISNUMBER(SEARCH("vca",$J1579)),ISNUMBER(SEARCH("Transformação",$J1579))),"VCA",IF(OR(ISNUMBER(SEARCH("crava",$F1579)),ISNUMBER(SEARCH("tubo cravado",$F1579)),ISNUMBER(SEARCH("shaft",$J1579)),ISNUMBER(SEARCH("concreto",$F1579))),"TUBO CRAVADO","")))</f>
        <v/>
      </c>
      <c r="T1579">
        <f>IF($A1579="","",TEXT($A1579,"yyyymm")&amp;"|"&amp;$C1579&amp;"|"&amp;$F1579&amp;"|"&amp;$N1579&amp;"|"&amp;$R1579)</f>
        <v/>
      </c>
    </row>
    <row r="1580" ht="11.55" customHeight="1">
      <c r="A1580" s="10" t="n">
        <v>46113</v>
      </c>
      <c r="B1580" s="7" t="inlineStr">
        <is>
          <t>Quarta</t>
        </is>
      </c>
      <c r="C1580" s="7" t="inlineStr">
        <is>
          <t>CT ÁGUA VERMELHA M.D. e M.E</t>
        </is>
      </c>
      <c r="D1580" s="7" t="inlineStr">
        <is>
          <t>FABIO</t>
        </is>
      </c>
      <c r="E1580" s="7" t="inlineStr">
        <is>
          <t>Edivando</t>
        </is>
      </c>
      <c r="F1580" s="13" t="inlineStr">
        <is>
          <t>Transformação PV.10.1</t>
        </is>
      </c>
      <c r="G1580" s="7" t="inlineStr">
        <is>
          <t>10.1</t>
        </is>
      </c>
      <c r="H1580" s="7" t="n"/>
      <c r="I1580" s="7" t="inlineStr">
        <is>
          <t>10.1</t>
        </is>
      </c>
      <c r="J1580" s="7" t="inlineStr">
        <is>
          <t>Transformação</t>
        </is>
      </c>
      <c r="K1580" s="7" t="inlineStr">
        <is>
          <t>Planejamento</t>
        </is>
      </c>
      <c r="L1580" s="16" t="inlineStr">
        <is>
          <t>PDS-Abril(2).docx</t>
        </is>
      </c>
      <c r="M1580">
        <f>IF($A1580="","",TEXT($A1580,"mmmm/yyyy"))</f>
        <v/>
      </c>
      <c r="P1580">
        <f>IFERROR(_xludf.XLOOKUP($N1580,Base_Enderecos!$A:$A,Base_Enderecos!$B:$B,""),"")</f>
        <v/>
      </c>
      <c r="Q1580">
        <f>IFERROR(_xludf.XLOOKUP($N1580,Base_Enderecos!$A:$A,Base_Enderecos!$C:$C,""),"")</f>
        <v/>
      </c>
      <c r="R1580">
        <f>IF(OR(ISNUMBER(SEARCH("HDD",$F1580)),ISNUMBER(SEARCH("MND",$F1580)),ISNUMBER(SEARCH("PEAD",$F1580)),ISNUMBER(SEARCH("Puxe",$J1580)),ISNUMBER(SEARCH("Apoio HDD",$F1580))),"MND",IF(OR(ISNUMBER(SEARCH("VCA",$F1580)),ISNUMBER(SEARCH("PVC",$F1580)),ISNUMBER(SEARCH("vca",$J1580)),ISNUMBER(SEARCH("Transformação",$J1580))),"VCA",IF(OR(ISNUMBER(SEARCH("crava",$F1580)),ISNUMBER(SEARCH("tubo cravado",$F1580)),ISNUMBER(SEARCH("shaft",$J1580)),ISNUMBER(SEARCH("concreto",$F1580))),"TUBO CRAVADO","")))</f>
        <v/>
      </c>
      <c r="T1580">
        <f>IF($A1580="","",TEXT($A1580,"yyyymm")&amp;"|"&amp;$C1580&amp;"|"&amp;$F1580&amp;"|"&amp;$N1580&amp;"|"&amp;$R1580)</f>
        <v/>
      </c>
    </row>
    <row r="1581" ht="11.55" customHeight="1">
      <c r="A1581" s="10" t="n">
        <v>46113</v>
      </c>
      <c r="B1581" s="7" t="inlineStr">
        <is>
          <t>Quarta</t>
        </is>
      </c>
      <c r="C1581" s="7" t="inlineStr">
        <is>
          <t>Int. ÁGUA BOA</t>
        </is>
      </c>
      <c r="D1581" s="7" t="inlineStr">
        <is>
          <t>VALMIR</t>
        </is>
      </c>
      <c r="E1581" s="7" t="inlineStr">
        <is>
          <t>WJ 02</t>
        </is>
      </c>
      <c r="F1581" s="13" t="inlineStr">
        <is>
          <t>Furo piloto e puxe PV 04 ao PV 03</t>
        </is>
      </c>
      <c r="G1581" s="7" t="inlineStr">
        <is>
          <t>04</t>
        </is>
      </c>
      <c r="H1581" s="7" t="inlineStr">
        <is>
          <t>03</t>
        </is>
      </c>
      <c r="I1581" s="7" t="inlineStr">
        <is>
          <t>04, 03</t>
        </is>
      </c>
      <c r="J1581" s="7" t="inlineStr">
        <is>
          <t>Furo piloto</t>
        </is>
      </c>
      <c r="K1581" s="7" t="inlineStr">
        <is>
          <t>Planejamento</t>
        </is>
      </c>
      <c r="L1581" s="16" t="inlineStr">
        <is>
          <t>PDS-Abril(2).docx</t>
        </is>
      </c>
      <c r="M1581">
        <f>IF($A1581="","",TEXT($A1581,"mmmm/yyyy"))</f>
        <v/>
      </c>
      <c r="P1581">
        <f>IFERROR(_xludf.XLOOKUP($N1581,Base_Enderecos!$A:$A,Base_Enderecos!$B:$B,""),"")</f>
        <v/>
      </c>
      <c r="Q1581">
        <f>IFERROR(_xludf.XLOOKUP($N1581,Base_Enderecos!$A:$A,Base_Enderecos!$C:$C,""),"")</f>
        <v/>
      </c>
      <c r="R1581">
        <f>IF(OR(ISNUMBER(SEARCH("HDD",$F1581)),ISNUMBER(SEARCH("MND",$F1581)),ISNUMBER(SEARCH("PEAD",$F1581)),ISNUMBER(SEARCH("Puxe",$J1581)),ISNUMBER(SEARCH("Apoio HDD",$F1581))),"MND",IF(OR(ISNUMBER(SEARCH("VCA",$F1581)),ISNUMBER(SEARCH("PVC",$F1581)),ISNUMBER(SEARCH("vca",$J1581)),ISNUMBER(SEARCH("Transformação",$J1581))),"VCA",IF(OR(ISNUMBER(SEARCH("crava",$F1581)),ISNUMBER(SEARCH("tubo cravado",$F1581)),ISNUMBER(SEARCH("shaft",$J1581)),ISNUMBER(SEARCH("concreto",$F1581))),"TUBO CRAVADO","")))</f>
        <v/>
      </c>
      <c r="T1581">
        <f>IF($A1581="","",TEXT($A1581,"yyyymm")&amp;"|"&amp;$C1581&amp;"|"&amp;$F1581&amp;"|"&amp;$N1581&amp;"|"&amp;$R1581)</f>
        <v/>
      </c>
    </row>
    <row r="1582" ht="11.55" customHeight="1">
      <c r="A1582" s="10" t="n">
        <v>46113</v>
      </c>
      <c r="B1582" s="7" t="inlineStr">
        <is>
          <t>Quarta</t>
        </is>
      </c>
      <c r="C1582" s="7" t="inlineStr">
        <is>
          <t>Int. ÁGUA BOA</t>
        </is>
      </c>
      <c r="D1582" s="7" t="inlineStr">
        <is>
          <t>VALMIR</t>
        </is>
      </c>
      <c r="E1582" s="7" t="inlineStr">
        <is>
          <t>Antônio</t>
        </is>
      </c>
      <c r="F1582" s="13" t="inlineStr">
        <is>
          <t>Apoio HDD PV 04 ao PV 03</t>
        </is>
      </c>
      <c r="G1582" s="7" t="inlineStr">
        <is>
          <t>04</t>
        </is>
      </c>
      <c r="H1582" s="7" t="inlineStr">
        <is>
          <t>03</t>
        </is>
      </c>
      <c r="I1582" s="7" t="inlineStr">
        <is>
          <t>04, 03</t>
        </is>
      </c>
      <c r="J1582" s="7" t="inlineStr">
        <is>
          <t>Apoio HDD</t>
        </is>
      </c>
      <c r="K1582" s="7" t="inlineStr">
        <is>
          <t>Planejamento</t>
        </is>
      </c>
      <c r="L1582" s="16" t="inlineStr">
        <is>
          <t>PDS-Abril(2).docx</t>
        </is>
      </c>
      <c r="M1582">
        <f>IF($A1582="","",TEXT($A1582,"mmmm/yyyy"))</f>
        <v/>
      </c>
      <c r="P1582">
        <f>IFERROR(_xludf.XLOOKUP($N1582,Base_Enderecos!$A:$A,Base_Enderecos!$B:$B,""),"")</f>
        <v/>
      </c>
      <c r="Q1582">
        <f>IFERROR(_xludf.XLOOKUP($N1582,Base_Enderecos!$A:$A,Base_Enderecos!$C:$C,""),"")</f>
        <v/>
      </c>
      <c r="R1582">
        <f>IF(OR(ISNUMBER(SEARCH("HDD",$F1582)),ISNUMBER(SEARCH("MND",$F1582)),ISNUMBER(SEARCH("PEAD",$F1582)),ISNUMBER(SEARCH("Puxe",$J1582)),ISNUMBER(SEARCH("Apoio HDD",$F1582))),"MND",IF(OR(ISNUMBER(SEARCH("VCA",$F1582)),ISNUMBER(SEARCH("PVC",$F1582)),ISNUMBER(SEARCH("vca",$J1582)),ISNUMBER(SEARCH("Transformação",$J1582))),"VCA",IF(OR(ISNUMBER(SEARCH("crava",$F1582)),ISNUMBER(SEARCH("tubo cravado",$F1582)),ISNUMBER(SEARCH("shaft",$J1582)),ISNUMBER(SEARCH("concreto",$F1582))),"TUBO CRAVADO","")))</f>
        <v/>
      </c>
      <c r="T1582">
        <f>IF($A1582="","",TEXT($A1582,"yyyymm")&amp;"|"&amp;$C1582&amp;"|"&amp;$F1582&amp;"|"&amp;$N1582&amp;"|"&amp;$R1582)</f>
        <v/>
      </c>
    </row>
    <row r="1583" ht="11.55" customHeight="1">
      <c r="A1583" s="10" t="n">
        <v>46113</v>
      </c>
      <c r="B1583" s="7" t="inlineStr">
        <is>
          <t>Quarta</t>
        </is>
      </c>
      <c r="C1583" s="7" t="inlineStr">
        <is>
          <t>RCE FCO. SOUTO MAIOR</t>
        </is>
      </c>
      <c r="D1583" s="7" t="inlineStr">
        <is>
          <t>SILVESTRE</t>
        </is>
      </c>
      <c r="E1583" s="7" t="inlineStr">
        <is>
          <t>Valter</t>
        </is>
      </c>
      <c r="F1583" s="13" t="inlineStr">
        <is>
          <t>VCA e Ligações – Rua Canto da Serra</t>
        </is>
      </c>
      <c r="G1583" s="7" t="n"/>
      <c r="H1583" s="7" t="n"/>
      <c r="I1583" s="7" t="n"/>
      <c r="J1583" s="7" t="inlineStr">
        <is>
          <t>VCA</t>
        </is>
      </c>
      <c r="K1583" s="7" t="inlineStr">
        <is>
          <t>Planejamento</t>
        </is>
      </c>
      <c r="L1583" s="16" t="inlineStr">
        <is>
          <t>PDS-Abril(2).docx</t>
        </is>
      </c>
      <c r="M1583">
        <f>IF($A1583="","",TEXT($A1583,"mmmm/yyyy"))</f>
        <v/>
      </c>
      <c r="P1583">
        <f>IFERROR(_xludf.XLOOKUP($N1583,Base_Enderecos!$A:$A,Base_Enderecos!$B:$B,""),"")</f>
        <v/>
      </c>
      <c r="Q1583">
        <f>IFERROR(_xludf.XLOOKUP($N1583,Base_Enderecos!$A:$A,Base_Enderecos!$C:$C,""),"")</f>
        <v/>
      </c>
      <c r="R1583">
        <f>IF(OR(ISNUMBER(SEARCH("HDD",$F1583)),ISNUMBER(SEARCH("MND",$F1583)),ISNUMBER(SEARCH("PEAD",$F1583)),ISNUMBER(SEARCH("Puxe",$J1583)),ISNUMBER(SEARCH("Apoio HDD",$F1583))),"MND",IF(OR(ISNUMBER(SEARCH("VCA",$F1583)),ISNUMBER(SEARCH("PVC",$F1583)),ISNUMBER(SEARCH("vca",$J1583)),ISNUMBER(SEARCH("Transformação",$J1583))),"VCA",IF(OR(ISNUMBER(SEARCH("crava",$F1583)),ISNUMBER(SEARCH("tubo cravado",$F1583)),ISNUMBER(SEARCH("shaft",$J1583)),ISNUMBER(SEARCH("concreto",$F1583))),"TUBO CRAVADO","")))</f>
        <v/>
      </c>
      <c r="T1583">
        <f>IF($A1583="","",TEXT($A1583,"yyyymm")&amp;"|"&amp;$C1583&amp;"|"&amp;$F1583&amp;"|"&amp;$N1583&amp;"|"&amp;$R1583)</f>
        <v/>
      </c>
    </row>
    <row r="1584" ht="11.55" customHeight="1">
      <c r="A1584" s="10" t="n">
        <v>46113</v>
      </c>
      <c r="B1584" s="7" t="inlineStr">
        <is>
          <t>Quarta</t>
        </is>
      </c>
      <c r="C1584" s="7" t="inlineStr">
        <is>
          <t>RCE FCO. SOUTO MAIOR</t>
        </is>
      </c>
      <c r="D1584" s="7" t="inlineStr">
        <is>
          <t>SILVESTRE</t>
        </is>
      </c>
      <c r="E1584" s="7" t="inlineStr">
        <is>
          <t>Ricardo</t>
        </is>
      </c>
      <c r="F1584" s="13" t="inlineStr">
        <is>
          <t>VCA e Ligações – Rua Canto da Serra</t>
        </is>
      </c>
      <c r="G1584" s="7" t="n"/>
      <c r="H1584" s="7" t="n"/>
      <c r="I1584" s="7" t="n"/>
      <c r="J1584" s="7" t="inlineStr">
        <is>
          <t>VCA</t>
        </is>
      </c>
      <c r="K1584" s="7" t="inlineStr">
        <is>
          <t>Planejamento</t>
        </is>
      </c>
      <c r="L1584" s="16" t="inlineStr">
        <is>
          <t>PDS-Abril(2).docx</t>
        </is>
      </c>
      <c r="M1584">
        <f>IF($A1584="","",TEXT($A1584,"mmmm/yyyy"))</f>
        <v/>
      </c>
      <c r="P1584">
        <f>IFERROR(_xludf.XLOOKUP($N1584,Base_Enderecos!$A:$A,Base_Enderecos!$B:$B,""),"")</f>
        <v/>
      </c>
      <c r="Q1584">
        <f>IFERROR(_xludf.XLOOKUP($N1584,Base_Enderecos!$A:$A,Base_Enderecos!$C:$C,""),"")</f>
        <v/>
      </c>
      <c r="R1584">
        <f>IF(OR(ISNUMBER(SEARCH("HDD",$F1584)),ISNUMBER(SEARCH("MND",$F1584)),ISNUMBER(SEARCH("PEAD",$F1584)),ISNUMBER(SEARCH("Puxe",$J1584)),ISNUMBER(SEARCH("Apoio HDD",$F1584))),"MND",IF(OR(ISNUMBER(SEARCH("VCA",$F1584)),ISNUMBER(SEARCH("PVC",$F1584)),ISNUMBER(SEARCH("vca",$J1584)),ISNUMBER(SEARCH("Transformação",$J1584))),"VCA",IF(OR(ISNUMBER(SEARCH("crava",$F1584)),ISNUMBER(SEARCH("tubo cravado",$F1584)),ISNUMBER(SEARCH("shaft",$J1584)),ISNUMBER(SEARCH("concreto",$F1584))),"TUBO CRAVADO","")))</f>
        <v/>
      </c>
      <c r="T1584">
        <f>IF($A1584="","",TEXT($A1584,"yyyymm")&amp;"|"&amp;$C1584&amp;"|"&amp;$F1584&amp;"|"&amp;$N1584&amp;"|"&amp;$R1584)</f>
        <v/>
      </c>
    </row>
    <row r="1585" ht="11.55" customHeight="1">
      <c r="A1585" s="10" t="n">
        <v>46113</v>
      </c>
      <c r="B1585" s="7" t="inlineStr">
        <is>
          <t>Quarta</t>
        </is>
      </c>
      <c r="C1585" s="7" t="inlineStr">
        <is>
          <t>CTS LUIS BOTELHO MOURÃO</t>
        </is>
      </c>
      <c r="D1585" s="7" t="inlineStr">
        <is>
          <t>ROBSON</t>
        </is>
      </c>
      <c r="E1585" s="7" t="inlineStr">
        <is>
          <t>Goiania Drill</t>
        </is>
      </c>
      <c r="F1585" s="13" t="inlineStr">
        <is>
          <t>Piloto e puxe PV 04 ao PV 05</t>
        </is>
      </c>
      <c r="G1585" s="7" t="inlineStr">
        <is>
          <t>04</t>
        </is>
      </c>
      <c r="H1585" s="7" t="inlineStr">
        <is>
          <t>05</t>
        </is>
      </c>
      <c r="I1585" s="7" t="inlineStr">
        <is>
          <t>04, 05</t>
        </is>
      </c>
      <c r="J1585" s="7" t="inlineStr">
        <is>
          <t>Piloto e puxe</t>
        </is>
      </c>
      <c r="K1585" s="7" t="inlineStr">
        <is>
          <t>Planejamento</t>
        </is>
      </c>
      <c r="L1585" s="16" t="inlineStr">
        <is>
          <t>PDS-Abril(2).docx</t>
        </is>
      </c>
      <c r="M1585">
        <f>IF($A1585="","",TEXT($A1585,"mmmm/yyyy"))</f>
        <v/>
      </c>
      <c r="P1585">
        <f>IFERROR(_xludf.XLOOKUP($N1585,Base_Enderecos!$A:$A,Base_Enderecos!$B:$B,""),"")</f>
        <v/>
      </c>
      <c r="Q1585">
        <f>IFERROR(_xludf.XLOOKUP($N1585,Base_Enderecos!$A:$A,Base_Enderecos!$C:$C,""),"")</f>
        <v/>
      </c>
      <c r="R1585">
        <f>IF(OR(ISNUMBER(SEARCH("HDD",$F1585)),ISNUMBER(SEARCH("MND",$F1585)),ISNUMBER(SEARCH("PEAD",$F1585)),ISNUMBER(SEARCH("Puxe",$J1585)),ISNUMBER(SEARCH("Apoio HDD",$F1585))),"MND",IF(OR(ISNUMBER(SEARCH("VCA",$F1585)),ISNUMBER(SEARCH("PVC",$F1585)),ISNUMBER(SEARCH("vca",$J1585)),ISNUMBER(SEARCH("Transformação",$J1585))),"VCA",IF(OR(ISNUMBER(SEARCH("crava",$F1585)),ISNUMBER(SEARCH("tubo cravado",$F1585)),ISNUMBER(SEARCH("shaft",$J1585)),ISNUMBER(SEARCH("concreto",$F1585))),"TUBO CRAVADO","")))</f>
        <v/>
      </c>
      <c r="T1585">
        <f>IF($A1585="","",TEXT($A1585,"yyyymm")&amp;"|"&amp;$C1585&amp;"|"&amp;$F1585&amp;"|"&amp;$N1585&amp;"|"&amp;$R1585)</f>
        <v/>
      </c>
    </row>
    <row r="1586" ht="11.55" customHeight="1">
      <c r="A1586" s="10" t="n">
        <v>46113</v>
      </c>
      <c r="B1586" s="7" t="inlineStr">
        <is>
          <t>Quarta</t>
        </is>
      </c>
      <c r="C1586" s="7" t="inlineStr">
        <is>
          <t>CTS LUIS BOTELHO MOURÃO</t>
        </is>
      </c>
      <c r="D1586" s="7" t="inlineStr">
        <is>
          <t>ROBSON</t>
        </is>
      </c>
      <c r="E1586" s="7" t="inlineStr">
        <is>
          <t>Bruno</t>
        </is>
      </c>
      <c r="F1586" s="13" t="inlineStr">
        <is>
          <t>Apoio HDD PV 04 ao PV 05</t>
        </is>
      </c>
      <c r="G1586" s="7" t="inlineStr">
        <is>
          <t>04</t>
        </is>
      </c>
      <c r="H1586" s="7" t="inlineStr">
        <is>
          <t>05</t>
        </is>
      </c>
      <c r="I1586" s="7" t="inlineStr">
        <is>
          <t>04, 05</t>
        </is>
      </c>
      <c r="J1586" s="7" t="inlineStr">
        <is>
          <t>Apoio HDD</t>
        </is>
      </c>
      <c r="K1586" s="7" t="inlineStr">
        <is>
          <t>Planejamento</t>
        </is>
      </c>
      <c r="L1586" s="16" t="inlineStr">
        <is>
          <t>PDS-Abril(2).docx</t>
        </is>
      </c>
      <c r="M1586">
        <f>IF($A1586="","",TEXT($A1586,"mmmm/yyyy"))</f>
        <v/>
      </c>
      <c r="P1586">
        <f>IFERROR(_xludf.XLOOKUP($N1586,Base_Enderecos!$A:$A,Base_Enderecos!$B:$B,""),"")</f>
        <v/>
      </c>
      <c r="Q1586">
        <f>IFERROR(_xludf.XLOOKUP($N1586,Base_Enderecos!$A:$A,Base_Enderecos!$C:$C,""),"")</f>
        <v/>
      </c>
      <c r="R1586">
        <f>IF(OR(ISNUMBER(SEARCH("HDD",$F1586)),ISNUMBER(SEARCH("MND",$F1586)),ISNUMBER(SEARCH("PEAD",$F1586)),ISNUMBER(SEARCH("Puxe",$J1586)),ISNUMBER(SEARCH("Apoio HDD",$F1586))),"MND",IF(OR(ISNUMBER(SEARCH("VCA",$F1586)),ISNUMBER(SEARCH("PVC",$F1586)),ISNUMBER(SEARCH("vca",$J1586)),ISNUMBER(SEARCH("Transformação",$J1586))),"VCA",IF(OR(ISNUMBER(SEARCH("crava",$F1586)),ISNUMBER(SEARCH("tubo cravado",$F1586)),ISNUMBER(SEARCH("shaft",$J1586)),ISNUMBER(SEARCH("concreto",$F1586))),"TUBO CRAVADO","")))</f>
        <v/>
      </c>
      <c r="T1586">
        <f>IF($A1586="","",TEXT($A1586,"yyyymm")&amp;"|"&amp;$C1586&amp;"|"&amp;$F1586&amp;"|"&amp;$N1586&amp;"|"&amp;$R1586)</f>
        <v/>
      </c>
    </row>
    <row r="1587" ht="11.55" customHeight="1">
      <c r="A1587" s="10" t="n">
        <v>46113</v>
      </c>
      <c r="B1587" s="7" t="inlineStr">
        <is>
          <t>Quarta</t>
        </is>
      </c>
      <c r="C1587" s="7" t="inlineStr">
        <is>
          <t>CTS LUIS BOTELHO MOURÃO</t>
        </is>
      </c>
      <c r="D1587" s="7" t="inlineStr">
        <is>
          <t>ROBSON</t>
        </is>
      </c>
      <c r="E1587" s="7" t="inlineStr">
        <is>
          <t>Marcio</t>
        </is>
      </c>
      <c r="F1587" s="13" t="inlineStr">
        <is>
          <t>Shaft PV 07</t>
        </is>
      </c>
      <c r="G1587" s="7" t="inlineStr">
        <is>
          <t>07</t>
        </is>
      </c>
      <c r="H1587" s="7" t="n"/>
      <c r="I1587" s="7" t="inlineStr">
        <is>
          <t>07</t>
        </is>
      </c>
      <c r="J1587" s="7" t="inlineStr">
        <is>
          <t>Shaft</t>
        </is>
      </c>
      <c r="K1587" s="7" t="inlineStr">
        <is>
          <t>Planejamento</t>
        </is>
      </c>
      <c r="L1587" s="16" t="inlineStr">
        <is>
          <t>PDS-Abril(2).docx</t>
        </is>
      </c>
      <c r="M1587">
        <f>IF($A1587="","",TEXT($A1587,"mmmm/yyyy"))</f>
        <v/>
      </c>
      <c r="P1587">
        <f>IFERROR(_xludf.XLOOKUP($N1587,Base_Enderecos!$A:$A,Base_Enderecos!$B:$B,""),"")</f>
        <v/>
      </c>
      <c r="Q1587">
        <f>IFERROR(_xludf.XLOOKUP($N1587,Base_Enderecos!$A:$A,Base_Enderecos!$C:$C,""),"")</f>
        <v/>
      </c>
      <c r="R1587">
        <f>IF(OR(ISNUMBER(SEARCH("HDD",$F1587)),ISNUMBER(SEARCH("MND",$F1587)),ISNUMBER(SEARCH("PEAD",$F1587)),ISNUMBER(SEARCH("Puxe",$J1587)),ISNUMBER(SEARCH("Apoio HDD",$F1587))),"MND",IF(OR(ISNUMBER(SEARCH("VCA",$F1587)),ISNUMBER(SEARCH("PVC",$F1587)),ISNUMBER(SEARCH("vca",$J1587)),ISNUMBER(SEARCH("Transformação",$J1587))),"VCA",IF(OR(ISNUMBER(SEARCH("crava",$F1587)),ISNUMBER(SEARCH("tubo cravado",$F1587)),ISNUMBER(SEARCH("shaft",$J1587)),ISNUMBER(SEARCH("concreto",$F1587))),"TUBO CRAVADO","")))</f>
        <v/>
      </c>
      <c r="T1587">
        <f>IF($A1587="","",TEXT($A1587,"yyyymm")&amp;"|"&amp;$C1587&amp;"|"&amp;$F1587&amp;"|"&amp;$N1587&amp;"|"&amp;$R1587)</f>
        <v/>
      </c>
    </row>
    <row r="1588" ht="11.55" customHeight="1">
      <c r="A1588" s="10" t="n">
        <v>46113</v>
      </c>
      <c r="B1588" s="7" t="inlineStr">
        <is>
          <t>Quarta</t>
        </is>
      </c>
      <c r="C1588" s="7" t="inlineStr">
        <is>
          <t>CTS LUIS BOTELHO MOURÃO</t>
        </is>
      </c>
      <c r="D1588" s="7" t="inlineStr">
        <is>
          <t>ROBSON</t>
        </is>
      </c>
      <c r="E1588" s="7" t="inlineStr">
        <is>
          <t>Cidão</t>
        </is>
      </c>
      <c r="F1588" s="13" t="inlineStr">
        <is>
          <t>Shaft PV 08</t>
        </is>
      </c>
      <c r="G1588" s="7" t="inlineStr">
        <is>
          <t>08</t>
        </is>
      </c>
      <c r="H1588" s="7" t="n"/>
      <c r="I1588" s="7" t="inlineStr">
        <is>
          <t>08</t>
        </is>
      </c>
      <c r="J1588" s="7" t="inlineStr">
        <is>
          <t>Shaft</t>
        </is>
      </c>
      <c r="K1588" s="7" t="inlineStr">
        <is>
          <t>Planejamento</t>
        </is>
      </c>
      <c r="L1588" s="16" t="inlineStr">
        <is>
          <t>PDS-Abril(2).docx</t>
        </is>
      </c>
      <c r="M1588">
        <f>IF($A1588="","",TEXT($A1588,"mmmm/yyyy"))</f>
        <v/>
      </c>
      <c r="P1588">
        <f>IFERROR(_xludf.XLOOKUP($N1588,Base_Enderecos!$A:$A,Base_Enderecos!$B:$B,""),"")</f>
        <v/>
      </c>
      <c r="Q1588">
        <f>IFERROR(_xludf.XLOOKUP($N1588,Base_Enderecos!$A:$A,Base_Enderecos!$C:$C,""),"")</f>
        <v/>
      </c>
      <c r="R1588">
        <f>IF(OR(ISNUMBER(SEARCH("HDD",$F1588)),ISNUMBER(SEARCH("MND",$F1588)),ISNUMBER(SEARCH("PEAD",$F1588)),ISNUMBER(SEARCH("Puxe",$J1588)),ISNUMBER(SEARCH("Apoio HDD",$F1588))),"MND",IF(OR(ISNUMBER(SEARCH("VCA",$F1588)),ISNUMBER(SEARCH("PVC",$F1588)),ISNUMBER(SEARCH("vca",$J1588)),ISNUMBER(SEARCH("Transformação",$J1588))),"VCA",IF(OR(ISNUMBER(SEARCH("crava",$F1588)),ISNUMBER(SEARCH("tubo cravado",$F1588)),ISNUMBER(SEARCH("shaft",$J1588)),ISNUMBER(SEARCH("concreto",$F1588))),"TUBO CRAVADO","")))</f>
        <v/>
      </c>
      <c r="T1588">
        <f>IF($A1588="","",TEXT($A1588,"yyyymm")&amp;"|"&amp;$C1588&amp;"|"&amp;$F1588&amp;"|"&amp;$N1588&amp;"|"&amp;$R1588)</f>
        <v/>
      </c>
    </row>
    <row r="1589" ht="11.55" customHeight="1">
      <c r="A1589" s="10" t="n">
        <v>46113</v>
      </c>
      <c r="B1589" s="7" t="inlineStr">
        <is>
          <t>Quarta</t>
        </is>
      </c>
      <c r="C1589" s="7" t="inlineStr">
        <is>
          <t>CTS LUIS BOTELHO MOURÃO</t>
        </is>
      </c>
      <c r="D1589" s="7" t="inlineStr">
        <is>
          <t>ROBSON</t>
        </is>
      </c>
      <c r="E1589" s="7" t="inlineStr">
        <is>
          <t>Higor</t>
        </is>
      </c>
      <c r="F1589" s="13" t="inlineStr">
        <is>
          <t>Shaft PV 03</t>
        </is>
      </c>
      <c r="G1589" s="7" t="inlineStr">
        <is>
          <t>03</t>
        </is>
      </c>
      <c r="H1589" s="7" t="n"/>
      <c r="I1589" s="7" t="inlineStr">
        <is>
          <t>03</t>
        </is>
      </c>
      <c r="J1589" s="7" t="inlineStr">
        <is>
          <t>Shaft</t>
        </is>
      </c>
      <c r="K1589" s="7" t="inlineStr">
        <is>
          <t>Planejamento</t>
        </is>
      </c>
      <c r="L1589" s="16" t="inlineStr">
        <is>
          <t>PDS-Abril(2).docx</t>
        </is>
      </c>
      <c r="M1589">
        <f>IF($A1589="","",TEXT($A1589,"mmmm/yyyy"))</f>
        <v/>
      </c>
      <c r="P1589">
        <f>IFERROR(_xludf.XLOOKUP($N1589,Base_Enderecos!$A:$A,Base_Enderecos!$B:$B,""),"")</f>
        <v/>
      </c>
      <c r="Q1589">
        <f>IFERROR(_xludf.XLOOKUP($N1589,Base_Enderecos!$A:$A,Base_Enderecos!$C:$C,""),"")</f>
        <v/>
      </c>
      <c r="R1589">
        <f>IF(OR(ISNUMBER(SEARCH("HDD",$F1589)),ISNUMBER(SEARCH("MND",$F1589)),ISNUMBER(SEARCH("PEAD",$F1589)),ISNUMBER(SEARCH("Puxe",$J1589)),ISNUMBER(SEARCH("Apoio HDD",$F1589))),"MND",IF(OR(ISNUMBER(SEARCH("VCA",$F1589)),ISNUMBER(SEARCH("PVC",$F1589)),ISNUMBER(SEARCH("vca",$J1589)),ISNUMBER(SEARCH("Transformação",$J1589))),"VCA",IF(OR(ISNUMBER(SEARCH("crava",$F1589)),ISNUMBER(SEARCH("tubo cravado",$F1589)),ISNUMBER(SEARCH("shaft",$J1589)),ISNUMBER(SEARCH("concreto",$F1589))),"TUBO CRAVADO","")))</f>
        <v/>
      </c>
      <c r="T1589">
        <f>IF($A1589="","",TEXT($A1589,"yyyymm")&amp;"|"&amp;$C1589&amp;"|"&amp;$F1589&amp;"|"&amp;$N1589&amp;"|"&amp;$R1589)</f>
        <v/>
      </c>
    </row>
    <row r="1590" ht="11.55" customHeight="1">
      <c r="A1590" s="10" t="n">
        <v>46113</v>
      </c>
      <c r="B1590" s="7" t="inlineStr">
        <is>
          <t>Quarta</t>
        </is>
      </c>
      <c r="C1590" s="7" t="inlineStr">
        <is>
          <t>Vacal</t>
        </is>
      </c>
      <c r="D1590" s="7" t="n"/>
      <c r="E1590" s="7" t="inlineStr">
        <is>
          <t>Conceição – Renasce</t>
        </is>
      </c>
      <c r="F1590" s="13" t="inlineStr">
        <is>
          <t>Apoio Vacal</t>
        </is>
      </c>
      <c r="G1590" s="7" t="n"/>
      <c r="H1590" s="7" t="n"/>
      <c r="I1590" s="7" t="n"/>
      <c r="J1590" s="7" t="inlineStr">
        <is>
          <t>Vacal</t>
        </is>
      </c>
      <c r="K1590" s="7" t="inlineStr">
        <is>
          <t>Apoio</t>
        </is>
      </c>
      <c r="L1590" s="16" t="inlineStr">
        <is>
          <t>PDS-Abril(2).docx</t>
        </is>
      </c>
      <c r="M1590">
        <f>IF($A1590="","",TEXT($A1590,"mmmm/yyyy"))</f>
        <v/>
      </c>
      <c r="P1590">
        <f>IFERROR(_xludf.XLOOKUP($N1590,Base_Enderecos!$A:$A,Base_Enderecos!$B:$B,""),"")</f>
        <v/>
      </c>
      <c r="Q1590">
        <f>IFERROR(_xludf.XLOOKUP($N1590,Base_Enderecos!$A:$A,Base_Enderecos!$C:$C,""),"")</f>
        <v/>
      </c>
      <c r="R1590">
        <f>IF(OR(ISNUMBER(SEARCH("HDD",$F1590)),ISNUMBER(SEARCH("MND",$F1590)),ISNUMBER(SEARCH("PEAD",$F1590)),ISNUMBER(SEARCH("Puxe",$J1590)),ISNUMBER(SEARCH("Apoio HDD",$F1590))),"MND",IF(OR(ISNUMBER(SEARCH("VCA",$F1590)),ISNUMBER(SEARCH("PVC",$F1590)),ISNUMBER(SEARCH("vca",$J1590)),ISNUMBER(SEARCH("Transformação",$J1590))),"VCA",IF(OR(ISNUMBER(SEARCH("crava",$F1590)),ISNUMBER(SEARCH("tubo cravado",$F1590)),ISNUMBER(SEARCH("shaft",$J1590)),ISNUMBER(SEARCH("concreto",$F1590))),"TUBO CRAVADO","")))</f>
        <v/>
      </c>
      <c r="T1590">
        <f>IF($A1590="","",TEXT($A1590,"yyyymm")&amp;"|"&amp;$C1590&amp;"|"&amp;$F1590&amp;"|"&amp;$N1590&amp;"|"&amp;$R1590)</f>
        <v/>
      </c>
    </row>
    <row r="1591" ht="11.55" customHeight="1">
      <c r="A1591" s="10" t="n">
        <v>46113</v>
      </c>
      <c r="B1591" s="7" t="inlineStr">
        <is>
          <t>Quarta</t>
        </is>
      </c>
      <c r="C1591" s="7" t="inlineStr">
        <is>
          <t>Vacal</t>
        </is>
      </c>
      <c r="D1591" s="7" t="n"/>
      <c r="E1591" s="7" t="inlineStr">
        <is>
          <t>Água Vermelha - Renasce</t>
        </is>
      </c>
      <c r="F1591" s="13" t="inlineStr">
        <is>
          <t>Apoio Vacal</t>
        </is>
      </c>
      <c r="G1591" s="7" t="n"/>
      <c r="H1591" s="7" t="n"/>
      <c r="I1591" s="7" t="n"/>
      <c r="J1591" s="7" t="inlineStr">
        <is>
          <t>Vacal</t>
        </is>
      </c>
      <c r="K1591" s="7" t="inlineStr">
        <is>
          <t>Apoio</t>
        </is>
      </c>
      <c r="L1591" s="16" t="inlineStr">
        <is>
          <t>PDS-Abril(2).docx</t>
        </is>
      </c>
      <c r="M1591">
        <f>IF($A1591="","",TEXT($A1591,"mmmm/yyyy"))</f>
        <v/>
      </c>
      <c r="P1591">
        <f>IFERROR(_xludf.XLOOKUP($N1591,Base_Enderecos!$A:$A,Base_Enderecos!$B:$B,""),"")</f>
        <v/>
      </c>
      <c r="Q1591">
        <f>IFERROR(_xludf.XLOOKUP($N1591,Base_Enderecos!$A:$A,Base_Enderecos!$C:$C,""),"")</f>
        <v/>
      </c>
      <c r="R1591">
        <f>IF(OR(ISNUMBER(SEARCH("HDD",$F1591)),ISNUMBER(SEARCH("MND",$F1591)),ISNUMBER(SEARCH("PEAD",$F1591)),ISNUMBER(SEARCH("Puxe",$J1591)),ISNUMBER(SEARCH("Apoio HDD",$F1591))),"MND",IF(OR(ISNUMBER(SEARCH("VCA",$F1591)),ISNUMBER(SEARCH("PVC",$F1591)),ISNUMBER(SEARCH("vca",$J1591)),ISNUMBER(SEARCH("Transformação",$J1591))),"VCA",IF(OR(ISNUMBER(SEARCH("crava",$F1591)),ISNUMBER(SEARCH("tubo cravado",$F1591)),ISNUMBER(SEARCH("shaft",$J1591)),ISNUMBER(SEARCH("concreto",$F1591))),"TUBO CRAVADO","")))</f>
        <v/>
      </c>
      <c r="T1591">
        <f>IF($A1591="","",TEXT($A1591,"yyyymm")&amp;"|"&amp;$C1591&amp;"|"&amp;$F1591&amp;"|"&amp;$N1591&amp;"|"&amp;$R1591)</f>
        <v/>
      </c>
    </row>
    <row r="1592" ht="11.55" customHeight="1">
      <c r="A1592" s="10" t="n">
        <v>46113</v>
      </c>
      <c r="B1592" s="7" t="inlineStr">
        <is>
          <t>Quarta</t>
        </is>
      </c>
      <c r="C1592" s="7" t="inlineStr">
        <is>
          <t>Vacal</t>
        </is>
      </c>
      <c r="D1592" s="7" t="n"/>
      <c r="E1592" s="7" t="inlineStr">
        <is>
          <t>Botelho Mourão - Renasce</t>
        </is>
      </c>
      <c r="F1592" s="13" t="inlineStr">
        <is>
          <t>Apoio Vacal</t>
        </is>
      </c>
      <c r="G1592" s="7" t="n"/>
      <c r="H1592" s="7" t="n"/>
      <c r="I1592" s="7" t="n"/>
      <c r="J1592" s="7" t="inlineStr">
        <is>
          <t>Vacal</t>
        </is>
      </c>
      <c r="K1592" s="7" t="inlineStr">
        <is>
          <t>Apoio</t>
        </is>
      </c>
      <c r="L1592" s="16" t="inlineStr">
        <is>
          <t>PDS-Abril(2).docx</t>
        </is>
      </c>
      <c r="M1592">
        <f>IF($A1592="","",TEXT($A1592,"mmmm/yyyy"))</f>
        <v/>
      </c>
      <c r="P1592">
        <f>IFERROR(_xludf.XLOOKUP($N1592,Base_Enderecos!$A:$A,Base_Enderecos!$B:$B,""),"")</f>
        <v/>
      </c>
      <c r="Q1592">
        <f>IFERROR(_xludf.XLOOKUP($N1592,Base_Enderecos!$A:$A,Base_Enderecos!$C:$C,""),"")</f>
        <v/>
      </c>
      <c r="R1592">
        <f>IF(OR(ISNUMBER(SEARCH("HDD",$F1592)),ISNUMBER(SEARCH("MND",$F1592)),ISNUMBER(SEARCH("PEAD",$F1592)),ISNUMBER(SEARCH("Puxe",$J1592)),ISNUMBER(SEARCH("Apoio HDD",$F1592))),"MND",IF(OR(ISNUMBER(SEARCH("VCA",$F1592)),ISNUMBER(SEARCH("PVC",$F1592)),ISNUMBER(SEARCH("vca",$J1592)),ISNUMBER(SEARCH("Transformação",$J1592))),"VCA",IF(OR(ISNUMBER(SEARCH("crava",$F1592)),ISNUMBER(SEARCH("tubo cravado",$F1592)),ISNUMBER(SEARCH("shaft",$J1592)),ISNUMBER(SEARCH("concreto",$F1592))),"TUBO CRAVADO","")))</f>
        <v/>
      </c>
      <c r="T1592">
        <f>IF($A1592="","",TEXT($A1592,"yyyymm")&amp;"|"&amp;$C1592&amp;"|"&amp;$F1592&amp;"|"&amp;$N1592&amp;"|"&amp;$R1592)</f>
        <v/>
      </c>
    </row>
    <row r="1593" ht="11.55" customHeight="1">
      <c r="A1593" s="10" t="n">
        <v>46113</v>
      </c>
      <c r="B1593" s="7" t="inlineStr">
        <is>
          <t>Quarta</t>
        </is>
      </c>
      <c r="C1593" s="7" t="inlineStr">
        <is>
          <t>Vacal</t>
        </is>
      </c>
      <c r="D1593" s="7" t="n"/>
      <c r="E1593" s="7" t="inlineStr">
        <is>
          <t>Água Boa - BRD</t>
        </is>
      </c>
      <c r="F1593" s="13" t="inlineStr">
        <is>
          <t>Apoio Vacal</t>
        </is>
      </c>
      <c r="G1593" s="7" t="n"/>
      <c r="H1593" s="7" t="n"/>
      <c r="I1593" s="7" t="n"/>
      <c r="J1593" s="7" t="inlineStr">
        <is>
          <t>Vacal</t>
        </is>
      </c>
      <c r="K1593" s="7" t="inlineStr">
        <is>
          <t>Apoio</t>
        </is>
      </c>
      <c r="L1593" s="16" t="inlineStr">
        <is>
          <t>PDS-Abril(2).docx</t>
        </is>
      </c>
      <c r="M1593">
        <f>IF($A1593="","",TEXT($A1593,"mmmm/yyyy"))</f>
        <v/>
      </c>
      <c r="P1593">
        <f>IFERROR(_xludf.XLOOKUP($N1593,Base_Enderecos!$A:$A,Base_Enderecos!$B:$B,""),"")</f>
        <v/>
      </c>
      <c r="Q1593">
        <f>IFERROR(_xludf.XLOOKUP($N1593,Base_Enderecos!$A:$A,Base_Enderecos!$C:$C,""),"")</f>
        <v/>
      </c>
      <c r="R1593">
        <f>IF(OR(ISNUMBER(SEARCH("HDD",$F1593)),ISNUMBER(SEARCH("MND",$F1593)),ISNUMBER(SEARCH("PEAD",$F1593)),ISNUMBER(SEARCH("Puxe",$J1593)),ISNUMBER(SEARCH("Apoio HDD",$F1593))),"MND",IF(OR(ISNUMBER(SEARCH("VCA",$F1593)),ISNUMBER(SEARCH("PVC",$F1593)),ISNUMBER(SEARCH("vca",$J1593)),ISNUMBER(SEARCH("Transformação",$J1593))),"VCA",IF(OR(ISNUMBER(SEARCH("crava",$F1593)),ISNUMBER(SEARCH("tubo cravado",$F1593)),ISNUMBER(SEARCH("shaft",$J1593)),ISNUMBER(SEARCH("concreto",$F1593))),"TUBO CRAVADO","")))</f>
        <v/>
      </c>
      <c r="T1593">
        <f>IF($A1593="","",TEXT($A1593,"yyyymm")&amp;"|"&amp;$C1593&amp;"|"&amp;$F1593&amp;"|"&amp;$N1593&amp;"|"&amp;$R1593)</f>
        <v/>
      </c>
    </row>
    <row r="1594" ht="11.55" customHeight="1">
      <c r="A1594" s="10" t="n">
        <v>46113</v>
      </c>
      <c r="B1594" s="7" t="inlineStr">
        <is>
          <t>Quarta</t>
        </is>
      </c>
      <c r="C1594" s="7" t="inlineStr">
        <is>
          <t>Vacal</t>
        </is>
      </c>
      <c r="D1594" s="7" t="n"/>
      <c r="E1594" s="7" t="inlineStr">
        <is>
          <t>ITI 15 – Renasce</t>
        </is>
      </c>
      <c r="F1594" s="13" t="inlineStr">
        <is>
          <t>Apoio Vacal</t>
        </is>
      </c>
      <c r="G1594" s="7" t="n"/>
      <c r="H1594" s="7" t="n"/>
      <c r="I1594" s="7" t="n"/>
      <c r="J1594" s="7" t="inlineStr">
        <is>
          <t>Vacal</t>
        </is>
      </c>
      <c r="K1594" s="7" t="inlineStr">
        <is>
          <t>Apoio</t>
        </is>
      </c>
      <c r="L1594" s="16" t="inlineStr">
        <is>
          <t>PDS-Abril(2).docx</t>
        </is>
      </c>
      <c r="M1594">
        <f>IF($A1594="","",TEXT($A1594,"mmmm/yyyy"))</f>
        <v/>
      </c>
      <c r="P1594">
        <f>IFERROR(_xludf.XLOOKUP($N1594,Base_Enderecos!$A:$A,Base_Enderecos!$B:$B,""),"")</f>
        <v/>
      </c>
      <c r="Q1594">
        <f>IFERROR(_xludf.XLOOKUP($N1594,Base_Enderecos!$A:$A,Base_Enderecos!$C:$C,""),"")</f>
        <v/>
      </c>
      <c r="R1594">
        <f>IF(OR(ISNUMBER(SEARCH("HDD",$F1594)),ISNUMBER(SEARCH("MND",$F1594)),ISNUMBER(SEARCH("PEAD",$F1594)),ISNUMBER(SEARCH("Puxe",$J1594)),ISNUMBER(SEARCH("Apoio HDD",$F1594))),"MND",IF(OR(ISNUMBER(SEARCH("VCA",$F1594)),ISNUMBER(SEARCH("PVC",$F1594)),ISNUMBER(SEARCH("vca",$J1594)),ISNUMBER(SEARCH("Transformação",$J1594))),"VCA",IF(OR(ISNUMBER(SEARCH("crava",$F1594)),ISNUMBER(SEARCH("tubo cravado",$F1594)),ISNUMBER(SEARCH("shaft",$J1594)),ISNUMBER(SEARCH("concreto",$F1594))),"TUBO CRAVADO","")))</f>
        <v/>
      </c>
      <c r="T1594">
        <f>IF($A1594="","",TEXT($A1594,"yyyymm")&amp;"|"&amp;$C1594&amp;"|"&amp;$F1594&amp;"|"&amp;$N1594&amp;"|"&amp;$R1594)</f>
        <v/>
      </c>
    </row>
    <row r="1595" ht="11.55" customHeight="1">
      <c r="A1595" s="10" t="n">
        <v>46113</v>
      </c>
      <c r="B1595" s="7" t="inlineStr">
        <is>
          <t>Quarta</t>
        </is>
      </c>
      <c r="C1595" s="7" t="inlineStr">
        <is>
          <t>Guindauto</t>
        </is>
      </c>
      <c r="D1595" s="7" t="n"/>
      <c r="E1595" s="7" t="inlineStr">
        <is>
          <t>Rodrigo</t>
        </is>
      </c>
      <c r="F1595" s="13" t="inlineStr">
        <is>
          <t>Rodrigo - Apoio as equipes</t>
        </is>
      </c>
      <c r="G1595" s="7" t="n"/>
      <c r="H1595" s="7" t="n"/>
      <c r="I1595" s="7" t="n"/>
      <c r="J1595" s="7" t="inlineStr">
        <is>
          <t>Guindauto</t>
        </is>
      </c>
      <c r="K1595" s="7" t="inlineStr">
        <is>
          <t>Apoio</t>
        </is>
      </c>
      <c r="L1595" s="16" t="inlineStr">
        <is>
          <t>PDS-Abril(2).docx</t>
        </is>
      </c>
      <c r="M1595">
        <f>IF($A1595="","",TEXT($A1595,"mmmm/yyyy"))</f>
        <v/>
      </c>
      <c r="P1595">
        <f>IFERROR(_xludf.XLOOKUP($N1595,Base_Enderecos!$A:$A,Base_Enderecos!$B:$B,""),"")</f>
        <v/>
      </c>
      <c r="Q1595">
        <f>IFERROR(_xludf.XLOOKUP($N1595,Base_Enderecos!$A:$A,Base_Enderecos!$C:$C,""),"")</f>
        <v/>
      </c>
      <c r="R1595">
        <f>IF(OR(ISNUMBER(SEARCH("HDD",$F1595)),ISNUMBER(SEARCH("MND",$F1595)),ISNUMBER(SEARCH("PEAD",$F1595)),ISNUMBER(SEARCH("Puxe",$J1595)),ISNUMBER(SEARCH("Apoio HDD",$F1595))),"MND",IF(OR(ISNUMBER(SEARCH("VCA",$F1595)),ISNUMBER(SEARCH("PVC",$F1595)),ISNUMBER(SEARCH("vca",$J1595)),ISNUMBER(SEARCH("Transformação",$J1595))),"VCA",IF(OR(ISNUMBER(SEARCH("crava",$F1595)),ISNUMBER(SEARCH("tubo cravado",$F1595)),ISNUMBER(SEARCH("shaft",$J1595)),ISNUMBER(SEARCH("concreto",$F1595))),"TUBO CRAVADO","")))</f>
        <v/>
      </c>
      <c r="T1595">
        <f>IF($A1595="","",TEXT($A1595,"yyyymm")&amp;"|"&amp;$C1595&amp;"|"&amp;$F1595&amp;"|"&amp;$N1595&amp;"|"&amp;$R1595)</f>
        <v/>
      </c>
    </row>
    <row r="1596" ht="11.55" customHeight="1">
      <c r="A1596" s="10" t="n">
        <v>46113</v>
      </c>
      <c r="B1596" s="7" t="inlineStr">
        <is>
          <t>Quarta</t>
        </is>
      </c>
      <c r="C1596" s="7" t="inlineStr">
        <is>
          <t>Guindauto</t>
        </is>
      </c>
      <c r="D1596" s="7" t="n"/>
      <c r="E1596" s="7" t="inlineStr">
        <is>
          <t>Marcio</t>
        </is>
      </c>
      <c r="F1596" s="13" t="inlineStr">
        <is>
          <t>Marcio - Apoio as equipes</t>
        </is>
      </c>
      <c r="G1596" s="7" t="n"/>
      <c r="H1596" s="7" t="n"/>
      <c r="I1596" s="7" t="n"/>
      <c r="J1596" s="7" t="inlineStr">
        <is>
          <t>Guindauto</t>
        </is>
      </c>
      <c r="K1596" s="7" t="inlineStr">
        <is>
          <t>Apoio</t>
        </is>
      </c>
      <c r="L1596" s="16" t="inlineStr">
        <is>
          <t>PDS-Abril(2).docx</t>
        </is>
      </c>
      <c r="M1596">
        <f>IF($A1596="","",TEXT($A1596,"mmmm/yyyy"))</f>
        <v/>
      </c>
      <c r="P1596">
        <f>IFERROR(_xludf.XLOOKUP($N1596,Base_Enderecos!$A:$A,Base_Enderecos!$B:$B,""),"")</f>
        <v/>
      </c>
      <c r="Q1596">
        <f>IFERROR(_xludf.XLOOKUP($N1596,Base_Enderecos!$A:$A,Base_Enderecos!$C:$C,""),"")</f>
        <v/>
      </c>
      <c r="R1596">
        <f>IF(OR(ISNUMBER(SEARCH("HDD",$F1596)),ISNUMBER(SEARCH("MND",$F1596)),ISNUMBER(SEARCH("PEAD",$F1596)),ISNUMBER(SEARCH("Puxe",$J1596)),ISNUMBER(SEARCH("Apoio HDD",$F1596))),"MND",IF(OR(ISNUMBER(SEARCH("VCA",$F1596)),ISNUMBER(SEARCH("PVC",$F1596)),ISNUMBER(SEARCH("vca",$J1596)),ISNUMBER(SEARCH("Transformação",$J1596))),"VCA",IF(OR(ISNUMBER(SEARCH("crava",$F1596)),ISNUMBER(SEARCH("tubo cravado",$F1596)),ISNUMBER(SEARCH("shaft",$J1596)),ISNUMBER(SEARCH("concreto",$F1596))),"TUBO CRAVADO","")))</f>
        <v/>
      </c>
      <c r="T1596">
        <f>IF($A1596="","",TEXT($A1596,"yyyymm")&amp;"|"&amp;$C1596&amp;"|"&amp;$F1596&amp;"|"&amp;$N1596&amp;"|"&amp;$R1596)</f>
        <v/>
      </c>
    </row>
    <row r="1597" ht="11.55" customHeight="1">
      <c r="A1597" s="10" t="n">
        <v>46113</v>
      </c>
      <c r="B1597" s="7" t="inlineStr">
        <is>
          <t>Quarta</t>
        </is>
      </c>
      <c r="C1597" s="7" t="inlineStr">
        <is>
          <t>CTS CONCEIÇÃO</t>
        </is>
      </c>
      <c r="D1597" s="7" t="inlineStr">
        <is>
          <t>LEANDRO</t>
        </is>
      </c>
      <c r="E1597" s="7" t="inlineStr">
        <is>
          <t>GR Drill</t>
        </is>
      </c>
      <c r="F1597" s="13" t="inlineStr">
        <is>
          <t>Piloto e puxe entre PV 09 ao 10.1</t>
        </is>
      </c>
      <c r="G1597" s="7" t="inlineStr">
        <is>
          <t>09</t>
        </is>
      </c>
      <c r="H1597" s="7" t="n"/>
      <c r="I1597" s="7" t="inlineStr">
        <is>
          <t>09</t>
        </is>
      </c>
      <c r="J1597" s="7" t="inlineStr">
        <is>
          <t>Piloto e puxe</t>
        </is>
      </c>
      <c r="K1597" s="7" t="inlineStr">
        <is>
          <t>Planejamento</t>
        </is>
      </c>
      <c r="L1597" s="16" t="inlineStr">
        <is>
          <t>PDS-Março(1).docx</t>
        </is>
      </c>
      <c r="M1597">
        <f>IF($A1597="","",TEXT($A1597,"mmmm/yyyy"))</f>
        <v/>
      </c>
      <c r="P1597">
        <f>IFERROR(_xludf.XLOOKUP($N1597,Base_Enderecos!$A:$A,Base_Enderecos!$B:$B,""),"")</f>
        <v/>
      </c>
      <c r="Q1597">
        <f>IFERROR(_xludf.XLOOKUP($N1597,Base_Enderecos!$A:$A,Base_Enderecos!$C:$C,""),"")</f>
        <v/>
      </c>
      <c r="R1597">
        <f>IF(OR(ISNUMBER(SEARCH("HDD",$F1597)),ISNUMBER(SEARCH("MND",$F1597)),ISNUMBER(SEARCH("PEAD",$F1597)),ISNUMBER(SEARCH("Puxe",$J1597)),ISNUMBER(SEARCH("Apoio HDD",$F1597))),"MND",IF(OR(ISNUMBER(SEARCH("VCA",$F1597)),ISNUMBER(SEARCH("PVC",$F1597)),ISNUMBER(SEARCH("vca",$J1597)),ISNUMBER(SEARCH("Transformação",$J1597))),"VCA",IF(OR(ISNUMBER(SEARCH("crava",$F1597)),ISNUMBER(SEARCH("tubo cravado",$F1597)),ISNUMBER(SEARCH("shaft",$J1597)),ISNUMBER(SEARCH("concreto",$F1597))),"TUBO CRAVADO","")))</f>
        <v/>
      </c>
      <c r="T1597">
        <f>IF($A1597="","",TEXT($A1597,"yyyymm")&amp;"|"&amp;$C1597&amp;"|"&amp;$F1597&amp;"|"&amp;$N1597&amp;"|"&amp;$R1597)</f>
        <v/>
      </c>
    </row>
    <row r="1598" ht="11.55" customHeight="1">
      <c r="A1598" s="10" t="n">
        <v>46113</v>
      </c>
      <c r="B1598" s="7" t="inlineStr">
        <is>
          <t>Quarta</t>
        </is>
      </c>
      <c r="C1598" s="7" t="inlineStr">
        <is>
          <t>CTS CONCEIÇÃO</t>
        </is>
      </c>
      <c r="D1598" s="7" t="inlineStr">
        <is>
          <t>LEANDRO</t>
        </is>
      </c>
      <c r="E1598" s="7" t="inlineStr">
        <is>
          <t>Medeiros</t>
        </is>
      </c>
      <c r="F1598" s="13" t="inlineStr">
        <is>
          <t>Apoio HDD entre PV 09 ao 10.1</t>
        </is>
      </c>
      <c r="G1598" s="7" t="inlineStr">
        <is>
          <t>09</t>
        </is>
      </c>
      <c r="H1598" s="7" t="n"/>
      <c r="I1598" s="7" t="inlineStr">
        <is>
          <t>09</t>
        </is>
      </c>
      <c r="J1598" s="7" t="inlineStr">
        <is>
          <t>Apoio HDD</t>
        </is>
      </c>
      <c r="K1598" s="7" t="inlineStr">
        <is>
          <t>Planejamento</t>
        </is>
      </c>
      <c r="L1598" s="16" t="inlineStr">
        <is>
          <t>PDS-Março(1).docx</t>
        </is>
      </c>
      <c r="M1598">
        <f>IF($A1598="","",TEXT($A1598,"mmmm/yyyy"))</f>
        <v/>
      </c>
      <c r="P1598">
        <f>IFERROR(_xludf.XLOOKUP($N1598,Base_Enderecos!$A:$A,Base_Enderecos!$B:$B,""),"")</f>
        <v/>
      </c>
      <c r="Q1598">
        <f>IFERROR(_xludf.XLOOKUP($N1598,Base_Enderecos!$A:$A,Base_Enderecos!$C:$C,""),"")</f>
        <v/>
      </c>
      <c r="R1598">
        <f>IF(OR(ISNUMBER(SEARCH("HDD",$F1598)),ISNUMBER(SEARCH("MND",$F1598)),ISNUMBER(SEARCH("PEAD",$F1598)),ISNUMBER(SEARCH("Puxe",$J1598)),ISNUMBER(SEARCH("Apoio HDD",$F1598))),"MND",IF(OR(ISNUMBER(SEARCH("VCA",$F1598)),ISNUMBER(SEARCH("PVC",$F1598)),ISNUMBER(SEARCH("vca",$J1598)),ISNUMBER(SEARCH("Transformação",$J1598))),"VCA",IF(OR(ISNUMBER(SEARCH("crava",$F1598)),ISNUMBER(SEARCH("tubo cravado",$F1598)),ISNUMBER(SEARCH("shaft",$J1598)),ISNUMBER(SEARCH("concreto",$F1598))),"TUBO CRAVADO","")))</f>
        <v/>
      </c>
      <c r="T1598">
        <f>IF($A1598="","",TEXT($A1598,"yyyymm")&amp;"|"&amp;$C1598&amp;"|"&amp;$F1598&amp;"|"&amp;$N1598&amp;"|"&amp;$R1598)</f>
        <v/>
      </c>
    </row>
    <row r="1599" ht="11.55" customHeight="1">
      <c r="A1599" s="10" t="n">
        <v>46113</v>
      </c>
      <c r="B1599" s="7" t="inlineStr">
        <is>
          <t>Quarta</t>
        </is>
      </c>
      <c r="C1599" s="7" t="inlineStr">
        <is>
          <t>CTS CONCEIÇÃO</t>
        </is>
      </c>
      <c r="D1599" s="7" t="inlineStr">
        <is>
          <t>LEANDRO</t>
        </is>
      </c>
      <c r="E1599" s="7" t="inlineStr">
        <is>
          <t>Cesar</t>
        </is>
      </c>
      <c r="F1599" s="13" t="inlineStr">
        <is>
          <t>Transformação PV 08</t>
        </is>
      </c>
      <c r="G1599" s="7" t="inlineStr">
        <is>
          <t>08</t>
        </is>
      </c>
      <c r="H1599" s="7" t="n"/>
      <c r="I1599" s="7" t="inlineStr">
        <is>
          <t>08</t>
        </is>
      </c>
      <c r="J1599" s="7" t="inlineStr">
        <is>
          <t>Transformação</t>
        </is>
      </c>
      <c r="K1599" s="7" t="inlineStr">
        <is>
          <t>Planejamento</t>
        </is>
      </c>
      <c r="L1599" s="16" t="inlineStr">
        <is>
          <t>PDS-Março(1).docx</t>
        </is>
      </c>
      <c r="M1599">
        <f>IF($A1599="","",TEXT($A1599,"mmmm/yyyy"))</f>
        <v/>
      </c>
      <c r="P1599">
        <f>IFERROR(_xludf.XLOOKUP($N1599,Base_Enderecos!$A:$A,Base_Enderecos!$B:$B,""),"")</f>
        <v/>
      </c>
      <c r="Q1599">
        <f>IFERROR(_xludf.XLOOKUP($N1599,Base_Enderecos!$A:$A,Base_Enderecos!$C:$C,""),"")</f>
        <v/>
      </c>
      <c r="R1599">
        <f>IF(OR(ISNUMBER(SEARCH("HDD",$F1599)),ISNUMBER(SEARCH("MND",$F1599)),ISNUMBER(SEARCH("PEAD",$F1599)),ISNUMBER(SEARCH("Puxe",$J1599)),ISNUMBER(SEARCH("Apoio HDD",$F1599))),"MND",IF(OR(ISNUMBER(SEARCH("VCA",$F1599)),ISNUMBER(SEARCH("PVC",$F1599)),ISNUMBER(SEARCH("vca",$J1599)),ISNUMBER(SEARCH("Transformação",$J1599))),"VCA",IF(OR(ISNUMBER(SEARCH("crava",$F1599)),ISNUMBER(SEARCH("tubo cravado",$F1599)),ISNUMBER(SEARCH("shaft",$J1599)),ISNUMBER(SEARCH("concreto",$F1599))),"TUBO CRAVADO","")))</f>
        <v/>
      </c>
      <c r="T1599">
        <f>IF($A1599="","",TEXT($A1599,"yyyymm")&amp;"|"&amp;$C1599&amp;"|"&amp;$F1599&amp;"|"&amp;$N1599&amp;"|"&amp;$R1599)</f>
        <v/>
      </c>
    </row>
    <row r="1600" ht="11.55" customHeight="1">
      <c r="A1600" s="10" t="n">
        <v>46113</v>
      </c>
      <c r="B1600" s="7" t="inlineStr">
        <is>
          <t>Quarta</t>
        </is>
      </c>
      <c r="C1600" s="7" t="inlineStr">
        <is>
          <t>CTS CONCEIÇÃO</t>
        </is>
      </c>
      <c r="D1600" s="7" t="inlineStr">
        <is>
          <t>LEANDRO</t>
        </is>
      </c>
      <c r="E1600" s="7" t="inlineStr">
        <is>
          <t>Sergio</t>
        </is>
      </c>
      <c r="F1600" s="13" t="inlineStr">
        <is>
          <t>Interligação PV 4.2</t>
        </is>
      </c>
      <c r="G1600" s="7" t="inlineStr">
        <is>
          <t>4.2</t>
        </is>
      </c>
      <c r="H1600" s="7" t="n"/>
      <c r="I1600" s="7" t="inlineStr">
        <is>
          <t>4.2</t>
        </is>
      </c>
      <c r="J1600" s="7" t="inlineStr">
        <is>
          <t>Interligação</t>
        </is>
      </c>
      <c r="K1600" s="7" t="inlineStr">
        <is>
          <t>Planejamento</t>
        </is>
      </c>
      <c r="L1600" s="16" t="inlineStr">
        <is>
          <t>PDS-Março(1).docx</t>
        </is>
      </c>
      <c r="M1600">
        <f>IF($A1600="","",TEXT($A1600,"mmmm/yyyy"))</f>
        <v/>
      </c>
      <c r="P1600">
        <f>IFERROR(_xludf.XLOOKUP($N1600,Base_Enderecos!$A:$A,Base_Enderecos!$B:$B,""),"")</f>
        <v/>
      </c>
      <c r="Q1600">
        <f>IFERROR(_xludf.XLOOKUP($N1600,Base_Enderecos!$A:$A,Base_Enderecos!$C:$C,""),"")</f>
        <v/>
      </c>
      <c r="R1600">
        <f>IF(OR(ISNUMBER(SEARCH("HDD",$F1600)),ISNUMBER(SEARCH("MND",$F1600)),ISNUMBER(SEARCH("PEAD",$F1600)),ISNUMBER(SEARCH("Puxe",$J1600)),ISNUMBER(SEARCH("Apoio HDD",$F1600))),"MND",IF(OR(ISNUMBER(SEARCH("VCA",$F1600)),ISNUMBER(SEARCH("PVC",$F1600)),ISNUMBER(SEARCH("vca",$J1600)),ISNUMBER(SEARCH("Transformação",$J1600))),"VCA",IF(OR(ISNUMBER(SEARCH("crava",$F1600)),ISNUMBER(SEARCH("tubo cravado",$F1600)),ISNUMBER(SEARCH("shaft",$J1600)),ISNUMBER(SEARCH("concreto",$F1600))),"TUBO CRAVADO","")))</f>
        <v/>
      </c>
      <c r="T1600">
        <f>IF($A1600="","",TEXT($A1600,"yyyymm")&amp;"|"&amp;$C1600&amp;"|"&amp;$F1600&amp;"|"&amp;$N1600&amp;"|"&amp;$R1600)</f>
        <v/>
      </c>
    </row>
    <row r="1601" ht="11.55" customHeight="1">
      <c r="A1601" s="10" t="n">
        <v>46113</v>
      </c>
      <c r="B1601" s="7" t="inlineStr">
        <is>
          <t>Quarta</t>
        </is>
      </c>
      <c r="C1601" s="7" t="inlineStr">
        <is>
          <t>CT ÁGUA VERMELHA M.D. e M.E</t>
        </is>
      </c>
      <c r="D1601" s="7" t="inlineStr">
        <is>
          <t>FABIO</t>
        </is>
      </c>
      <c r="E1601" s="7" t="inlineStr">
        <is>
          <t>Johnatan</t>
        </is>
      </c>
      <c r="F1601" s="13" t="inlineStr">
        <is>
          <t>Transformação PVD 07</t>
        </is>
      </c>
      <c r="G1601" s="7" t="inlineStr">
        <is>
          <t>07</t>
        </is>
      </c>
      <c r="H1601" s="7" t="n"/>
      <c r="I1601" s="7" t="inlineStr">
        <is>
          <t>07</t>
        </is>
      </c>
      <c r="J1601" s="7" t="inlineStr">
        <is>
          <t>Transformação</t>
        </is>
      </c>
      <c r="K1601" s="7" t="inlineStr">
        <is>
          <t>Planejamento</t>
        </is>
      </c>
      <c r="L1601" s="16" t="inlineStr">
        <is>
          <t>PDS-Março(1).docx</t>
        </is>
      </c>
      <c r="M1601">
        <f>IF($A1601="","",TEXT($A1601,"mmmm/yyyy"))</f>
        <v/>
      </c>
      <c r="P1601">
        <f>IFERROR(_xludf.XLOOKUP($N1601,Base_Enderecos!$A:$A,Base_Enderecos!$B:$B,""),"")</f>
        <v/>
      </c>
      <c r="Q1601">
        <f>IFERROR(_xludf.XLOOKUP($N1601,Base_Enderecos!$A:$A,Base_Enderecos!$C:$C,""),"")</f>
        <v/>
      </c>
      <c r="R1601">
        <f>IF(OR(ISNUMBER(SEARCH("HDD",$F1601)),ISNUMBER(SEARCH("MND",$F1601)),ISNUMBER(SEARCH("PEAD",$F1601)),ISNUMBER(SEARCH("Puxe",$J1601)),ISNUMBER(SEARCH("Apoio HDD",$F1601))),"MND",IF(OR(ISNUMBER(SEARCH("VCA",$F1601)),ISNUMBER(SEARCH("PVC",$F1601)),ISNUMBER(SEARCH("vca",$J1601)),ISNUMBER(SEARCH("Transformação",$J1601))),"VCA",IF(OR(ISNUMBER(SEARCH("crava",$F1601)),ISNUMBER(SEARCH("tubo cravado",$F1601)),ISNUMBER(SEARCH("shaft",$J1601)),ISNUMBER(SEARCH("concreto",$F1601))),"TUBO CRAVADO","")))</f>
        <v/>
      </c>
      <c r="T1601">
        <f>IF($A1601="","",TEXT($A1601,"yyyymm")&amp;"|"&amp;$C1601&amp;"|"&amp;$F1601&amp;"|"&amp;$N1601&amp;"|"&amp;$R1601)</f>
        <v/>
      </c>
    </row>
    <row r="1602" ht="11.55" customHeight="1">
      <c r="A1602" s="10" t="n">
        <v>46113</v>
      </c>
      <c r="B1602" s="7" t="inlineStr">
        <is>
          <t>Quarta</t>
        </is>
      </c>
      <c r="C1602" s="7" t="inlineStr">
        <is>
          <t>CT ÁGUA VERMELHA M.D. e M.E</t>
        </is>
      </c>
      <c r="D1602" s="7" t="inlineStr">
        <is>
          <t>FABIO</t>
        </is>
      </c>
      <c r="E1602" s="7" t="inlineStr">
        <is>
          <t>Claudinei</t>
        </is>
      </c>
      <c r="F1602" s="13" t="inlineStr">
        <is>
          <t>Apoio casa (PVD 7)</t>
        </is>
      </c>
      <c r="G1602" s="7" t="inlineStr">
        <is>
          <t>7</t>
        </is>
      </c>
      <c r="H1602" s="7" t="n"/>
      <c r="I1602" s="7" t="inlineStr">
        <is>
          <t>7</t>
        </is>
      </c>
      <c r="J1602" s="7" t="n"/>
      <c r="K1602" s="7" t="inlineStr">
        <is>
          <t>Planejamento</t>
        </is>
      </c>
      <c r="L1602" s="16" t="inlineStr">
        <is>
          <t>PDS-Março(1).docx</t>
        </is>
      </c>
      <c r="M1602">
        <f>IF($A1602="","",TEXT($A1602,"mmmm/yyyy"))</f>
        <v/>
      </c>
      <c r="P1602">
        <f>IFERROR(_xludf.XLOOKUP($N1602,Base_Enderecos!$A:$A,Base_Enderecos!$B:$B,""),"")</f>
        <v/>
      </c>
      <c r="Q1602">
        <f>IFERROR(_xludf.XLOOKUP($N1602,Base_Enderecos!$A:$A,Base_Enderecos!$C:$C,""),"")</f>
        <v/>
      </c>
      <c r="R1602">
        <f>IF(OR(ISNUMBER(SEARCH("HDD",$F1602)),ISNUMBER(SEARCH("MND",$F1602)),ISNUMBER(SEARCH("PEAD",$F1602)),ISNUMBER(SEARCH("Puxe",$J1602)),ISNUMBER(SEARCH("Apoio HDD",$F1602))),"MND",IF(OR(ISNUMBER(SEARCH("VCA",$F1602)),ISNUMBER(SEARCH("PVC",$F1602)),ISNUMBER(SEARCH("vca",$J1602)),ISNUMBER(SEARCH("Transformação",$J1602))),"VCA",IF(OR(ISNUMBER(SEARCH("crava",$F1602)),ISNUMBER(SEARCH("tubo cravado",$F1602)),ISNUMBER(SEARCH("shaft",$J1602)),ISNUMBER(SEARCH("concreto",$F1602))),"TUBO CRAVADO","")))</f>
        <v/>
      </c>
      <c r="T1602">
        <f>IF($A1602="","",TEXT($A1602,"yyyymm")&amp;"|"&amp;$C1602&amp;"|"&amp;$F1602&amp;"|"&amp;$N1602&amp;"|"&amp;$R1602)</f>
        <v/>
      </c>
    </row>
    <row r="1603" ht="11.55" customHeight="1">
      <c r="A1603" s="10" t="n">
        <v>46113</v>
      </c>
      <c r="B1603" s="7" t="inlineStr">
        <is>
          <t>Quarta</t>
        </is>
      </c>
      <c r="C1603" s="7" t="inlineStr">
        <is>
          <t>CT ÁGUA VERMELHA M.D. e M.E</t>
        </is>
      </c>
      <c r="D1603" s="7" t="inlineStr">
        <is>
          <t>FABIO</t>
        </is>
      </c>
      <c r="E1603" s="7" t="inlineStr">
        <is>
          <t>Marcelo</t>
        </is>
      </c>
      <c r="F1603" s="13" t="inlineStr">
        <is>
          <t>Transformação PVE 16</t>
        </is>
      </c>
      <c r="G1603" s="7" t="inlineStr">
        <is>
          <t>16</t>
        </is>
      </c>
      <c r="H1603" s="7" t="n"/>
      <c r="I1603" s="7" t="inlineStr">
        <is>
          <t>16</t>
        </is>
      </c>
      <c r="J1603" s="7" t="inlineStr">
        <is>
          <t>Transformação</t>
        </is>
      </c>
      <c r="K1603" s="7" t="inlineStr">
        <is>
          <t>Planejamento</t>
        </is>
      </c>
      <c r="L1603" s="16" t="inlineStr">
        <is>
          <t>PDS-Março(1).docx</t>
        </is>
      </c>
      <c r="M1603">
        <f>IF($A1603="","",TEXT($A1603,"mmmm/yyyy"))</f>
        <v/>
      </c>
      <c r="P1603">
        <f>IFERROR(_xludf.XLOOKUP($N1603,Base_Enderecos!$A:$A,Base_Enderecos!$B:$B,""),"")</f>
        <v/>
      </c>
      <c r="Q1603">
        <f>IFERROR(_xludf.XLOOKUP($N1603,Base_Enderecos!$A:$A,Base_Enderecos!$C:$C,""),"")</f>
        <v/>
      </c>
      <c r="R1603">
        <f>IF(OR(ISNUMBER(SEARCH("HDD",$F1603)),ISNUMBER(SEARCH("MND",$F1603)),ISNUMBER(SEARCH("PEAD",$F1603)),ISNUMBER(SEARCH("Puxe",$J1603)),ISNUMBER(SEARCH("Apoio HDD",$F1603))),"MND",IF(OR(ISNUMBER(SEARCH("VCA",$F1603)),ISNUMBER(SEARCH("PVC",$F1603)),ISNUMBER(SEARCH("vca",$J1603)),ISNUMBER(SEARCH("Transformação",$J1603))),"VCA",IF(OR(ISNUMBER(SEARCH("crava",$F1603)),ISNUMBER(SEARCH("tubo cravado",$F1603)),ISNUMBER(SEARCH("shaft",$J1603)),ISNUMBER(SEARCH("concreto",$F1603))),"TUBO CRAVADO","")))</f>
        <v/>
      </c>
      <c r="T1603">
        <f>IF($A1603="","",TEXT($A1603,"yyyymm")&amp;"|"&amp;$C1603&amp;"|"&amp;$F1603&amp;"|"&amp;$N1603&amp;"|"&amp;$R1603)</f>
        <v/>
      </c>
    </row>
    <row r="1604" ht="11.55" customHeight="1">
      <c r="A1604" s="10" t="n">
        <v>46113</v>
      </c>
      <c r="B1604" s="7" t="inlineStr">
        <is>
          <t>Quarta</t>
        </is>
      </c>
      <c r="C1604" s="7" t="inlineStr">
        <is>
          <t>CT ÁGUA VERMELHA M.D. e M.E</t>
        </is>
      </c>
      <c r="D1604" s="7" t="inlineStr">
        <is>
          <t>FABIO</t>
        </is>
      </c>
      <c r="E1604" s="7" t="inlineStr">
        <is>
          <t>Edivando</t>
        </is>
      </c>
      <c r="F1604" s="13" t="inlineStr">
        <is>
          <t>Transformação PV.10.1</t>
        </is>
      </c>
      <c r="G1604" s="7" t="inlineStr">
        <is>
          <t>10.1</t>
        </is>
      </c>
      <c r="H1604" s="7" t="n"/>
      <c r="I1604" s="7" t="inlineStr">
        <is>
          <t>10.1</t>
        </is>
      </c>
      <c r="J1604" s="7" t="inlineStr">
        <is>
          <t>Transformação</t>
        </is>
      </c>
      <c r="K1604" s="7" t="inlineStr">
        <is>
          <t>Planejamento</t>
        </is>
      </c>
      <c r="L1604" s="16" t="inlineStr">
        <is>
          <t>PDS-Março(1).docx</t>
        </is>
      </c>
      <c r="M1604">
        <f>IF($A1604="","",TEXT($A1604,"mmmm/yyyy"))</f>
        <v/>
      </c>
      <c r="P1604">
        <f>IFERROR(_xludf.XLOOKUP($N1604,Base_Enderecos!$A:$A,Base_Enderecos!$B:$B,""),"")</f>
        <v/>
      </c>
      <c r="Q1604">
        <f>IFERROR(_xludf.XLOOKUP($N1604,Base_Enderecos!$A:$A,Base_Enderecos!$C:$C,""),"")</f>
        <v/>
      </c>
      <c r="R1604">
        <f>IF(OR(ISNUMBER(SEARCH("HDD",$F1604)),ISNUMBER(SEARCH("MND",$F1604)),ISNUMBER(SEARCH("PEAD",$F1604)),ISNUMBER(SEARCH("Puxe",$J1604)),ISNUMBER(SEARCH("Apoio HDD",$F1604))),"MND",IF(OR(ISNUMBER(SEARCH("VCA",$F1604)),ISNUMBER(SEARCH("PVC",$F1604)),ISNUMBER(SEARCH("vca",$J1604)),ISNUMBER(SEARCH("Transformação",$J1604))),"VCA",IF(OR(ISNUMBER(SEARCH("crava",$F1604)),ISNUMBER(SEARCH("tubo cravado",$F1604)),ISNUMBER(SEARCH("shaft",$J1604)),ISNUMBER(SEARCH("concreto",$F1604))),"TUBO CRAVADO","")))</f>
        <v/>
      </c>
      <c r="T1604">
        <f>IF($A1604="","",TEXT($A1604,"yyyymm")&amp;"|"&amp;$C1604&amp;"|"&amp;$F1604&amp;"|"&amp;$N1604&amp;"|"&amp;$R1604)</f>
        <v/>
      </c>
    </row>
    <row r="1605" ht="11.55" customHeight="1">
      <c r="A1605" s="10" t="n">
        <v>46113</v>
      </c>
      <c r="B1605" s="7" t="inlineStr">
        <is>
          <t>Quarta</t>
        </is>
      </c>
      <c r="C1605" s="7" t="inlineStr">
        <is>
          <t>Int. ÁGUA BOA</t>
        </is>
      </c>
      <c r="D1605" s="7" t="inlineStr">
        <is>
          <t>VALMIR</t>
        </is>
      </c>
      <c r="E1605" s="7" t="inlineStr">
        <is>
          <t>WJ 02</t>
        </is>
      </c>
      <c r="F1605" s="13" t="inlineStr">
        <is>
          <t>Furo piloto e puxe PV 04 ao PV 03</t>
        </is>
      </c>
      <c r="G1605" s="7" t="inlineStr">
        <is>
          <t>04</t>
        </is>
      </c>
      <c r="H1605" s="7" t="inlineStr">
        <is>
          <t>03</t>
        </is>
      </c>
      <c r="I1605" s="7" t="inlineStr">
        <is>
          <t>04, 03</t>
        </is>
      </c>
      <c r="J1605" s="7" t="inlineStr">
        <is>
          <t>Furo piloto</t>
        </is>
      </c>
      <c r="K1605" s="7" t="inlineStr">
        <is>
          <t>Planejamento</t>
        </is>
      </c>
      <c r="L1605" s="16" t="inlineStr">
        <is>
          <t>PDS-Março(1).docx</t>
        </is>
      </c>
      <c r="M1605">
        <f>IF($A1605="","",TEXT($A1605,"mmmm/yyyy"))</f>
        <v/>
      </c>
      <c r="P1605">
        <f>IFERROR(_xludf.XLOOKUP($N1605,Base_Enderecos!$A:$A,Base_Enderecos!$B:$B,""),"")</f>
        <v/>
      </c>
      <c r="Q1605">
        <f>IFERROR(_xludf.XLOOKUP($N1605,Base_Enderecos!$A:$A,Base_Enderecos!$C:$C,""),"")</f>
        <v/>
      </c>
      <c r="R1605">
        <f>IF(OR(ISNUMBER(SEARCH("HDD",$F1605)),ISNUMBER(SEARCH("MND",$F1605)),ISNUMBER(SEARCH("PEAD",$F1605)),ISNUMBER(SEARCH("Puxe",$J1605)),ISNUMBER(SEARCH("Apoio HDD",$F1605))),"MND",IF(OR(ISNUMBER(SEARCH("VCA",$F1605)),ISNUMBER(SEARCH("PVC",$F1605)),ISNUMBER(SEARCH("vca",$J1605)),ISNUMBER(SEARCH("Transformação",$J1605))),"VCA",IF(OR(ISNUMBER(SEARCH("crava",$F1605)),ISNUMBER(SEARCH("tubo cravado",$F1605)),ISNUMBER(SEARCH("shaft",$J1605)),ISNUMBER(SEARCH("concreto",$F1605))),"TUBO CRAVADO","")))</f>
        <v/>
      </c>
      <c r="T1605">
        <f>IF($A1605="","",TEXT($A1605,"yyyymm")&amp;"|"&amp;$C1605&amp;"|"&amp;$F1605&amp;"|"&amp;$N1605&amp;"|"&amp;$R1605)</f>
        <v/>
      </c>
    </row>
    <row r="1606" ht="11.55" customHeight="1">
      <c r="A1606" s="10" t="n">
        <v>46113</v>
      </c>
      <c r="B1606" s="7" t="inlineStr">
        <is>
          <t>Quarta</t>
        </is>
      </c>
      <c r="C1606" s="7" t="inlineStr">
        <is>
          <t>Int. ÁGUA BOA</t>
        </is>
      </c>
      <c r="D1606" s="7" t="inlineStr">
        <is>
          <t>VALMIR</t>
        </is>
      </c>
      <c r="E1606" s="7" t="inlineStr">
        <is>
          <t>Antônio</t>
        </is>
      </c>
      <c r="F1606" s="13" t="inlineStr">
        <is>
          <t>Apoio HDD PV 04 ao PV 03</t>
        </is>
      </c>
      <c r="G1606" s="7" t="inlineStr">
        <is>
          <t>04</t>
        </is>
      </c>
      <c r="H1606" s="7" t="inlineStr">
        <is>
          <t>03</t>
        </is>
      </c>
      <c r="I1606" s="7" t="inlineStr">
        <is>
          <t>04, 03</t>
        </is>
      </c>
      <c r="J1606" s="7" t="inlineStr">
        <is>
          <t>Apoio HDD</t>
        </is>
      </c>
      <c r="K1606" s="7" t="inlineStr">
        <is>
          <t>Planejamento</t>
        </is>
      </c>
      <c r="L1606" s="16" t="inlineStr">
        <is>
          <t>PDS-Março(1).docx</t>
        </is>
      </c>
      <c r="M1606">
        <f>IF($A1606="","",TEXT($A1606,"mmmm/yyyy"))</f>
        <v/>
      </c>
      <c r="P1606">
        <f>IFERROR(_xludf.XLOOKUP($N1606,Base_Enderecos!$A:$A,Base_Enderecos!$B:$B,""),"")</f>
        <v/>
      </c>
      <c r="Q1606">
        <f>IFERROR(_xludf.XLOOKUP($N1606,Base_Enderecos!$A:$A,Base_Enderecos!$C:$C,""),"")</f>
        <v/>
      </c>
      <c r="R1606">
        <f>IF(OR(ISNUMBER(SEARCH("HDD",$F1606)),ISNUMBER(SEARCH("MND",$F1606)),ISNUMBER(SEARCH("PEAD",$F1606)),ISNUMBER(SEARCH("Puxe",$J1606)),ISNUMBER(SEARCH("Apoio HDD",$F1606))),"MND",IF(OR(ISNUMBER(SEARCH("VCA",$F1606)),ISNUMBER(SEARCH("PVC",$F1606)),ISNUMBER(SEARCH("vca",$J1606)),ISNUMBER(SEARCH("Transformação",$J1606))),"VCA",IF(OR(ISNUMBER(SEARCH("crava",$F1606)),ISNUMBER(SEARCH("tubo cravado",$F1606)),ISNUMBER(SEARCH("shaft",$J1606)),ISNUMBER(SEARCH("concreto",$F1606))),"TUBO CRAVADO","")))</f>
        <v/>
      </c>
      <c r="T1606">
        <f>IF($A1606="","",TEXT($A1606,"yyyymm")&amp;"|"&amp;$C1606&amp;"|"&amp;$F1606&amp;"|"&amp;$N1606&amp;"|"&amp;$R1606)</f>
        <v/>
      </c>
    </row>
    <row r="1607" ht="11.55" customHeight="1">
      <c r="A1607" s="10" t="n">
        <v>46113</v>
      </c>
      <c r="B1607" s="7" t="inlineStr">
        <is>
          <t>Quarta</t>
        </is>
      </c>
      <c r="C1607" s="7" t="inlineStr">
        <is>
          <t>RCE FCO. SOUTO MAIOR</t>
        </is>
      </c>
      <c r="D1607" s="7" t="inlineStr">
        <is>
          <t>SILVESTRE</t>
        </is>
      </c>
      <c r="E1607" s="7" t="inlineStr">
        <is>
          <t>Valter</t>
        </is>
      </c>
      <c r="F1607" s="13" t="inlineStr">
        <is>
          <t>VCA e Ligações – Rua Canto da Serra</t>
        </is>
      </c>
      <c r="G1607" s="7" t="n"/>
      <c r="H1607" s="7" t="n"/>
      <c r="I1607" s="7" t="n"/>
      <c r="J1607" s="7" t="inlineStr">
        <is>
          <t>VCA</t>
        </is>
      </c>
      <c r="K1607" s="7" t="inlineStr">
        <is>
          <t>Planejamento</t>
        </is>
      </c>
      <c r="L1607" s="16" t="inlineStr">
        <is>
          <t>PDS-Março(1).docx</t>
        </is>
      </c>
      <c r="M1607">
        <f>IF($A1607="","",TEXT($A1607,"mmmm/yyyy"))</f>
        <v/>
      </c>
      <c r="P1607">
        <f>IFERROR(_xludf.XLOOKUP($N1607,Base_Enderecos!$A:$A,Base_Enderecos!$B:$B,""),"")</f>
        <v/>
      </c>
      <c r="Q1607">
        <f>IFERROR(_xludf.XLOOKUP($N1607,Base_Enderecos!$A:$A,Base_Enderecos!$C:$C,""),"")</f>
        <v/>
      </c>
      <c r="R1607">
        <f>IF(OR(ISNUMBER(SEARCH("HDD",$F1607)),ISNUMBER(SEARCH("MND",$F1607)),ISNUMBER(SEARCH("PEAD",$F1607)),ISNUMBER(SEARCH("Puxe",$J1607)),ISNUMBER(SEARCH("Apoio HDD",$F1607))),"MND",IF(OR(ISNUMBER(SEARCH("VCA",$F1607)),ISNUMBER(SEARCH("PVC",$F1607)),ISNUMBER(SEARCH("vca",$J1607)),ISNUMBER(SEARCH("Transformação",$J1607))),"VCA",IF(OR(ISNUMBER(SEARCH("crava",$F1607)),ISNUMBER(SEARCH("tubo cravado",$F1607)),ISNUMBER(SEARCH("shaft",$J1607)),ISNUMBER(SEARCH("concreto",$F1607))),"TUBO CRAVADO","")))</f>
        <v/>
      </c>
      <c r="T1607">
        <f>IF($A1607="","",TEXT($A1607,"yyyymm")&amp;"|"&amp;$C1607&amp;"|"&amp;$F1607&amp;"|"&amp;$N1607&amp;"|"&amp;$R1607)</f>
        <v/>
      </c>
    </row>
    <row r="1608" ht="11.55" customHeight="1">
      <c r="A1608" s="10" t="n">
        <v>46113</v>
      </c>
      <c r="B1608" s="7" t="inlineStr">
        <is>
          <t>Quarta</t>
        </is>
      </c>
      <c r="C1608" s="7" t="inlineStr">
        <is>
          <t>RCE FCO. SOUTO MAIOR</t>
        </is>
      </c>
      <c r="D1608" s="7" t="inlineStr">
        <is>
          <t>SILVESTRE</t>
        </is>
      </c>
      <c r="E1608" s="7" t="inlineStr">
        <is>
          <t>Ricardo</t>
        </is>
      </c>
      <c r="F1608" s="13" t="inlineStr">
        <is>
          <t>VCA e Ligações – Rua Canto da Serra</t>
        </is>
      </c>
      <c r="G1608" s="7" t="n"/>
      <c r="H1608" s="7" t="n"/>
      <c r="I1608" s="7" t="n"/>
      <c r="J1608" s="7" t="inlineStr">
        <is>
          <t>VCA</t>
        </is>
      </c>
      <c r="K1608" s="7" t="inlineStr">
        <is>
          <t>Planejamento</t>
        </is>
      </c>
      <c r="L1608" s="16" t="inlineStr">
        <is>
          <t>PDS-Março(1).docx</t>
        </is>
      </c>
      <c r="M1608">
        <f>IF($A1608="","",TEXT($A1608,"mmmm/yyyy"))</f>
        <v/>
      </c>
      <c r="P1608">
        <f>IFERROR(_xludf.XLOOKUP($N1608,Base_Enderecos!$A:$A,Base_Enderecos!$B:$B,""),"")</f>
        <v/>
      </c>
      <c r="Q1608">
        <f>IFERROR(_xludf.XLOOKUP($N1608,Base_Enderecos!$A:$A,Base_Enderecos!$C:$C,""),"")</f>
        <v/>
      </c>
      <c r="R1608">
        <f>IF(OR(ISNUMBER(SEARCH("HDD",$F1608)),ISNUMBER(SEARCH("MND",$F1608)),ISNUMBER(SEARCH("PEAD",$F1608)),ISNUMBER(SEARCH("Puxe",$J1608)),ISNUMBER(SEARCH("Apoio HDD",$F1608))),"MND",IF(OR(ISNUMBER(SEARCH("VCA",$F1608)),ISNUMBER(SEARCH("PVC",$F1608)),ISNUMBER(SEARCH("vca",$J1608)),ISNUMBER(SEARCH("Transformação",$J1608))),"VCA",IF(OR(ISNUMBER(SEARCH("crava",$F1608)),ISNUMBER(SEARCH("tubo cravado",$F1608)),ISNUMBER(SEARCH("shaft",$J1608)),ISNUMBER(SEARCH("concreto",$F1608))),"TUBO CRAVADO","")))</f>
        <v/>
      </c>
      <c r="T1608">
        <f>IF($A1608="","",TEXT($A1608,"yyyymm")&amp;"|"&amp;$C1608&amp;"|"&amp;$F1608&amp;"|"&amp;$N1608&amp;"|"&amp;$R1608)</f>
        <v/>
      </c>
    </row>
    <row r="1609" ht="11.55" customHeight="1">
      <c r="A1609" s="10" t="n">
        <v>46113</v>
      </c>
      <c r="B1609" s="7" t="inlineStr">
        <is>
          <t>Quarta</t>
        </is>
      </c>
      <c r="C1609" s="7" t="inlineStr">
        <is>
          <t>CTS LUIS BOTELHO MOURÃO</t>
        </is>
      </c>
      <c r="D1609" s="7" t="inlineStr">
        <is>
          <t>ROBSON</t>
        </is>
      </c>
      <c r="E1609" s="7" t="inlineStr">
        <is>
          <t>Goiania Drill</t>
        </is>
      </c>
      <c r="F1609" s="13" t="inlineStr">
        <is>
          <t>Piloto e puxe PV 04 ao PV 05</t>
        </is>
      </c>
      <c r="G1609" s="7" t="inlineStr">
        <is>
          <t>04</t>
        </is>
      </c>
      <c r="H1609" s="7" t="inlineStr">
        <is>
          <t>05</t>
        </is>
      </c>
      <c r="I1609" s="7" t="inlineStr">
        <is>
          <t>04, 05</t>
        </is>
      </c>
      <c r="J1609" s="7" t="inlineStr">
        <is>
          <t>Piloto e puxe</t>
        </is>
      </c>
      <c r="K1609" s="7" t="inlineStr">
        <is>
          <t>Planejamento</t>
        </is>
      </c>
      <c r="L1609" s="16" t="inlineStr">
        <is>
          <t>PDS-Março(1).docx</t>
        </is>
      </c>
      <c r="M1609">
        <f>IF($A1609="","",TEXT($A1609,"mmmm/yyyy"))</f>
        <v/>
      </c>
      <c r="P1609">
        <f>IFERROR(_xludf.XLOOKUP($N1609,Base_Enderecos!$A:$A,Base_Enderecos!$B:$B,""),"")</f>
        <v/>
      </c>
      <c r="Q1609">
        <f>IFERROR(_xludf.XLOOKUP($N1609,Base_Enderecos!$A:$A,Base_Enderecos!$C:$C,""),"")</f>
        <v/>
      </c>
      <c r="R1609">
        <f>IF(OR(ISNUMBER(SEARCH("HDD",$F1609)),ISNUMBER(SEARCH("MND",$F1609)),ISNUMBER(SEARCH("PEAD",$F1609)),ISNUMBER(SEARCH("Puxe",$J1609)),ISNUMBER(SEARCH("Apoio HDD",$F1609))),"MND",IF(OR(ISNUMBER(SEARCH("VCA",$F1609)),ISNUMBER(SEARCH("PVC",$F1609)),ISNUMBER(SEARCH("vca",$J1609)),ISNUMBER(SEARCH("Transformação",$J1609))),"VCA",IF(OR(ISNUMBER(SEARCH("crava",$F1609)),ISNUMBER(SEARCH("tubo cravado",$F1609)),ISNUMBER(SEARCH("shaft",$J1609)),ISNUMBER(SEARCH("concreto",$F1609))),"TUBO CRAVADO","")))</f>
        <v/>
      </c>
      <c r="T1609">
        <f>IF($A1609="","",TEXT($A1609,"yyyymm")&amp;"|"&amp;$C1609&amp;"|"&amp;$F1609&amp;"|"&amp;$N1609&amp;"|"&amp;$R1609)</f>
        <v/>
      </c>
    </row>
    <row r="1610" ht="11.55" customHeight="1">
      <c r="A1610" s="10" t="n">
        <v>46113</v>
      </c>
      <c r="B1610" s="7" t="inlineStr">
        <is>
          <t>Quarta</t>
        </is>
      </c>
      <c r="C1610" s="7" t="inlineStr">
        <is>
          <t>CTS LUIS BOTELHO MOURÃO</t>
        </is>
      </c>
      <c r="D1610" s="7" t="inlineStr">
        <is>
          <t>ROBSON</t>
        </is>
      </c>
      <c r="E1610" s="7" t="inlineStr">
        <is>
          <t>Bruno</t>
        </is>
      </c>
      <c r="F1610" s="13" t="inlineStr">
        <is>
          <t>Apoio HDD PV 04 ao PV 05</t>
        </is>
      </c>
      <c r="G1610" s="7" t="inlineStr">
        <is>
          <t>04</t>
        </is>
      </c>
      <c r="H1610" s="7" t="inlineStr">
        <is>
          <t>05</t>
        </is>
      </c>
      <c r="I1610" s="7" t="inlineStr">
        <is>
          <t>04, 05</t>
        </is>
      </c>
      <c r="J1610" s="7" t="inlineStr">
        <is>
          <t>Apoio HDD</t>
        </is>
      </c>
      <c r="K1610" s="7" t="inlineStr">
        <is>
          <t>Planejamento</t>
        </is>
      </c>
      <c r="L1610" s="16" t="inlineStr">
        <is>
          <t>PDS-Março(1).docx</t>
        </is>
      </c>
      <c r="M1610">
        <f>IF($A1610="","",TEXT($A1610,"mmmm/yyyy"))</f>
        <v/>
      </c>
      <c r="P1610">
        <f>IFERROR(_xludf.XLOOKUP($N1610,Base_Enderecos!$A:$A,Base_Enderecos!$B:$B,""),"")</f>
        <v/>
      </c>
      <c r="Q1610">
        <f>IFERROR(_xludf.XLOOKUP($N1610,Base_Enderecos!$A:$A,Base_Enderecos!$C:$C,""),"")</f>
        <v/>
      </c>
      <c r="R1610">
        <f>IF(OR(ISNUMBER(SEARCH("HDD",$F1610)),ISNUMBER(SEARCH("MND",$F1610)),ISNUMBER(SEARCH("PEAD",$F1610)),ISNUMBER(SEARCH("Puxe",$J1610)),ISNUMBER(SEARCH("Apoio HDD",$F1610))),"MND",IF(OR(ISNUMBER(SEARCH("VCA",$F1610)),ISNUMBER(SEARCH("PVC",$F1610)),ISNUMBER(SEARCH("vca",$J1610)),ISNUMBER(SEARCH("Transformação",$J1610))),"VCA",IF(OR(ISNUMBER(SEARCH("crava",$F1610)),ISNUMBER(SEARCH("tubo cravado",$F1610)),ISNUMBER(SEARCH("shaft",$J1610)),ISNUMBER(SEARCH("concreto",$F1610))),"TUBO CRAVADO","")))</f>
        <v/>
      </c>
      <c r="T1610">
        <f>IF($A1610="","",TEXT($A1610,"yyyymm")&amp;"|"&amp;$C1610&amp;"|"&amp;$F1610&amp;"|"&amp;$N1610&amp;"|"&amp;$R1610)</f>
        <v/>
      </c>
    </row>
    <row r="1611" ht="11.55" customHeight="1">
      <c r="A1611" s="10" t="n">
        <v>46113</v>
      </c>
      <c r="B1611" s="7" t="inlineStr">
        <is>
          <t>Quarta</t>
        </is>
      </c>
      <c r="C1611" s="7" t="inlineStr">
        <is>
          <t>CTS LUIS BOTELHO MOURÃO</t>
        </is>
      </c>
      <c r="D1611" s="7" t="inlineStr">
        <is>
          <t>ROBSON</t>
        </is>
      </c>
      <c r="E1611" s="7" t="inlineStr">
        <is>
          <t>Marcio</t>
        </is>
      </c>
      <c r="F1611" s="13" t="inlineStr">
        <is>
          <t>Shaft PV 07</t>
        </is>
      </c>
      <c r="G1611" s="7" t="inlineStr">
        <is>
          <t>07</t>
        </is>
      </c>
      <c r="H1611" s="7" t="n"/>
      <c r="I1611" s="7" t="inlineStr">
        <is>
          <t>07</t>
        </is>
      </c>
      <c r="J1611" s="7" t="inlineStr">
        <is>
          <t>Shaft</t>
        </is>
      </c>
      <c r="K1611" s="7" t="inlineStr">
        <is>
          <t>Planejamento</t>
        </is>
      </c>
      <c r="L1611" s="16" t="inlineStr">
        <is>
          <t>PDS-Março(1).docx</t>
        </is>
      </c>
      <c r="M1611">
        <f>IF($A1611="","",TEXT($A1611,"mmmm/yyyy"))</f>
        <v/>
      </c>
      <c r="P1611">
        <f>IFERROR(_xludf.XLOOKUP($N1611,Base_Enderecos!$A:$A,Base_Enderecos!$B:$B,""),"")</f>
        <v/>
      </c>
      <c r="Q1611">
        <f>IFERROR(_xludf.XLOOKUP($N1611,Base_Enderecos!$A:$A,Base_Enderecos!$C:$C,""),"")</f>
        <v/>
      </c>
      <c r="R1611">
        <f>IF(OR(ISNUMBER(SEARCH("HDD",$F1611)),ISNUMBER(SEARCH("MND",$F1611)),ISNUMBER(SEARCH("PEAD",$F1611)),ISNUMBER(SEARCH("Puxe",$J1611)),ISNUMBER(SEARCH("Apoio HDD",$F1611))),"MND",IF(OR(ISNUMBER(SEARCH("VCA",$F1611)),ISNUMBER(SEARCH("PVC",$F1611)),ISNUMBER(SEARCH("vca",$J1611)),ISNUMBER(SEARCH("Transformação",$J1611))),"VCA",IF(OR(ISNUMBER(SEARCH("crava",$F1611)),ISNUMBER(SEARCH("tubo cravado",$F1611)),ISNUMBER(SEARCH("shaft",$J1611)),ISNUMBER(SEARCH("concreto",$F1611))),"TUBO CRAVADO","")))</f>
        <v/>
      </c>
      <c r="T1611">
        <f>IF($A1611="","",TEXT($A1611,"yyyymm")&amp;"|"&amp;$C1611&amp;"|"&amp;$F1611&amp;"|"&amp;$N1611&amp;"|"&amp;$R1611)</f>
        <v/>
      </c>
    </row>
    <row r="1612" ht="11.55" customHeight="1">
      <c r="A1612" s="10" t="n">
        <v>46113</v>
      </c>
      <c r="B1612" s="7" t="inlineStr">
        <is>
          <t>Quarta</t>
        </is>
      </c>
      <c r="C1612" s="7" t="inlineStr">
        <is>
          <t>CTS LUIS BOTELHO MOURÃO</t>
        </is>
      </c>
      <c r="D1612" s="7" t="inlineStr">
        <is>
          <t>ROBSON</t>
        </is>
      </c>
      <c r="E1612" s="7" t="inlineStr">
        <is>
          <t>Cidão</t>
        </is>
      </c>
      <c r="F1612" s="13" t="inlineStr">
        <is>
          <t>Shaft PV 08</t>
        </is>
      </c>
      <c r="G1612" s="7" t="inlineStr">
        <is>
          <t>08</t>
        </is>
      </c>
      <c r="H1612" s="7" t="n"/>
      <c r="I1612" s="7" t="inlineStr">
        <is>
          <t>08</t>
        </is>
      </c>
      <c r="J1612" s="7" t="inlineStr">
        <is>
          <t>Shaft</t>
        </is>
      </c>
      <c r="K1612" s="7" t="inlineStr">
        <is>
          <t>Planejamento</t>
        </is>
      </c>
      <c r="L1612" s="16" t="inlineStr">
        <is>
          <t>PDS-Março(1).docx</t>
        </is>
      </c>
      <c r="M1612">
        <f>IF($A1612="","",TEXT($A1612,"mmmm/yyyy"))</f>
        <v/>
      </c>
      <c r="P1612">
        <f>IFERROR(_xludf.XLOOKUP($N1612,Base_Enderecos!$A:$A,Base_Enderecos!$B:$B,""),"")</f>
        <v/>
      </c>
      <c r="Q1612">
        <f>IFERROR(_xludf.XLOOKUP($N1612,Base_Enderecos!$A:$A,Base_Enderecos!$C:$C,""),"")</f>
        <v/>
      </c>
      <c r="R1612">
        <f>IF(OR(ISNUMBER(SEARCH("HDD",$F1612)),ISNUMBER(SEARCH("MND",$F1612)),ISNUMBER(SEARCH("PEAD",$F1612)),ISNUMBER(SEARCH("Puxe",$J1612)),ISNUMBER(SEARCH("Apoio HDD",$F1612))),"MND",IF(OR(ISNUMBER(SEARCH("VCA",$F1612)),ISNUMBER(SEARCH("PVC",$F1612)),ISNUMBER(SEARCH("vca",$J1612)),ISNUMBER(SEARCH("Transformação",$J1612))),"VCA",IF(OR(ISNUMBER(SEARCH("crava",$F1612)),ISNUMBER(SEARCH("tubo cravado",$F1612)),ISNUMBER(SEARCH("shaft",$J1612)),ISNUMBER(SEARCH("concreto",$F1612))),"TUBO CRAVADO","")))</f>
        <v/>
      </c>
      <c r="T1612">
        <f>IF($A1612="","",TEXT($A1612,"yyyymm")&amp;"|"&amp;$C1612&amp;"|"&amp;$F1612&amp;"|"&amp;$N1612&amp;"|"&amp;$R1612)</f>
        <v/>
      </c>
    </row>
    <row r="1613" ht="11.55" customHeight="1">
      <c r="A1613" s="10" t="n">
        <v>46113</v>
      </c>
      <c r="B1613" s="7" t="inlineStr">
        <is>
          <t>Quarta</t>
        </is>
      </c>
      <c r="C1613" s="7" t="inlineStr">
        <is>
          <t>CTS LUIS BOTELHO MOURÃO</t>
        </is>
      </c>
      <c r="D1613" s="7" t="inlineStr">
        <is>
          <t>ROBSON</t>
        </is>
      </c>
      <c r="E1613" s="7" t="inlineStr">
        <is>
          <t>Higor</t>
        </is>
      </c>
      <c r="F1613" s="13" t="inlineStr">
        <is>
          <t>Shaft PV 03</t>
        </is>
      </c>
      <c r="G1613" s="7" t="inlineStr">
        <is>
          <t>03</t>
        </is>
      </c>
      <c r="H1613" s="7" t="n"/>
      <c r="I1613" s="7" t="inlineStr">
        <is>
          <t>03</t>
        </is>
      </c>
      <c r="J1613" s="7" t="inlineStr">
        <is>
          <t>Shaft</t>
        </is>
      </c>
      <c r="K1613" s="7" t="inlineStr">
        <is>
          <t>Planejamento</t>
        </is>
      </c>
      <c r="L1613" s="16" t="inlineStr">
        <is>
          <t>PDS-Março(1).docx</t>
        </is>
      </c>
      <c r="M1613">
        <f>IF($A1613="","",TEXT($A1613,"mmmm/yyyy"))</f>
        <v/>
      </c>
      <c r="P1613">
        <f>IFERROR(_xludf.XLOOKUP($N1613,Base_Enderecos!$A:$A,Base_Enderecos!$B:$B,""),"")</f>
        <v/>
      </c>
      <c r="Q1613">
        <f>IFERROR(_xludf.XLOOKUP($N1613,Base_Enderecos!$A:$A,Base_Enderecos!$C:$C,""),"")</f>
        <v/>
      </c>
      <c r="R1613">
        <f>IF(OR(ISNUMBER(SEARCH("HDD",$F1613)),ISNUMBER(SEARCH("MND",$F1613)),ISNUMBER(SEARCH("PEAD",$F1613)),ISNUMBER(SEARCH("Puxe",$J1613)),ISNUMBER(SEARCH("Apoio HDD",$F1613))),"MND",IF(OR(ISNUMBER(SEARCH("VCA",$F1613)),ISNUMBER(SEARCH("PVC",$F1613)),ISNUMBER(SEARCH("vca",$J1613)),ISNUMBER(SEARCH("Transformação",$J1613))),"VCA",IF(OR(ISNUMBER(SEARCH("crava",$F1613)),ISNUMBER(SEARCH("tubo cravado",$F1613)),ISNUMBER(SEARCH("shaft",$J1613)),ISNUMBER(SEARCH("concreto",$F1613))),"TUBO CRAVADO","")))</f>
        <v/>
      </c>
      <c r="T1613">
        <f>IF($A1613="","",TEXT($A1613,"yyyymm")&amp;"|"&amp;$C1613&amp;"|"&amp;$F1613&amp;"|"&amp;$N1613&amp;"|"&amp;$R1613)</f>
        <v/>
      </c>
    </row>
    <row r="1614" ht="11.55" customHeight="1">
      <c r="A1614" s="10" t="n">
        <v>46113</v>
      </c>
      <c r="B1614" s="7" t="inlineStr">
        <is>
          <t>Quarta</t>
        </is>
      </c>
      <c r="C1614" s="7" t="inlineStr">
        <is>
          <t>Vacal</t>
        </is>
      </c>
      <c r="D1614" s="7" t="n"/>
      <c r="E1614" s="7" t="inlineStr">
        <is>
          <t>Conceição – Renasce</t>
        </is>
      </c>
      <c r="F1614" s="13" t="inlineStr">
        <is>
          <t>Apoio Vacal</t>
        </is>
      </c>
      <c r="G1614" s="7" t="n"/>
      <c r="H1614" s="7" t="n"/>
      <c r="I1614" s="7" t="n"/>
      <c r="J1614" s="7" t="inlineStr">
        <is>
          <t>Vacal</t>
        </is>
      </c>
      <c r="K1614" s="7" t="inlineStr">
        <is>
          <t>Apoio</t>
        </is>
      </c>
      <c r="L1614" s="16" t="inlineStr">
        <is>
          <t>PDS-Março(1).docx</t>
        </is>
      </c>
      <c r="M1614">
        <f>IF($A1614="","",TEXT($A1614,"mmmm/yyyy"))</f>
        <v/>
      </c>
      <c r="P1614">
        <f>IFERROR(_xludf.XLOOKUP($N1614,Base_Enderecos!$A:$A,Base_Enderecos!$B:$B,""),"")</f>
        <v/>
      </c>
      <c r="Q1614">
        <f>IFERROR(_xludf.XLOOKUP($N1614,Base_Enderecos!$A:$A,Base_Enderecos!$C:$C,""),"")</f>
        <v/>
      </c>
      <c r="R1614">
        <f>IF(OR(ISNUMBER(SEARCH("HDD",$F1614)),ISNUMBER(SEARCH("MND",$F1614)),ISNUMBER(SEARCH("PEAD",$F1614)),ISNUMBER(SEARCH("Puxe",$J1614)),ISNUMBER(SEARCH("Apoio HDD",$F1614))),"MND",IF(OR(ISNUMBER(SEARCH("VCA",$F1614)),ISNUMBER(SEARCH("PVC",$F1614)),ISNUMBER(SEARCH("vca",$J1614)),ISNUMBER(SEARCH("Transformação",$J1614))),"VCA",IF(OR(ISNUMBER(SEARCH("crava",$F1614)),ISNUMBER(SEARCH("tubo cravado",$F1614)),ISNUMBER(SEARCH("shaft",$J1614)),ISNUMBER(SEARCH("concreto",$F1614))),"TUBO CRAVADO","")))</f>
        <v/>
      </c>
      <c r="T1614">
        <f>IF($A1614="","",TEXT($A1614,"yyyymm")&amp;"|"&amp;$C1614&amp;"|"&amp;$F1614&amp;"|"&amp;$N1614&amp;"|"&amp;$R1614)</f>
        <v/>
      </c>
    </row>
    <row r="1615" ht="11.55" customHeight="1">
      <c r="A1615" s="10" t="n">
        <v>46113</v>
      </c>
      <c r="B1615" s="7" t="inlineStr">
        <is>
          <t>Quarta</t>
        </is>
      </c>
      <c r="C1615" s="7" t="inlineStr">
        <is>
          <t>Vacal</t>
        </is>
      </c>
      <c r="D1615" s="7" t="n"/>
      <c r="E1615" s="7" t="inlineStr">
        <is>
          <t>Água Vermelha - Renasce</t>
        </is>
      </c>
      <c r="F1615" s="13" t="inlineStr">
        <is>
          <t>Apoio Vacal</t>
        </is>
      </c>
      <c r="G1615" s="7" t="n"/>
      <c r="H1615" s="7" t="n"/>
      <c r="I1615" s="7" t="n"/>
      <c r="J1615" s="7" t="inlineStr">
        <is>
          <t>Vacal</t>
        </is>
      </c>
      <c r="K1615" s="7" t="inlineStr">
        <is>
          <t>Apoio</t>
        </is>
      </c>
      <c r="L1615" s="16" t="inlineStr">
        <is>
          <t>PDS-Março(1).docx</t>
        </is>
      </c>
      <c r="M1615">
        <f>IF($A1615="","",TEXT($A1615,"mmmm/yyyy"))</f>
        <v/>
      </c>
      <c r="P1615">
        <f>IFERROR(_xludf.XLOOKUP($N1615,Base_Enderecos!$A:$A,Base_Enderecos!$B:$B,""),"")</f>
        <v/>
      </c>
      <c r="Q1615">
        <f>IFERROR(_xludf.XLOOKUP($N1615,Base_Enderecos!$A:$A,Base_Enderecos!$C:$C,""),"")</f>
        <v/>
      </c>
      <c r="R1615">
        <f>IF(OR(ISNUMBER(SEARCH("HDD",$F1615)),ISNUMBER(SEARCH("MND",$F1615)),ISNUMBER(SEARCH("PEAD",$F1615)),ISNUMBER(SEARCH("Puxe",$J1615)),ISNUMBER(SEARCH("Apoio HDD",$F1615))),"MND",IF(OR(ISNUMBER(SEARCH("VCA",$F1615)),ISNUMBER(SEARCH("PVC",$F1615)),ISNUMBER(SEARCH("vca",$J1615)),ISNUMBER(SEARCH("Transformação",$J1615))),"VCA",IF(OR(ISNUMBER(SEARCH("crava",$F1615)),ISNUMBER(SEARCH("tubo cravado",$F1615)),ISNUMBER(SEARCH("shaft",$J1615)),ISNUMBER(SEARCH("concreto",$F1615))),"TUBO CRAVADO","")))</f>
        <v/>
      </c>
      <c r="T1615">
        <f>IF($A1615="","",TEXT($A1615,"yyyymm")&amp;"|"&amp;$C1615&amp;"|"&amp;$F1615&amp;"|"&amp;$N1615&amp;"|"&amp;$R1615)</f>
        <v/>
      </c>
    </row>
    <row r="1616" ht="11.55" customHeight="1">
      <c r="A1616" s="10" t="n">
        <v>46113</v>
      </c>
      <c r="B1616" s="7" t="inlineStr">
        <is>
          <t>Quarta</t>
        </is>
      </c>
      <c r="C1616" s="7" t="inlineStr">
        <is>
          <t>Vacal</t>
        </is>
      </c>
      <c r="D1616" s="7" t="n"/>
      <c r="E1616" s="7" t="inlineStr">
        <is>
          <t>Botelho Mourão - Renasce</t>
        </is>
      </c>
      <c r="F1616" s="13" t="inlineStr">
        <is>
          <t>Apoio Vacal</t>
        </is>
      </c>
      <c r="G1616" s="7" t="n"/>
      <c r="H1616" s="7" t="n"/>
      <c r="I1616" s="7" t="n"/>
      <c r="J1616" s="7" t="inlineStr">
        <is>
          <t>Vacal</t>
        </is>
      </c>
      <c r="K1616" s="7" t="inlineStr">
        <is>
          <t>Apoio</t>
        </is>
      </c>
      <c r="L1616" s="16" t="inlineStr">
        <is>
          <t>PDS-Março(1).docx</t>
        </is>
      </c>
      <c r="M1616">
        <f>IF($A1616="","",TEXT($A1616,"mmmm/yyyy"))</f>
        <v/>
      </c>
      <c r="P1616">
        <f>IFERROR(_xludf.XLOOKUP($N1616,Base_Enderecos!$A:$A,Base_Enderecos!$B:$B,""),"")</f>
        <v/>
      </c>
      <c r="Q1616">
        <f>IFERROR(_xludf.XLOOKUP($N1616,Base_Enderecos!$A:$A,Base_Enderecos!$C:$C,""),"")</f>
        <v/>
      </c>
      <c r="R1616">
        <f>IF(OR(ISNUMBER(SEARCH("HDD",$F1616)),ISNUMBER(SEARCH("MND",$F1616)),ISNUMBER(SEARCH("PEAD",$F1616)),ISNUMBER(SEARCH("Puxe",$J1616)),ISNUMBER(SEARCH("Apoio HDD",$F1616))),"MND",IF(OR(ISNUMBER(SEARCH("VCA",$F1616)),ISNUMBER(SEARCH("PVC",$F1616)),ISNUMBER(SEARCH("vca",$J1616)),ISNUMBER(SEARCH("Transformação",$J1616))),"VCA",IF(OR(ISNUMBER(SEARCH("crava",$F1616)),ISNUMBER(SEARCH("tubo cravado",$F1616)),ISNUMBER(SEARCH("shaft",$J1616)),ISNUMBER(SEARCH("concreto",$F1616))),"TUBO CRAVADO","")))</f>
        <v/>
      </c>
      <c r="T1616">
        <f>IF($A1616="","",TEXT($A1616,"yyyymm")&amp;"|"&amp;$C1616&amp;"|"&amp;$F1616&amp;"|"&amp;$N1616&amp;"|"&amp;$R1616)</f>
        <v/>
      </c>
    </row>
    <row r="1617" ht="11.55" customHeight="1">
      <c r="A1617" s="10" t="n">
        <v>46113</v>
      </c>
      <c r="B1617" s="7" t="inlineStr">
        <is>
          <t>Quarta</t>
        </is>
      </c>
      <c r="C1617" s="7" t="inlineStr">
        <is>
          <t>Vacal</t>
        </is>
      </c>
      <c r="D1617" s="7" t="n"/>
      <c r="E1617" s="7" t="inlineStr">
        <is>
          <t>Água Boa - BRD</t>
        </is>
      </c>
      <c r="F1617" s="13" t="inlineStr">
        <is>
          <t>Apoio Vacal</t>
        </is>
      </c>
      <c r="G1617" s="7" t="n"/>
      <c r="H1617" s="7" t="n"/>
      <c r="I1617" s="7" t="n"/>
      <c r="J1617" s="7" t="inlineStr">
        <is>
          <t>Vacal</t>
        </is>
      </c>
      <c r="K1617" s="7" t="inlineStr">
        <is>
          <t>Apoio</t>
        </is>
      </c>
      <c r="L1617" s="16" t="inlineStr">
        <is>
          <t>PDS-Março(1).docx</t>
        </is>
      </c>
      <c r="M1617">
        <f>IF($A1617="","",TEXT($A1617,"mmmm/yyyy"))</f>
        <v/>
      </c>
      <c r="P1617">
        <f>IFERROR(_xludf.XLOOKUP($N1617,Base_Enderecos!$A:$A,Base_Enderecos!$B:$B,""),"")</f>
        <v/>
      </c>
      <c r="Q1617">
        <f>IFERROR(_xludf.XLOOKUP($N1617,Base_Enderecos!$A:$A,Base_Enderecos!$C:$C,""),"")</f>
        <v/>
      </c>
      <c r="R1617">
        <f>IF(OR(ISNUMBER(SEARCH("HDD",$F1617)),ISNUMBER(SEARCH("MND",$F1617)),ISNUMBER(SEARCH("PEAD",$F1617)),ISNUMBER(SEARCH("Puxe",$J1617)),ISNUMBER(SEARCH("Apoio HDD",$F1617))),"MND",IF(OR(ISNUMBER(SEARCH("VCA",$F1617)),ISNUMBER(SEARCH("PVC",$F1617)),ISNUMBER(SEARCH("vca",$J1617)),ISNUMBER(SEARCH("Transformação",$J1617))),"VCA",IF(OR(ISNUMBER(SEARCH("crava",$F1617)),ISNUMBER(SEARCH("tubo cravado",$F1617)),ISNUMBER(SEARCH("shaft",$J1617)),ISNUMBER(SEARCH("concreto",$F1617))),"TUBO CRAVADO","")))</f>
        <v/>
      </c>
      <c r="T1617">
        <f>IF($A1617="","",TEXT($A1617,"yyyymm")&amp;"|"&amp;$C1617&amp;"|"&amp;$F1617&amp;"|"&amp;$N1617&amp;"|"&amp;$R1617)</f>
        <v/>
      </c>
    </row>
    <row r="1618" ht="11.55" customHeight="1">
      <c r="A1618" s="10" t="n">
        <v>46113</v>
      </c>
      <c r="B1618" s="7" t="inlineStr">
        <is>
          <t>Quarta</t>
        </is>
      </c>
      <c r="C1618" s="7" t="inlineStr">
        <is>
          <t>Vacal</t>
        </is>
      </c>
      <c r="D1618" s="7" t="n"/>
      <c r="E1618" s="7" t="inlineStr">
        <is>
          <t>ITI 15 – Renasce</t>
        </is>
      </c>
      <c r="F1618" s="13" t="inlineStr">
        <is>
          <t>Apoio Vacal</t>
        </is>
      </c>
      <c r="G1618" s="7" t="n"/>
      <c r="H1618" s="7" t="n"/>
      <c r="I1618" s="7" t="n"/>
      <c r="J1618" s="7" t="inlineStr">
        <is>
          <t>Vacal</t>
        </is>
      </c>
      <c r="K1618" s="7" t="inlineStr">
        <is>
          <t>Apoio</t>
        </is>
      </c>
      <c r="L1618" s="16" t="inlineStr">
        <is>
          <t>PDS-Março(1).docx</t>
        </is>
      </c>
      <c r="M1618">
        <f>IF($A1618="","",TEXT($A1618,"mmmm/yyyy"))</f>
        <v/>
      </c>
      <c r="P1618">
        <f>IFERROR(_xludf.XLOOKUP($N1618,Base_Enderecos!$A:$A,Base_Enderecos!$B:$B,""),"")</f>
        <v/>
      </c>
      <c r="Q1618">
        <f>IFERROR(_xludf.XLOOKUP($N1618,Base_Enderecos!$A:$A,Base_Enderecos!$C:$C,""),"")</f>
        <v/>
      </c>
      <c r="R1618">
        <f>IF(OR(ISNUMBER(SEARCH("HDD",$F1618)),ISNUMBER(SEARCH("MND",$F1618)),ISNUMBER(SEARCH("PEAD",$F1618)),ISNUMBER(SEARCH("Puxe",$J1618)),ISNUMBER(SEARCH("Apoio HDD",$F1618))),"MND",IF(OR(ISNUMBER(SEARCH("VCA",$F1618)),ISNUMBER(SEARCH("PVC",$F1618)),ISNUMBER(SEARCH("vca",$J1618)),ISNUMBER(SEARCH("Transformação",$J1618))),"VCA",IF(OR(ISNUMBER(SEARCH("crava",$F1618)),ISNUMBER(SEARCH("tubo cravado",$F1618)),ISNUMBER(SEARCH("shaft",$J1618)),ISNUMBER(SEARCH("concreto",$F1618))),"TUBO CRAVADO","")))</f>
        <v/>
      </c>
      <c r="T1618">
        <f>IF($A1618="","",TEXT($A1618,"yyyymm")&amp;"|"&amp;$C1618&amp;"|"&amp;$F1618&amp;"|"&amp;$N1618&amp;"|"&amp;$R1618)</f>
        <v/>
      </c>
    </row>
    <row r="1619" ht="11.55" customHeight="1">
      <c r="A1619" s="10" t="n">
        <v>46113</v>
      </c>
      <c r="B1619" s="7" t="inlineStr">
        <is>
          <t>Quarta</t>
        </is>
      </c>
      <c r="C1619" s="7" t="inlineStr">
        <is>
          <t>Guindauto</t>
        </is>
      </c>
      <c r="D1619" s="7" t="n"/>
      <c r="E1619" s="7" t="inlineStr">
        <is>
          <t>Rodrigo</t>
        </is>
      </c>
      <c r="F1619" s="13" t="inlineStr">
        <is>
          <t>Rodrigo - Apoio as equipes</t>
        </is>
      </c>
      <c r="G1619" s="7" t="n"/>
      <c r="H1619" s="7" t="n"/>
      <c r="I1619" s="7" t="n"/>
      <c r="J1619" s="7" t="inlineStr">
        <is>
          <t>Guindauto</t>
        </is>
      </c>
      <c r="K1619" s="7" t="inlineStr">
        <is>
          <t>Apoio</t>
        </is>
      </c>
      <c r="L1619" s="16" t="inlineStr">
        <is>
          <t>PDS-Março(1).docx</t>
        </is>
      </c>
      <c r="M1619">
        <f>IF($A1619="","",TEXT($A1619,"mmmm/yyyy"))</f>
        <v/>
      </c>
      <c r="P1619">
        <f>IFERROR(_xludf.XLOOKUP($N1619,Base_Enderecos!$A:$A,Base_Enderecos!$B:$B,""),"")</f>
        <v/>
      </c>
      <c r="Q1619">
        <f>IFERROR(_xludf.XLOOKUP($N1619,Base_Enderecos!$A:$A,Base_Enderecos!$C:$C,""),"")</f>
        <v/>
      </c>
      <c r="R1619">
        <f>IF(OR(ISNUMBER(SEARCH("HDD",$F1619)),ISNUMBER(SEARCH("MND",$F1619)),ISNUMBER(SEARCH("PEAD",$F1619)),ISNUMBER(SEARCH("Puxe",$J1619)),ISNUMBER(SEARCH("Apoio HDD",$F1619))),"MND",IF(OR(ISNUMBER(SEARCH("VCA",$F1619)),ISNUMBER(SEARCH("PVC",$F1619)),ISNUMBER(SEARCH("vca",$J1619)),ISNUMBER(SEARCH("Transformação",$J1619))),"VCA",IF(OR(ISNUMBER(SEARCH("crava",$F1619)),ISNUMBER(SEARCH("tubo cravado",$F1619)),ISNUMBER(SEARCH("shaft",$J1619)),ISNUMBER(SEARCH("concreto",$F1619))),"TUBO CRAVADO","")))</f>
        <v/>
      </c>
      <c r="T1619">
        <f>IF($A1619="","",TEXT($A1619,"yyyymm")&amp;"|"&amp;$C1619&amp;"|"&amp;$F1619&amp;"|"&amp;$N1619&amp;"|"&amp;$R1619)</f>
        <v/>
      </c>
    </row>
    <row r="1620" ht="11.55" customHeight="1">
      <c r="A1620" s="10" t="n">
        <v>46113</v>
      </c>
      <c r="B1620" s="7" t="inlineStr">
        <is>
          <t>Quarta</t>
        </is>
      </c>
      <c r="C1620" s="7" t="inlineStr">
        <is>
          <t>Guindauto</t>
        </is>
      </c>
      <c r="D1620" s="7" t="n"/>
      <c r="E1620" s="7" t="inlineStr">
        <is>
          <t>Marcio</t>
        </is>
      </c>
      <c r="F1620" s="13" t="inlineStr">
        <is>
          <t>Marcio - Apoio as equipes</t>
        </is>
      </c>
      <c r="G1620" s="7" t="n"/>
      <c r="H1620" s="7" t="n"/>
      <c r="I1620" s="7" t="n"/>
      <c r="J1620" s="7" t="inlineStr">
        <is>
          <t>Guindauto</t>
        </is>
      </c>
      <c r="K1620" s="7" t="inlineStr">
        <is>
          <t>Apoio</t>
        </is>
      </c>
      <c r="L1620" s="16" t="inlineStr">
        <is>
          <t>PDS-Março(1).docx</t>
        </is>
      </c>
      <c r="M1620">
        <f>IF($A1620="","",TEXT($A1620,"mmmm/yyyy"))</f>
        <v/>
      </c>
      <c r="P1620">
        <f>IFERROR(_xludf.XLOOKUP($N1620,Base_Enderecos!$A:$A,Base_Enderecos!$B:$B,""),"")</f>
        <v/>
      </c>
      <c r="Q1620">
        <f>IFERROR(_xludf.XLOOKUP($N1620,Base_Enderecos!$A:$A,Base_Enderecos!$C:$C,""),"")</f>
        <v/>
      </c>
      <c r="R1620">
        <f>IF(OR(ISNUMBER(SEARCH("HDD",$F1620)),ISNUMBER(SEARCH("MND",$F1620)),ISNUMBER(SEARCH("PEAD",$F1620)),ISNUMBER(SEARCH("Puxe",$J1620)),ISNUMBER(SEARCH("Apoio HDD",$F1620))),"MND",IF(OR(ISNUMBER(SEARCH("VCA",$F1620)),ISNUMBER(SEARCH("PVC",$F1620)),ISNUMBER(SEARCH("vca",$J1620)),ISNUMBER(SEARCH("Transformação",$J1620))),"VCA",IF(OR(ISNUMBER(SEARCH("crava",$F1620)),ISNUMBER(SEARCH("tubo cravado",$F1620)),ISNUMBER(SEARCH("shaft",$J1620)),ISNUMBER(SEARCH("concreto",$F1620))),"TUBO CRAVADO","")))</f>
        <v/>
      </c>
      <c r="T1620">
        <f>IF($A1620="","",TEXT($A1620,"yyyymm")&amp;"|"&amp;$C1620&amp;"|"&amp;$F1620&amp;"|"&amp;$N1620&amp;"|"&amp;$R1620)</f>
        <v/>
      </c>
    </row>
    <row r="1621" ht="11.55" customHeight="1">
      <c r="A1621" s="10" t="n">
        <v>46114</v>
      </c>
      <c r="B1621" s="7" t="inlineStr">
        <is>
          <t>Quinta</t>
        </is>
      </c>
      <c r="C1621" s="7" t="inlineStr">
        <is>
          <t>CTS CONCEIÇÃO</t>
        </is>
      </c>
      <c r="D1621" s="7" t="inlineStr">
        <is>
          <t>LEANDRO</t>
        </is>
      </c>
      <c r="E1621" s="7" t="inlineStr">
        <is>
          <t>GR Drill</t>
        </is>
      </c>
      <c r="F1621" s="13" t="inlineStr">
        <is>
          <t>Piloto e puxe entre PV 10.1 ao 10.2</t>
        </is>
      </c>
      <c r="G1621" s="7" t="inlineStr">
        <is>
          <t>10.1</t>
        </is>
      </c>
      <c r="H1621" s="7" t="n"/>
      <c r="I1621" s="7" t="inlineStr">
        <is>
          <t>10.1</t>
        </is>
      </c>
      <c r="J1621" s="7" t="inlineStr">
        <is>
          <t>Piloto e puxe</t>
        </is>
      </c>
      <c r="K1621" s="7" t="inlineStr">
        <is>
          <t>Planejamento</t>
        </is>
      </c>
      <c r="L1621" s="16" t="inlineStr">
        <is>
          <t>PDS-Abril(2).docx</t>
        </is>
      </c>
      <c r="M1621">
        <f>IF($A1621="","",TEXT($A1621,"mmmm/yyyy"))</f>
        <v/>
      </c>
      <c r="P1621">
        <f>IFERROR(_xludf.XLOOKUP($N1621,Base_Enderecos!$A:$A,Base_Enderecos!$B:$B,""),"")</f>
        <v/>
      </c>
      <c r="Q1621">
        <f>IFERROR(_xludf.XLOOKUP($N1621,Base_Enderecos!$A:$A,Base_Enderecos!$C:$C,""),"")</f>
        <v/>
      </c>
      <c r="R1621">
        <f>IF(OR(ISNUMBER(SEARCH("HDD",$F1621)),ISNUMBER(SEARCH("MND",$F1621)),ISNUMBER(SEARCH("PEAD",$F1621)),ISNUMBER(SEARCH("Puxe",$J1621)),ISNUMBER(SEARCH("Apoio HDD",$F1621))),"MND",IF(OR(ISNUMBER(SEARCH("VCA",$F1621)),ISNUMBER(SEARCH("PVC",$F1621)),ISNUMBER(SEARCH("vca",$J1621)),ISNUMBER(SEARCH("Transformação",$J1621))),"VCA",IF(OR(ISNUMBER(SEARCH("crava",$F1621)),ISNUMBER(SEARCH("tubo cravado",$F1621)),ISNUMBER(SEARCH("shaft",$J1621)),ISNUMBER(SEARCH("concreto",$F1621))),"TUBO CRAVADO","")))</f>
        <v/>
      </c>
      <c r="T1621">
        <f>IF($A1621="","",TEXT($A1621,"yyyymm")&amp;"|"&amp;$C1621&amp;"|"&amp;$F1621&amp;"|"&amp;$N1621&amp;"|"&amp;$R1621)</f>
        <v/>
      </c>
    </row>
    <row r="1622" ht="11.55" customHeight="1">
      <c r="A1622" s="10" t="n">
        <v>46114</v>
      </c>
      <c r="B1622" s="7" t="inlineStr">
        <is>
          <t>Quinta</t>
        </is>
      </c>
      <c r="C1622" s="7" t="inlineStr">
        <is>
          <t>CTS CONCEIÇÃO</t>
        </is>
      </c>
      <c r="D1622" s="7" t="inlineStr">
        <is>
          <t>LEANDRO</t>
        </is>
      </c>
      <c r="E1622" s="7" t="inlineStr">
        <is>
          <t>Medeiros</t>
        </is>
      </c>
      <c r="F1622" s="13" t="inlineStr">
        <is>
          <t>Apoio HDD entre PV 10.1 ao 10.2</t>
        </is>
      </c>
      <c r="G1622" s="7" t="inlineStr">
        <is>
          <t>10.1</t>
        </is>
      </c>
      <c r="H1622" s="7" t="n"/>
      <c r="I1622" s="7" t="inlineStr">
        <is>
          <t>10.1</t>
        </is>
      </c>
      <c r="J1622" s="7" t="inlineStr">
        <is>
          <t>Apoio HDD</t>
        </is>
      </c>
      <c r="K1622" s="7" t="inlineStr">
        <is>
          <t>Planejamento</t>
        </is>
      </c>
      <c r="L1622" s="16" t="inlineStr">
        <is>
          <t>PDS-Abril(2).docx</t>
        </is>
      </c>
      <c r="M1622">
        <f>IF($A1622="","",TEXT($A1622,"mmmm/yyyy"))</f>
        <v/>
      </c>
      <c r="P1622">
        <f>IFERROR(_xludf.XLOOKUP($N1622,Base_Enderecos!$A:$A,Base_Enderecos!$B:$B,""),"")</f>
        <v/>
      </c>
      <c r="Q1622">
        <f>IFERROR(_xludf.XLOOKUP($N1622,Base_Enderecos!$A:$A,Base_Enderecos!$C:$C,""),"")</f>
        <v/>
      </c>
      <c r="R1622">
        <f>IF(OR(ISNUMBER(SEARCH("HDD",$F1622)),ISNUMBER(SEARCH("MND",$F1622)),ISNUMBER(SEARCH("PEAD",$F1622)),ISNUMBER(SEARCH("Puxe",$J1622)),ISNUMBER(SEARCH("Apoio HDD",$F1622))),"MND",IF(OR(ISNUMBER(SEARCH("VCA",$F1622)),ISNUMBER(SEARCH("PVC",$F1622)),ISNUMBER(SEARCH("vca",$J1622)),ISNUMBER(SEARCH("Transformação",$J1622))),"VCA",IF(OR(ISNUMBER(SEARCH("crava",$F1622)),ISNUMBER(SEARCH("tubo cravado",$F1622)),ISNUMBER(SEARCH("shaft",$J1622)),ISNUMBER(SEARCH("concreto",$F1622))),"TUBO CRAVADO","")))</f>
        <v/>
      </c>
      <c r="T1622">
        <f>IF($A1622="","",TEXT($A1622,"yyyymm")&amp;"|"&amp;$C1622&amp;"|"&amp;$F1622&amp;"|"&amp;$N1622&amp;"|"&amp;$R1622)</f>
        <v/>
      </c>
    </row>
    <row r="1623" ht="11.55" customHeight="1">
      <c r="A1623" s="10" t="n">
        <v>46114</v>
      </c>
      <c r="B1623" s="7" t="inlineStr">
        <is>
          <t>Quinta</t>
        </is>
      </c>
      <c r="C1623" s="7" t="inlineStr">
        <is>
          <t>CTS CONCEIÇÃO</t>
        </is>
      </c>
      <c r="D1623" s="7" t="inlineStr">
        <is>
          <t>LEANDRO</t>
        </is>
      </c>
      <c r="E1623" s="7" t="inlineStr">
        <is>
          <t>Cesar</t>
        </is>
      </c>
      <c r="F1623" s="13" t="inlineStr">
        <is>
          <t>Transformação PV 09</t>
        </is>
      </c>
      <c r="G1623" s="7" t="inlineStr">
        <is>
          <t>09</t>
        </is>
      </c>
      <c r="H1623" s="7" t="n"/>
      <c r="I1623" s="7" t="inlineStr">
        <is>
          <t>09</t>
        </is>
      </c>
      <c r="J1623" s="7" t="inlineStr">
        <is>
          <t>Transformação</t>
        </is>
      </c>
      <c r="K1623" s="7" t="inlineStr">
        <is>
          <t>Planejamento</t>
        </is>
      </c>
      <c r="L1623" s="16" t="inlineStr">
        <is>
          <t>PDS-Abril(2).docx</t>
        </is>
      </c>
      <c r="M1623">
        <f>IF($A1623="","",TEXT($A1623,"mmmm/yyyy"))</f>
        <v/>
      </c>
      <c r="P1623">
        <f>IFERROR(_xludf.XLOOKUP($N1623,Base_Enderecos!$A:$A,Base_Enderecos!$B:$B,""),"")</f>
        <v/>
      </c>
      <c r="Q1623">
        <f>IFERROR(_xludf.XLOOKUP($N1623,Base_Enderecos!$A:$A,Base_Enderecos!$C:$C,""),"")</f>
        <v/>
      </c>
      <c r="R1623">
        <f>IF(OR(ISNUMBER(SEARCH("HDD",$F1623)),ISNUMBER(SEARCH("MND",$F1623)),ISNUMBER(SEARCH("PEAD",$F1623)),ISNUMBER(SEARCH("Puxe",$J1623)),ISNUMBER(SEARCH("Apoio HDD",$F1623))),"MND",IF(OR(ISNUMBER(SEARCH("VCA",$F1623)),ISNUMBER(SEARCH("PVC",$F1623)),ISNUMBER(SEARCH("vca",$J1623)),ISNUMBER(SEARCH("Transformação",$J1623))),"VCA",IF(OR(ISNUMBER(SEARCH("crava",$F1623)),ISNUMBER(SEARCH("tubo cravado",$F1623)),ISNUMBER(SEARCH("shaft",$J1623)),ISNUMBER(SEARCH("concreto",$F1623))),"TUBO CRAVADO","")))</f>
        <v/>
      </c>
      <c r="T1623">
        <f>IF($A1623="","",TEXT($A1623,"yyyymm")&amp;"|"&amp;$C1623&amp;"|"&amp;$F1623&amp;"|"&amp;$N1623&amp;"|"&amp;$R1623)</f>
        <v/>
      </c>
    </row>
    <row r="1624" ht="11.55" customHeight="1">
      <c r="A1624" s="10" t="n">
        <v>46114</v>
      </c>
      <c r="B1624" s="7" t="inlineStr">
        <is>
          <t>Quinta</t>
        </is>
      </c>
      <c r="C1624" s="7" t="inlineStr">
        <is>
          <t>CT ÁGUA VERMELHA M.D. e M.E</t>
        </is>
      </c>
      <c r="D1624" s="7" t="inlineStr">
        <is>
          <t>FABIO</t>
        </is>
      </c>
      <c r="E1624" s="7" t="inlineStr">
        <is>
          <t>Johnatan</t>
        </is>
      </c>
      <c r="F1624" s="13" t="inlineStr">
        <is>
          <t>Transformação PVD 07</t>
        </is>
      </c>
      <c r="G1624" s="7" t="inlineStr">
        <is>
          <t>07</t>
        </is>
      </c>
      <c r="H1624" s="7" t="n"/>
      <c r="I1624" s="7" t="inlineStr">
        <is>
          <t>07</t>
        </is>
      </c>
      <c r="J1624" s="7" t="inlineStr">
        <is>
          <t>Transformação</t>
        </is>
      </c>
      <c r="K1624" s="7" t="inlineStr">
        <is>
          <t>Planejamento</t>
        </is>
      </c>
      <c r="L1624" s="16" t="inlineStr">
        <is>
          <t>PDS-Abril(2).docx</t>
        </is>
      </c>
      <c r="M1624">
        <f>IF($A1624="","",TEXT($A1624,"mmmm/yyyy"))</f>
        <v/>
      </c>
      <c r="P1624">
        <f>IFERROR(_xludf.XLOOKUP($N1624,Base_Enderecos!$A:$A,Base_Enderecos!$B:$B,""),"")</f>
        <v/>
      </c>
      <c r="Q1624">
        <f>IFERROR(_xludf.XLOOKUP($N1624,Base_Enderecos!$A:$A,Base_Enderecos!$C:$C,""),"")</f>
        <v/>
      </c>
      <c r="R1624">
        <f>IF(OR(ISNUMBER(SEARCH("HDD",$F1624)),ISNUMBER(SEARCH("MND",$F1624)),ISNUMBER(SEARCH("PEAD",$F1624)),ISNUMBER(SEARCH("Puxe",$J1624)),ISNUMBER(SEARCH("Apoio HDD",$F1624))),"MND",IF(OR(ISNUMBER(SEARCH("VCA",$F1624)),ISNUMBER(SEARCH("PVC",$F1624)),ISNUMBER(SEARCH("vca",$J1624)),ISNUMBER(SEARCH("Transformação",$J1624))),"VCA",IF(OR(ISNUMBER(SEARCH("crava",$F1624)),ISNUMBER(SEARCH("tubo cravado",$F1624)),ISNUMBER(SEARCH("shaft",$J1624)),ISNUMBER(SEARCH("concreto",$F1624))),"TUBO CRAVADO","")))</f>
        <v/>
      </c>
      <c r="T1624">
        <f>IF($A1624="","",TEXT($A1624,"yyyymm")&amp;"|"&amp;$C1624&amp;"|"&amp;$F1624&amp;"|"&amp;$N1624&amp;"|"&amp;$R1624)</f>
        <v/>
      </c>
    </row>
    <row r="1625" ht="11.55" customHeight="1">
      <c r="A1625" s="10" t="n">
        <v>46114</v>
      </c>
      <c r="B1625" s="7" t="inlineStr">
        <is>
          <t>Quinta</t>
        </is>
      </c>
      <c r="C1625" s="7" t="inlineStr">
        <is>
          <t>CT ÁGUA VERMELHA M.D. e M.E</t>
        </is>
      </c>
      <c r="D1625" s="7" t="inlineStr">
        <is>
          <t>FABIO</t>
        </is>
      </c>
      <c r="E1625" s="7" t="inlineStr">
        <is>
          <t>Claudinei</t>
        </is>
      </c>
      <c r="F1625" s="13" t="inlineStr">
        <is>
          <t>Apoio casa (PVD 7)</t>
        </is>
      </c>
      <c r="G1625" s="7" t="inlineStr">
        <is>
          <t>7</t>
        </is>
      </c>
      <c r="H1625" s="7" t="n"/>
      <c r="I1625" s="7" t="inlineStr">
        <is>
          <t>7</t>
        </is>
      </c>
      <c r="J1625" s="7" t="n"/>
      <c r="K1625" s="7" t="inlineStr">
        <is>
          <t>Planejamento</t>
        </is>
      </c>
      <c r="L1625" s="16" t="inlineStr">
        <is>
          <t>PDS-Abril(2).docx</t>
        </is>
      </c>
      <c r="M1625">
        <f>IF($A1625="","",TEXT($A1625,"mmmm/yyyy"))</f>
        <v/>
      </c>
      <c r="P1625">
        <f>IFERROR(_xludf.XLOOKUP($N1625,Base_Enderecos!$A:$A,Base_Enderecos!$B:$B,""),"")</f>
        <v/>
      </c>
      <c r="Q1625">
        <f>IFERROR(_xludf.XLOOKUP($N1625,Base_Enderecos!$A:$A,Base_Enderecos!$C:$C,""),"")</f>
        <v/>
      </c>
      <c r="R1625">
        <f>IF(OR(ISNUMBER(SEARCH("HDD",$F1625)),ISNUMBER(SEARCH("MND",$F1625)),ISNUMBER(SEARCH("PEAD",$F1625)),ISNUMBER(SEARCH("Puxe",$J1625)),ISNUMBER(SEARCH("Apoio HDD",$F1625))),"MND",IF(OR(ISNUMBER(SEARCH("VCA",$F1625)),ISNUMBER(SEARCH("PVC",$F1625)),ISNUMBER(SEARCH("vca",$J1625)),ISNUMBER(SEARCH("Transformação",$J1625))),"VCA",IF(OR(ISNUMBER(SEARCH("crava",$F1625)),ISNUMBER(SEARCH("tubo cravado",$F1625)),ISNUMBER(SEARCH("shaft",$J1625)),ISNUMBER(SEARCH("concreto",$F1625))),"TUBO CRAVADO","")))</f>
        <v/>
      </c>
      <c r="T1625">
        <f>IF($A1625="","",TEXT($A1625,"yyyymm")&amp;"|"&amp;$C1625&amp;"|"&amp;$F1625&amp;"|"&amp;$N1625&amp;"|"&amp;$R1625)</f>
        <v/>
      </c>
    </row>
    <row r="1626" ht="11.55" customHeight="1">
      <c r="A1626" s="10" t="n">
        <v>46114</v>
      </c>
      <c r="B1626" s="7" t="inlineStr">
        <is>
          <t>Quinta</t>
        </is>
      </c>
      <c r="C1626" s="7" t="inlineStr">
        <is>
          <t>CT ÁGUA VERMELHA M.D. e M.E</t>
        </is>
      </c>
      <c r="D1626" s="7" t="inlineStr">
        <is>
          <t>FABIO</t>
        </is>
      </c>
      <c r="E1626" s="7" t="inlineStr">
        <is>
          <t>Edivando</t>
        </is>
      </c>
      <c r="F1626" s="13" t="inlineStr">
        <is>
          <t>Transformação PV.10.1</t>
        </is>
      </c>
      <c r="G1626" s="7" t="inlineStr">
        <is>
          <t>10.1</t>
        </is>
      </c>
      <c r="H1626" s="7" t="n"/>
      <c r="I1626" s="7" t="inlineStr">
        <is>
          <t>10.1</t>
        </is>
      </c>
      <c r="J1626" s="7" t="inlineStr">
        <is>
          <t>Transformação</t>
        </is>
      </c>
      <c r="K1626" s="7" t="inlineStr">
        <is>
          <t>Planejamento</t>
        </is>
      </c>
      <c r="L1626" s="16" t="inlineStr">
        <is>
          <t>PDS-Abril(2).docx</t>
        </is>
      </c>
      <c r="M1626">
        <f>IF($A1626="","",TEXT($A1626,"mmmm/yyyy"))</f>
        <v/>
      </c>
      <c r="P1626">
        <f>IFERROR(_xludf.XLOOKUP($N1626,Base_Enderecos!$A:$A,Base_Enderecos!$B:$B,""),"")</f>
        <v/>
      </c>
      <c r="Q1626">
        <f>IFERROR(_xludf.XLOOKUP($N1626,Base_Enderecos!$A:$A,Base_Enderecos!$C:$C,""),"")</f>
        <v/>
      </c>
      <c r="R1626">
        <f>IF(OR(ISNUMBER(SEARCH("HDD",$F1626)),ISNUMBER(SEARCH("MND",$F1626)),ISNUMBER(SEARCH("PEAD",$F1626)),ISNUMBER(SEARCH("Puxe",$J1626)),ISNUMBER(SEARCH("Apoio HDD",$F1626))),"MND",IF(OR(ISNUMBER(SEARCH("VCA",$F1626)),ISNUMBER(SEARCH("PVC",$F1626)),ISNUMBER(SEARCH("vca",$J1626)),ISNUMBER(SEARCH("Transformação",$J1626))),"VCA",IF(OR(ISNUMBER(SEARCH("crava",$F1626)),ISNUMBER(SEARCH("tubo cravado",$F1626)),ISNUMBER(SEARCH("shaft",$J1626)),ISNUMBER(SEARCH("concreto",$F1626))),"TUBO CRAVADO","")))</f>
        <v/>
      </c>
      <c r="T1626">
        <f>IF($A1626="","",TEXT($A1626,"yyyymm")&amp;"|"&amp;$C1626&amp;"|"&amp;$F1626&amp;"|"&amp;$N1626&amp;"|"&amp;$R1626)</f>
        <v/>
      </c>
    </row>
    <row r="1627" ht="11.55" customHeight="1">
      <c r="A1627" s="10" t="n">
        <v>46114</v>
      </c>
      <c r="B1627" s="7" t="inlineStr">
        <is>
          <t>Quinta</t>
        </is>
      </c>
      <c r="C1627" s="7" t="inlineStr">
        <is>
          <t>CT ÁGUA VERMELHA M.D. e M.E</t>
        </is>
      </c>
      <c r="D1627" s="7" t="inlineStr">
        <is>
          <t>FABIO</t>
        </is>
      </c>
      <c r="E1627" s="7" t="inlineStr">
        <is>
          <t>Higor</t>
        </is>
      </c>
      <c r="F1627" s="13" t="inlineStr">
        <is>
          <t>Adequação PVE 25</t>
        </is>
      </c>
      <c r="G1627" s="7" t="inlineStr">
        <is>
          <t>25</t>
        </is>
      </c>
      <c r="H1627" s="7" t="n"/>
      <c r="I1627" s="7" t="inlineStr">
        <is>
          <t>25</t>
        </is>
      </c>
      <c r="J1627" s="7" t="inlineStr">
        <is>
          <t>Adequação</t>
        </is>
      </c>
      <c r="K1627" s="7" t="inlineStr">
        <is>
          <t>Planejamento</t>
        </is>
      </c>
      <c r="L1627" s="16" t="inlineStr">
        <is>
          <t>PDS-Abril(2).docx</t>
        </is>
      </c>
      <c r="M1627">
        <f>IF($A1627="","",TEXT($A1627,"mmmm/yyyy"))</f>
        <v/>
      </c>
      <c r="P1627">
        <f>IFERROR(_xludf.XLOOKUP($N1627,Base_Enderecos!$A:$A,Base_Enderecos!$B:$B,""),"")</f>
        <v/>
      </c>
      <c r="Q1627">
        <f>IFERROR(_xludf.XLOOKUP($N1627,Base_Enderecos!$A:$A,Base_Enderecos!$C:$C,""),"")</f>
        <v/>
      </c>
      <c r="R1627">
        <f>IF(OR(ISNUMBER(SEARCH("HDD",$F1627)),ISNUMBER(SEARCH("MND",$F1627)),ISNUMBER(SEARCH("PEAD",$F1627)),ISNUMBER(SEARCH("Puxe",$J1627)),ISNUMBER(SEARCH("Apoio HDD",$F1627))),"MND",IF(OR(ISNUMBER(SEARCH("VCA",$F1627)),ISNUMBER(SEARCH("PVC",$F1627)),ISNUMBER(SEARCH("vca",$J1627)),ISNUMBER(SEARCH("Transformação",$J1627))),"VCA",IF(OR(ISNUMBER(SEARCH("crava",$F1627)),ISNUMBER(SEARCH("tubo cravado",$F1627)),ISNUMBER(SEARCH("shaft",$J1627)),ISNUMBER(SEARCH("concreto",$F1627))),"TUBO CRAVADO","")))</f>
        <v/>
      </c>
      <c r="T1627">
        <f>IF($A1627="","",TEXT($A1627,"yyyymm")&amp;"|"&amp;$C1627&amp;"|"&amp;$F1627&amp;"|"&amp;$N1627&amp;"|"&amp;$R1627)</f>
        <v/>
      </c>
    </row>
    <row r="1628" ht="11.55" customHeight="1">
      <c r="A1628" s="10" t="n">
        <v>46114</v>
      </c>
      <c r="B1628" s="7" t="inlineStr">
        <is>
          <t>Quinta</t>
        </is>
      </c>
      <c r="C1628" s="7" t="inlineStr">
        <is>
          <t>Int. ÁGUA BOA</t>
        </is>
      </c>
      <c r="D1628" s="7" t="inlineStr">
        <is>
          <t>VALMIR</t>
        </is>
      </c>
      <c r="E1628" s="7" t="inlineStr">
        <is>
          <t>Antônio</t>
        </is>
      </c>
      <c r="F1628" s="13" t="inlineStr">
        <is>
          <t>Transformação PV 03</t>
        </is>
      </c>
      <c r="G1628" s="7" t="inlineStr">
        <is>
          <t>03</t>
        </is>
      </c>
      <c r="H1628" s="7" t="n"/>
      <c r="I1628" s="7" t="inlineStr">
        <is>
          <t>03</t>
        </is>
      </c>
      <c r="J1628" s="7" t="inlineStr">
        <is>
          <t>Transformação</t>
        </is>
      </c>
      <c r="K1628" s="7" t="inlineStr">
        <is>
          <t>Planejamento</t>
        </is>
      </c>
      <c r="L1628" s="16" t="inlineStr">
        <is>
          <t>PDS-Abril(2).docx</t>
        </is>
      </c>
      <c r="M1628">
        <f>IF($A1628="","",TEXT($A1628,"mmmm/yyyy"))</f>
        <v/>
      </c>
      <c r="P1628">
        <f>IFERROR(_xludf.XLOOKUP($N1628,Base_Enderecos!$A:$A,Base_Enderecos!$B:$B,""),"")</f>
        <v/>
      </c>
      <c r="Q1628">
        <f>IFERROR(_xludf.XLOOKUP($N1628,Base_Enderecos!$A:$A,Base_Enderecos!$C:$C,""),"")</f>
        <v/>
      </c>
      <c r="R1628">
        <f>IF(OR(ISNUMBER(SEARCH("HDD",$F1628)),ISNUMBER(SEARCH("MND",$F1628)),ISNUMBER(SEARCH("PEAD",$F1628)),ISNUMBER(SEARCH("Puxe",$J1628)),ISNUMBER(SEARCH("Apoio HDD",$F1628))),"MND",IF(OR(ISNUMBER(SEARCH("VCA",$F1628)),ISNUMBER(SEARCH("PVC",$F1628)),ISNUMBER(SEARCH("vca",$J1628)),ISNUMBER(SEARCH("Transformação",$J1628))),"VCA",IF(OR(ISNUMBER(SEARCH("crava",$F1628)),ISNUMBER(SEARCH("tubo cravado",$F1628)),ISNUMBER(SEARCH("shaft",$J1628)),ISNUMBER(SEARCH("concreto",$F1628))),"TUBO CRAVADO","")))</f>
        <v/>
      </c>
      <c r="T1628">
        <f>IF($A1628="","",TEXT($A1628,"yyyymm")&amp;"|"&amp;$C1628&amp;"|"&amp;$F1628&amp;"|"&amp;$N1628&amp;"|"&amp;$R1628)</f>
        <v/>
      </c>
    </row>
    <row r="1629" ht="11.55" customHeight="1">
      <c r="A1629" s="10" t="n">
        <v>46114</v>
      </c>
      <c r="B1629" s="7" t="inlineStr">
        <is>
          <t>Quinta</t>
        </is>
      </c>
      <c r="C1629" s="7" t="inlineStr">
        <is>
          <t>Int. ÁGUA BOA</t>
        </is>
      </c>
      <c r="D1629" s="7" t="inlineStr">
        <is>
          <t>VALMIR</t>
        </is>
      </c>
      <c r="E1629" s="7" t="inlineStr">
        <is>
          <t>Ricardo</t>
        </is>
      </c>
      <c r="F1629" s="13" t="inlineStr">
        <is>
          <t>Transformação PV 04</t>
        </is>
      </c>
      <c r="G1629" s="7" t="inlineStr">
        <is>
          <t>04</t>
        </is>
      </c>
      <c r="H1629" s="7" t="n"/>
      <c r="I1629" s="7" t="inlineStr">
        <is>
          <t>04</t>
        </is>
      </c>
      <c r="J1629" s="7" t="inlineStr">
        <is>
          <t>Transformação</t>
        </is>
      </c>
      <c r="K1629" s="7" t="inlineStr">
        <is>
          <t>Planejamento</t>
        </is>
      </c>
      <c r="L1629" s="16" t="inlineStr">
        <is>
          <t>PDS-Abril(2).docx</t>
        </is>
      </c>
      <c r="M1629">
        <f>IF($A1629="","",TEXT($A1629,"mmmm/yyyy"))</f>
        <v/>
      </c>
      <c r="P1629">
        <f>IFERROR(_xludf.XLOOKUP($N1629,Base_Enderecos!$A:$A,Base_Enderecos!$B:$B,""),"")</f>
        <v/>
      </c>
      <c r="Q1629">
        <f>IFERROR(_xludf.XLOOKUP($N1629,Base_Enderecos!$A:$A,Base_Enderecos!$C:$C,""),"")</f>
        <v/>
      </c>
      <c r="R1629">
        <f>IF(OR(ISNUMBER(SEARCH("HDD",$F1629)),ISNUMBER(SEARCH("MND",$F1629)),ISNUMBER(SEARCH("PEAD",$F1629)),ISNUMBER(SEARCH("Puxe",$J1629)),ISNUMBER(SEARCH("Apoio HDD",$F1629))),"MND",IF(OR(ISNUMBER(SEARCH("VCA",$F1629)),ISNUMBER(SEARCH("PVC",$F1629)),ISNUMBER(SEARCH("vca",$J1629)),ISNUMBER(SEARCH("Transformação",$J1629))),"VCA",IF(OR(ISNUMBER(SEARCH("crava",$F1629)),ISNUMBER(SEARCH("tubo cravado",$F1629)),ISNUMBER(SEARCH("shaft",$J1629)),ISNUMBER(SEARCH("concreto",$F1629))),"TUBO CRAVADO","")))</f>
        <v/>
      </c>
      <c r="T1629">
        <f>IF($A1629="","",TEXT($A1629,"yyyymm")&amp;"|"&amp;$C1629&amp;"|"&amp;$F1629&amp;"|"&amp;$N1629&amp;"|"&amp;$R1629)</f>
        <v/>
      </c>
    </row>
    <row r="1630" ht="11.55" customHeight="1">
      <c r="A1630" s="10" t="n">
        <v>46114</v>
      </c>
      <c r="B1630" s="7" t="inlineStr">
        <is>
          <t>Quinta</t>
        </is>
      </c>
      <c r="C1630" s="7" t="inlineStr">
        <is>
          <t>Int. ÁGUA BOA</t>
        </is>
      </c>
      <c r="D1630" s="7" t="inlineStr">
        <is>
          <t>VALMIR</t>
        </is>
      </c>
      <c r="E1630" s="7" t="inlineStr">
        <is>
          <t>Marcelo</t>
        </is>
      </c>
      <c r="F1630" s="13" t="inlineStr">
        <is>
          <t>Transformação PVE 02</t>
        </is>
      </c>
      <c r="G1630" s="7" t="inlineStr">
        <is>
          <t>02</t>
        </is>
      </c>
      <c r="H1630" s="7" t="n"/>
      <c r="I1630" s="7" t="inlineStr">
        <is>
          <t>02</t>
        </is>
      </c>
      <c r="J1630" s="7" t="inlineStr">
        <is>
          <t>Transformação</t>
        </is>
      </c>
      <c r="K1630" s="7" t="inlineStr">
        <is>
          <t>Planejamento</t>
        </is>
      </c>
      <c r="L1630" s="16" t="inlineStr">
        <is>
          <t>PDS-Abril(2).docx</t>
        </is>
      </c>
      <c r="M1630">
        <f>IF($A1630="","",TEXT($A1630,"mmmm/yyyy"))</f>
        <v/>
      </c>
      <c r="P1630">
        <f>IFERROR(_xludf.XLOOKUP($N1630,Base_Enderecos!$A:$A,Base_Enderecos!$B:$B,""),"")</f>
        <v/>
      </c>
      <c r="Q1630">
        <f>IFERROR(_xludf.XLOOKUP($N1630,Base_Enderecos!$A:$A,Base_Enderecos!$C:$C,""),"")</f>
        <v/>
      </c>
      <c r="R1630">
        <f>IF(OR(ISNUMBER(SEARCH("HDD",$F1630)),ISNUMBER(SEARCH("MND",$F1630)),ISNUMBER(SEARCH("PEAD",$F1630)),ISNUMBER(SEARCH("Puxe",$J1630)),ISNUMBER(SEARCH("Apoio HDD",$F1630))),"MND",IF(OR(ISNUMBER(SEARCH("VCA",$F1630)),ISNUMBER(SEARCH("PVC",$F1630)),ISNUMBER(SEARCH("vca",$J1630)),ISNUMBER(SEARCH("Transformação",$J1630))),"VCA",IF(OR(ISNUMBER(SEARCH("crava",$F1630)),ISNUMBER(SEARCH("tubo cravado",$F1630)),ISNUMBER(SEARCH("shaft",$J1630)),ISNUMBER(SEARCH("concreto",$F1630))),"TUBO CRAVADO","")))</f>
        <v/>
      </c>
      <c r="T1630">
        <f>IF($A1630="","",TEXT($A1630,"yyyymm")&amp;"|"&amp;$C1630&amp;"|"&amp;$F1630&amp;"|"&amp;$N1630&amp;"|"&amp;$R1630)</f>
        <v/>
      </c>
    </row>
    <row r="1631" ht="11.55" customHeight="1">
      <c r="A1631" s="10" t="n">
        <v>46114</v>
      </c>
      <c r="B1631" s="7" t="inlineStr">
        <is>
          <t>Quinta</t>
        </is>
      </c>
      <c r="C1631" s="7" t="inlineStr">
        <is>
          <t>RCE FCO. SOUTO MAIOR</t>
        </is>
      </c>
      <c r="D1631" s="7" t="inlineStr">
        <is>
          <t>SILVESTRE</t>
        </is>
      </c>
      <c r="E1631" s="7" t="inlineStr">
        <is>
          <t>Valter</t>
        </is>
      </c>
      <c r="F1631" s="13" t="inlineStr">
        <is>
          <t>VCA e Ligações – Rua Canto da Serra</t>
        </is>
      </c>
      <c r="G1631" s="7" t="n"/>
      <c r="H1631" s="7" t="n"/>
      <c r="I1631" s="7" t="n"/>
      <c r="J1631" s="7" t="inlineStr">
        <is>
          <t>VCA</t>
        </is>
      </c>
      <c r="K1631" s="7" t="inlineStr">
        <is>
          <t>Planejamento</t>
        </is>
      </c>
      <c r="L1631" s="16" t="inlineStr">
        <is>
          <t>PDS-Abril(2).docx</t>
        </is>
      </c>
      <c r="M1631">
        <f>IF($A1631="","",TEXT($A1631,"mmmm/yyyy"))</f>
        <v/>
      </c>
      <c r="P1631">
        <f>IFERROR(_xludf.XLOOKUP($N1631,Base_Enderecos!$A:$A,Base_Enderecos!$B:$B,""),"")</f>
        <v/>
      </c>
      <c r="Q1631">
        <f>IFERROR(_xludf.XLOOKUP($N1631,Base_Enderecos!$A:$A,Base_Enderecos!$C:$C,""),"")</f>
        <v/>
      </c>
      <c r="R1631">
        <f>IF(OR(ISNUMBER(SEARCH("HDD",$F1631)),ISNUMBER(SEARCH("MND",$F1631)),ISNUMBER(SEARCH("PEAD",$F1631)),ISNUMBER(SEARCH("Puxe",$J1631)),ISNUMBER(SEARCH("Apoio HDD",$F1631))),"MND",IF(OR(ISNUMBER(SEARCH("VCA",$F1631)),ISNUMBER(SEARCH("PVC",$F1631)),ISNUMBER(SEARCH("vca",$J1631)),ISNUMBER(SEARCH("Transformação",$J1631))),"VCA",IF(OR(ISNUMBER(SEARCH("crava",$F1631)),ISNUMBER(SEARCH("tubo cravado",$F1631)),ISNUMBER(SEARCH("shaft",$J1631)),ISNUMBER(SEARCH("concreto",$F1631))),"TUBO CRAVADO","")))</f>
        <v/>
      </c>
      <c r="T1631">
        <f>IF($A1631="","",TEXT($A1631,"yyyymm")&amp;"|"&amp;$C1631&amp;"|"&amp;$F1631&amp;"|"&amp;$N1631&amp;"|"&amp;$R1631)</f>
        <v/>
      </c>
    </row>
    <row r="1632" ht="11.55" customHeight="1">
      <c r="A1632" s="10" t="n">
        <v>46114</v>
      </c>
      <c r="B1632" s="7" t="inlineStr">
        <is>
          <t>Quinta</t>
        </is>
      </c>
      <c r="C1632" s="7" t="inlineStr">
        <is>
          <t>RCE FCO. SOUTO MAIOR</t>
        </is>
      </c>
      <c r="D1632" s="7" t="inlineStr">
        <is>
          <t>SILVESTRE</t>
        </is>
      </c>
      <c r="E1632" s="7" t="inlineStr">
        <is>
          <t>Sergio</t>
        </is>
      </c>
      <c r="F1632" s="13" t="inlineStr">
        <is>
          <t>VCA e Ligações – Rua Canto da Serra</t>
        </is>
      </c>
      <c r="G1632" s="7" t="n"/>
      <c r="H1632" s="7" t="n"/>
      <c r="I1632" s="7" t="n"/>
      <c r="J1632" s="7" t="inlineStr">
        <is>
          <t>VCA</t>
        </is>
      </c>
      <c r="K1632" s="7" t="inlineStr">
        <is>
          <t>Planejamento</t>
        </is>
      </c>
      <c r="L1632" s="16" t="inlineStr">
        <is>
          <t>PDS-Abril(2).docx</t>
        </is>
      </c>
      <c r="M1632">
        <f>IF($A1632="","",TEXT($A1632,"mmmm/yyyy"))</f>
        <v/>
      </c>
      <c r="P1632">
        <f>IFERROR(_xludf.XLOOKUP($N1632,Base_Enderecos!$A:$A,Base_Enderecos!$B:$B,""),"")</f>
        <v/>
      </c>
      <c r="Q1632">
        <f>IFERROR(_xludf.XLOOKUP($N1632,Base_Enderecos!$A:$A,Base_Enderecos!$C:$C,""),"")</f>
        <v/>
      </c>
      <c r="R1632">
        <f>IF(OR(ISNUMBER(SEARCH("HDD",$F1632)),ISNUMBER(SEARCH("MND",$F1632)),ISNUMBER(SEARCH("PEAD",$F1632)),ISNUMBER(SEARCH("Puxe",$J1632)),ISNUMBER(SEARCH("Apoio HDD",$F1632))),"MND",IF(OR(ISNUMBER(SEARCH("VCA",$F1632)),ISNUMBER(SEARCH("PVC",$F1632)),ISNUMBER(SEARCH("vca",$J1632)),ISNUMBER(SEARCH("Transformação",$J1632))),"VCA",IF(OR(ISNUMBER(SEARCH("crava",$F1632)),ISNUMBER(SEARCH("tubo cravado",$F1632)),ISNUMBER(SEARCH("shaft",$J1632)),ISNUMBER(SEARCH("concreto",$F1632))),"TUBO CRAVADO","")))</f>
        <v/>
      </c>
      <c r="T1632">
        <f>IF($A1632="","",TEXT($A1632,"yyyymm")&amp;"|"&amp;$C1632&amp;"|"&amp;$F1632&amp;"|"&amp;$N1632&amp;"|"&amp;$R1632)</f>
        <v/>
      </c>
    </row>
    <row r="1633" ht="11.55" customHeight="1">
      <c r="A1633" s="10" t="n">
        <v>46114</v>
      </c>
      <c r="B1633" s="7" t="inlineStr">
        <is>
          <t>Quinta</t>
        </is>
      </c>
      <c r="C1633" s="7" t="inlineStr">
        <is>
          <t>CTS LUIS BOTELHO MOURÃO</t>
        </is>
      </c>
      <c r="D1633" s="7" t="inlineStr">
        <is>
          <t>ROBSON</t>
        </is>
      </c>
      <c r="E1633" s="7" t="inlineStr">
        <is>
          <t>Goiania Drill</t>
        </is>
      </c>
      <c r="F1633" s="13" t="inlineStr">
        <is>
          <t>Piloto e puxe PV 04 ao PV 02</t>
        </is>
      </c>
      <c r="G1633" s="7" t="inlineStr">
        <is>
          <t>04</t>
        </is>
      </c>
      <c r="H1633" s="7" t="inlineStr">
        <is>
          <t>02</t>
        </is>
      </c>
      <c r="I1633" s="7" t="inlineStr">
        <is>
          <t>04, 02</t>
        </is>
      </c>
      <c r="J1633" s="7" t="inlineStr">
        <is>
          <t>Piloto e puxe</t>
        </is>
      </c>
      <c r="K1633" s="7" t="inlineStr">
        <is>
          <t>Planejamento</t>
        </is>
      </c>
      <c r="L1633" s="16" t="inlineStr">
        <is>
          <t>PDS-Abril(2).docx</t>
        </is>
      </c>
      <c r="M1633">
        <f>IF($A1633="","",TEXT($A1633,"mmmm/yyyy"))</f>
        <v/>
      </c>
      <c r="P1633">
        <f>IFERROR(_xludf.XLOOKUP($N1633,Base_Enderecos!$A:$A,Base_Enderecos!$B:$B,""),"")</f>
        <v/>
      </c>
      <c r="Q1633">
        <f>IFERROR(_xludf.XLOOKUP($N1633,Base_Enderecos!$A:$A,Base_Enderecos!$C:$C,""),"")</f>
        <v/>
      </c>
      <c r="R1633">
        <f>IF(OR(ISNUMBER(SEARCH("HDD",$F1633)),ISNUMBER(SEARCH("MND",$F1633)),ISNUMBER(SEARCH("PEAD",$F1633)),ISNUMBER(SEARCH("Puxe",$J1633)),ISNUMBER(SEARCH("Apoio HDD",$F1633))),"MND",IF(OR(ISNUMBER(SEARCH("VCA",$F1633)),ISNUMBER(SEARCH("PVC",$F1633)),ISNUMBER(SEARCH("vca",$J1633)),ISNUMBER(SEARCH("Transformação",$J1633))),"VCA",IF(OR(ISNUMBER(SEARCH("crava",$F1633)),ISNUMBER(SEARCH("tubo cravado",$F1633)),ISNUMBER(SEARCH("shaft",$J1633)),ISNUMBER(SEARCH("concreto",$F1633))),"TUBO CRAVADO","")))</f>
        <v/>
      </c>
      <c r="T1633">
        <f>IF($A1633="","",TEXT($A1633,"yyyymm")&amp;"|"&amp;$C1633&amp;"|"&amp;$F1633&amp;"|"&amp;$N1633&amp;"|"&amp;$R1633)</f>
        <v/>
      </c>
    </row>
    <row r="1634" ht="11.55" customHeight="1">
      <c r="A1634" s="10" t="n">
        <v>46114</v>
      </c>
      <c r="B1634" s="7" t="inlineStr">
        <is>
          <t>Quinta</t>
        </is>
      </c>
      <c r="C1634" s="7" t="inlineStr">
        <is>
          <t>CTS LUIS BOTELHO MOURÃO</t>
        </is>
      </c>
      <c r="D1634" s="7" t="inlineStr">
        <is>
          <t>ROBSON</t>
        </is>
      </c>
      <c r="E1634" s="7" t="inlineStr">
        <is>
          <t>Bruno</t>
        </is>
      </c>
      <c r="F1634" s="13" t="inlineStr">
        <is>
          <t>Apoio HDD PV 04 ao PV 02</t>
        </is>
      </c>
      <c r="G1634" s="7" t="inlineStr">
        <is>
          <t>04</t>
        </is>
      </c>
      <c r="H1634" s="7" t="inlineStr">
        <is>
          <t>02</t>
        </is>
      </c>
      <c r="I1634" s="7" t="inlineStr">
        <is>
          <t>04, 02</t>
        </is>
      </c>
      <c r="J1634" s="7" t="inlineStr">
        <is>
          <t>Apoio HDD</t>
        </is>
      </c>
      <c r="K1634" s="7" t="inlineStr">
        <is>
          <t>Planejamento</t>
        </is>
      </c>
      <c r="L1634" s="16" t="inlineStr">
        <is>
          <t>PDS-Abril(2).docx</t>
        </is>
      </c>
      <c r="M1634">
        <f>IF($A1634="","",TEXT($A1634,"mmmm/yyyy"))</f>
        <v/>
      </c>
      <c r="P1634">
        <f>IFERROR(_xludf.XLOOKUP($N1634,Base_Enderecos!$A:$A,Base_Enderecos!$B:$B,""),"")</f>
        <v/>
      </c>
      <c r="Q1634">
        <f>IFERROR(_xludf.XLOOKUP($N1634,Base_Enderecos!$A:$A,Base_Enderecos!$C:$C,""),"")</f>
        <v/>
      </c>
      <c r="R1634">
        <f>IF(OR(ISNUMBER(SEARCH("HDD",$F1634)),ISNUMBER(SEARCH("MND",$F1634)),ISNUMBER(SEARCH("PEAD",$F1634)),ISNUMBER(SEARCH("Puxe",$J1634)),ISNUMBER(SEARCH("Apoio HDD",$F1634))),"MND",IF(OR(ISNUMBER(SEARCH("VCA",$F1634)),ISNUMBER(SEARCH("PVC",$F1634)),ISNUMBER(SEARCH("vca",$J1634)),ISNUMBER(SEARCH("Transformação",$J1634))),"VCA",IF(OR(ISNUMBER(SEARCH("crava",$F1634)),ISNUMBER(SEARCH("tubo cravado",$F1634)),ISNUMBER(SEARCH("shaft",$J1634)),ISNUMBER(SEARCH("concreto",$F1634))),"TUBO CRAVADO","")))</f>
        <v/>
      </c>
      <c r="T1634">
        <f>IF($A1634="","",TEXT($A1634,"yyyymm")&amp;"|"&amp;$C1634&amp;"|"&amp;$F1634&amp;"|"&amp;$N1634&amp;"|"&amp;$R1634)</f>
        <v/>
      </c>
    </row>
    <row r="1635" ht="11.55" customHeight="1">
      <c r="A1635" s="10" t="n">
        <v>46114</v>
      </c>
      <c r="B1635" s="7" t="inlineStr">
        <is>
          <t>Quinta</t>
        </is>
      </c>
      <c r="C1635" s="7" t="inlineStr">
        <is>
          <t>CTS LUIS BOTELHO MOURÃO</t>
        </is>
      </c>
      <c r="D1635" s="7" t="inlineStr">
        <is>
          <t>ROBSON</t>
        </is>
      </c>
      <c r="E1635" s="7" t="inlineStr">
        <is>
          <t>Cidão</t>
        </is>
      </c>
      <c r="F1635" s="13" t="inlineStr">
        <is>
          <t>Shaft PV 08</t>
        </is>
      </c>
      <c r="G1635" s="7" t="inlineStr">
        <is>
          <t>08</t>
        </is>
      </c>
      <c r="H1635" s="7" t="n"/>
      <c r="I1635" s="7" t="inlineStr">
        <is>
          <t>08</t>
        </is>
      </c>
      <c r="J1635" s="7" t="inlineStr">
        <is>
          <t>Shaft</t>
        </is>
      </c>
      <c r="K1635" s="7" t="inlineStr">
        <is>
          <t>Planejamento</t>
        </is>
      </c>
      <c r="L1635" s="16" t="inlineStr">
        <is>
          <t>PDS-Abril(2).docx</t>
        </is>
      </c>
      <c r="M1635">
        <f>IF($A1635="","",TEXT($A1635,"mmmm/yyyy"))</f>
        <v/>
      </c>
      <c r="P1635">
        <f>IFERROR(_xludf.XLOOKUP($N1635,Base_Enderecos!$A:$A,Base_Enderecos!$B:$B,""),"")</f>
        <v/>
      </c>
      <c r="Q1635">
        <f>IFERROR(_xludf.XLOOKUP($N1635,Base_Enderecos!$A:$A,Base_Enderecos!$C:$C,""),"")</f>
        <v/>
      </c>
      <c r="R1635">
        <f>IF(OR(ISNUMBER(SEARCH("HDD",$F1635)),ISNUMBER(SEARCH("MND",$F1635)),ISNUMBER(SEARCH("PEAD",$F1635)),ISNUMBER(SEARCH("Puxe",$J1635)),ISNUMBER(SEARCH("Apoio HDD",$F1635))),"MND",IF(OR(ISNUMBER(SEARCH("VCA",$F1635)),ISNUMBER(SEARCH("PVC",$F1635)),ISNUMBER(SEARCH("vca",$J1635)),ISNUMBER(SEARCH("Transformação",$J1635))),"VCA",IF(OR(ISNUMBER(SEARCH("crava",$F1635)),ISNUMBER(SEARCH("tubo cravado",$F1635)),ISNUMBER(SEARCH("shaft",$J1635)),ISNUMBER(SEARCH("concreto",$F1635))),"TUBO CRAVADO","")))</f>
        <v/>
      </c>
      <c r="T1635">
        <f>IF($A1635="","",TEXT($A1635,"yyyymm")&amp;"|"&amp;$C1635&amp;"|"&amp;$F1635&amp;"|"&amp;$N1635&amp;"|"&amp;$R1635)</f>
        <v/>
      </c>
    </row>
    <row r="1636" ht="11.55" customHeight="1">
      <c r="A1636" s="10" t="n">
        <v>46114</v>
      </c>
      <c r="B1636" s="7" t="inlineStr">
        <is>
          <t>Quinta</t>
        </is>
      </c>
      <c r="C1636" s="7" t="inlineStr">
        <is>
          <t>CTS LUIS BOTELHO MOURÃO</t>
        </is>
      </c>
      <c r="D1636" s="7" t="inlineStr">
        <is>
          <t>ROBSON</t>
        </is>
      </c>
      <c r="E1636" s="7" t="inlineStr">
        <is>
          <t>Marcio</t>
        </is>
      </c>
      <c r="F1636" s="13" t="inlineStr">
        <is>
          <t>Reparo rede esgoto</t>
        </is>
      </c>
      <c r="G1636" s="7" t="n"/>
      <c r="H1636" s="7" t="n"/>
      <c r="I1636" s="7" t="n"/>
      <c r="J1636" s="7" t="inlineStr">
        <is>
          <t>Reparo</t>
        </is>
      </c>
      <c r="K1636" s="7" t="inlineStr">
        <is>
          <t>Planejamento</t>
        </is>
      </c>
      <c r="L1636" s="16" t="inlineStr">
        <is>
          <t>PDS-Abril(2).docx</t>
        </is>
      </c>
      <c r="M1636">
        <f>IF($A1636="","",TEXT($A1636,"mmmm/yyyy"))</f>
        <v/>
      </c>
      <c r="P1636">
        <f>IFERROR(_xludf.XLOOKUP($N1636,Base_Enderecos!$A:$A,Base_Enderecos!$B:$B,""),"")</f>
        <v/>
      </c>
      <c r="Q1636">
        <f>IFERROR(_xludf.XLOOKUP($N1636,Base_Enderecos!$A:$A,Base_Enderecos!$C:$C,""),"")</f>
        <v/>
      </c>
      <c r="R1636">
        <f>IF(OR(ISNUMBER(SEARCH("HDD",$F1636)),ISNUMBER(SEARCH("MND",$F1636)),ISNUMBER(SEARCH("PEAD",$F1636)),ISNUMBER(SEARCH("Puxe",$J1636)),ISNUMBER(SEARCH("Apoio HDD",$F1636))),"MND",IF(OR(ISNUMBER(SEARCH("VCA",$F1636)),ISNUMBER(SEARCH("PVC",$F1636)),ISNUMBER(SEARCH("vca",$J1636)),ISNUMBER(SEARCH("Transformação",$J1636))),"VCA",IF(OR(ISNUMBER(SEARCH("crava",$F1636)),ISNUMBER(SEARCH("tubo cravado",$F1636)),ISNUMBER(SEARCH("shaft",$J1636)),ISNUMBER(SEARCH("concreto",$F1636))),"TUBO CRAVADO","")))</f>
        <v/>
      </c>
      <c r="T1636">
        <f>IF($A1636="","",TEXT($A1636,"yyyymm")&amp;"|"&amp;$C1636&amp;"|"&amp;$F1636&amp;"|"&amp;$N1636&amp;"|"&amp;$R1636)</f>
        <v/>
      </c>
    </row>
    <row r="1637" ht="11.55" customHeight="1">
      <c r="A1637" s="10" t="n">
        <v>46114</v>
      </c>
      <c r="B1637" s="7" t="inlineStr">
        <is>
          <t>Quinta</t>
        </is>
      </c>
      <c r="C1637" s="7" t="inlineStr">
        <is>
          <t>Vacal</t>
        </is>
      </c>
      <c r="D1637" s="7" t="n"/>
      <c r="E1637" s="7" t="inlineStr">
        <is>
          <t>Conceição – Renasce</t>
        </is>
      </c>
      <c r="F1637" s="13" t="inlineStr">
        <is>
          <t>Apoio Vacal</t>
        </is>
      </c>
      <c r="G1637" s="7" t="n"/>
      <c r="H1637" s="7" t="n"/>
      <c r="I1637" s="7" t="n"/>
      <c r="J1637" s="7" t="inlineStr">
        <is>
          <t>Vacal</t>
        </is>
      </c>
      <c r="K1637" s="7" t="inlineStr">
        <is>
          <t>Apoio</t>
        </is>
      </c>
      <c r="L1637" s="16" t="inlineStr">
        <is>
          <t>PDS-Abril(2).docx</t>
        </is>
      </c>
      <c r="M1637">
        <f>IF($A1637="","",TEXT($A1637,"mmmm/yyyy"))</f>
        <v/>
      </c>
      <c r="P1637">
        <f>IFERROR(_xludf.XLOOKUP($N1637,Base_Enderecos!$A:$A,Base_Enderecos!$B:$B,""),"")</f>
        <v/>
      </c>
      <c r="Q1637">
        <f>IFERROR(_xludf.XLOOKUP($N1637,Base_Enderecos!$A:$A,Base_Enderecos!$C:$C,""),"")</f>
        <v/>
      </c>
      <c r="R1637">
        <f>IF(OR(ISNUMBER(SEARCH("HDD",$F1637)),ISNUMBER(SEARCH("MND",$F1637)),ISNUMBER(SEARCH("PEAD",$F1637)),ISNUMBER(SEARCH("Puxe",$J1637)),ISNUMBER(SEARCH("Apoio HDD",$F1637))),"MND",IF(OR(ISNUMBER(SEARCH("VCA",$F1637)),ISNUMBER(SEARCH("PVC",$F1637)),ISNUMBER(SEARCH("vca",$J1637)),ISNUMBER(SEARCH("Transformação",$J1637))),"VCA",IF(OR(ISNUMBER(SEARCH("crava",$F1637)),ISNUMBER(SEARCH("tubo cravado",$F1637)),ISNUMBER(SEARCH("shaft",$J1637)),ISNUMBER(SEARCH("concreto",$F1637))),"TUBO CRAVADO","")))</f>
        <v/>
      </c>
      <c r="T1637">
        <f>IF($A1637="","",TEXT($A1637,"yyyymm")&amp;"|"&amp;$C1637&amp;"|"&amp;$F1637&amp;"|"&amp;$N1637&amp;"|"&amp;$R1637)</f>
        <v/>
      </c>
    </row>
    <row r="1638" ht="11.55" customHeight="1">
      <c r="A1638" s="10" t="n">
        <v>46114</v>
      </c>
      <c r="B1638" s="7" t="inlineStr">
        <is>
          <t>Quinta</t>
        </is>
      </c>
      <c r="C1638" s="7" t="inlineStr">
        <is>
          <t>Vacal</t>
        </is>
      </c>
      <c r="D1638" s="7" t="n"/>
      <c r="E1638" s="7" t="inlineStr">
        <is>
          <t>Água Boa - Renasce</t>
        </is>
      </c>
      <c r="F1638" s="13" t="inlineStr">
        <is>
          <t>Apoio Vacal</t>
        </is>
      </c>
      <c r="G1638" s="7" t="n"/>
      <c r="H1638" s="7" t="n"/>
      <c r="I1638" s="7" t="n"/>
      <c r="J1638" s="7" t="inlineStr">
        <is>
          <t>Vacal</t>
        </is>
      </c>
      <c r="K1638" s="7" t="inlineStr">
        <is>
          <t>Apoio</t>
        </is>
      </c>
      <c r="L1638" s="16" t="inlineStr">
        <is>
          <t>PDS-Abril(2).docx</t>
        </is>
      </c>
      <c r="M1638">
        <f>IF($A1638="","",TEXT($A1638,"mmmm/yyyy"))</f>
        <v/>
      </c>
      <c r="P1638">
        <f>IFERROR(_xludf.XLOOKUP($N1638,Base_Enderecos!$A:$A,Base_Enderecos!$B:$B,""),"")</f>
        <v/>
      </c>
      <c r="Q1638">
        <f>IFERROR(_xludf.XLOOKUP($N1638,Base_Enderecos!$A:$A,Base_Enderecos!$C:$C,""),"")</f>
        <v/>
      </c>
      <c r="R1638">
        <f>IF(OR(ISNUMBER(SEARCH("HDD",$F1638)),ISNUMBER(SEARCH("MND",$F1638)),ISNUMBER(SEARCH("PEAD",$F1638)),ISNUMBER(SEARCH("Puxe",$J1638)),ISNUMBER(SEARCH("Apoio HDD",$F1638))),"MND",IF(OR(ISNUMBER(SEARCH("VCA",$F1638)),ISNUMBER(SEARCH("PVC",$F1638)),ISNUMBER(SEARCH("vca",$J1638)),ISNUMBER(SEARCH("Transformação",$J1638))),"VCA",IF(OR(ISNUMBER(SEARCH("crava",$F1638)),ISNUMBER(SEARCH("tubo cravado",$F1638)),ISNUMBER(SEARCH("shaft",$J1638)),ISNUMBER(SEARCH("concreto",$F1638))),"TUBO CRAVADO","")))</f>
        <v/>
      </c>
      <c r="T1638">
        <f>IF($A1638="","",TEXT($A1638,"yyyymm")&amp;"|"&amp;$C1638&amp;"|"&amp;$F1638&amp;"|"&amp;$N1638&amp;"|"&amp;$R1638)</f>
        <v/>
      </c>
    </row>
    <row r="1639" ht="11.55" customHeight="1">
      <c r="A1639" s="10" t="n">
        <v>46114</v>
      </c>
      <c r="B1639" s="7" t="inlineStr">
        <is>
          <t>Quinta</t>
        </is>
      </c>
      <c r="C1639" s="7" t="inlineStr">
        <is>
          <t>Vacal</t>
        </is>
      </c>
      <c r="D1639" s="7" t="n"/>
      <c r="E1639" s="7" t="inlineStr">
        <is>
          <t>Água Vermelha - Renasce</t>
        </is>
      </c>
      <c r="F1639" s="13" t="inlineStr">
        <is>
          <t>Apoio Vacal</t>
        </is>
      </c>
      <c r="G1639" s="7" t="n"/>
      <c r="H1639" s="7" t="n"/>
      <c r="I1639" s="7" t="n"/>
      <c r="J1639" s="7" t="inlineStr">
        <is>
          <t>Vacal</t>
        </is>
      </c>
      <c r="K1639" s="7" t="inlineStr">
        <is>
          <t>Apoio</t>
        </is>
      </c>
      <c r="L1639" s="16" t="inlineStr">
        <is>
          <t>PDS-Abril(2).docx</t>
        </is>
      </c>
      <c r="M1639">
        <f>IF($A1639="","",TEXT($A1639,"mmmm/yyyy"))</f>
        <v/>
      </c>
      <c r="P1639">
        <f>IFERROR(_xludf.XLOOKUP($N1639,Base_Enderecos!$A:$A,Base_Enderecos!$B:$B,""),"")</f>
        <v/>
      </c>
      <c r="Q1639">
        <f>IFERROR(_xludf.XLOOKUP($N1639,Base_Enderecos!$A:$A,Base_Enderecos!$C:$C,""),"")</f>
        <v/>
      </c>
      <c r="R1639">
        <f>IF(OR(ISNUMBER(SEARCH("HDD",$F1639)),ISNUMBER(SEARCH("MND",$F1639)),ISNUMBER(SEARCH("PEAD",$F1639)),ISNUMBER(SEARCH("Puxe",$J1639)),ISNUMBER(SEARCH("Apoio HDD",$F1639))),"MND",IF(OR(ISNUMBER(SEARCH("VCA",$F1639)),ISNUMBER(SEARCH("PVC",$F1639)),ISNUMBER(SEARCH("vca",$J1639)),ISNUMBER(SEARCH("Transformação",$J1639))),"VCA",IF(OR(ISNUMBER(SEARCH("crava",$F1639)),ISNUMBER(SEARCH("tubo cravado",$F1639)),ISNUMBER(SEARCH("shaft",$J1639)),ISNUMBER(SEARCH("concreto",$F1639))),"TUBO CRAVADO","")))</f>
        <v/>
      </c>
      <c r="T1639">
        <f>IF($A1639="","",TEXT($A1639,"yyyymm")&amp;"|"&amp;$C1639&amp;"|"&amp;$F1639&amp;"|"&amp;$N1639&amp;"|"&amp;$R1639)</f>
        <v/>
      </c>
    </row>
    <row r="1640" ht="11.55" customHeight="1">
      <c r="A1640" s="10" t="n">
        <v>46114</v>
      </c>
      <c r="B1640" s="7" t="inlineStr">
        <is>
          <t>Quinta</t>
        </is>
      </c>
      <c r="C1640" s="7" t="inlineStr">
        <is>
          <t>Vacal</t>
        </is>
      </c>
      <c r="D1640" s="7" t="n"/>
      <c r="E1640" s="7" t="inlineStr">
        <is>
          <t>Botelho Mourão - Renasce</t>
        </is>
      </c>
      <c r="F1640" s="13" t="inlineStr">
        <is>
          <t>Apoio Vacal</t>
        </is>
      </c>
      <c r="G1640" s="7" t="n"/>
      <c r="H1640" s="7" t="n"/>
      <c r="I1640" s="7" t="n"/>
      <c r="J1640" s="7" t="inlineStr">
        <is>
          <t>Vacal</t>
        </is>
      </c>
      <c r="K1640" s="7" t="inlineStr">
        <is>
          <t>Apoio</t>
        </is>
      </c>
      <c r="L1640" s="16" t="inlineStr">
        <is>
          <t>PDS-Abril(2).docx</t>
        </is>
      </c>
      <c r="M1640">
        <f>IF($A1640="","",TEXT($A1640,"mmmm/yyyy"))</f>
        <v/>
      </c>
      <c r="P1640">
        <f>IFERROR(_xludf.XLOOKUP($N1640,Base_Enderecos!$A:$A,Base_Enderecos!$B:$B,""),"")</f>
        <v/>
      </c>
      <c r="Q1640">
        <f>IFERROR(_xludf.XLOOKUP($N1640,Base_Enderecos!$A:$A,Base_Enderecos!$C:$C,""),"")</f>
        <v/>
      </c>
      <c r="R1640">
        <f>IF(OR(ISNUMBER(SEARCH("HDD",$F1640)),ISNUMBER(SEARCH("MND",$F1640)),ISNUMBER(SEARCH("PEAD",$F1640)),ISNUMBER(SEARCH("Puxe",$J1640)),ISNUMBER(SEARCH("Apoio HDD",$F1640))),"MND",IF(OR(ISNUMBER(SEARCH("VCA",$F1640)),ISNUMBER(SEARCH("PVC",$F1640)),ISNUMBER(SEARCH("vca",$J1640)),ISNUMBER(SEARCH("Transformação",$J1640))),"VCA",IF(OR(ISNUMBER(SEARCH("crava",$F1640)),ISNUMBER(SEARCH("tubo cravado",$F1640)),ISNUMBER(SEARCH("shaft",$J1640)),ISNUMBER(SEARCH("concreto",$F1640))),"TUBO CRAVADO","")))</f>
        <v/>
      </c>
      <c r="T1640">
        <f>IF($A1640="","",TEXT($A1640,"yyyymm")&amp;"|"&amp;$C1640&amp;"|"&amp;$F1640&amp;"|"&amp;$N1640&amp;"|"&amp;$R1640)</f>
        <v/>
      </c>
    </row>
    <row r="1641" ht="11.55" customHeight="1">
      <c r="A1641" s="10" t="n">
        <v>46114</v>
      </c>
      <c r="B1641" s="7" t="inlineStr">
        <is>
          <t>Quinta</t>
        </is>
      </c>
      <c r="C1641" s="7" t="inlineStr">
        <is>
          <t>Guindauto</t>
        </is>
      </c>
      <c r="D1641" s="7" t="n"/>
      <c r="E1641" s="7" t="inlineStr">
        <is>
          <t>Rodrigo</t>
        </is>
      </c>
      <c r="F1641" s="13" t="inlineStr">
        <is>
          <t>Rodrigo - Apoio as equipes</t>
        </is>
      </c>
      <c r="G1641" s="7" t="n"/>
      <c r="H1641" s="7" t="n"/>
      <c r="I1641" s="7" t="n"/>
      <c r="J1641" s="7" t="inlineStr">
        <is>
          <t>Guindauto</t>
        </is>
      </c>
      <c r="K1641" s="7" t="inlineStr">
        <is>
          <t>Apoio</t>
        </is>
      </c>
      <c r="L1641" s="16" t="inlineStr">
        <is>
          <t>PDS-Abril(2).docx</t>
        </is>
      </c>
      <c r="M1641">
        <f>IF($A1641="","",TEXT($A1641,"mmmm/yyyy"))</f>
        <v/>
      </c>
      <c r="P1641">
        <f>IFERROR(_xludf.XLOOKUP($N1641,Base_Enderecos!$A:$A,Base_Enderecos!$B:$B,""),"")</f>
        <v/>
      </c>
      <c r="Q1641">
        <f>IFERROR(_xludf.XLOOKUP($N1641,Base_Enderecos!$A:$A,Base_Enderecos!$C:$C,""),"")</f>
        <v/>
      </c>
      <c r="R1641">
        <f>IF(OR(ISNUMBER(SEARCH("HDD",$F1641)),ISNUMBER(SEARCH("MND",$F1641)),ISNUMBER(SEARCH("PEAD",$F1641)),ISNUMBER(SEARCH("Puxe",$J1641)),ISNUMBER(SEARCH("Apoio HDD",$F1641))),"MND",IF(OR(ISNUMBER(SEARCH("VCA",$F1641)),ISNUMBER(SEARCH("PVC",$F1641)),ISNUMBER(SEARCH("vca",$J1641)),ISNUMBER(SEARCH("Transformação",$J1641))),"VCA",IF(OR(ISNUMBER(SEARCH("crava",$F1641)),ISNUMBER(SEARCH("tubo cravado",$F1641)),ISNUMBER(SEARCH("shaft",$J1641)),ISNUMBER(SEARCH("concreto",$F1641))),"TUBO CRAVADO","")))</f>
        <v/>
      </c>
      <c r="T1641">
        <f>IF($A1641="","",TEXT($A1641,"yyyymm")&amp;"|"&amp;$C1641&amp;"|"&amp;$F1641&amp;"|"&amp;$N1641&amp;"|"&amp;$R1641)</f>
        <v/>
      </c>
    </row>
    <row r="1642" ht="11.55" customHeight="1">
      <c r="A1642" s="10" t="n">
        <v>46114</v>
      </c>
      <c r="B1642" s="7" t="inlineStr">
        <is>
          <t>Quinta</t>
        </is>
      </c>
      <c r="C1642" s="7" t="inlineStr">
        <is>
          <t>Guindauto</t>
        </is>
      </c>
      <c r="D1642" s="7" t="n"/>
      <c r="E1642" s="7" t="inlineStr">
        <is>
          <t>Marcio</t>
        </is>
      </c>
      <c r="F1642" s="13" t="inlineStr">
        <is>
          <t>Marcio - Apoio as equipes</t>
        </is>
      </c>
      <c r="G1642" s="7" t="n"/>
      <c r="H1642" s="7" t="n"/>
      <c r="I1642" s="7" t="n"/>
      <c r="J1642" s="7" t="inlineStr">
        <is>
          <t>Guindauto</t>
        </is>
      </c>
      <c r="K1642" s="7" t="inlineStr">
        <is>
          <t>Apoio</t>
        </is>
      </c>
      <c r="L1642" s="16" t="inlineStr">
        <is>
          <t>PDS-Abril(2).docx</t>
        </is>
      </c>
      <c r="M1642">
        <f>IF($A1642="","",TEXT($A1642,"mmmm/yyyy"))</f>
        <v/>
      </c>
      <c r="P1642">
        <f>IFERROR(_xludf.XLOOKUP($N1642,Base_Enderecos!$A:$A,Base_Enderecos!$B:$B,""),"")</f>
        <v/>
      </c>
      <c r="Q1642">
        <f>IFERROR(_xludf.XLOOKUP($N1642,Base_Enderecos!$A:$A,Base_Enderecos!$C:$C,""),"")</f>
        <v/>
      </c>
      <c r="R1642">
        <f>IF(OR(ISNUMBER(SEARCH("HDD",$F1642)),ISNUMBER(SEARCH("MND",$F1642)),ISNUMBER(SEARCH("PEAD",$F1642)),ISNUMBER(SEARCH("Puxe",$J1642)),ISNUMBER(SEARCH("Apoio HDD",$F1642))),"MND",IF(OR(ISNUMBER(SEARCH("VCA",$F1642)),ISNUMBER(SEARCH("PVC",$F1642)),ISNUMBER(SEARCH("vca",$J1642)),ISNUMBER(SEARCH("Transformação",$J1642))),"VCA",IF(OR(ISNUMBER(SEARCH("crava",$F1642)),ISNUMBER(SEARCH("tubo cravado",$F1642)),ISNUMBER(SEARCH("shaft",$J1642)),ISNUMBER(SEARCH("concreto",$F1642))),"TUBO CRAVADO","")))</f>
        <v/>
      </c>
      <c r="T1642">
        <f>IF($A1642="","",TEXT($A1642,"yyyymm")&amp;"|"&amp;$C1642&amp;"|"&amp;$F1642&amp;"|"&amp;$N1642&amp;"|"&amp;$R1642)</f>
        <v/>
      </c>
    </row>
    <row r="1643" ht="11.55" customHeight="1">
      <c r="A1643" s="10" t="n">
        <v>46118</v>
      </c>
      <c r="B1643" s="7" t="inlineStr">
        <is>
          <t>Segunda</t>
        </is>
      </c>
      <c r="C1643" s="7" t="inlineStr">
        <is>
          <t>CTS CONCEIÇÃO</t>
        </is>
      </c>
      <c r="D1643" s="7" t="inlineStr">
        <is>
          <t>LEANDRO</t>
        </is>
      </c>
      <c r="E1643" s="7" t="inlineStr">
        <is>
          <t>WJ 02</t>
        </is>
      </c>
      <c r="F1643" s="13" t="inlineStr">
        <is>
          <t>Piloto e puxe entre PV 10.1 ao 10.2</t>
        </is>
      </c>
      <c r="G1643" s="7" t="inlineStr">
        <is>
          <t>10.1</t>
        </is>
      </c>
      <c r="H1643" s="7" t="n"/>
      <c r="I1643" s="7" t="inlineStr">
        <is>
          <t>10.1</t>
        </is>
      </c>
      <c r="J1643" s="7" t="inlineStr">
        <is>
          <t>Piloto e puxe</t>
        </is>
      </c>
      <c r="K1643" s="7" t="inlineStr">
        <is>
          <t>Planejamento</t>
        </is>
      </c>
      <c r="L1643" s="16" t="inlineStr">
        <is>
          <t>PDS-Abril(2).docx</t>
        </is>
      </c>
      <c r="M1643">
        <f>IF($A1643="","",TEXT($A1643,"mmmm/yyyy"))</f>
        <v/>
      </c>
      <c r="P1643">
        <f>IFERROR(_xludf.XLOOKUP($N1643,Base_Enderecos!$A:$A,Base_Enderecos!$B:$B,""),"")</f>
        <v/>
      </c>
      <c r="Q1643">
        <f>IFERROR(_xludf.XLOOKUP($N1643,Base_Enderecos!$A:$A,Base_Enderecos!$C:$C,""),"")</f>
        <v/>
      </c>
      <c r="R1643">
        <f>IF(OR(ISNUMBER(SEARCH("HDD",$F1643)),ISNUMBER(SEARCH("MND",$F1643)),ISNUMBER(SEARCH("PEAD",$F1643)),ISNUMBER(SEARCH("Puxe",$J1643)),ISNUMBER(SEARCH("Apoio HDD",$F1643))),"MND",IF(OR(ISNUMBER(SEARCH("VCA",$F1643)),ISNUMBER(SEARCH("PVC",$F1643)),ISNUMBER(SEARCH("vca",$J1643)),ISNUMBER(SEARCH("Transformação",$J1643))),"VCA",IF(OR(ISNUMBER(SEARCH("crava",$F1643)),ISNUMBER(SEARCH("tubo cravado",$F1643)),ISNUMBER(SEARCH("shaft",$J1643)),ISNUMBER(SEARCH("concreto",$F1643))),"TUBO CRAVADO","")))</f>
        <v/>
      </c>
      <c r="T1643">
        <f>IF($A1643="","",TEXT($A1643,"yyyymm")&amp;"|"&amp;$C1643&amp;"|"&amp;$F1643&amp;"|"&amp;$N1643&amp;"|"&amp;$R1643)</f>
        <v/>
      </c>
    </row>
    <row r="1644" ht="11.55" customHeight="1">
      <c r="A1644" s="10" t="n">
        <v>46118</v>
      </c>
      <c r="B1644" s="7" t="inlineStr">
        <is>
          <t>Segunda</t>
        </is>
      </c>
      <c r="C1644" s="7" t="inlineStr">
        <is>
          <t>CTS CONCEIÇÃO</t>
        </is>
      </c>
      <c r="D1644" s="7" t="inlineStr">
        <is>
          <t>LEANDRO</t>
        </is>
      </c>
      <c r="E1644" s="7" t="inlineStr">
        <is>
          <t>Medeiros</t>
        </is>
      </c>
      <c r="F1644" s="13" t="inlineStr">
        <is>
          <t>Apoio HDD entre PV 10.1 ao 10.2</t>
        </is>
      </c>
      <c r="G1644" s="7" t="inlineStr">
        <is>
          <t>10.1</t>
        </is>
      </c>
      <c r="H1644" s="7" t="n"/>
      <c r="I1644" s="7" t="inlineStr">
        <is>
          <t>10.1</t>
        </is>
      </c>
      <c r="J1644" s="7" t="inlineStr">
        <is>
          <t>Apoio HDD</t>
        </is>
      </c>
      <c r="K1644" s="7" t="inlineStr">
        <is>
          <t>Planejamento</t>
        </is>
      </c>
      <c r="L1644" s="16" t="inlineStr">
        <is>
          <t>PDS-Abril(2).docx</t>
        </is>
      </c>
      <c r="M1644">
        <f>IF($A1644="","",TEXT($A1644,"mmmm/yyyy"))</f>
        <v/>
      </c>
      <c r="P1644">
        <f>IFERROR(_xludf.XLOOKUP($N1644,Base_Enderecos!$A:$A,Base_Enderecos!$B:$B,""),"")</f>
        <v/>
      </c>
      <c r="Q1644">
        <f>IFERROR(_xludf.XLOOKUP($N1644,Base_Enderecos!$A:$A,Base_Enderecos!$C:$C,""),"")</f>
        <v/>
      </c>
      <c r="R1644">
        <f>IF(OR(ISNUMBER(SEARCH("HDD",$F1644)),ISNUMBER(SEARCH("MND",$F1644)),ISNUMBER(SEARCH("PEAD",$F1644)),ISNUMBER(SEARCH("Puxe",$J1644)),ISNUMBER(SEARCH("Apoio HDD",$F1644))),"MND",IF(OR(ISNUMBER(SEARCH("VCA",$F1644)),ISNUMBER(SEARCH("PVC",$F1644)),ISNUMBER(SEARCH("vca",$J1644)),ISNUMBER(SEARCH("Transformação",$J1644))),"VCA",IF(OR(ISNUMBER(SEARCH("crava",$F1644)),ISNUMBER(SEARCH("tubo cravado",$F1644)),ISNUMBER(SEARCH("shaft",$J1644)),ISNUMBER(SEARCH("concreto",$F1644))),"TUBO CRAVADO","")))</f>
        <v/>
      </c>
      <c r="T1644">
        <f>IF($A1644="","",TEXT($A1644,"yyyymm")&amp;"|"&amp;$C1644&amp;"|"&amp;$F1644&amp;"|"&amp;$N1644&amp;"|"&amp;$R1644)</f>
        <v/>
      </c>
    </row>
    <row r="1645" ht="11.55" customHeight="1">
      <c r="A1645" s="10" t="n">
        <v>46118</v>
      </c>
      <c r="B1645" s="7" t="inlineStr">
        <is>
          <t>Segunda</t>
        </is>
      </c>
      <c r="C1645" s="7" t="inlineStr">
        <is>
          <t>CTS CONCEIÇÃO</t>
        </is>
      </c>
      <c r="D1645" s="7" t="inlineStr">
        <is>
          <t>LEANDRO</t>
        </is>
      </c>
      <c r="E1645" s="7" t="inlineStr">
        <is>
          <t>Cesar</t>
        </is>
      </c>
      <c r="F1645" s="13" t="inlineStr">
        <is>
          <t>Transformação PV 09</t>
        </is>
      </c>
      <c r="G1645" s="7" t="inlineStr">
        <is>
          <t>09</t>
        </is>
      </c>
      <c r="H1645" s="7" t="n"/>
      <c r="I1645" s="7" t="inlineStr">
        <is>
          <t>09</t>
        </is>
      </c>
      <c r="J1645" s="7" t="inlineStr">
        <is>
          <t>Transformação</t>
        </is>
      </c>
      <c r="K1645" s="7" t="inlineStr">
        <is>
          <t>Planejamento</t>
        </is>
      </c>
      <c r="L1645" s="16" t="inlineStr">
        <is>
          <t>PDS-Abril(2).docx</t>
        </is>
      </c>
      <c r="M1645">
        <f>IF($A1645="","",TEXT($A1645,"mmmm/yyyy"))</f>
        <v/>
      </c>
      <c r="P1645">
        <f>IFERROR(_xludf.XLOOKUP($N1645,Base_Enderecos!$A:$A,Base_Enderecos!$B:$B,""),"")</f>
        <v/>
      </c>
      <c r="Q1645">
        <f>IFERROR(_xludf.XLOOKUP($N1645,Base_Enderecos!$A:$A,Base_Enderecos!$C:$C,""),"")</f>
        <v/>
      </c>
      <c r="R1645">
        <f>IF(OR(ISNUMBER(SEARCH("HDD",$F1645)),ISNUMBER(SEARCH("MND",$F1645)),ISNUMBER(SEARCH("PEAD",$F1645)),ISNUMBER(SEARCH("Puxe",$J1645)),ISNUMBER(SEARCH("Apoio HDD",$F1645))),"MND",IF(OR(ISNUMBER(SEARCH("VCA",$F1645)),ISNUMBER(SEARCH("PVC",$F1645)),ISNUMBER(SEARCH("vca",$J1645)),ISNUMBER(SEARCH("Transformação",$J1645))),"VCA",IF(OR(ISNUMBER(SEARCH("crava",$F1645)),ISNUMBER(SEARCH("tubo cravado",$F1645)),ISNUMBER(SEARCH("shaft",$J1645)),ISNUMBER(SEARCH("concreto",$F1645))),"TUBO CRAVADO","")))</f>
        <v/>
      </c>
      <c r="T1645">
        <f>IF($A1645="","",TEXT($A1645,"yyyymm")&amp;"|"&amp;$C1645&amp;"|"&amp;$F1645&amp;"|"&amp;$N1645&amp;"|"&amp;$R1645)</f>
        <v/>
      </c>
    </row>
    <row r="1646" ht="11.55" customHeight="1">
      <c r="A1646" s="10" t="n">
        <v>46118</v>
      </c>
      <c r="B1646" s="7" t="inlineStr">
        <is>
          <t>Segunda</t>
        </is>
      </c>
      <c r="C1646" s="7" t="inlineStr">
        <is>
          <t>CTS CONCEIÇÃO</t>
        </is>
      </c>
      <c r="D1646" s="7" t="inlineStr">
        <is>
          <t>LEANDRO</t>
        </is>
      </c>
      <c r="E1646" s="7" t="inlineStr">
        <is>
          <t>Carlos</t>
        </is>
      </c>
      <c r="F1646" s="13" t="inlineStr">
        <is>
          <t>Shaft PV 9.1</t>
        </is>
      </c>
      <c r="G1646" s="7" t="inlineStr">
        <is>
          <t>9.1</t>
        </is>
      </c>
      <c r="H1646" s="7" t="n"/>
      <c r="I1646" s="7" t="inlineStr">
        <is>
          <t>9.1</t>
        </is>
      </c>
      <c r="J1646" s="7" t="inlineStr">
        <is>
          <t>Shaft</t>
        </is>
      </c>
      <c r="K1646" s="7" t="inlineStr">
        <is>
          <t>Planejamento</t>
        </is>
      </c>
      <c r="L1646" s="16" t="inlineStr">
        <is>
          <t>PDS-Abril(2).docx</t>
        </is>
      </c>
      <c r="M1646">
        <f>IF($A1646="","",TEXT($A1646,"mmmm/yyyy"))</f>
        <v/>
      </c>
      <c r="P1646">
        <f>IFERROR(_xludf.XLOOKUP($N1646,Base_Enderecos!$A:$A,Base_Enderecos!$B:$B,""),"")</f>
        <v/>
      </c>
      <c r="Q1646">
        <f>IFERROR(_xludf.XLOOKUP($N1646,Base_Enderecos!$A:$A,Base_Enderecos!$C:$C,""),"")</f>
        <v/>
      </c>
      <c r="R1646">
        <f>IF(OR(ISNUMBER(SEARCH("HDD",$F1646)),ISNUMBER(SEARCH("MND",$F1646)),ISNUMBER(SEARCH("PEAD",$F1646)),ISNUMBER(SEARCH("Puxe",$J1646)),ISNUMBER(SEARCH("Apoio HDD",$F1646))),"MND",IF(OR(ISNUMBER(SEARCH("VCA",$F1646)),ISNUMBER(SEARCH("PVC",$F1646)),ISNUMBER(SEARCH("vca",$J1646)),ISNUMBER(SEARCH("Transformação",$J1646))),"VCA",IF(OR(ISNUMBER(SEARCH("crava",$F1646)),ISNUMBER(SEARCH("tubo cravado",$F1646)),ISNUMBER(SEARCH("shaft",$J1646)),ISNUMBER(SEARCH("concreto",$F1646))),"TUBO CRAVADO","")))</f>
        <v/>
      </c>
      <c r="T1646">
        <f>IF($A1646="","",TEXT($A1646,"yyyymm")&amp;"|"&amp;$C1646&amp;"|"&amp;$F1646&amp;"|"&amp;$N1646&amp;"|"&amp;$R1646)</f>
        <v/>
      </c>
    </row>
    <row r="1647" ht="11.55" customHeight="1">
      <c r="A1647" s="10" t="n">
        <v>46118</v>
      </c>
      <c r="B1647" s="7" t="inlineStr">
        <is>
          <t>Segunda</t>
        </is>
      </c>
      <c r="C1647" s="7" t="inlineStr">
        <is>
          <t>CT ÁGUA VERMELHA M.D. e M.E</t>
        </is>
      </c>
      <c r="D1647" s="7" t="inlineStr">
        <is>
          <t>FABIO</t>
        </is>
      </c>
      <c r="E1647" s="7" t="inlineStr">
        <is>
          <t>Johnatan</t>
        </is>
      </c>
      <c r="F1647" s="13" t="inlineStr">
        <is>
          <t>Transformação PVD 07</t>
        </is>
      </c>
      <c r="G1647" s="7" t="inlineStr">
        <is>
          <t>07</t>
        </is>
      </c>
      <c r="H1647" s="7" t="n"/>
      <c r="I1647" s="7" t="inlineStr">
        <is>
          <t>07</t>
        </is>
      </c>
      <c r="J1647" s="7" t="inlineStr">
        <is>
          <t>Transformação</t>
        </is>
      </c>
      <c r="K1647" s="7" t="inlineStr">
        <is>
          <t>Planejamento</t>
        </is>
      </c>
      <c r="L1647" s="16" t="inlineStr">
        <is>
          <t>PDS-Abril(2).docx</t>
        </is>
      </c>
      <c r="M1647">
        <f>IF($A1647="","",TEXT($A1647,"mmmm/yyyy"))</f>
        <v/>
      </c>
      <c r="P1647">
        <f>IFERROR(_xludf.XLOOKUP($N1647,Base_Enderecos!$A:$A,Base_Enderecos!$B:$B,""),"")</f>
        <v/>
      </c>
      <c r="Q1647">
        <f>IFERROR(_xludf.XLOOKUP($N1647,Base_Enderecos!$A:$A,Base_Enderecos!$C:$C,""),"")</f>
        <v/>
      </c>
      <c r="R1647">
        <f>IF(OR(ISNUMBER(SEARCH("HDD",$F1647)),ISNUMBER(SEARCH("MND",$F1647)),ISNUMBER(SEARCH("PEAD",$F1647)),ISNUMBER(SEARCH("Puxe",$J1647)),ISNUMBER(SEARCH("Apoio HDD",$F1647))),"MND",IF(OR(ISNUMBER(SEARCH("VCA",$F1647)),ISNUMBER(SEARCH("PVC",$F1647)),ISNUMBER(SEARCH("vca",$J1647)),ISNUMBER(SEARCH("Transformação",$J1647))),"VCA",IF(OR(ISNUMBER(SEARCH("crava",$F1647)),ISNUMBER(SEARCH("tubo cravado",$F1647)),ISNUMBER(SEARCH("shaft",$J1647)),ISNUMBER(SEARCH("concreto",$F1647))),"TUBO CRAVADO","")))</f>
        <v/>
      </c>
      <c r="T1647">
        <f>IF($A1647="","",TEXT($A1647,"yyyymm")&amp;"|"&amp;$C1647&amp;"|"&amp;$F1647&amp;"|"&amp;$N1647&amp;"|"&amp;$R1647)</f>
        <v/>
      </c>
    </row>
    <row r="1648" ht="11.55" customHeight="1">
      <c r="A1648" s="10" t="n">
        <v>46118</v>
      </c>
      <c r="B1648" s="7" t="inlineStr">
        <is>
          <t>Segunda</t>
        </is>
      </c>
      <c r="C1648" s="7" t="inlineStr">
        <is>
          <t>CT ÁGUA VERMELHA M.D. e M.E</t>
        </is>
      </c>
      <c r="D1648" s="7" t="inlineStr">
        <is>
          <t>FABIO</t>
        </is>
      </c>
      <c r="E1648" s="7" t="inlineStr">
        <is>
          <t>Claudinei</t>
        </is>
      </c>
      <c r="F1648" s="13" t="inlineStr">
        <is>
          <t>Apoio casa (PVD 7)</t>
        </is>
      </c>
      <c r="G1648" s="7" t="inlineStr">
        <is>
          <t>7</t>
        </is>
      </c>
      <c r="H1648" s="7" t="n"/>
      <c r="I1648" s="7" t="inlineStr">
        <is>
          <t>7</t>
        </is>
      </c>
      <c r="J1648" s="7" t="n"/>
      <c r="K1648" s="7" t="inlineStr">
        <is>
          <t>Planejamento</t>
        </is>
      </c>
      <c r="L1648" s="16" t="inlineStr">
        <is>
          <t>PDS-Abril(2).docx</t>
        </is>
      </c>
      <c r="M1648">
        <f>IF($A1648="","",TEXT($A1648,"mmmm/yyyy"))</f>
        <v/>
      </c>
      <c r="P1648">
        <f>IFERROR(_xludf.XLOOKUP($N1648,Base_Enderecos!$A:$A,Base_Enderecos!$B:$B,""),"")</f>
        <v/>
      </c>
      <c r="Q1648">
        <f>IFERROR(_xludf.XLOOKUP($N1648,Base_Enderecos!$A:$A,Base_Enderecos!$C:$C,""),"")</f>
        <v/>
      </c>
      <c r="R1648">
        <f>IF(OR(ISNUMBER(SEARCH("HDD",$F1648)),ISNUMBER(SEARCH("MND",$F1648)),ISNUMBER(SEARCH("PEAD",$F1648)),ISNUMBER(SEARCH("Puxe",$J1648)),ISNUMBER(SEARCH("Apoio HDD",$F1648))),"MND",IF(OR(ISNUMBER(SEARCH("VCA",$F1648)),ISNUMBER(SEARCH("PVC",$F1648)),ISNUMBER(SEARCH("vca",$J1648)),ISNUMBER(SEARCH("Transformação",$J1648))),"VCA",IF(OR(ISNUMBER(SEARCH("crava",$F1648)),ISNUMBER(SEARCH("tubo cravado",$F1648)),ISNUMBER(SEARCH("shaft",$J1648)),ISNUMBER(SEARCH("concreto",$F1648))),"TUBO CRAVADO","")))</f>
        <v/>
      </c>
      <c r="T1648">
        <f>IF($A1648="","",TEXT($A1648,"yyyymm")&amp;"|"&amp;$C1648&amp;"|"&amp;$F1648&amp;"|"&amp;$N1648&amp;"|"&amp;$R1648)</f>
        <v/>
      </c>
    </row>
    <row r="1649" ht="11.55" customHeight="1">
      <c r="A1649" s="10" t="n">
        <v>46118</v>
      </c>
      <c r="B1649" s="7" t="inlineStr">
        <is>
          <t>Segunda</t>
        </is>
      </c>
      <c r="C1649" s="7" t="inlineStr">
        <is>
          <t>CT ÁGUA VERMELHA M.D. e M.E</t>
        </is>
      </c>
      <c r="D1649" s="7" t="inlineStr">
        <is>
          <t>FABIO</t>
        </is>
      </c>
      <c r="E1649" s="7" t="inlineStr">
        <is>
          <t>Higor</t>
        </is>
      </c>
      <c r="F1649" s="13" t="inlineStr">
        <is>
          <t>Shaft PVE 04</t>
        </is>
      </c>
      <c r="G1649" s="7" t="inlineStr">
        <is>
          <t>04</t>
        </is>
      </c>
      <c r="H1649" s="7" t="n"/>
      <c r="I1649" s="7" t="inlineStr">
        <is>
          <t>04</t>
        </is>
      </c>
      <c r="J1649" s="7" t="inlineStr">
        <is>
          <t>Shaft</t>
        </is>
      </c>
      <c r="K1649" s="7" t="inlineStr">
        <is>
          <t>Planejamento</t>
        </is>
      </c>
      <c r="L1649" s="16" t="inlineStr">
        <is>
          <t>PDS-Abril(2).docx</t>
        </is>
      </c>
      <c r="M1649">
        <f>IF($A1649="","",TEXT($A1649,"mmmm/yyyy"))</f>
        <v/>
      </c>
      <c r="P1649">
        <f>IFERROR(_xludf.XLOOKUP($N1649,Base_Enderecos!$A:$A,Base_Enderecos!$B:$B,""),"")</f>
        <v/>
      </c>
      <c r="Q1649">
        <f>IFERROR(_xludf.XLOOKUP($N1649,Base_Enderecos!$A:$A,Base_Enderecos!$C:$C,""),"")</f>
        <v/>
      </c>
      <c r="R1649">
        <f>IF(OR(ISNUMBER(SEARCH("HDD",$F1649)),ISNUMBER(SEARCH("MND",$F1649)),ISNUMBER(SEARCH("PEAD",$F1649)),ISNUMBER(SEARCH("Puxe",$J1649)),ISNUMBER(SEARCH("Apoio HDD",$F1649))),"MND",IF(OR(ISNUMBER(SEARCH("VCA",$F1649)),ISNUMBER(SEARCH("PVC",$F1649)),ISNUMBER(SEARCH("vca",$J1649)),ISNUMBER(SEARCH("Transformação",$J1649))),"VCA",IF(OR(ISNUMBER(SEARCH("crava",$F1649)),ISNUMBER(SEARCH("tubo cravado",$F1649)),ISNUMBER(SEARCH("shaft",$J1649)),ISNUMBER(SEARCH("concreto",$F1649))),"TUBO CRAVADO","")))</f>
        <v/>
      </c>
      <c r="T1649">
        <f>IF($A1649="","",TEXT($A1649,"yyyymm")&amp;"|"&amp;$C1649&amp;"|"&amp;$F1649&amp;"|"&amp;$N1649&amp;"|"&amp;$R1649)</f>
        <v/>
      </c>
    </row>
    <row r="1650" ht="11.55" customHeight="1">
      <c r="A1650" s="10" t="n">
        <v>46118</v>
      </c>
      <c r="B1650" s="7" t="inlineStr">
        <is>
          <t>Segunda</t>
        </is>
      </c>
      <c r="C1650" s="7" t="inlineStr">
        <is>
          <t>CT ÁGUA VERMELHA M.D. e M.E</t>
        </is>
      </c>
      <c r="D1650" s="7" t="inlineStr">
        <is>
          <t>FABIO</t>
        </is>
      </c>
      <c r="E1650" s="7" t="inlineStr">
        <is>
          <t>Cidão</t>
        </is>
      </c>
      <c r="F1650" s="13" t="inlineStr">
        <is>
          <t>Shaft PVE 06</t>
        </is>
      </c>
      <c r="G1650" s="7" t="inlineStr">
        <is>
          <t>06</t>
        </is>
      </c>
      <c r="H1650" s="7" t="n"/>
      <c r="I1650" s="7" t="inlineStr">
        <is>
          <t>06</t>
        </is>
      </c>
      <c r="J1650" s="7" t="inlineStr">
        <is>
          <t>Shaft</t>
        </is>
      </c>
      <c r="K1650" s="7" t="inlineStr">
        <is>
          <t>Planejamento</t>
        </is>
      </c>
      <c r="L1650" s="16" t="inlineStr">
        <is>
          <t>PDS-Abril(2).docx</t>
        </is>
      </c>
      <c r="M1650">
        <f>IF($A1650="","",TEXT($A1650,"mmmm/yyyy"))</f>
        <v/>
      </c>
      <c r="P1650">
        <f>IFERROR(_xludf.XLOOKUP($N1650,Base_Enderecos!$A:$A,Base_Enderecos!$B:$B,""),"")</f>
        <v/>
      </c>
      <c r="Q1650">
        <f>IFERROR(_xludf.XLOOKUP($N1650,Base_Enderecos!$A:$A,Base_Enderecos!$C:$C,""),"")</f>
        <v/>
      </c>
      <c r="R1650">
        <f>IF(OR(ISNUMBER(SEARCH("HDD",$F1650)),ISNUMBER(SEARCH("MND",$F1650)),ISNUMBER(SEARCH("PEAD",$F1650)),ISNUMBER(SEARCH("Puxe",$J1650)),ISNUMBER(SEARCH("Apoio HDD",$F1650))),"MND",IF(OR(ISNUMBER(SEARCH("VCA",$F1650)),ISNUMBER(SEARCH("PVC",$F1650)),ISNUMBER(SEARCH("vca",$J1650)),ISNUMBER(SEARCH("Transformação",$J1650))),"VCA",IF(OR(ISNUMBER(SEARCH("crava",$F1650)),ISNUMBER(SEARCH("tubo cravado",$F1650)),ISNUMBER(SEARCH("shaft",$J1650)),ISNUMBER(SEARCH("concreto",$F1650))),"TUBO CRAVADO","")))</f>
        <v/>
      </c>
      <c r="T1650">
        <f>IF($A1650="","",TEXT($A1650,"yyyymm")&amp;"|"&amp;$C1650&amp;"|"&amp;$F1650&amp;"|"&amp;$N1650&amp;"|"&amp;$R1650)</f>
        <v/>
      </c>
    </row>
    <row r="1651" ht="11.55" customHeight="1">
      <c r="A1651" s="10" t="n">
        <v>46118</v>
      </c>
      <c r="B1651" s="7" t="inlineStr">
        <is>
          <t>Segunda</t>
        </is>
      </c>
      <c r="C1651" s="7" t="inlineStr">
        <is>
          <t>CT ÁGUA VERMELHA M.D. e M.E</t>
        </is>
      </c>
      <c r="D1651" s="7" t="inlineStr">
        <is>
          <t>FABIO</t>
        </is>
      </c>
      <c r="E1651" s="7" t="inlineStr">
        <is>
          <t>Edivando</t>
        </is>
      </c>
      <c r="F1651" s="13" t="inlineStr">
        <is>
          <t>Adequação PVE 25</t>
        </is>
      </c>
      <c r="G1651" s="7" t="inlineStr">
        <is>
          <t>25</t>
        </is>
      </c>
      <c r="H1651" s="7" t="n"/>
      <c r="I1651" s="7" t="inlineStr">
        <is>
          <t>25</t>
        </is>
      </c>
      <c r="J1651" s="7" t="inlineStr">
        <is>
          <t>Adequação</t>
        </is>
      </c>
      <c r="K1651" s="7" t="inlineStr">
        <is>
          <t>Planejamento</t>
        </is>
      </c>
      <c r="L1651" s="16" t="inlineStr">
        <is>
          <t>PDS-Abril(2).docx</t>
        </is>
      </c>
      <c r="M1651">
        <f>IF($A1651="","",TEXT($A1651,"mmmm/yyyy"))</f>
        <v/>
      </c>
      <c r="P1651">
        <f>IFERROR(_xludf.XLOOKUP($N1651,Base_Enderecos!$A:$A,Base_Enderecos!$B:$B,""),"")</f>
        <v/>
      </c>
      <c r="Q1651">
        <f>IFERROR(_xludf.XLOOKUP($N1651,Base_Enderecos!$A:$A,Base_Enderecos!$C:$C,""),"")</f>
        <v/>
      </c>
      <c r="R1651">
        <f>IF(OR(ISNUMBER(SEARCH("HDD",$F1651)),ISNUMBER(SEARCH("MND",$F1651)),ISNUMBER(SEARCH("PEAD",$F1651)),ISNUMBER(SEARCH("Puxe",$J1651)),ISNUMBER(SEARCH("Apoio HDD",$F1651))),"MND",IF(OR(ISNUMBER(SEARCH("VCA",$F1651)),ISNUMBER(SEARCH("PVC",$F1651)),ISNUMBER(SEARCH("vca",$J1651)),ISNUMBER(SEARCH("Transformação",$J1651))),"VCA",IF(OR(ISNUMBER(SEARCH("crava",$F1651)),ISNUMBER(SEARCH("tubo cravado",$F1651)),ISNUMBER(SEARCH("shaft",$J1651)),ISNUMBER(SEARCH("concreto",$F1651))),"TUBO CRAVADO","")))</f>
        <v/>
      </c>
      <c r="T1651">
        <f>IF($A1651="","",TEXT($A1651,"yyyymm")&amp;"|"&amp;$C1651&amp;"|"&amp;$F1651&amp;"|"&amp;$N1651&amp;"|"&amp;$R1651)</f>
        <v/>
      </c>
    </row>
    <row r="1652" ht="11.55" customHeight="1">
      <c r="A1652" s="10" t="n">
        <v>46118</v>
      </c>
      <c r="B1652" s="7" t="inlineStr">
        <is>
          <t>Segunda</t>
        </is>
      </c>
      <c r="C1652" s="7" t="inlineStr">
        <is>
          <t>Int. AGUA BOA</t>
        </is>
      </c>
      <c r="D1652" s="7" t="inlineStr">
        <is>
          <t>FABIO</t>
        </is>
      </c>
      <c r="E1652" s="7" t="inlineStr">
        <is>
          <t>Antônio</t>
        </is>
      </c>
      <c r="F1652" s="13" t="inlineStr">
        <is>
          <t>Transformação PV 03</t>
        </is>
      </c>
      <c r="G1652" s="7" t="inlineStr">
        <is>
          <t>03</t>
        </is>
      </c>
      <c r="H1652" s="7" t="n"/>
      <c r="I1652" s="7" t="inlineStr">
        <is>
          <t>03</t>
        </is>
      </c>
      <c r="J1652" s="7" t="inlineStr">
        <is>
          <t>Transformação</t>
        </is>
      </c>
      <c r="K1652" s="7" t="inlineStr">
        <is>
          <t>Planejamento</t>
        </is>
      </c>
      <c r="L1652" s="16" t="inlineStr">
        <is>
          <t>PDS-Abril(2).docx</t>
        </is>
      </c>
      <c r="M1652">
        <f>IF($A1652="","",TEXT($A1652,"mmmm/yyyy"))</f>
        <v/>
      </c>
      <c r="P1652">
        <f>IFERROR(_xludf.XLOOKUP($N1652,Base_Enderecos!$A:$A,Base_Enderecos!$B:$B,""),"")</f>
        <v/>
      </c>
      <c r="Q1652">
        <f>IFERROR(_xludf.XLOOKUP($N1652,Base_Enderecos!$A:$A,Base_Enderecos!$C:$C,""),"")</f>
        <v/>
      </c>
      <c r="R1652">
        <f>IF(OR(ISNUMBER(SEARCH("HDD",$F1652)),ISNUMBER(SEARCH("MND",$F1652)),ISNUMBER(SEARCH("PEAD",$F1652)),ISNUMBER(SEARCH("Puxe",$J1652)),ISNUMBER(SEARCH("Apoio HDD",$F1652))),"MND",IF(OR(ISNUMBER(SEARCH("VCA",$F1652)),ISNUMBER(SEARCH("PVC",$F1652)),ISNUMBER(SEARCH("vca",$J1652)),ISNUMBER(SEARCH("Transformação",$J1652))),"VCA",IF(OR(ISNUMBER(SEARCH("crava",$F1652)),ISNUMBER(SEARCH("tubo cravado",$F1652)),ISNUMBER(SEARCH("shaft",$J1652)),ISNUMBER(SEARCH("concreto",$F1652))),"TUBO CRAVADO","")))</f>
        <v/>
      </c>
      <c r="T1652">
        <f>IF($A1652="","",TEXT($A1652,"yyyymm")&amp;"|"&amp;$C1652&amp;"|"&amp;$F1652&amp;"|"&amp;$N1652&amp;"|"&amp;$R1652)</f>
        <v/>
      </c>
    </row>
    <row r="1653" ht="11.55" customHeight="1">
      <c r="A1653" s="10" t="n">
        <v>46118</v>
      </c>
      <c r="B1653" s="7" t="inlineStr">
        <is>
          <t>Segunda</t>
        </is>
      </c>
      <c r="C1653" s="7" t="inlineStr">
        <is>
          <t>Int. AGUA BOA</t>
        </is>
      </c>
      <c r="D1653" s="7" t="inlineStr">
        <is>
          <t>FABIO</t>
        </is>
      </c>
      <c r="E1653" s="7" t="inlineStr">
        <is>
          <t>Ricardo</t>
        </is>
      </c>
      <c r="F1653" s="13" t="inlineStr">
        <is>
          <t>Transformação PV 04</t>
        </is>
      </c>
      <c r="G1653" s="7" t="inlineStr">
        <is>
          <t>04</t>
        </is>
      </c>
      <c r="H1653" s="7" t="n"/>
      <c r="I1653" s="7" t="inlineStr">
        <is>
          <t>04</t>
        </is>
      </c>
      <c r="J1653" s="7" t="inlineStr">
        <is>
          <t>Transformação</t>
        </is>
      </c>
      <c r="K1653" s="7" t="inlineStr">
        <is>
          <t>Planejamento</t>
        </is>
      </c>
      <c r="L1653" s="16" t="inlineStr">
        <is>
          <t>PDS-Abril(2).docx</t>
        </is>
      </c>
      <c r="M1653">
        <f>IF($A1653="","",TEXT($A1653,"mmmm/yyyy"))</f>
        <v/>
      </c>
      <c r="P1653">
        <f>IFERROR(_xludf.XLOOKUP($N1653,Base_Enderecos!$A:$A,Base_Enderecos!$B:$B,""),"")</f>
        <v/>
      </c>
      <c r="Q1653">
        <f>IFERROR(_xludf.XLOOKUP($N1653,Base_Enderecos!$A:$A,Base_Enderecos!$C:$C,""),"")</f>
        <v/>
      </c>
      <c r="R1653">
        <f>IF(OR(ISNUMBER(SEARCH("HDD",$F1653)),ISNUMBER(SEARCH("MND",$F1653)),ISNUMBER(SEARCH("PEAD",$F1653)),ISNUMBER(SEARCH("Puxe",$J1653)),ISNUMBER(SEARCH("Apoio HDD",$F1653))),"MND",IF(OR(ISNUMBER(SEARCH("VCA",$F1653)),ISNUMBER(SEARCH("PVC",$F1653)),ISNUMBER(SEARCH("vca",$J1653)),ISNUMBER(SEARCH("Transformação",$J1653))),"VCA",IF(OR(ISNUMBER(SEARCH("crava",$F1653)),ISNUMBER(SEARCH("tubo cravado",$F1653)),ISNUMBER(SEARCH("shaft",$J1653)),ISNUMBER(SEARCH("concreto",$F1653))),"TUBO CRAVADO","")))</f>
        <v/>
      </c>
      <c r="T1653">
        <f>IF($A1653="","",TEXT($A1653,"yyyymm")&amp;"|"&amp;$C1653&amp;"|"&amp;$F1653&amp;"|"&amp;$N1653&amp;"|"&amp;$R1653)</f>
        <v/>
      </c>
    </row>
    <row r="1654" ht="11.55" customHeight="1">
      <c r="A1654" s="10" t="n">
        <v>46118</v>
      </c>
      <c r="B1654" s="7" t="inlineStr">
        <is>
          <t>Segunda</t>
        </is>
      </c>
      <c r="C1654" s="7" t="inlineStr">
        <is>
          <t>Int. AGUA BOA</t>
        </is>
      </c>
      <c r="D1654" s="7" t="inlineStr">
        <is>
          <t>FABIO</t>
        </is>
      </c>
      <c r="E1654" s="7" t="inlineStr">
        <is>
          <t>Marcelo</t>
        </is>
      </c>
      <c r="F1654" s="13" t="inlineStr">
        <is>
          <t>Transformação PVE 02</t>
        </is>
      </c>
      <c r="G1654" s="7" t="inlineStr">
        <is>
          <t>02</t>
        </is>
      </c>
      <c r="H1654" s="7" t="n"/>
      <c r="I1654" s="7" t="inlineStr">
        <is>
          <t>02</t>
        </is>
      </c>
      <c r="J1654" s="7" t="inlineStr">
        <is>
          <t>Transformação</t>
        </is>
      </c>
      <c r="K1654" s="7" t="inlineStr">
        <is>
          <t>Planejamento</t>
        </is>
      </c>
      <c r="L1654" s="16" t="inlineStr">
        <is>
          <t>PDS-Abril(2).docx</t>
        </is>
      </c>
      <c r="M1654">
        <f>IF($A1654="","",TEXT($A1654,"mmmm/yyyy"))</f>
        <v/>
      </c>
      <c r="P1654">
        <f>IFERROR(_xludf.XLOOKUP($N1654,Base_Enderecos!$A:$A,Base_Enderecos!$B:$B,""),"")</f>
        <v/>
      </c>
      <c r="Q1654">
        <f>IFERROR(_xludf.XLOOKUP($N1654,Base_Enderecos!$A:$A,Base_Enderecos!$C:$C,""),"")</f>
        <v/>
      </c>
      <c r="R1654">
        <f>IF(OR(ISNUMBER(SEARCH("HDD",$F1654)),ISNUMBER(SEARCH("MND",$F1654)),ISNUMBER(SEARCH("PEAD",$F1654)),ISNUMBER(SEARCH("Puxe",$J1654)),ISNUMBER(SEARCH("Apoio HDD",$F1654))),"MND",IF(OR(ISNUMBER(SEARCH("VCA",$F1654)),ISNUMBER(SEARCH("PVC",$F1654)),ISNUMBER(SEARCH("vca",$J1654)),ISNUMBER(SEARCH("Transformação",$J1654))),"VCA",IF(OR(ISNUMBER(SEARCH("crava",$F1654)),ISNUMBER(SEARCH("tubo cravado",$F1654)),ISNUMBER(SEARCH("shaft",$J1654)),ISNUMBER(SEARCH("concreto",$F1654))),"TUBO CRAVADO","")))</f>
        <v/>
      </c>
      <c r="T1654">
        <f>IF($A1654="","",TEXT($A1654,"yyyymm")&amp;"|"&amp;$C1654&amp;"|"&amp;$F1654&amp;"|"&amp;$N1654&amp;"|"&amp;$R1654)</f>
        <v/>
      </c>
    </row>
    <row r="1655" ht="11.55" customHeight="1">
      <c r="A1655" s="10" t="n">
        <v>46118</v>
      </c>
      <c r="B1655" s="7" t="inlineStr">
        <is>
          <t>Segunda</t>
        </is>
      </c>
      <c r="C1655" s="7" t="inlineStr">
        <is>
          <t>RCE FCO. SOUTO MAIOR</t>
        </is>
      </c>
      <c r="D1655" s="7" t="inlineStr">
        <is>
          <t>SILVESTRE</t>
        </is>
      </c>
      <c r="E1655" s="7" t="inlineStr">
        <is>
          <t>Valter</t>
        </is>
      </c>
      <c r="F1655" s="13" t="inlineStr">
        <is>
          <t>VCA e Ligações – Rua Canto da Serra</t>
        </is>
      </c>
      <c r="G1655" s="7" t="n"/>
      <c r="H1655" s="7" t="n"/>
      <c r="I1655" s="7" t="n"/>
      <c r="J1655" s="7" t="inlineStr">
        <is>
          <t>VCA</t>
        </is>
      </c>
      <c r="K1655" s="7" t="inlineStr">
        <is>
          <t>Planejamento</t>
        </is>
      </c>
      <c r="L1655" s="16" t="inlineStr">
        <is>
          <t>PDS-Abril(2).docx</t>
        </is>
      </c>
      <c r="M1655">
        <f>IF($A1655="","",TEXT($A1655,"mmmm/yyyy"))</f>
        <v/>
      </c>
      <c r="P1655">
        <f>IFERROR(_xludf.XLOOKUP($N1655,Base_Enderecos!$A:$A,Base_Enderecos!$B:$B,""),"")</f>
        <v/>
      </c>
      <c r="Q1655">
        <f>IFERROR(_xludf.XLOOKUP($N1655,Base_Enderecos!$A:$A,Base_Enderecos!$C:$C,""),"")</f>
        <v/>
      </c>
      <c r="R1655">
        <f>IF(OR(ISNUMBER(SEARCH("HDD",$F1655)),ISNUMBER(SEARCH("MND",$F1655)),ISNUMBER(SEARCH("PEAD",$F1655)),ISNUMBER(SEARCH("Puxe",$J1655)),ISNUMBER(SEARCH("Apoio HDD",$F1655))),"MND",IF(OR(ISNUMBER(SEARCH("VCA",$F1655)),ISNUMBER(SEARCH("PVC",$F1655)),ISNUMBER(SEARCH("vca",$J1655)),ISNUMBER(SEARCH("Transformação",$J1655))),"VCA",IF(OR(ISNUMBER(SEARCH("crava",$F1655)),ISNUMBER(SEARCH("tubo cravado",$F1655)),ISNUMBER(SEARCH("shaft",$J1655)),ISNUMBER(SEARCH("concreto",$F1655))),"TUBO CRAVADO","")))</f>
        <v/>
      </c>
      <c r="T1655">
        <f>IF($A1655="","",TEXT($A1655,"yyyymm")&amp;"|"&amp;$C1655&amp;"|"&amp;$F1655&amp;"|"&amp;$N1655&amp;"|"&amp;$R1655)</f>
        <v/>
      </c>
    </row>
    <row r="1656" ht="11.55" customHeight="1">
      <c r="A1656" s="10" t="n">
        <v>46118</v>
      </c>
      <c r="B1656" s="7" t="inlineStr">
        <is>
          <t>Segunda</t>
        </is>
      </c>
      <c r="C1656" s="7" t="inlineStr">
        <is>
          <t>RCE FCO. SOUTO MAIOR</t>
        </is>
      </c>
      <c r="D1656" s="7" t="inlineStr">
        <is>
          <t>SILVESTRE</t>
        </is>
      </c>
      <c r="E1656" s="7" t="inlineStr">
        <is>
          <t>Sergio</t>
        </is>
      </c>
      <c r="F1656" s="13" t="inlineStr">
        <is>
          <t>VCA e Ligações – Rua Canto da Serra</t>
        </is>
      </c>
      <c r="G1656" s="7" t="n"/>
      <c r="H1656" s="7" t="n"/>
      <c r="I1656" s="7" t="n"/>
      <c r="J1656" s="7" t="inlineStr">
        <is>
          <t>VCA</t>
        </is>
      </c>
      <c r="K1656" s="7" t="inlineStr">
        <is>
          <t>Planejamento</t>
        </is>
      </c>
      <c r="L1656" s="16" t="inlineStr">
        <is>
          <t>PDS-Abril(2).docx</t>
        </is>
      </c>
      <c r="M1656">
        <f>IF($A1656="","",TEXT($A1656,"mmmm/yyyy"))</f>
        <v/>
      </c>
      <c r="P1656">
        <f>IFERROR(_xludf.XLOOKUP($N1656,Base_Enderecos!$A:$A,Base_Enderecos!$B:$B,""),"")</f>
        <v/>
      </c>
      <c r="Q1656">
        <f>IFERROR(_xludf.XLOOKUP($N1656,Base_Enderecos!$A:$A,Base_Enderecos!$C:$C,""),"")</f>
        <v/>
      </c>
      <c r="R1656">
        <f>IF(OR(ISNUMBER(SEARCH("HDD",$F1656)),ISNUMBER(SEARCH("MND",$F1656)),ISNUMBER(SEARCH("PEAD",$F1656)),ISNUMBER(SEARCH("Puxe",$J1656)),ISNUMBER(SEARCH("Apoio HDD",$F1656))),"MND",IF(OR(ISNUMBER(SEARCH("VCA",$F1656)),ISNUMBER(SEARCH("PVC",$F1656)),ISNUMBER(SEARCH("vca",$J1656)),ISNUMBER(SEARCH("Transformação",$J1656))),"VCA",IF(OR(ISNUMBER(SEARCH("crava",$F1656)),ISNUMBER(SEARCH("tubo cravado",$F1656)),ISNUMBER(SEARCH("shaft",$J1656)),ISNUMBER(SEARCH("concreto",$F1656))),"TUBO CRAVADO","")))</f>
        <v/>
      </c>
      <c r="T1656">
        <f>IF($A1656="","",TEXT($A1656,"yyyymm")&amp;"|"&amp;$C1656&amp;"|"&amp;$F1656&amp;"|"&amp;$N1656&amp;"|"&amp;$R1656)</f>
        <v/>
      </c>
    </row>
    <row r="1657" ht="11.55" customHeight="1">
      <c r="A1657" s="10" t="n">
        <v>46118</v>
      </c>
      <c r="B1657" s="7" t="inlineStr">
        <is>
          <t>Segunda</t>
        </is>
      </c>
      <c r="C1657" s="7" t="inlineStr">
        <is>
          <t>CTS LUIS BOTELHO MOURÃO</t>
        </is>
      </c>
      <c r="D1657" s="7" t="inlineStr">
        <is>
          <t>ROBSON</t>
        </is>
      </c>
      <c r="E1657" s="7" t="inlineStr">
        <is>
          <t>Goiania Drill</t>
        </is>
      </c>
      <c r="F1657" s="13" t="inlineStr">
        <is>
          <t>Piloto e puxe PV 02 ao PV 04</t>
        </is>
      </c>
      <c r="G1657" s="7" t="inlineStr">
        <is>
          <t>02</t>
        </is>
      </c>
      <c r="H1657" s="7" t="inlineStr">
        <is>
          <t>04</t>
        </is>
      </c>
      <c r="I1657" s="7" t="inlineStr">
        <is>
          <t>02, 04</t>
        </is>
      </c>
      <c r="J1657" s="7" t="inlineStr">
        <is>
          <t>Piloto e puxe</t>
        </is>
      </c>
      <c r="K1657" s="7" t="inlineStr">
        <is>
          <t>Planejamento</t>
        </is>
      </c>
      <c r="L1657" s="16" t="inlineStr">
        <is>
          <t>PDS-Abril(2).docx</t>
        </is>
      </c>
      <c r="M1657">
        <f>IF($A1657="","",TEXT($A1657,"mmmm/yyyy"))</f>
        <v/>
      </c>
      <c r="P1657">
        <f>IFERROR(_xludf.XLOOKUP($N1657,Base_Enderecos!$A:$A,Base_Enderecos!$B:$B,""),"")</f>
        <v/>
      </c>
      <c r="Q1657">
        <f>IFERROR(_xludf.XLOOKUP($N1657,Base_Enderecos!$A:$A,Base_Enderecos!$C:$C,""),"")</f>
        <v/>
      </c>
      <c r="R1657">
        <f>IF(OR(ISNUMBER(SEARCH("HDD",$F1657)),ISNUMBER(SEARCH("MND",$F1657)),ISNUMBER(SEARCH("PEAD",$F1657)),ISNUMBER(SEARCH("Puxe",$J1657)),ISNUMBER(SEARCH("Apoio HDD",$F1657))),"MND",IF(OR(ISNUMBER(SEARCH("VCA",$F1657)),ISNUMBER(SEARCH("PVC",$F1657)),ISNUMBER(SEARCH("vca",$J1657)),ISNUMBER(SEARCH("Transformação",$J1657))),"VCA",IF(OR(ISNUMBER(SEARCH("crava",$F1657)),ISNUMBER(SEARCH("tubo cravado",$F1657)),ISNUMBER(SEARCH("shaft",$J1657)),ISNUMBER(SEARCH("concreto",$F1657))),"TUBO CRAVADO","")))</f>
        <v/>
      </c>
      <c r="T1657">
        <f>IF($A1657="","",TEXT($A1657,"yyyymm")&amp;"|"&amp;$C1657&amp;"|"&amp;$F1657&amp;"|"&amp;$N1657&amp;"|"&amp;$R1657)</f>
        <v/>
      </c>
    </row>
    <row r="1658" ht="11.55" customHeight="1">
      <c r="A1658" s="10" t="n">
        <v>46118</v>
      </c>
      <c r="B1658" s="7" t="inlineStr">
        <is>
          <t>Segunda</t>
        </is>
      </c>
      <c r="C1658" s="7" t="inlineStr">
        <is>
          <t>CTS LUIS BOTELHO MOURÃO</t>
        </is>
      </c>
      <c r="D1658" s="7" t="inlineStr">
        <is>
          <t>ROBSON</t>
        </is>
      </c>
      <c r="E1658" s="7" t="inlineStr">
        <is>
          <t>Marcio</t>
        </is>
      </c>
      <c r="F1658" s="13" t="inlineStr">
        <is>
          <t>Apoio HDD PV 02 ao PV 04</t>
        </is>
      </c>
      <c r="G1658" s="7" t="inlineStr">
        <is>
          <t>02</t>
        </is>
      </c>
      <c r="H1658" s="7" t="inlineStr">
        <is>
          <t>04</t>
        </is>
      </c>
      <c r="I1658" s="7" t="inlineStr">
        <is>
          <t>02, 04</t>
        </is>
      </c>
      <c r="J1658" s="7" t="inlineStr">
        <is>
          <t>Apoio HDD</t>
        </is>
      </c>
      <c r="K1658" s="7" t="inlineStr">
        <is>
          <t>Planejamento</t>
        </is>
      </c>
      <c r="L1658" s="16" t="inlineStr">
        <is>
          <t>PDS-Abril(2).docx</t>
        </is>
      </c>
      <c r="M1658">
        <f>IF($A1658="","",TEXT($A1658,"mmmm/yyyy"))</f>
        <v/>
      </c>
      <c r="P1658">
        <f>IFERROR(_xludf.XLOOKUP($N1658,Base_Enderecos!$A:$A,Base_Enderecos!$B:$B,""),"")</f>
        <v/>
      </c>
      <c r="Q1658">
        <f>IFERROR(_xludf.XLOOKUP($N1658,Base_Enderecos!$A:$A,Base_Enderecos!$C:$C,""),"")</f>
        <v/>
      </c>
      <c r="R1658">
        <f>IF(OR(ISNUMBER(SEARCH("HDD",$F1658)),ISNUMBER(SEARCH("MND",$F1658)),ISNUMBER(SEARCH("PEAD",$F1658)),ISNUMBER(SEARCH("Puxe",$J1658)),ISNUMBER(SEARCH("Apoio HDD",$F1658))),"MND",IF(OR(ISNUMBER(SEARCH("VCA",$F1658)),ISNUMBER(SEARCH("PVC",$F1658)),ISNUMBER(SEARCH("vca",$J1658)),ISNUMBER(SEARCH("Transformação",$J1658))),"VCA",IF(OR(ISNUMBER(SEARCH("crava",$F1658)),ISNUMBER(SEARCH("tubo cravado",$F1658)),ISNUMBER(SEARCH("shaft",$J1658)),ISNUMBER(SEARCH("concreto",$F1658))),"TUBO CRAVADO","")))</f>
        <v/>
      </c>
      <c r="T1658">
        <f>IF($A1658="","",TEXT($A1658,"yyyymm")&amp;"|"&amp;$C1658&amp;"|"&amp;$F1658&amp;"|"&amp;$N1658&amp;"|"&amp;$R1658)</f>
        <v/>
      </c>
    </row>
    <row r="1659" ht="11.55" customHeight="1">
      <c r="A1659" s="10" t="n">
        <v>46118</v>
      </c>
      <c r="B1659" s="7" t="inlineStr">
        <is>
          <t>Segunda</t>
        </is>
      </c>
      <c r="C1659" s="7" t="inlineStr">
        <is>
          <t>CTS LUIS BOTELHO MOURÃO</t>
        </is>
      </c>
      <c r="D1659" s="7" t="inlineStr">
        <is>
          <t>ROBSON</t>
        </is>
      </c>
      <c r="E1659" s="7" t="inlineStr">
        <is>
          <t>Bruno</t>
        </is>
      </c>
      <c r="F1659" s="13" t="inlineStr">
        <is>
          <t>Reparo rede esgoto</t>
        </is>
      </c>
      <c r="G1659" s="7" t="n"/>
      <c r="H1659" s="7" t="n"/>
      <c r="I1659" s="7" t="n"/>
      <c r="J1659" s="7" t="inlineStr">
        <is>
          <t>Reparo</t>
        </is>
      </c>
      <c r="K1659" s="7" t="inlineStr">
        <is>
          <t>Planejamento</t>
        </is>
      </c>
      <c r="L1659" s="16" t="inlineStr">
        <is>
          <t>PDS-Abril(2).docx</t>
        </is>
      </c>
      <c r="M1659">
        <f>IF($A1659="","",TEXT($A1659,"mmmm/yyyy"))</f>
        <v/>
      </c>
      <c r="P1659">
        <f>IFERROR(_xludf.XLOOKUP($N1659,Base_Enderecos!$A:$A,Base_Enderecos!$B:$B,""),"")</f>
        <v/>
      </c>
      <c r="Q1659">
        <f>IFERROR(_xludf.XLOOKUP($N1659,Base_Enderecos!$A:$A,Base_Enderecos!$C:$C,""),"")</f>
        <v/>
      </c>
      <c r="R1659">
        <f>IF(OR(ISNUMBER(SEARCH("HDD",$F1659)),ISNUMBER(SEARCH("MND",$F1659)),ISNUMBER(SEARCH("PEAD",$F1659)),ISNUMBER(SEARCH("Puxe",$J1659)),ISNUMBER(SEARCH("Apoio HDD",$F1659))),"MND",IF(OR(ISNUMBER(SEARCH("VCA",$F1659)),ISNUMBER(SEARCH("PVC",$F1659)),ISNUMBER(SEARCH("vca",$J1659)),ISNUMBER(SEARCH("Transformação",$J1659))),"VCA",IF(OR(ISNUMBER(SEARCH("crava",$F1659)),ISNUMBER(SEARCH("tubo cravado",$F1659)),ISNUMBER(SEARCH("shaft",$J1659)),ISNUMBER(SEARCH("concreto",$F1659))),"TUBO CRAVADO","")))</f>
        <v/>
      </c>
      <c r="T1659">
        <f>IF($A1659="","",TEXT($A1659,"yyyymm")&amp;"|"&amp;$C1659&amp;"|"&amp;$F1659&amp;"|"&amp;$N1659&amp;"|"&amp;$R1659)</f>
        <v/>
      </c>
    </row>
    <row r="1660" ht="11.55" customHeight="1">
      <c r="A1660" s="10" t="n">
        <v>46118</v>
      </c>
      <c r="B1660" s="7" t="inlineStr">
        <is>
          <t>Segunda</t>
        </is>
      </c>
      <c r="C1660" s="7" t="inlineStr">
        <is>
          <t>Vacal</t>
        </is>
      </c>
      <c r="D1660" s="7" t="n"/>
      <c r="E1660" s="7" t="inlineStr">
        <is>
          <t>Conceição – Renasce</t>
        </is>
      </c>
      <c r="F1660" s="13" t="inlineStr">
        <is>
          <t>Apoio Vacal</t>
        </is>
      </c>
      <c r="G1660" s="7" t="n"/>
      <c r="H1660" s="7" t="n"/>
      <c r="I1660" s="7" t="n"/>
      <c r="J1660" s="7" t="inlineStr">
        <is>
          <t>Vacal</t>
        </is>
      </c>
      <c r="K1660" s="7" t="inlineStr">
        <is>
          <t>Apoio</t>
        </is>
      </c>
      <c r="L1660" s="16" t="inlineStr">
        <is>
          <t>PDS-Abril(2).docx</t>
        </is>
      </c>
      <c r="M1660">
        <f>IF($A1660="","",TEXT($A1660,"mmmm/yyyy"))</f>
        <v/>
      </c>
      <c r="P1660">
        <f>IFERROR(_xludf.XLOOKUP($N1660,Base_Enderecos!$A:$A,Base_Enderecos!$B:$B,""),"")</f>
        <v/>
      </c>
      <c r="Q1660">
        <f>IFERROR(_xludf.XLOOKUP($N1660,Base_Enderecos!$A:$A,Base_Enderecos!$C:$C,""),"")</f>
        <v/>
      </c>
      <c r="R1660">
        <f>IF(OR(ISNUMBER(SEARCH("HDD",$F1660)),ISNUMBER(SEARCH("MND",$F1660)),ISNUMBER(SEARCH("PEAD",$F1660)),ISNUMBER(SEARCH("Puxe",$J1660)),ISNUMBER(SEARCH("Apoio HDD",$F1660))),"MND",IF(OR(ISNUMBER(SEARCH("VCA",$F1660)),ISNUMBER(SEARCH("PVC",$F1660)),ISNUMBER(SEARCH("vca",$J1660)),ISNUMBER(SEARCH("Transformação",$J1660))),"VCA",IF(OR(ISNUMBER(SEARCH("crava",$F1660)),ISNUMBER(SEARCH("tubo cravado",$F1660)),ISNUMBER(SEARCH("shaft",$J1660)),ISNUMBER(SEARCH("concreto",$F1660))),"TUBO CRAVADO","")))</f>
        <v/>
      </c>
      <c r="T1660">
        <f>IF($A1660="","",TEXT($A1660,"yyyymm")&amp;"|"&amp;$C1660&amp;"|"&amp;$F1660&amp;"|"&amp;$N1660&amp;"|"&amp;$R1660)</f>
        <v/>
      </c>
    </row>
    <row r="1661" ht="11.55" customHeight="1">
      <c r="A1661" s="10" t="n">
        <v>46118</v>
      </c>
      <c r="B1661" s="7" t="inlineStr">
        <is>
          <t>Segunda</t>
        </is>
      </c>
      <c r="C1661" s="7" t="inlineStr">
        <is>
          <t>Vacal</t>
        </is>
      </c>
      <c r="D1661" s="7" t="n"/>
      <c r="E1661" s="7" t="inlineStr">
        <is>
          <t>Água Boa - Renasce</t>
        </is>
      </c>
      <c r="F1661" s="13" t="inlineStr">
        <is>
          <t>Apoio Vacal</t>
        </is>
      </c>
      <c r="G1661" s="7" t="n"/>
      <c r="H1661" s="7" t="n"/>
      <c r="I1661" s="7" t="n"/>
      <c r="J1661" s="7" t="inlineStr">
        <is>
          <t>Vacal</t>
        </is>
      </c>
      <c r="K1661" s="7" t="inlineStr">
        <is>
          <t>Apoio</t>
        </is>
      </c>
      <c r="L1661" s="16" t="inlineStr">
        <is>
          <t>PDS-Abril(2).docx</t>
        </is>
      </c>
      <c r="M1661">
        <f>IF($A1661="","",TEXT($A1661,"mmmm/yyyy"))</f>
        <v/>
      </c>
      <c r="P1661">
        <f>IFERROR(_xludf.XLOOKUP($N1661,Base_Enderecos!$A:$A,Base_Enderecos!$B:$B,""),"")</f>
        <v/>
      </c>
      <c r="Q1661">
        <f>IFERROR(_xludf.XLOOKUP($N1661,Base_Enderecos!$A:$A,Base_Enderecos!$C:$C,""),"")</f>
        <v/>
      </c>
      <c r="R1661">
        <f>IF(OR(ISNUMBER(SEARCH("HDD",$F1661)),ISNUMBER(SEARCH("MND",$F1661)),ISNUMBER(SEARCH("PEAD",$F1661)),ISNUMBER(SEARCH("Puxe",$J1661)),ISNUMBER(SEARCH("Apoio HDD",$F1661))),"MND",IF(OR(ISNUMBER(SEARCH("VCA",$F1661)),ISNUMBER(SEARCH("PVC",$F1661)),ISNUMBER(SEARCH("vca",$J1661)),ISNUMBER(SEARCH("Transformação",$J1661))),"VCA",IF(OR(ISNUMBER(SEARCH("crava",$F1661)),ISNUMBER(SEARCH("tubo cravado",$F1661)),ISNUMBER(SEARCH("shaft",$J1661)),ISNUMBER(SEARCH("concreto",$F1661))),"TUBO CRAVADO","")))</f>
        <v/>
      </c>
      <c r="T1661">
        <f>IF($A1661="","",TEXT($A1661,"yyyymm")&amp;"|"&amp;$C1661&amp;"|"&amp;$F1661&amp;"|"&amp;$N1661&amp;"|"&amp;$R1661)</f>
        <v/>
      </c>
    </row>
    <row r="1662" ht="11.55" customHeight="1">
      <c r="A1662" s="10" t="n">
        <v>46118</v>
      </c>
      <c r="B1662" s="7" t="inlineStr">
        <is>
          <t>Segunda</t>
        </is>
      </c>
      <c r="C1662" s="7" t="inlineStr">
        <is>
          <t>Vacal</t>
        </is>
      </c>
      <c r="D1662" s="7" t="n"/>
      <c r="E1662" s="7" t="inlineStr">
        <is>
          <t>Botelho Mourão - Renasce</t>
        </is>
      </c>
      <c r="F1662" s="13" t="inlineStr">
        <is>
          <t>Apoio Vacal</t>
        </is>
      </c>
      <c r="G1662" s="7" t="n"/>
      <c r="H1662" s="7" t="n"/>
      <c r="I1662" s="7" t="n"/>
      <c r="J1662" s="7" t="inlineStr">
        <is>
          <t>Vacal</t>
        </is>
      </c>
      <c r="K1662" s="7" t="inlineStr">
        <is>
          <t>Apoio</t>
        </is>
      </c>
      <c r="L1662" s="16" t="inlineStr">
        <is>
          <t>PDS-Abril(2).docx</t>
        </is>
      </c>
      <c r="M1662">
        <f>IF($A1662="","",TEXT($A1662,"mmmm/yyyy"))</f>
        <v/>
      </c>
      <c r="P1662">
        <f>IFERROR(_xludf.XLOOKUP($N1662,Base_Enderecos!$A:$A,Base_Enderecos!$B:$B,""),"")</f>
        <v/>
      </c>
      <c r="Q1662">
        <f>IFERROR(_xludf.XLOOKUP($N1662,Base_Enderecos!$A:$A,Base_Enderecos!$C:$C,""),"")</f>
        <v/>
      </c>
      <c r="R1662">
        <f>IF(OR(ISNUMBER(SEARCH("HDD",$F1662)),ISNUMBER(SEARCH("MND",$F1662)),ISNUMBER(SEARCH("PEAD",$F1662)),ISNUMBER(SEARCH("Puxe",$J1662)),ISNUMBER(SEARCH("Apoio HDD",$F1662))),"MND",IF(OR(ISNUMBER(SEARCH("VCA",$F1662)),ISNUMBER(SEARCH("PVC",$F1662)),ISNUMBER(SEARCH("vca",$J1662)),ISNUMBER(SEARCH("Transformação",$J1662))),"VCA",IF(OR(ISNUMBER(SEARCH("crava",$F1662)),ISNUMBER(SEARCH("tubo cravado",$F1662)),ISNUMBER(SEARCH("shaft",$J1662)),ISNUMBER(SEARCH("concreto",$F1662))),"TUBO CRAVADO","")))</f>
        <v/>
      </c>
      <c r="T1662">
        <f>IF($A1662="","",TEXT($A1662,"yyyymm")&amp;"|"&amp;$C1662&amp;"|"&amp;$F1662&amp;"|"&amp;$N1662&amp;"|"&amp;$R1662)</f>
        <v/>
      </c>
    </row>
    <row r="1663" ht="11.55" customHeight="1">
      <c r="A1663" s="10" t="n">
        <v>46118</v>
      </c>
      <c r="B1663" s="7" t="inlineStr">
        <is>
          <t>Segunda</t>
        </is>
      </c>
      <c r="C1663" s="7" t="inlineStr">
        <is>
          <t>Vacal</t>
        </is>
      </c>
      <c r="D1663" s="7" t="n"/>
      <c r="E1663" s="7" t="inlineStr">
        <is>
          <t>Botelho Mourão - Renasce</t>
        </is>
      </c>
      <c r="F1663" s="13" t="inlineStr">
        <is>
          <t>Apoio Vacal</t>
        </is>
      </c>
      <c r="G1663" s="7" t="n"/>
      <c r="H1663" s="7" t="n"/>
      <c r="I1663" s="7" t="n"/>
      <c r="J1663" s="7" t="inlineStr">
        <is>
          <t>Vacal</t>
        </is>
      </c>
      <c r="K1663" s="7" t="inlineStr">
        <is>
          <t>Apoio</t>
        </is>
      </c>
      <c r="L1663" s="16" t="inlineStr">
        <is>
          <t>PDS-Abril(2).docx</t>
        </is>
      </c>
      <c r="M1663">
        <f>IF($A1663="","",TEXT($A1663,"mmmm/yyyy"))</f>
        <v/>
      </c>
      <c r="P1663">
        <f>IFERROR(_xludf.XLOOKUP($N1663,Base_Enderecos!$A:$A,Base_Enderecos!$B:$B,""),"")</f>
        <v/>
      </c>
      <c r="Q1663">
        <f>IFERROR(_xludf.XLOOKUP($N1663,Base_Enderecos!$A:$A,Base_Enderecos!$C:$C,""),"")</f>
        <v/>
      </c>
      <c r="R1663">
        <f>IF(OR(ISNUMBER(SEARCH("HDD",$F1663)),ISNUMBER(SEARCH("MND",$F1663)),ISNUMBER(SEARCH("PEAD",$F1663)),ISNUMBER(SEARCH("Puxe",$J1663)),ISNUMBER(SEARCH("Apoio HDD",$F1663))),"MND",IF(OR(ISNUMBER(SEARCH("VCA",$F1663)),ISNUMBER(SEARCH("PVC",$F1663)),ISNUMBER(SEARCH("vca",$J1663)),ISNUMBER(SEARCH("Transformação",$J1663))),"VCA",IF(OR(ISNUMBER(SEARCH("crava",$F1663)),ISNUMBER(SEARCH("tubo cravado",$F1663)),ISNUMBER(SEARCH("shaft",$J1663)),ISNUMBER(SEARCH("concreto",$F1663))),"TUBO CRAVADO","")))</f>
        <v/>
      </c>
      <c r="T1663">
        <f>IF($A1663="","",TEXT($A1663,"yyyymm")&amp;"|"&amp;$C1663&amp;"|"&amp;$F1663&amp;"|"&amp;$N1663&amp;"|"&amp;$R1663)</f>
        <v/>
      </c>
    </row>
    <row r="1664" ht="11.55" customHeight="1">
      <c r="A1664" s="10" t="n">
        <v>46118</v>
      </c>
      <c r="B1664" s="7" t="inlineStr">
        <is>
          <t>Segunda</t>
        </is>
      </c>
      <c r="C1664" s="7" t="inlineStr">
        <is>
          <t>Guindauto</t>
        </is>
      </c>
      <c r="D1664" s="7" t="n"/>
      <c r="E1664" s="7" t="inlineStr">
        <is>
          <t>Rodrigo</t>
        </is>
      </c>
      <c r="F1664" s="13" t="inlineStr">
        <is>
          <t>Rodrigo - Apoio as equipes</t>
        </is>
      </c>
      <c r="G1664" s="7" t="n"/>
      <c r="H1664" s="7" t="n"/>
      <c r="I1664" s="7" t="n"/>
      <c r="J1664" s="7" t="inlineStr">
        <is>
          <t>Guindauto</t>
        </is>
      </c>
      <c r="K1664" s="7" t="inlineStr">
        <is>
          <t>Apoio</t>
        </is>
      </c>
      <c r="L1664" s="16" t="inlineStr">
        <is>
          <t>PDS-Abril(2).docx</t>
        </is>
      </c>
      <c r="M1664">
        <f>IF($A1664="","",TEXT($A1664,"mmmm/yyyy"))</f>
        <v/>
      </c>
      <c r="P1664">
        <f>IFERROR(_xludf.XLOOKUP($N1664,Base_Enderecos!$A:$A,Base_Enderecos!$B:$B,""),"")</f>
        <v/>
      </c>
      <c r="Q1664">
        <f>IFERROR(_xludf.XLOOKUP($N1664,Base_Enderecos!$A:$A,Base_Enderecos!$C:$C,""),"")</f>
        <v/>
      </c>
      <c r="R1664">
        <f>IF(OR(ISNUMBER(SEARCH("HDD",$F1664)),ISNUMBER(SEARCH("MND",$F1664)),ISNUMBER(SEARCH("PEAD",$F1664)),ISNUMBER(SEARCH("Puxe",$J1664)),ISNUMBER(SEARCH("Apoio HDD",$F1664))),"MND",IF(OR(ISNUMBER(SEARCH("VCA",$F1664)),ISNUMBER(SEARCH("PVC",$F1664)),ISNUMBER(SEARCH("vca",$J1664)),ISNUMBER(SEARCH("Transformação",$J1664))),"VCA",IF(OR(ISNUMBER(SEARCH("crava",$F1664)),ISNUMBER(SEARCH("tubo cravado",$F1664)),ISNUMBER(SEARCH("shaft",$J1664)),ISNUMBER(SEARCH("concreto",$F1664))),"TUBO CRAVADO","")))</f>
        <v/>
      </c>
      <c r="T1664">
        <f>IF($A1664="","",TEXT($A1664,"yyyymm")&amp;"|"&amp;$C1664&amp;"|"&amp;$F1664&amp;"|"&amp;$N1664&amp;"|"&amp;$R1664)</f>
        <v/>
      </c>
    </row>
    <row r="1665" ht="11.55" customHeight="1">
      <c r="A1665" s="10" t="n">
        <v>46118</v>
      </c>
      <c r="B1665" s="7" t="inlineStr">
        <is>
          <t>Segunda</t>
        </is>
      </c>
      <c r="C1665" s="7" t="inlineStr">
        <is>
          <t>Guindauto</t>
        </is>
      </c>
      <c r="D1665" s="7" t="n"/>
      <c r="E1665" s="7" t="inlineStr">
        <is>
          <t>Marcio</t>
        </is>
      </c>
      <c r="F1665" s="13" t="inlineStr">
        <is>
          <t>Marcio - Apoio as equipes</t>
        </is>
      </c>
      <c r="G1665" s="7" t="n"/>
      <c r="H1665" s="7" t="n"/>
      <c r="I1665" s="7" t="n"/>
      <c r="J1665" s="7" t="inlineStr">
        <is>
          <t>Guindauto</t>
        </is>
      </c>
      <c r="K1665" s="7" t="inlineStr">
        <is>
          <t>Apoio</t>
        </is>
      </c>
      <c r="L1665" s="16" t="inlineStr">
        <is>
          <t>PDS-Abril(2).docx</t>
        </is>
      </c>
      <c r="M1665">
        <f>IF($A1665="","",TEXT($A1665,"mmmm/yyyy"))</f>
        <v/>
      </c>
      <c r="P1665">
        <f>IFERROR(_xludf.XLOOKUP($N1665,Base_Enderecos!$A:$A,Base_Enderecos!$B:$B,""),"")</f>
        <v/>
      </c>
      <c r="Q1665">
        <f>IFERROR(_xludf.XLOOKUP($N1665,Base_Enderecos!$A:$A,Base_Enderecos!$C:$C,""),"")</f>
        <v/>
      </c>
      <c r="R1665">
        <f>IF(OR(ISNUMBER(SEARCH("HDD",$F1665)),ISNUMBER(SEARCH("MND",$F1665)),ISNUMBER(SEARCH("PEAD",$F1665)),ISNUMBER(SEARCH("Puxe",$J1665)),ISNUMBER(SEARCH("Apoio HDD",$F1665))),"MND",IF(OR(ISNUMBER(SEARCH("VCA",$F1665)),ISNUMBER(SEARCH("PVC",$F1665)),ISNUMBER(SEARCH("vca",$J1665)),ISNUMBER(SEARCH("Transformação",$J1665))),"VCA",IF(OR(ISNUMBER(SEARCH("crava",$F1665)),ISNUMBER(SEARCH("tubo cravado",$F1665)),ISNUMBER(SEARCH("shaft",$J1665)),ISNUMBER(SEARCH("concreto",$F1665))),"TUBO CRAVADO","")))</f>
        <v/>
      </c>
      <c r="T1665">
        <f>IF($A1665="","",TEXT($A1665,"yyyymm")&amp;"|"&amp;$C1665&amp;"|"&amp;$F1665&amp;"|"&amp;$N1665&amp;"|"&amp;$R1665)</f>
        <v/>
      </c>
    </row>
    <row r="1666" ht="11.55" customHeight="1">
      <c r="A1666" s="10" t="n">
        <v>46119</v>
      </c>
      <c r="B1666" s="7" t="inlineStr">
        <is>
          <t>Terça</t>
        </is>
      </c>
      <c r="C1666" s="7" t="inlineStr">
        <is>
          <t>CTS CONCEIÇÃO</t>
        </is>
      </c>
      <c r="D1666" s="7" t="inlineStr">
        <is>
          <t>LEANDRO</t>
        </is>
      </c>
      <c r="E1666" s="7" t="inlineStr">
        <is>
          <t>WJ</t>
        </is>
      </c>
      <c r="F1666" s="13" t="inlineStr">
        <is>
          <t>Piloto e puxe entre PV 10.1 ao 10.2</t>
        </is>
      </c>
      <c r="G1666" s="7" t="inlineStr">
        <is>
          <t>10.1</t>
        </is>
      </c>
      <c r="H1666" s="7" t="n"/>
      <c r="I1666" s="7" t="inlineStr">
        <is>
          <t>10.1</t>
        </is>
      </c>
      <c r="J1666" s="7" t="inlineStr">
        <is>
          <t>Piloto e puxe</t>
        </is>
      </c>
      <c r="K1666" s="7" t="inlineStr">
        <is>
          <t>Planejamento</t>
        </is>
      </c>
      <c r="L1666" s="16" t="inlineStr">
        <is>
          <t>PDS-Abril(2).docx</t>
        </is>
      </c>
      <c r="M1666">
        <f>IF($A1666="","",TEXT($A1666,"mmmm/yyyy"))</f>
        <v/>
      </c>
      <c r="P1666">
        <f>IFERROR(_xludf.XLOOKUP($N1666,Base_Enderecos!$A:$A,Base_Enderecos!$B:$B,""),"")</f>
        <v/>
      </c>
      <c r="Q1666">
        <f>IFERROR(_xludf.XLOOKUP($N1666,Base_Enderecos!$A:$A,Base_Enderecos!$C:$C,""),"")</f>
        <v/>
      </c>
      <c r="R1666">
        <f>IF(OR(ISNUMBER(SEARCH("HDD",$F1666)),ISNUMBER(SEARCH("MND",$F1666)),ISNUMBER(SEARCH("PEAD",$F1666)),ISNUMBER(SEARCH("Puxe",$J1666)),ISNUMBER(SEARCH("Apoio HDD",$F1666))),"MND",IF(OR(ISNUMBER(SEARCH("VCA",$F1666)),ISNUMBER(SEARCH("PVC",$F1666)),ISNUMBER(SEARCH("vca",$J1666)),ISNUMBER(SEARCH("Transformação",$J1666))),"VCA",IF(OR(ISNUMBER(SEARCH("crava",$F1666)),ISNUMBER(SEARCH("tubo cravado",$F1666)),ISNUMBER(SEARCH("shaft",$J1666)),ISNUMBER(SEARCH("concreto",$F1666))),"TUBO CRAVADO","")))</f>
        <v/>
      </c>
      <c r="T1666">
        <f>IF($A1666="","",TEXT($A1666,"yyyymm")&amp;"|"&amp;$C1666&amp;"|"&amp;$F1666&amp;"|"&amp;$N1666&amp;"|"&amp;$R1666)</f>
        <v/>
      </c>
    </row>
    <row r="1667" ht="11.55" customHeight="1">
      <c r="A1667" s="10" t="n">
        <v>46119</v>
      </c>
      <c r="B1667" s="7" t="inlineStr">
        <is>
          <t>Terça</t>
        </is>
      </c>
      <c r="C1667" s="7" t="inlineStr">
        <is>
          <t>CTS CONCEIÇÃO</t>
        </is>
      </c>
      <c r="D1667" s="7" t="inlineStr">
        <is>
          <t>LEANDRO</t>
        </is>
      </c>
      <c r="E1667" s="7" t="inlineStr">
        <is>
          <t>Medeiros</t>
        </is>
      </c>
      <c r="F1667" s="13" t="inlineStr">
        <is>
          <t>Apoio HDD entre PV 10.1 ao 10.2</t>
        </is>
      </c>
      <c r="G1667" s="7" t="inlineStr">
        <is>
          <t>10.1</t>
        </is>
      </c>
      <c r="H1667" s="7" t="n"/>
      <c r="I1667" s="7" t="inlineStr">
        <is>
          <t>10.1</t>
        </is>
      </c>
      <c r="J1667" s="7" t="inlineStr">
        <is>
          <t>Apoio HDD</t>
        </is>
      </c>
      <c r="K1667" s="7" t="inlineStr">
        <is>
          <t>Planejamento</t>
        </is>
      </c>
      <c r="L1667" s="16" t="inlineStr">
        <is>
          <t>PDS-Abril(2).docx</t>
        </is>
      </c>
      <c r="M1667">
        <f>IF($A1667="","",TEXT($A1667,"mmmm/yyyy"))</f>
        <v/>
      </c>
      <c r="P1667">
        <f>IFERROR(_xludf.XLOOKUP($N1667,Base_Enderecos!$A:$A,Base_Enderecos!$B:$B,""),"")</f>
        <v/>
      </c>
      <c r="Q1667">
        <f>IFERROR(_xludf.XLOOKUP($N1667,Base_Enderecos!$A:$A,Base_Enderecos!$C:$C,""),"")</f>
        <v/>
      </c>
      <c r="R1667">
        <f>IF(OR(ISNUMBER(SEARCH("HDD",$F1667)),ISNUMBER(SEARCH("MND",$F1667)),ISNUMBER(SEARCH("PEAD",$F1667)),ISNUMBER(SEARCH("Puxe",$J1667)),ISNUMBER(SEARCH("Apoio HDD",$F1667))),"MND",IF(OR(ISNUMBER(SEARCH("VCA",$F1667)),ISNUMBER(SEARCH("PVC",$F1667)),ISNUMBER(SEARCH("vca",$J1667)),ISNUMBER(SEARCH("Transformação",$J1667))),"VCA",IF(OR(ISNUMBER(SEARCH("crava",$F1667)),ISNUMBER(SEARCH("tubo cravado",$F1667)),ISNUMBER(SEARCH("shaft",$J1667)),ISNUMBER(SEARCH("concreto",$F1667))),"TUBO CRAVADO","")))</f>
        <v/>
      </c>
      <c r="T1667">
        <f>IF($A1667="","",TEXT($A1667,"yyyymm")&amp;"|"&amp;$C1667&amp;"|"&amp;$F1667&amp;"|"&amp;$N1667&amp;"|"&amp;$R1667)</f>
        <v/>
      </c>
    </row>
    <row r="1668" ht="11.55" customHeight="1">
      <c r="A1668" s="10" t="n">
        <v>46119</v>
      </c>
      <c r="B1668" s="7" t="inlineStr">
        <is>
          <t>Terça</t>
        </is>
      </c>
      <c r="C1668" s="7" t="inlineStr">
        <is>
          <t>CTS CONCEIÇÃO</t>
        </is>
      </c>
      <c r="D1668" s="7" t="inlineStr">
        <is>
          <t>LEANDRO</t>
        </is>
      </c>
      <c r="E1668" s="7" t="inlineStr">
        <is>
          <t>Cesar</t>
        </is>
      </c>
      <c r="F1668" s="13" t="inlineStr">
        <is>
          <t>Transformação PV 09</t>
        </is>
      </c>
      <c r="G1668" s="7" t="inlineStr">
        <is>
          <t>09</t>
        </is>
      </c>
      <c r="H1668" s="7" t="n"/>
      <c r="I1668" s="7" t="inlineStr">
        <is>
          <t>09</t>
        </is>
      </c>
      <c r="J1668" s="7" t="inlineStr">
        <is>
          <t>Transformação</t>
        </is>
      </c>
      <c r="K1668" s="7" t="inlineStr">
        <is>
          <t>Planejamento</t>
        </is>
      </c>
      <c r="L1668" s="16" t="inlineStr">
        <is>
          <t>PDS-Abril(2).docx</t>
        </is>
      </c>
      <c r="M1668">
        <f>IF($A1668="","",TEXT($A1668,"mmmm/yyyy"))</f>
        <v/>
      </c>
      <c r="P1668">
        <f>IFERROR(_xludf.XLOOKUP($N1668,Base_Enderecos!$A:$A,Base_Enderecos!$B:$B,""),"")</f>
        <v/>
      </c>
      <c r="Q1668">
        <f>IFERROR(_xludf.XLOOKUP($N1668,Base_Enderecos!$A:$A,Base_Enderecos!$C:$C,""),"")</f>
        <v/>
      </c>
      <c r="R1668">
        <f>IF(OR(ISNUMBER(SEARCH("HDD",$F1668)),ISNUMBER(SEARCH("MND",$F1668)),ISNUMBER(SEARCH("PEAD",$F1668)),ISNUMBER(SEARCH("Puxe",$J1668)),ISNUMBER(SEARCH("Apoio HDD",$F1668))),"MND",IF(OR(ISNUMBER(SEARCH("VCA",$F1668)),ISNUMBER(SEARCH("PVC",$F1668)),ISNUMBER(SEARCH("vca",$J1668)),ISNUMBER(SEARCH("Transformação",$J1668))),"VCA",IF(OR(ISNUMBER(SEARCH("crava",$F1668)),ISNUMBER(SEARCH("tubo cravado",$F1668)),ISNUMBER(SEARCH("shaft",$J1668)),ISNUMBER(SEARCH("concreto",$F1668))),"TUBO CRAVADO","")))</f>
        <v/>
      </c>
      <c r="T1668">
        <f>IF($A1668="","",TEXT($A1668,"yyyymm")&amp;"|"&amp;$C1668&amp;"|"&amp;$F1668&amp;"|"&amp;$N1668&amp;"|"&amp;$R1668)</f>
        <v/>
      </c>
    </row>
    <row r="1669" ht="11.55" customHeight="1">
      <c r="A1669" s="10" t="n">
        <v>46119</v>
      </c>
      <c r="B1669" s="7" t="inlineStr">
        <is>
          <t>Terça</t>
        </is>
      </c>
      <c r="C1669" s="7" t="inlineStr">
        <is>
          <t>CTS CONCEIÇÃO</t>
        </is>
      </c>
      <c r="D1669" s="7" t="inlineStr">
        <is>
          <t>LEANDRO</t>
        </is>
      </c>
      <c r="E1669" s="7" t="inlineStr">
        <is>
          <t>Carlos</t>
        </is>
      </c>
      <c r="F1669" s="13" t="inlineStr">
        <is>
          <t>Shaft PV 09.1***</t>
        </is>
      </c>
      <c r="G1669" s="7" t="inlineStr">
        <is>
          <t>09.1</t>
        </is>
      </c>
      <c r="H1669" s="7" t="n"/>
      <c r="I1669" s="7" t="inlineStr">
        <is>
          <t>09.1</t>
        </is>
      </c>
      <c r="J1669" s="7" t="inlineStr">
        <is>
          <t>Shaft</t>
        </is>
      </c>
      <c r="K1669" s="7" t="inlineStr">
        <is>
          <t>Planejamento</t>
        </is>
      </c>
      <c r="L1669" s="16" t="inlineStr">
        <is>
          <t>PDS-Abril(2).docx</t>
        </is>
      </c>
      <c r="M1669">
        <f>IF($A1669="","",TEXT($A1669,"mmmm/yyyy"))</f>
        <v/>
      </c>
      <c r="P1669">
        <f>IFERROR(_xludf.XLOOKUP($N1669,Base_Enderecos!$A:$A,Base_Enderecos!$B:$B,""),"")</f>
        <v/>
      </c>
      <c r="Q1669">
        <f>IFERROR(_xludf.XLOOKUP($N1669,Base_Enderecos!$A:$A,Base_Enderecos!$C:$C,""),"")</f>
        <v/>
      </c>
      <c r="R1669">
        <f>IF(OR(ISNUMBER(SEARCH("HDD",$F1669)),ISNUMBER(SEARCH("MND",$F1669)),ISNUMBER(SEARCH("PEAD",$F1669)),ISNUMBER(SEARCH("Puxe",$J1669)),ISNUMBER(SEARCH("Apoio HDD",$F1669))),"MND",IF(OR(ISNUMBER(SEARCH("VCA",$F1669)),ISNUMBER(SEARCH("PVC",$F1669)),ISNUMBER(SEARCH("vca",$J1669)),ISNUMBER(SEARCH("Transformação",$J1669))),"VCA",IF(OR(ISNUMBER(SEARCH("crava",$F1669)),ISNUMBER(SEARCH("tubo cravado",$F1669)),ISNUMBER(SEARCH("shaft",$J1669)),ISNUMBER(SEARCH("concreto",$F1669))),"TUBO CRAVADO","")))</f>
        <v/>
      </c>
      <c r="T1669">
        <f>IF($A1669="","",TEXT($A1669,"yyyymm")&amp;"|"&amp;$C1669&amp;"|"&amp;$F1669&amp;"|"&amp;$N1669&amp;"|"&amp;$R1669)</f>
        <v/>
      </c>
    </row>
    <row r="1670" ht="11.55" customHeight="1">
      <c r="A1670" s="10" t="n">
        <v>46119</v>
      </c>
      <c r="B1670" s="7" t="inlineStr">
        <is>
          <t>Terça</t>
        </is>
      </c>
      <c r="C1670" s="7" t="inlineStr">
        <is>
          <t>CTS CONCEIÇÃO</t>
        </is>
      </c>
      <c r="D1670" s="7" t="inlineStr">
        <is>
          <t>LEANDRO</t>
        </is>
      </c>
      <c r="E1670" s="7" t="inlineStr">
        <is>
          <t>Sergio</t>
        </is>
      </c>
      <c r="F1670" s="13" t="inlineStr">
        <is>
          <t>Limpeza PV 10.1</t>
        </is>
      </c>
      <c r="G1670" s="7" t="inlineStr">
        <is>
          <t>10.1</t>
        </is>
      </c>
      <c r="H1670" s="7" t="n"/>
      <c r="I1670" s="7" t="inlineStr">
        <is>
          <t>10.1</t>
        </is>
      </c>
      <c r="J1670" s="7" t="inlineStr">
        <is>
          <t>Limpeza</t>
        </is>
      </c>
      <c r="K1670" s="7" t="inlineStr">
        <is>
          <t>Planejamento</t>
        </is>
      </c>
      <c r="L1670" s="16" t="inlineStr">
        <is>
          <t>PDS-Abril(2).docx</t>
        </is>
      </c>
      <c r="M1670">
        <f>IF($A1670="","",TEXT($A1670,"mmmm/yyyy"))</f>
        <v/>
      </c>
      <c r="P1670">
        <f>IFERROR(_xludf.XLOOKUP($N1670,Base_Enderecos!$A:$A,Base_Enderecos!$B:$B,""),"")</f>
        <v/>
      </c>
      <c r="Q1670">
        <f>IFERROR(_xludf.XLOOKUP($N1670,Base_Enderecos!$A:$A,Base_Enderecos!$C:$C,""),"")</f>
        <v/>
      </c>
      <c r="R1670">
        <f>IF(OR(ISNUMBER(SEARCH("HDD",$F1670)),ISNUMBER(SEARCH("MND",$F1670)),ISNUMBER(SEARCH("PEAD",$F1670)),ISNUMBER(SEARCH("Puxe",$J1670)),ISNUMBER(SEARCH("Apoio HDD",$F1670))),"MND",IF(OR(ISNUMBER(SEARCH("VCA",$F1670)),ISNUMBER(SEARCH("PVC",$F1670)),ISNUMBER(SEARCH("vca",$J1670)),ISNUMBER(SEARCH("Transformação",$J1670))),"VCA",IF(OR(ISNUMBER(SEARCH("crava",$F1670)),ISNUMBER(SEARCH("tubo cravado",$F1670)),ISNUMBER(SEARCH("shaft",$J1670)),ISNUMBER(SEARCH("concreto",$F1670))),"TUBO CRAVADO","")))</f>
        <v/>
      </c>
      <c r="T1670">
        <f>IF($A1670="","",TEXT($A1670,"yyyymm")&amp;"|"&amp;$C1670&amp;"|"&amp;$F1670&amp;"|"&amp;$N1670&amp;"|"&amp;$R1670)</f>
        <v/>
      </c>
    </row>
    <row r="1671" ht="11.55" customHeight="1">
      <c r="A1671" s="10" t="n">
        <v>46119</v>
      </c>
      <c r="B1671" s="7" t="inlineStr">
        <is>
          <t>Terça</t>
        </is>
      </c>
      <c r="C1671" s="7" t="inlineStr">
        <is>
          <t>CT ÁGUA VERMELHA M.D. e M.E</t>
        </is>
      </c>
      <c r="D1671" s="7" t="inlineStr">
        <is>
          <t>FABIO</t>
        </is>
      </c>
      <c r="E1671" s="7" t="inlineStr">
        <is>
          <t>Claudinei</t>
        </is>
      </c>
      <c r="F1671" s="13" t="inlineStr">
        <is>
          <t>Apoio casa (PVD 7)</t>
        </is>
      </c>
      <c r="G1671" s="7" t="inlineStr">
        <is>
          <t>7</t>
        </is>
      </c>
      <c r="H1671" s="7" t="n"/>
      <c r="I1671" s="7" t="inlineStr">
        <is>
          <t>7</t>
        </is>
      </c>
      <c r="J1671" s="7" t="n"/>
      <c r="K1671" s="7" t="inlineStr">
        <is>
          <t>Planejamento</t>
        </is>
      </c>
      <c r="L1671" s="16" t="inlineStr">
        <is>
          <t>PDS-Abril(2).docx</t>
        </is>
      </c>
      <c r="M1671">
        <f>IF($A1671="","",TEXT($A1671,"mmmm/yyyy"))</f>
        <v/>
      </c>
      <c r="P1671">
        <f>IFERROR(_xludf.XLOOKUP($N1671,Base_Enderecos!$A:$A,Base_Enderecos!$B:$B,""),"")</f>
        <v/>
      </c>
      <c r="Q1671">
        <f>IFERROR(_xludf.XLOOKUP($N1671,Base_Enderecos!$A:$A,Base_Enderecos!$C:$C,""),"")</f>
        <v/>
      </c>
      <c r="R1671">
        <f>IF(OR(ISNUMBER(SEARCH("HDD",$F1671)),ISNUMBER(SEARCH("MND",$F1671)),ISNUMBER(SEARCH("PEAD",$F1671)),ISNUMBER(SEARCH("Puxe",$J1671)),ISNUMBER(SEARCH("Apoio HDD",$F1671))),"MND",IF(OR(ISNUMBER(SEARCH("VCA",$F1671)),ISNUMBER(SEARCH("PVC",$F1671)),ISNUMBER(SEARCH("vca",$J1671)),ISNUMBER(SEARCH("Transformação",$J1671))),"VCA",IF(OR(ISNUMBER(SEARCH("crava",$F1671)),ISNUMBER(SEARCH("tubo cravado",$F1671)),ISNUMBER(SEARCH("shaft",$J1671)),ISNUMBER(SEARCH("concreto",$F1671))),"TUBO CRAVADO","")))</f>
        <v/>
      </c>
      <c r="T1671">
        <f>IF($A1671="","",TEXT($A1671,"yyyymm")&amp;"|"&amp;$C1671&amp;"|"&amp;$F1671&amp;"|"&amp;$N1671&amp;"|"&amp;$R1671)</f>
        <v/>
      </c>
    </row>
    <row r="1672" ht="11.55" customHeight="1">
      <c r="A1672" s="10" t="n">
        <v>46119</v>
      </c>
      <c r="B1672" s="7" t="inlineStr">
        <is>
          <t>Terça</t>
        </is>
      </c>
      <c r="C1672" s="7" t="inlineStr">
        <is>
          <t>CT ÁGUA VERMELHA M.D. e M.E</t>
        </is>
      </c>
      <c r="D1672" s="7" t="inlineStr">
        <is>
          <t>FABIO</t>
        </is>
      </c>
      <c r="E1672" s="7" t="inlineStr">
        <is>
          <t>Higor</t>
        </is>
      </c>
      <c r="F1672" s="13" t="inlineStr">
        <is>
          <t>Shaft PVE 04</t>
        </is>
      </c>
      <c r="G1672" s="7" t="inlineStr">
        <is>
          <t>04</t>
        </is>
      </c>
      <c r="H1672" s="7" t="n"/>
      <c r="I1672" s="7" t="inlineStr">
        <is>
          <t>04</t>
        </is>
      </c>
      <c r="J1672" s="7" t="inlineStr">
        <is>
          <t>Shaft</t>
        </is>
      </c>
      <c r="K1672" s="7" t="inlineStr">
        <is>
          <t>Planejamento</t>
        </is>
      </c>
      <c r="L1672" s="16" t="inlineStr">
        <is>
          <t>PDS-Abril(2).docx</t>
        </is>
      </c>
      <c r="M1672">
        <f>IF($A1672="","",TEXT($A1672,"mmmm/yyyy"))</f>
        <v/>
      </c>
      <c r="P1672">
        <f>IFERROR(_xludf.XLOOKUP($N1672,Base_Enderecos!$A:$A,Base_Enderecos!$B:$B,""),"")</f>
        <v/>
      </c>
      <c r="Q1672">
        <f>IFERROR(_xludf.XLOOKUP($N1672,Base_Enderecos!$A:$A,Base_Enderecos!$C:$C,""),"")</f>
        <v/>
      </c>
      <c r="R1672">
        <f>IF(OR(ISNUMBER(SEARCH("HDD",$F1672)),ISNUMBER(SEARCH("MND",$F1672)),ISNUMBER(SEARCH("PEAD",$F1672)),ISNUMBER(SEARCH("Puxe",$J1672)),ISNUMBER(SEARCH("Apoio HDD",$F1672))),"MND",IF(OR(ISNUMBER(SEARCH("VCA",$F1672)),ISNUMBER(SEARCH("PVC",$F1672)),ISNUMBER(SEARCH("vca",$J1672)),ISNUMBER(SEARCH("Transformação",$J1672))),"VCA",IF(OR(ISNUMBER(SEARCH("crava",$F1672)),ISNUMBER(SEARCH("tubo cravado",$F1672)),ISNUMBER(SEARCH("shaft",$J1672)),ISNUMBER(SEARCH("concreto",$F1672))),"TUBO CRAVADO","")))</f>
        <v/>
      </c>
      <c r="T1672">
        <f>IF($A1672="","",TEXT($A1672,"yyyymm")&amp;"|"&amp;$C1672&amp;"|"&amp;$F1672&amp;"|"&amp;$N1672&amp;"|"&amp;$R1672)</f>
        <v/>
      </c>
    </row>
    <row r="1673" ht="11.55" customHeight="1">
      <c r="A1673" s="10" t="n">
        <v>46119</v>
      </c>
      <c r="B1673" s="7" t="inlineStr">
        <is>
          <t>Terça</t>
        </is>
      </c>
      <c r="C1673" s="7" t="inlineStr">
        <is>
          <t>CT ÁGUA VERMELHA M.D. e M.E</t>
        </is>
      </c>
      <c r="D1673" s="7" t="inlineStr">
        <is>
          <t>FABIO</t>
        </is>
      </c>
      <c r="E1673" s="7" t="inlineStr">
        <is>
          <t>Cidão</t>
        </is>
      </c>
      <c r="F1673" s="13" t="inlineStr">
        <is>
          <t>Shaft PVE 06</t>
        </is>
      </c>
      <c r="G1673" s="7" t="inlineStr">
        <is>
          <t>06</t>
        </is>
      </c>
      <c r="H1673" s="7" t="n"/>
      <c r="I1673" s="7" t="inlineStr">
        <is>
          <t>06</t>
        </is>
      </c>
      <c r="J1673" s="7" t="inlineStr">
        <is>
          <t>Shaft</t>
        </is>
      </c>
      <c r="K1673" s="7" t="inlineStr">
        <is>
          <t>Planejamento</t>
        </is>
      </c>
      <c r="L1673" s="16" t="inlineStr">
        <is>
          <t>PDS-Abril(2).docx</t>
        </is>
      </c>
      <c r="M1673">
        <f>IF($A1673="","",TEXT($A1673,"mmmm/yyyy"))</f>
        <v/>
      </c>
      <c r="P1673">
        <f>IFERROR(_xludf.XLOOKUP($N1673,Base_Enderecos!$A:$A,Base_Enderecos!$B:$B,""),"")</f>
        <v/>
      </c>
      <c r="Q1673">
        <f>IFERROR(_xludf.XLOOKUP($N1673,Base_Enderecos!$A:$A,Base_Enderecos!$C:$C,""),"")</f>
        <v/>
      </c>
      <c r="R1673">
        <f>IF(OR(ISNUMBER(SEARCH("HDD",$F1673)),ISNUMBER(SEARCH("MND",$F1673)),ISNUMBER(SEARCH("PEAD",$F1673)),ISNUMBER(SEARCH("Puxe",$J1673)),ISNUMBER(SEARCH("Apoio HDD",$F1673))),"MND",IF(OR(ISNUMBER(SEARCH("VCA",$F1673)),ISNUMBER(SEARCH("PVC",$F1673)),ISNUMBER(SEARCH("vca",$J1673)),ISNUMBER(SEARCH("Transformação",$J1673))),"VCA",IF(OR(ISNUMBER(SEARCH("crava",$F1673)),ISNUMBER(SEARCH("tubo cravado",$F1673)),ISNUMBER(SEARCH("shaft",$J1673)),ISNUMBER(SEARCH("concreto",$F1673))),"TUBO CRAVADO","")))</f>
        <v/>
      </c>
      <c r="T1673">
        <f>IF($A1673="","",TEXT($A1673,"yyyymm")&amp;"|"&amp;$C1673&amp;"|"&amp;$F1673&amp;"|"&amp;$N1673&amp;"|"&amp;$R1673)</f>
        <v/>
      </c>
    </row>
    <row r="1674" ht="11.55" customHeight="1">
      <c r="A1674" s="10" t="n">
        <v>46119</v>
      </c>
      <c r="B1674" s="7" t="inlineStr">
        <is>
          <t>Terça</t>
        </is>
      </c>
      <c r="C1674" s="7" t="inlineStr">
        <is>
          <t>CT ÁGUA VERMELHA M.D. e M.E</t>
        </is>
      </c>
      <c r="D1674" s="7" t="inlineStr">
        <is>
          <t>FABIO</t>
        </is>
      </c>
      <c r="E1674" s="7" t="inlineStr">
        <is>
          <t>Marcelo</t>
        </is>
      </c>
      <c r="F1674" s="13" t="inlineStr">
        <is>
          <t>Shaft PV 19</t>
        </is>
      </c>
      <c r="G1674" s="7" t="inlineStr">
        <is>
          <t>19</t>
        </is>
      </c>
      <c r="H1674" s="7" t="n"/>
      <c r="I1674" s="7" t="inlineStr">
        <is>
          <t>19</t>
        </is>
      </c>
      <c r="J1674" s="7" t="inlineStr">
        <is>
          <t>Shaft</t>
        </is>
      </c>
      <c r="K1674" s="7" t="inlineStr">
        <is>
          <t>Planejamento</t>
        </is>
      </c>
      <c r="L1674" s="16" t="inlineStr">
        <is>
          <t>PDS-Abril(2).docx</t>
        </is>
      </c>
      <c r="M1674">
        <f>IF($A1674="","",TEXT($A1674,"mmmm/yyyy"))</f>
        <v/>
      </c>
      <c r="P1674">
        <f>IFERROR(_xludf.XLOOKUP($N1674,Base_Enderecos!$A:$A,Base_Enderecos!$B:$B,""),"")</f>
        <v/>
      </c>
      <c r="Q1674">
        <f>IFERROR(_xludf.XLOOKUP($N1674,Base_Enderecos!$A:$A,Base_Enderecos!$C:$C,""),"")</f>
        <v/>
      </c>
      <c r="R1674">
        <f>IF(OR(ISNUMBER(SEARCH("HDD",$F1674)),ISNUMBER(SEARCH("MND",$F1674)),ISNUMBER(SEARCH("PEAD",$F1674)),ISNUMBER(SEARCH("Puxe",$J1674)),ISNUMBER(SEARCH("Apoio HDD",$F1674))),"MND",IF(OR(ISNUMBER(SEARCH("VCA",$F1674)),ISNUMBER(SEARCH("PVC",$F1674)),ISNUMBER(SEARCH("vca",$J1674)),ISNUMBER(SEARCH("Transformação",$J1674))),"VCA",IF(OR(ISNUMBER(SEARCH("crava",$F1674)),ISNUMBER(SEARCH("tubo cravado",$F1674)),ISNUMBER(SEARCH("shaft",$J1674)),ISNUMBER(SEARCH("concreto",$F1674))),"TUBO CRAVADO","")))</f>
        <v/>
      </c>
      <c r="T1674">
        <f>IF($A1674="","",TEXT($A1674,"yyyymm")&amp;"|"&amp;$C1674&amp;"|"&amp;$F1674&amp;"|"&amp;$N1674&amp;"|"&amp;$R1674)</f>
        <v/>
      </c>
    </row>
    <row r="1675" ht="11.55" customHeight="1">
      <c r="A1675" s="10" t="n">
        <v>46119</v>
      </c>
      <c r="B1675" s="7" t="inlineStr">
        <is>
          <t>Terça</t>
        </is>
      </c>
      <c r="C1675" s="7" t="inlineStr">
        <is>
          <t>CT ÁGUA VERMELHA M.D. e M.E</t>
        </is>
      </c>
      <c r="D1675" s="7" t="inlineStr">
        <is>
          <t>FABIO</t>
        </is>
      </c>
      <c r="E1675" s="7" t="inlineStr">
        <is>
          <t>Edivando</t>
        </is>
      </c>
      <c r="F1675" s="13" t="inlineStr">
        <is>
          <t>Shaft PVE 22</t>
        </is>
      </c>
      <c r="G1675" s="7" t="inlineStr">
        <is>
          <t>22</t>
        </is>
      </c>
      <c r="H1675" s="7" t="n"/>
      <c r="I1675" s="7" t="inlineStr">
        <is>
          <t>22</t>
        </is>
      </c>
      <c r="J1675" s="7" t="inlineStr">
        <is>
          <t>Shaft</t>
        </is>
      </c>
      <c r="K1675" s="7" t="inlineStr">
        <is>
          <t>Planejamento</t>
        </is>
      </c>
      <c r="L1675" s="16" t="inlineStr">
        <is>
          <t>PDS-Abril(2).docx</t>
        </is>
      </c>
      <c r="M1675">
        <f>IF($A1675="","",TEXT($A1675,"mmmm/yyyy"))</f>
        <v/>
      </c>
      <c r="P1675">
        <f>IFERROR(_xludf.XLOOKUP($N1675,Base_Enderecos!$A:$A,Base_Enderecos!$B:$B,""),"")</f>
        <v/>
      </c>
      <c r="Q1675">
        <f>IFERROR(_xludf.XLOOKUP($N1675,Base_Enderecos!$A:$A,Base_Enderecos!$C:$C,""),"")</f>
        <v/>
      </c>
      <c r="R1675">
        <f>IF(OR(ISNUMBER(SEARCH("HDD",$F1675)),ISNUMBER(SEARCH("MND",$F1675)),ISNUMBER(SEARCH("PEAD",$F1675)),ISNUMBER(SEARCH("Puxe",$J1675)),ISNUMBER(SEARCH("Apoio HDD",$F1675))),"MND",IF(OR(ISNUMBER(SEARCH("VCA",$F1675)),ISNUMBER(SEARCH("PVC",$F1675)),ISNUMBER(SEARCH("vca",$J1675)),ISNUMBER(SEARCH("Transformação",$J1675))),"VCA",IF(OR(ISNUMBER(SEARCH("crava",$F1675)),ISNUMBER(SEARCH("tubo cravado",$F1675)),ISNUMBER(SEARCH("shaft",$J1675)),ISNUMBER(SEARCH("concreto",$F1675))),"TUBO CRAVADO","")))</f>
        <v/>
      </c>
      <c r="T1675">
        <f>IF($A1675="","",TEXT($A1675,"yyyymm")&amp;"|"&amp;$C1675&amp;"|"&amp;$F1675&amp;"|"&amp;$N1675&amp;"|"&amp;$R1675)</f>
        <v/>
      </c>
    </row>
    <row r="1676" ht="11.55" customHeight="1">
      <c r="A1676" s="10" t="n">
        <v>46119</v>
      </c>
      <c r="B1676" s="7" t="inlineStr">
        <is>
          <t>Terça</t>
        </is>
      </c>
      <c r="C1676" s="7" t="inlineStr">
        <is>
          <t>Int. ÁGUA BOA</t>
        </is>
      </c>
      <c r="D1676" s="7" t="inlineStr">
        <is>
          <t>VALMIR</t>
        </is>
      </c>
      <c r="E1676" s="7" t="inlineStr">
        <is>
          <t>Antônio</t>
        </is>
      </c>
      <c r="F1676" s="13" t="inlineStr">
        <is>
          <t>Transformação PV 03</t>
        </is>
      </c>
      <c r="G1676" s="7" t="inlineStr">
        <is>
          <t>03</t>
        </is>
      </c>
      <c r="H1676" s="7" t="n"/>
      <c r="I1676" s="7" t="inlineStr">
        <is>
          <t>03</t>
        </is>
      </c>
      <c r="J1676" s="7" t="inlineStr">
        <is>
          <t>Transformação</t>
        </is>
      </c>
      <c r="K1676" s="7" t="inlineStr">
        <is>
          <t>Planejamento</t>
        </is>
      </c>
      <c r="L1676" s="16" t="inlineStr">
        <is>
          <t>PDS-Abril(2).docx</t>
        </is>
      </c>
      <c r="M1676">
        <f>IF($A1676="","",TEXT($A1676,"mmmm/yyyy"))</f>
        <v/>
      </c>
      <c r="P1676">
        <f>IFERROR(_xludf.XLOOKUP($N1676,Base_Enderecos!$A:$A,Base_Enderecos!$B:$B,""),"")</f>
        <v/>
      </c>
      <c r="Q1676">
        <f>IFERROR(_xludf.XLOOKUP($N1676,Base_Enderecos!$A:$A,Base_Enderecos!$C:$C,""),"")</f>
        <v/>
      </c>
      <c r="R1676">
        <f>IF(OR(ISNUMBER(SEARCH("HDD",$F1676)),ISNUMBER(SEARCH("MND",$F1676)),ISNUMBER(SEARCH("PEAD",$F1676)),ISNUMBER(SEARCH("Puxe",$J1676)),ISNUMBER(SEARCH("Apoio HDD",$F1676))),"MND",IF(OR(ISNUMBER(SEARCH("VCA",$F1676)),ISNUMBER(SEARCH("PVC",$F1676)),ISNUMBER(SEARCH("vca",$J1676)),ISNUMBER(SEARCH("Transformação",$J1676))),"VCA",IF(OR(ISNUMBER(SEARCH("crava",$F1676)),ISNUMBER(SEARCH("tubo cravado",$F1676)),ISNUMBER(SEARCH("shaft",$J1676)),ISNUMBER(SEARCH("concreto",$F1676))),"TUBO CRAVADO","")))</f>
        <v/>
      </c>
      <c r="T1676">
        <f>IF($A1676="","",TEXT($A1676,"yyyymm")&amp;"|"&amp;$C1676&amp;"|"&amp;$F1676&amp;"|"&amp;$N1676&amp;"|"&amp;$R1676)</f>
        <v/>
      </c>
    </row>
    <row r="1677" ht="11.55" customHeight="1">
      <c r="A1677" s="10" t="n">
        <v>46119</v>
      </c>
      <c r="B1677" s="7" t="inlineStr">
        <is>
          <t>Terça</t>
        </is>
      </c>
      <c r="C1677" s="7" t="inlineStr">
        <is>
          <t>Int. ÁGUA BOA</t>
        </is>
      </c>
      <c r="D1677" s="7" t="inlineStr">
        <is>
          <t>VALMIR</t>
        </is>
      </c>
      <c r="E1677" s="7" t="inlineStr">
        <is>
          <t>Ricardo</t>
        </is>
      </c>
      <c r="F1677" s="13" t="inlineStr">
        <is>
          <t>Transformação PV 04</t>
        </is>
      </c>
      <c r="G1677" s="7" t="inlineStr">
        <is>
          <t>04</t>
        </is>
      </c>
      <c r="H1677" s="7" t="n"/>
      <c r="I1677" s="7" t="inlineStr">
        <is>
          <t>04</t>
        </is>
      </c>
      <c r="J1677" s="7" t="inlineStr">
        <is>
          <t>Transformação</t>
        </is>
      </c>
      <c r="K1677" s="7" t="inlineStr">
        <is>
          <t>Planejamento</t>
        </is>
      </c>
      <c r="L1677" s="16" t="inlineStr">
        <is>
          <t>PDS-Abril(2).docx</t>
        </is>
      </c>
      <c r="M1677">
        <f>IF($A1677="","",TEXT($A1677,"mmmm/yyyy"))</f>
        <v/>
      </c>
      <c r="P1677">
        <f>IFERROR(_xludf.XLOOKUP($N1677,Base_Enderecos!$A:$A,Base_Enderecos!$B:$B,""),"")</f>
        <v/>
      </c>
      <c r="Q1677">
        <f>IFERROR(_xludf.XLOOKUP($N1677,Base_Enderecos!$A:$A,Base_Enderecos!$C:$C,""),"")</f>
        <v/>
      </c>
      <c r="R1677">
        <f>IF(OR(ISNUMBER(SEARCH("HDD",$F1677)),ISNUMBER(SEARCH("MND",$F1677)),ISNUMBER(SEARCH("PEAD",$F1677)),ISNUMBER(SEARCH("Puxe",$J1677)),ISNUMBER(SEARCH("Apoio HDD",$F1677))),"MND",IF(OR(ISNUMBER(SEARCH("VCA",$F1677)),ISNUMBER(SEARCH("PVC",$F1677)),ISNUMBER(SEARCH("vca",$J1677)),ISNUMBER(SEARCH("Transformação",$J1677))),"VCA",IF(OR(ISNUMBER(SEARCH("crava",$F1677)),ISNUMBER(SEARCH("tubo cravado",$F1677)),ISNUMBER(SEARCH("shaft",$J1677)),ISNUMBER(SEARCH("concreto",$F1677))),"TUBO CRAVADO","")))</f>
        <v/>
      </c>
      <c r="T1677">
        <f>IF($A1677="","",TEXT($A1677,"yyyymm")&amp;"|"&amp;$C1677&amp;"|"&amp;$F1677&amp;"|"&amp;$N1677&amp;"|"&amp;$R1677)</f>
        <v/>
      </c>
    </row>
    <row r="1678" ht="11.55" customHeight="1">
      <c r="A1678" s="10" t="n">
        <v>46119</v>
      </c>
      <c r="B1678" s="7" t="inlineStr">
        <is>
          <t>Terça</t>
        </is>
      </c>
      <c r="C1678" s="7" t="inlineStr">
        <is>
          <t>RCE FCO. SOUTO MAIOR</t>
        </is>
      </c>
      <c r="D1678" s="7" t="inlineStr">
        <is>
          <t>SILVESTRE</t>
        </is>
      </c>
      <c r="E1678" s="7" t="inlineStr">
        <is>
          <t>Valter</t>
        </is>
      </c>
      <c r="F1678" s="13" t="inlineStr">
        <is>
          <t>VCA e Ligações – Rua Canto da Serra</t>
        </is>
      </c>
      <c r="G1678" s="7" t="n"/>
      <c r="H1678" s="7" t="n"/>
      <c r="I1678" s="7" t="n"/>
      <c r="J1678" s="7" t="inlineStr">
        <is>
          <t>VCA</t>
        </is>
      </c>
      <c r="K1678" s="7" t="inlineStr">
        <is>
          <t>Planejamento</t>
        </is>
      </c>
      <c r="L1678" s="16" t="inlineStr">
        <is>
          <t>PDS-Abril(2).docx</t>
        </is>
      </c>
      <c r="M1678">
        <f>IF($A1678="","",TEXT($A1678,"mmmm/yyyy"))</f>
        <v/>
      </c>
      <c r="P1678">
        <f>IFERROR(_xludf.XLOOKUP($N1678,Base_Enderecos!$A:$A,Base_Enderecos!$B:$B,""),"")</f>
        <v/>
      </c>
      <c r="Q1678">
        <f>IFERROR(_xludf.XLOOKUP($N1678,Base_Enderecos!$A:$A,Base_Enderecos!$C:$C,""),"")</f>
        <v/>
      </c>
      <c r="R1678">
        <f>IF(OR(ISNUMBER(SEARCH("HDD",$F1678)),ISNUMBER(SEARCH("MND",$F1678)),ISNUMBER(SEARCH("PEAD",$F1678)),ISNUMBER(SEARCH("Puxe",$J1678)),ISNUMBER(SEARCH("Apoio HDD",$F1678))),"MND",IF(OR(ISNUMBER(SEARCH("VCA",$F1678)),ISNUMBER(SEARCH("PVC",$F1678)),ISNUMBER(SEARCH("vca",$J1678)),ISNUMBER(SEARCH("Transformação",$J1678))),"VCA",IF(OR(ISNUMBER(SEARCH("crava",$F1678)),ISNUMBER(SEARCH("tubo cravado",$F1678)),ISNUMBER(SEARCH("shaft",$J1678)),ISNUMBER(SEARCH("concreto",$F1678))),"TUBO CRAVADO","")))</f>
        <v/>
      </c>
      <c r="T1678">
        <f>IF($A1678="","",TEXT($A1678,"yyyymm")&amp;"|"&amp;$C1678&amp;"|"&amp;$F1678&amp;"|"&amp;$N1678&amp;"|"&amp;$R1678)</f>
        <v/>
      </c>
    </row>
    <row r="1679" ht="11.55" customHeight="1">
      <c r="A1679" s="10" t="n">
        <v>46119</v>
      </c>
      <c r="B1679" s="7" t="inlineStr">
        <is>
          <t>Terça</t>
        </is>
      </c>
      <c r="C1679" s="7" t="inlineStr">
        <is>
          <t>CTS LUIS BOTELHO MOURÃO</t>
        </is>
      </c>
      <c r="D1679" s="7" t="inlineStr">
        <is>
          <t>ROBSON</t>
        </is>
      </c>
      <c r="E1679" s="7" t="inlineStr">
        <is>
          <t>Goiania Drill</t>
        </is>
      </c>
      <c r="F1679" s="13" t="inlineStr">
        <is>
          <t>Piloto e puxe PV 05 ao PV 07</t>
        </is>
      </c>
      <c r="G1679" s="7" t="inlineStr">
        <is>
          <t>05</t>
        </is>
      </c>
      <c r="H1679" s="7" t="inlineStr">
        <is>
          <t>07</t>
        </is>
      </c>
      <c r="I1679" s="7" t="inlineStr">
        <is>
          <t>05, 07</t>
        </is>
      </c>
      <c r="J1679" s="7" t="inlineStr">
        <is>
          <t>Piloto e puxe</t>
        </is>
      </c>
      <c r="K1679" s="7" t="inlineStr">
        <is>
          <t>Planejamento</t>
        </is>
      </c>
      <c r="L1679" s="16" t="inlineStr">
        <is>
          <t>PDS-Abril(2).docx</t>
        </is>
      </c>
      <c r="M1679">
        <f>IF($A1679="","",TEXT($A1679,"mmmm/yyyy"))</f>
        <v/>
      </c>
      <c r="P1679">
        <f>IFERROR(_xludf.XLOOKUP($N1679,Base_Enderecos!$A:$A,Base_Enderecos!$B:$B,""),"")</f>
        <v/>
      </c>
      <c r="Q1679">
        <f>IFERROR(_xludf.XLOOKUP($N1679,Base_Enderecos!$A:$A,Base_Enderecos!$C:$C,""),"")</f>
        <v/>
      </c>
      <c r="R1679">
        <f>IF(OR(ISNUMBER(SEARCH("HDD",$F1679)),ISNUMBER(SEARCH("MND",$F1679)),ISNUMBER(SEARCH("PEAD",$F1679)),ISNUMBER(SEARCH("Puxe",$J1679)),ISNUMBER(SEARCH("Apoio HDD",$F1679))),"MND",IF(OR(ISNUMBER(SEARCH("VCA",$F1679)),ISNUMBER(SEARCH("PVC",$F1679)),ISNUMBER(SEARCH("vca",$J1679)),ISNUMBER(SEARCH("Transformação",$J1679))),"VCA",IF(OR(ISNUMBER(SEARCH("crava",$F1679)),ISNUMBER(SEARCH("tubo cravado",$F1679)),ISNUMBER(SEARCH("shaft",$J1679)),ISNUMBER(SEARCH("concreto",$F1679))),"TUBO CRAVADO","")))</f>
        <v/>
      </c>
      <c r="T1679">
        <f>IF($A1679="","",TEXT($A1679,"yyyymm")&amp;"|"&amp;$C1679&amp;"|"&amp;$F1679&amp;"|"&amp;$N1679&amp;"|"&amp;$R1679)</f>
        <v/>
      </c>
    </row>
    <row r="1680" ht="11.55" customHeight="1">
      <c r="A1680" s="10" t="n">
        <v>46119</v>
      </c>
      <c r="B1680" s="7" t="inlineStr">
        <is>
          <t>Terça</t>
        </is>
      </c>
      <c r="C1680" s="7" t="inlineStr">
        <is>
          <t>CTS LUIS BOTELHO MOURÃO</t>
        </is>
      </c>
      <c r="D1680" s="7" t="inlineStr">
        <is>
          <t>ROBSON</t>
        </is>
      </c>
      <c r="E1680" s="7" t="inlineStr">
        <is>
          <t>Bruno</t>
        </is>
      </c>
      <c r="F1680" s="13" t="inlineStr">
        <is>
          <t>Apoio HDD PV 05 ao PV 07</t>
        </is>
      </c>
      <c r="G1680" s="7" t="inlineStr">
        <is>
          <t>05</t>
        </is>
      </c>
      <c r="H1680" s="7" t="inlineStr">
        <is>
          <t>07</t>
        </is>
      </c>
      <c r="I1680" s="7" t="inlineStr">
        <is>
          <t>05, 07</t>
        </is>
      </c>
      <c r="J1680" s="7" t="inlineStr">
        <is>
          <t>Apoio HDD</t>
        </is>
      </c>
      <c r="K1680" s="7" t="inlineStr">
        <is>
          <t>Planejamento</t>
        </is>
      </c>
      <c r="L1680" s="16" t="inlineStr">
        <is>
          <t>PDS-Abril(2).docx</t>
        </is>
      </c>
      <c r="M1680">
        <f>IF($A1680="","",TEXT($A1680,"mmmm/yyyy"))</f>
        <v/>
      </c>
      <c r="P1680">
        <f>IFERROR(_xludf.XLOOKUP($N1680,Base_Enderecos!$A:$A,Base_Enderecos!$B:$B,""),"")</f>
        <v/>
      </c>
      <c r="Q1680">
        <f>IFERROR(_xludf.XLOOKUP($N1680,Base_Enderecos!$A:$A,Base_Enderecos!$C:$C,""),"")</f>
        <v/>
      </c>
      <c r="R1680">
        <f>IF(OR(ISNUMBER(SEARCH("HDD",$F1680)),ISNUMBER(SEARCH("MND",$F1680)),ISNUMBER(SEARCH("PEAD",$F1680)),ISNUMBER(SEARCH("Puxe",$J1680)),ISNUMBER(SEARCH("Apoio HDD",$F1680))),"MND",IF(OR(ISNUMBER(SEARCH("VCA",$F1680)),ISNUMBER(SEARCH("PVC",$F1680)),ISNUMBER(SEARCH("vca",$J1680)),ISNUMBER(SEARCH("Transformação",$J1680))),"VCA",IF(OR(ISNUMBER(SEARCH("crava",$F1680)),ISNUMBER(SEARCH("tubo cravado",$F1680)),ISNUMBER(SEARCH("shaft",$J1680)),ISNUMBER(SEARCH("concreto",$F1680))),"TUBO CRAVADO","")))</f>
        <v/>
      </c>
      <c r="T1680">
        <f>IF($A1680="","",TEXT($A1680,"yyyymm")&amp;"|"&amp;$C1680&amp;"|"&amp;$F1680&amp;"|"&amp;$N1680&amp;"|"&amp;$R1680)</f>
        <v/>
      </c>
    </row>
    <row r="1681" ht="11.55" customHeight="1">
      <c r="A1681" s="10" t="n">
        <v>46119</v>
      </c>
      <c r="B1681" s="7" t="inlineStr">
        <is>
          <t>Terça</t>
        </is>
      </c>
      <c r="C1681" s="7" t="inlineStr">
        <is>
          <t>CTS LUIS BOTELHO MOURÃO</t>
        </is>
      </c>
      <c r="D1681" s="7" t="inlineStr">
        <is>
          <t>ROBSON</t>
        </is>
      </c>
      <c r="E1681" s="7" t="inlineStr">
        <is>
          <t>Marcio</t>
        </is>
      </c>
      <c r="F1681" s="13" t="inlineStr">
        <is>
          <t>Transformação + Interlig. PV 02</t>
        </is>
      </c>
      <c r="G1681" s="7" t="inlineStr">
        <is>
          <t>02</t>
        </is>
      </c>
      <c r="H1681" s="7" t="n"/>
      <c r="I1681" s="7" t="inlineStr">
        <is>
          <t>02</t>
        </is>
      </c>
      <c r="J1681" s="7" t="inlineStr">
        <is>
          <t>Transformação</t>
        </is>
      </c>
      <c r="K1681" s="7" t="inlineStr">
        <is>
          <t>Planejamento</t>
        </is>
      </c>
      <c r="L1681" s="16" t="inlineStr">
        <is>
          <t>PDS-Abril(2).docx</t>
        </is>
      </c>
      <c r="M1681">
        <f>IF($A1681="","",TEXT($A1681,"mmmm/yyyy"))</f>
        <v/>
      </c>
      <c r="P1681">
        <f>IFERROR(_xludf.XLOOKUP($N1681,Base_Enderecos!$A:$A,Base_Enderecos!$B:$B,""),"")</f>
        <v/>
      </c>
      <c r="Q1681">
        <f>IFERROR(_xludf.XLOOKUP($N1681,Base_Enderecos!$A:$A,Base_Enderecos!$C:$C,""),"")</f>
        <v/>
      </c>
      <c r="R1681">
        <f>IF(OR(ISNUMBER(SEARCH("HDD",$F1681)),ISNUMBER(SEARCH("MND",$F1681)),ISNUMBER(SEARCH("PEAD",$F1681)),ISNUMBER(SEARCH("Puxe",$J1681)),ISNUMBER(SEARCH("Apoio HDD",$F1681))),"MND",IF(OR(ISNUMBER(SEARCH("VCA",$F1681)),ISNUMBER(SEARCH("PVC",$F1681)),ISNUMBER(SEARCH("vca",$J1681)),ISNUMBER(SEARCH("Transformação",$J1681))),"VCA",IF(OR(ISNUMBER(SEARCH("crava",$F1681)),ISNUMBER(SEARCH("tubo cravado",$F1681)),ISNUMBER(SEARCH("shaft",$J1681)),ISNUMBER(SEARCH("concreto",$F1681))),"TUBO CRAVADO","")))</f>
        <v/>
      </c>
      <c r="T1681">
        <f>IF($A1681="","",TEXT($A1681,"yyyymm")&amp;"|"&amp;$C1681&amp;"|"&amp;$F1681&amp;"|"&amp;$N1681&amp;"|"&amp;$R1681)</f>
        <v/>
      </c>
    </row>
    <row r="1682" ht="11.55" customHeight="1">
      <c r="A1682" s="10" t="n">
        <v>46119</v>
      </c>
      <c r="B1682" s="7" t="inlineStr">
        <is>
          <t>Terça</t>
        </is>
      </c>
      <c r="C1682" s="7" t="inlineStr">
        <is>
          <t>CTS LUIS BOTELHO MOURÃO</t>
        </is>
      </c>
      <c r="D1682" s="7" t="inlineStr">
        <is>
          <t>ROBSON</t>
        </is>
      </c>
      <c r="E1682" s="7" t="inlineStr">
        <is>
          <t>Jhonatan</t>
        </is>
      </c>
      <c r="F1682" s="13" t="inlineStr">
        <is>
          <t>Transformação PV 04</t>
        </is>
      </c>
      <c r="G1682" s="7" t="inlineStr">
        <is>
          <t>04</t>
        </is>
      </c>
      <c r="H1682" s="7" t="n"/>
      <c r="I1682" s="7" t="inlineStr">
        <is>
          <t>04</t>
        </is>
      </c>
      <c r="J1682" s="7" t="inlineStr">
        <is>
          <t>Transformação</t>
        </is>
      </c>
      <c r="K1682" s="7" t="inlineStr">
        <is>
          <t>Planejamento</t>
        </is>
      </c>
      <c r="L1682" s="16" t="inlineStr">
        <is>
          <t>PDS-Abril(2).docx</t>
        </is>
      </c>
      <c r="M1682">
        <f>IF($A1682="","",TEXT($A1682,"mmmm/yyyy"))</f>
        <v/>
      </c>
      <c r="P1682">
        <f>IFERROR(_xludf.XLOOKUP($N1682,Base_Enderecos!$A:$A,Base_Enderecos!$B:$B,""),"")</f>
        <v/>
      </c>
      <c r="Q1682">
        <f>IFERROR(_xludf.XLOOKUP($N1682,Base_Enderecos!$A:$A,Base_Enderecos!$C:$C,""),"")</f>
        <v/>
      </c>
      <c r="R1682">
        <f>IF(OR(ISNUMBER(SEARCH("HDD",$F1682)),ISNUMBER(SEARCH("MND",$F1682)),ISNUMBER(SEARCH("PEAD",$F1682)),ISNUMBER(SEARCH("Puxe",$J1682)),ISNUMBER(SEARCH("Apoio HDD",$F1682))),"MND",IF(OR(ISNUMBER(SEARCH("VCA",$F1682)),ISNUMBER(SEARCH("PVC",$F1682)),ISNUMBER(SEARCH("vca",$J1682)),ISNUMBER(SEARCH("Transformação",$J1682))),"VCA",IF(OR(ISNUMBER(SEARCH("crava",$F1682)),ISNUMBER(SEARCH("tubo cravado",$F1682)),ISNUMBER(SEARCH("shaft",$J1682)),ISNUMBER(SEARCH("concreto",$F1682))),"TUBO CRAVADO","")))</f>
        <v/>
      </c>
      <c r="T1682">
        <f>IF($A1682="","",TEXT($A1682,"yyyymm")&amp;"|"&amp;$C1682&amp;"|"&amp;$F1682&amp;"|"&amp;$N1682&amp;"|"&amp;$R1682)</f>
        <v/>
      </c>
    </row>
    <row r="1683" ht="11.55" customHeight="1">
      <c r="A1683" s="10" t="n">
        <v>46119</v>
      </c>
      <c r="B1683" s="7" t="inlineStr">
        <is>
          <t>Terça</t>
        </is>
      </c>
      <c r="C1683" s="7" t="inlineStr">
        <is>
          <t>Vacal</t>
        </is>
      </c>
      <c r="D1683" s="7" t="n"/>
      <c r="E1683" s="7" t="inlineStr">
        <is>
          <t>Botelho Mourão – Renasce</t>
        </is>
      </c>
      <c r="F1683" s="13" t="inlineStr">
        <is>
          <t>Apoio Vacal</t>
        </is>
      </c>
      <c r="G1683" s="7" t="n"/>
      <c r="H1683" s="7" t="n"/>
      <c r="I1683" s="7" t="n"/>
      <c r="J1683" s="7" t="inlineStr">
        <is>
          <t>Vacal</t>
        </is>
      </c>
      <c r="K1683" s="7" t="inlineStr">
        <is>
          <t>Apoio</t>
        </is>
      </c>
      <c r="L1683" s="16" t="inlineStr">
        <is>
          <t>PDS-Abril(2).docx</t>
        </is>
      </c>
      <c r="M1683">
        <f>IF($A1683="","",TEXT($A1683,"mmmm/yyyy"))</f>
        <v/>
      </c>
      <c r="P1683">
        <f>IFERROR(_xludf.XLOOKUP($N1683,Base_Enderecos!$A:$A,Base_Enderecos!$B:$B,""),"")</f>
        <v/>
      </c>
      <c r="Q1683">
        <f>IFERROR(_xludf.XLOOKUP($N1683,Base_Enderecos!$A:$A,Base_Enderecos!$C:$C,""),"")</f>
        <v/>
      </c>
      <c r="R1683">
        <f>IF(OR(ISNUMBER(SEARCH("HDD",$F1683)),ISNUMBER(SEARCH("MND",$F1683)),ISNUMBER(SEARCH("PEAD",$F1683)),ISNUMBER(SEARCH("Puxe",$J1683)),ISNUMBER(SEARCH("Apoio HDD",$F1683))),"MND",IF(OR(ISNUMBER(SEARCH("VCA",$F1683)),ISNUMBER(SEARCH("PVC",$F1683)),ISNUMBER(SEARCH("vca",$J1683)),ISNUMBER(SEARCH("Transformação",$J1683))),"VCA",IF(OR(ISNUMBER(SEARCH("crava",$F1683)),ISNUMBER(SEARCH("tubo cravado",$F1683)),ISNUMBER(SEARCH("shaft",$J1683)),ISNUMBER(SEARCH("concreto",$F1683))),"TUBO CRAVADO","")))</f>
        <v/>
      </c>
      <c r="T1683">
        <f>IF($A1683="","",TEXT($A1683,"yyyymm")&amp;"|"&amp;$C1683&amp;"|"&amp;$F1683&amp;"|"&amp;$N1683&amp;"|"&amp;$R1683)</f>
        <v/>
      </c>
    </row>
    <row r="1684" ht="11.55" customHeight="1">
      <c r="A1684" s="10" t="n">
        <v>46119</v>
      </c>
      <c r="B1684" s="7" t="inlineStr">
        <is>
          <t>Terça</t>
        </is>
      </c>
      <c r="C1684" s="7" t="inlineStr">
        <is>
          <t>Vacal</t>
        </is>
      </c>
      <c r="D1684" s="7" t="n"/>
      <c r="E1684" s="7" t="inlineStr">
        <is>
          <t>Botelho Mourão – BRD</t>
        </is>
      </c>
      <c r="F1684" s="13" t="inlineStr">
        <is>
          <t>Apoio Vacal</t>
        </is>
      </c>
      <c r="G1684" s="7" t="n"/>
      <c r="H1684" s="7" t="n"/>
      <c r="I1684" s="7" t="n"/>
      <c r="J1684" s="7" t="inlineStr">
        <is>
          <t>Vacal</t>
        </is>
      </c>
      <c r="K1684" s="7" t="inlineStr">
        <is>
          <t>Apoio</t>
        </is>
      </c>
      <c r="L1684" s="16" t="inlineStr">
        <is>
          <t>PDS-Abril(2).docx</t>
        </is>
      </c>
      <c r="M1684">
        <f>IF($A1684="","",TEXT($A1684,"mmmm/yyyy"))</f>
        <v/>
      </c>
      <c r="P1684">
        <f>IFERROR(_xludf.XLOOKUP($N1684,Base_Enderecos!$A:$A,Base_Enderecos!$B:$B,""),"")</f>
        <v/>
      </c>
      <c r="Q1684">
        <f>IFERROR(_xludf.XLOOKUP($N1684,Base_Enderecos!$A:$A,Base_Enderecos!$C:$C,""),"")</f>
        <v/>
      </c>
      <c r="R1684">
        <f>IF(OR(ISNUMBER(SEARCH("HDD",$F1684)),ISNUMBER(SEARCH("MND",$F1684)),ISNUMBER(SEARCH("PEAD",$F1684)),ISNUMBER(SEARCH("Puxe",$J1684)),ISNUMBER(SEARCH("Apoio HDD",$F1684))),"MND",IF(OR(ISNUMBER(SEARCH("VCA",$F1684)),ISNUMBER(SEARCH("PVC",$F1684)),ISNUMBER(SEARCH("vca",$J1684)),ISNUMBER(SEARCH("Transformação",$J1684))),"VCA",IF(OR(ISNUMBER(SEARCH("crava",$F1684)),ISNUMBER(SEARCH("tubo cravado",$F1684)),ISNUMBER(SEARCH("shaft",$J1684)),ISNUMBER(SEARCH("concreto",$F1684))),"TUBO CRAVADO","")))</f>
        <v/>
      </c>
      <c r="T1684">
        <f>IF($A1684="","",TEXT($A1684,"yyyymm")&amp;"|"&amp;$C1684&amp;"|"&amp;$F1684&amp;"|"&amp;$N1684&amp;"|"&amp;$R1684)</f>
        <v/>
      </c>
    </row>
    <row r="1685" ht="11.55" customHeight="1">
      <c r="A1685" s="10" t="n">
        <v>46119</v>
      </c>
      <c r="B1685" s="7" t="inlineStr">
        <is>
          <t>Terça</t>
        </is>
      </c>
      <c r="C1685" s="7" t="inlineStr">
        <is>
          <t>Vacal</t>
        </is>
      </c>
      <c r="D1685" s="7" t="n"/>
      <c r="E1685" s="7" t="inlineStr">
        <is>
          <t>Botelho Mourão – Renasce</t>
        </is>
      </c>
      <c r="F1685" s="13" t="inlineStr">
        <is>
          <t>Apoio Vacal</t>
        </is>
      </c>
      <c r="G1685" s="7" t="n"/>
      <c r="H1685" s="7" t="n"/>
      <c r="I1685" s="7" t="n"/>
      <c r="J1685" s="7" t="inlineStr">
        <is>
          <t>Vacal</t>
        </is>
      </c>
      <c r="K1685" s="7" t="inlineStr">
        <is>
          <t>Apoio</t>
        </is>
      </c>
      <c r="L1685" s="16" t="inlineStr">
        <is>
          <t>PDS-Abril(2).docx</t>
        </is>
      </c>
      <c r="M1685">
        <f>IF($A1685="","",TEXT($A1685,"mmmm/yyyy"))</f>
        <v/>
      </c>
      <c r="P1685">
        <f>IFERROR(_xludf.XLOOKUP($N1685,Base_Enderecos!$A:$A,Base_Enderecos!$B:$B,""),"")</f>
        <v/>
      </c>
      <c r="Q1685">
        <f>IFERROR(_xludf.XLOOKUP($N1685,Base_Enderecos!$A:$A,Base_Enderecos!$C:$C,""),"")</f>
        <v/>
      </c>
      <c r="R1685">
        <f>IF(OR(ISNUMBER(SEARCH("HDD",$F1685)),ISNUMBER(SEARCH("MND",$F1685)),ISNUMBER(SEARCH("PEAD",$F1685)),ISNUMBER(SEARCH("Puxe",$J1685)),ISNUMBER(SEARCH("Apoio HDD",$F1685))),"MND",IF(OR(ISNUMBER(SEARCH("VCA",$F1685)),ISNUMBER(SEARCH("PVC",$F1685)),ISNUMBER(SEARCH("vca",$J1685)),ISNUMBER(SEARCH("Transformação",$J1685))),"VCA",IF(OR(ISNUMBER(SEARCH("crava",$F1685)),ISNUMBER(SEARCH("tubo cravado",$F1685)),ISNUMBER(SEARCH("shaft",$J1685)),ISNUMBER(SEARCH("concreto",$F1685))),"TUBO CRAVADO","")))</f>
        <v/>
      </c>
      <c r="T1685">
        <f>IF($A1685="","",TEXT($A1685,"yyyymm")&amp;"|"&amp;$C1685&amp;"|"&amp;$F1685&amp;"|"&amp;$N1685&amp;"|"&amp;$R1685)</f>
        <v/>
      </c>
    </row>
    <row r="1686" ht="11.55" customHeight="1">
      <c r="A1686" s="10" t="n">
        <v>46119</v>
      </c>
      <c r="B1686" s="7" t="inlineStr">
        <is>
          <t>Terça</t>
        </is>
      </c>
      <c r="C1686" s="7" t="inlineStr">
        <is>
          <t>Vacal</t>
        </is>
      </c>
      <c r="D1686" s="7" t="n"/>
      <c r="E1686" s="7" t="inlineStr">
        <is>
          <t>Conceição – (novo)</t>
        </is>
      </c>
      <c r="F1686" s="13" t="inlineStr">
        <is>
          <t>Apoio Vacal</t>
        </is>
      </c>
      <c r="G1686" s="7" t="n"/>
      <c r="H1686" s="7" t="n"/>
      <c r="I1686" s="7" t="n"/>
      <c r="J1686" s="7" t="inlineStr">
        <is>
          <t>Vacal</t>
        </is>
      </c>
      <c r="K1686" s="7" t="inlineStr">
        <is>
          <t>Apoio</t>
        </is>
      </c>
      <c r="L1686" s="16" t="inlineStr">
        <is>
          <t>PDS-Abril(2).docx</t>
        </is>
      </c>
      <c r="M1686">
        <f>IF($A1686="","",TEXT($A1686,"mmmm/yyyy"))</f>
        <v/>
      </c>
      <c r="P1686">
        <f>IFERROR(_xludf.XLOOKUP($N1686,Base_Enderecos!$A:$A,Base_Enderecos!$B:$B,""),"")</f>
        <v/>
      </c>
      <c r="Q1686">
        <f>IFERROR(_xludf.XLOOKUP($N1686,Base_Enderecos!$A:$A,Base_Enderecos!$C:$C,""),"")</f>
        <v/>
      </c>
      <c r="R1686">
        <f>IF(OR(ISNUMBER(SEARCH("HDD",$F1686)),ISNUMBER(SEARCH("MND",$F1686)),ISNUMBER(SEARCH("PEAD",$F1686)),ISNUMBER(SEARCH("Puxe",$J1686)),ISNUMBER(SEARCH("Apoio HDD",$F1686))),"MND",IF(OR(ISNUMBER(SEARCH("VCA",$F1686)),ISNUMBER(SEARCH("PVC",$F1686)),ISNUMBER(SEARCH("vca",$J1686)),ISNUMBER(SEARCH("Transformação",$J1686))),"VCA",IF(OR(ISNUMBER(SEARCH("crava",$F1686)),ISNUMBER(SEARCH("tubo cravado",$F1686)),ISNUMBER(SEARCH("shaft",$J1686)),ISNUMBER(SEARCH("concreto",$F1686))),"TUBO CRAVADO","")))</f>
        <v/>
      </c>
      <c r="T1686">
        <f>IF($A1686="","",TEXT($A1686,"yyyymm")&amp;"|"&amp;$C1686&amp;"|"&amp;$F1686&amp;"|"&amp;$N1686&amp;"|"&amp;$R1686)</f>
        <v/>
      </c>
    </row>
    <row r="1687" ht="11.55" customHeight="1">
      <c r="A1687" s="10" t="n">
        <v>46119</v>
      </c>
      <c r="B1687" s="7" t="inlineStr">
        <is>
          <t>Terça</t>
        </is>
      </c>
      <c r="C1687" s="7" t="inlineStr">
        <is>
          <t>Vacal</t>
        </is>
      </c>
      <c r="D1687" s="7" t="n"/>
      <c r="E1687" s="7" t="inlineStr">
        <is>
          <t>Conceição – Hidrosol</t>
        </is>
      </c>
      <c r="F1687" s="13" t="inlineStr">
        <is>
          <t>Apoio Vacal</t>
        </is>
      </c>
      <c r="G1687" s="7" t="n"/>
      <c r="H1687" s="7" t="n"/>
      <c r="I1687" s="7" t="n"/>
      <c r="J1687" s="7" t="inlineStr">
        <is>
          <t>Vacal</t>
        </is>
      </c>
      <c r="K1687" s="7" t="inlineStr">
        <is>
          <t>Apoio</t>
        </is>
      </c>
      <c r="L1687" s="16" t="inlineStr">
        <is>
          <t>PDS-Abril(2).docx</t>
        </is>
      </c>
      <c r="M1687">
        <f>IF($A1687="","",TEXT($A1687,"mmmm/yyyy"))</f>
        <v/>
      </c>
      <c r="P1687">
        <f>IFERROR(_xludf.XLOOKUP($N1687,Base_Enderecos!$A:$A,Base_Enderecos!$B:$B,""),"")</f>
        <v/>
      </c>
      <c r="Q1687">
        <f>IFERROR(_xludf.XLOOKUP($N1687,Base_Enderecos!$A:$A,Base_Enderecos!$C:$C,""),"")</f>
        <v/>
      </c>
      <c r="R1687">
        <f>IF(OR(ISNUMBER(SEARCH("HDD",$F1687)),ISNUMBER(SEARCH("MND",$F1687)),ISNUMBER(SEARCH("PEAD",$F1687)),ISNUMBER(SEARCH("Puxe",$J1687)),ISNUMBER(SEARCH("Apoio HDD",$F1687))),"MND",IF(OR(ISNUMBER(SEARCH("VCA",$F1687)),ISNUMBER(SEARCH("PVC",$F1687)),ISNUMBER(SEARCH("vca",$J1687)),ISNUMBER(SEARCH("Transformação",$J1687))),"VCA",IF(OR(ISNUMBER(SEARCH("crava",$F1687)),ISNUMBER(SEARCH("tubo cravado",$F1687)),ISNUMBER(SEARCH("shaft",$J1687)),ISNUMBER(SEARCH("concreto",$F1687))),"TUBO CRAVADO","")))</f>
        <v/>
      </c>
      <c r="T1687">
        <f>IF($A1687="","",TEXT($A1687,"yyyymm")&amp;"|"&amp;$C1687&amp;"|"&amp;$F1687&amp;"|"&amp;$N1687&amp;"|"&amp;$R1687)</f>
        <v/>
      </c>
    </row>
    <row r="1688" ht="11.55" customHeight="1">
      <c r="A1688" s="10" t="n">
        <v>46119</v>
      </c>
      <c r="B1688" s="7" t="inlineStr">
        <is>
          <t>Terça</t>
        </is>
      </c>
      <c r="C1688" s="7" t="inlineStr">
        <is>
          <t>Vacal</t>
        </is>
      </c>
      <c r="D1688" s="7" t="n"/>
      <c r="E1688" s="7" t="inlineStr">
        <is>
          <t>Água Vermelha - Renasce</t>
        </is>
      </c>
      <c r="F1688" s="13" t="inlineStr">
        <is>
          <t>Apoio Vacal</t>
        </is>
      </c>
      <c r="G1688" s="7" t="n"/>
      <c r="H1688" s="7" t="n"/>
      <c r="I1688" s="7" t="n"/>
      <c r="J1688" s="7" t="inlineStr">
        <is>
          <t>Vacal</t>
        </is>
      </c>
      <c r="K1688" s="7" t="inlineStr">
        <is>
          <t>Apoio</t>
        </is>
      </c>
      <c r="L1688" s="16" t="inlineStr">
        <is>
          <t>PDS-Abril(2).docx</t>
        </is>
      </c>
      <c r="M1688">
        <f>IF($A1688="","",TEXT($A1688,"mmmm/yyyy"))</f>
        <v/>
      </c>
      <c r="P1688">
        <f>IFERROR(_xludf.XLOOKUP($N1688,Base_Enderecos!$A:$A,Base_Enderecos!$B:$B,""),"")</f>
        <v/>
      </c>
      <c r="Q1688">
        <f>IFERROR(_xludf.XLOOKUP($N1688,Base_Enderecos!$A:$A,Base_Enderecos!$C:$C,""),"")</f>
        <v/>
      </c>
      <c r="R1688">
        <f>IF(OR(ISNUMBER(SEARCH("HDD",$F1688)),ISNUMBER(SEARCH("MND",$F1688)),ISNUMBER(SEARCH("PEAD",$F1688)),ISNUMBER(SEARCH("Puxe",$J1688)),ISNUMBER(SEARCH("Apoio HDD",$F1688))),"MND",IF(OR(ISNUMBER(SEARCH("VCA",$F1688)),ISNUMBER(SEARCH("PVC",$F1688)),ISNUMBER(SEARCH("vca",$J1688)),ISNUMBER(SEARCH("Transformação",$J1688))),"VCA",IF(OR(ISNUMBER(SEARCH("crava",$F1688)),ISNUMBER(SEARCH("tubo cravado",$F1688)),ISNUMBER(SEARCH("shaft",$J1688)),ISNUMBER(SEARCH("concreto",$F1688))),"TUBO CRAVADO","")))</f>
        <v/>
      </c>
      <c r="T1688">
        <f>IF($A1688="","",TEXT($A1688,"yyyymm")&amp;"|"&amp;$C1688&amp;"|"&amp;$F1688&amp;"|"&amp;$N1688&amp;"|"&amp;$R1688)</f>
        <v/>
      </c>
    </row>
    <row r="1689" ht="11.55" customHeight="1">
      <c r="A1689" s="10" t="n">
        <v>46119</v>
      </c>
      <c r="B1689" s="7" t="inlineStr">
        <is>
          <t>Terça</t>
        </is>
      </c>
      <c r="C1689" s="7" t="inlineStr">
        <is>
          <t>Vacal</t>
        </is>
      </c>
      <c r="D1689" s="7" t="n"/>
      <c r="E1689" s="7" t="inlineStr">
        <is>
          <t>Davó - Renasce</t>
        </is>
      </c>
      <c r="F1689" s="13" t="inlineStr">
        <is>
          <t>Apoio Vacal</t>
        </is>
      </c>
      <c r="G1689" s="7" t="n"/>
      <c r="H1689" s="7" t="n"/>
      <c r="I1689" s="7" t="n"/>
      <c r="J1689" s="7" t="inlineStr">
        <is>
          <t>Vacal</t>
        </is>
      </c>
      <c r="K1689" s="7" t="inlineStr">
        <is>
          <t>Apoio</t>
        </is>
      </c>
      <c r="L1689" s="16" t="inlineStr">
        <is>
          <t>PDS-Abril(2).docx</t>
        </is>
      </c>
      <c r="M1689">
        <f>IF($A1689="","",TEXT($A1689,"mmmm/yyyy"))</f>
        <v/>
      </c>
      <c r="P1689">
        <f>IFERROR(_xludf.XLOOKUP($N1689,Base_Enderecos!$A:$A,Base_Enderecos!$B:$B,""),"")</f>
        <v/>
      </c>
      <c r="Q1689">
        <f>IFERROR(_xludf.XLOOKUP($N1689,Base_Enderecos!$A:$A,Base_Enderecos!$C:$C,""),"")</f>
        <v/>
      </c>
      <c r="R1689">
        <f>IF(OR(ISNUMBER(SEARCH("HDD",$F1689)),ISNUMBER(SEARCH("MND",$F1689)),ISNUMBER(SEARCH("PEAD",$F1689)),ISNUMBER(SEARCH("Puxe",$J1689)),ISNUMBER(SEARCH("Apoio HDD",$F1689))),"MND",IF(OR(ISNUMBER(SEARCH("VCA",$F1689)),ISNUMBER(SEARCH("PVC",$F1689)),ISNUMBER(SEARCH("vca",$J1689)),ISNUMBER(SEARCH("Transformação",$J1689))),"VCA",IF(OR(ISNUMBER(SEARCH("crava",$F1689)),ISNUMBER(SEARCH("tubo cravado",$F1689)),ISNUMBER(SEARCH("shaft",$J1689)),ISNUMBER(SEARCH("concreto",$F1689))),"TUBO CRAVADO","")))</f>
        <v/>
      </c>
      <c r="T1689">
        <f>IF($A1689="","",TEXT($A1689,"yyyymm")&amp;"|"&amp;$C1689&amp;"|"&amp;$F1689&amp;"|"&amp;$N1689&amp;"|"&amp;$R1689)</f>
        <v/>
      </c>
    </row>
    <row r="1690" ht="11.55" customHeight="1">
      <c r="A1690" s="10" t="n">
        <v>46119</v>
      </c>
      <c r="B1690" s="7" t="inlineStr">
        <is>
          <t>Terça</t>
        </is>
      </c>
      <c r="C1690" s="7" t="inlineStr">
        <is>
          <t>Guindauto</t>
        </is>
      </c>
      <c r="D1690" s="7" t="n"/>
      <c r="E1690" s="7" t="inlineStr">
        <is>
          <t>Marcio</t>
        </is>
      </c>
      <c r="F1690" s="13" t="inlineStr">
        <is>
          <t>Marcio - Apoio as equipes</t>
        </is>
      </c>
      <c r="G1690" s="7" t="n"/>
      <c r="H1690" s="7" t="n"/>
      <c r="I1690" s="7" t="n"/>
      <c r="J1690" s="7" t="inlineStr">
        <is>
          <t>Guindauto</t>
        </is>
      </c>
      <c r="K1690" s="7" t="inlineStr">
        <is>
          <t>Apoio</t>
        </is>
      </c>
      <c r="L1690" s="16" t="inlineStr">
        <is>
          <t>PDS-Abril(2).docx</t>
        </is>
      </c>
      <c r="M1690">
        <f>IF($A1690="","",TEXT($A1690,"mmmm/yyyy"))</f>
        <v/>
      </c>
      <c r="P1690">
        <f>IFERROR(_xludf.XLOOKUP($N1690,Base_Enderecos!$A:$A,Base_Enderecos!$B:$B,""),"")</f>
        <v/>
      </c>
      <c r="Q1690">
        <f>IFERROR(_xludf.XLOOKUP($N1690,Base_Enderecos!$A:$A,Base_Enderecos!$C:$C,""),"")</f>
        <v/>
      </c>
      <c r="R1690">
        <f>IF(OR(ISNUMBER(SEARCH("HDD",$F1690)),ISNUMBER(SEARCH("MND",$F1690)),ISNUMBER(SEARCH("PEAD",$F1690)),ISNUMBER(SEARCH("Puxe",$J1690)),ISNUMBER(SEARCH("Apoio HDD",$F1690))),"MND",IF(OR(ISNUMBER(SEARCH("VCA",$F1690)),ISNUMBER(SEARCH("PVC",$F1690)),ISNUMBER(SEARCH("vca",$J1690)),ISNUMBER(SEARCH("Transformação",$J1690))),"VCA",IF(OR(ISNUMBER(SEARCH("crava",$F1690)),ISNUMBER(SEARCH("tubo cravado",$F1690)),ISNUMBER(SEARCH("shaft",$J1690)),ISNUMBER(SEARCH("concreto",$F1690))),"TUBO CRAVADO","")))</f>
        <v/>
      </c>
      <c r="T1690">
        <f>IF($A1690="","",TEXT($A1690,"yyyymm")&amp;"|"&amp;$C1690&amp;"|"&amp;$F1690&amp;"|"&amp;$N1690&amp;"|"&amp;$R1690)</f>
        <v/>
      </c>
    </row>
    <row r="1691" ht="11.55" customHeight="1">
      <c r="A1691" s="10" t="n">
        <v>46120</v>
      </c>
      <c r="B1691" s="7" t="inlineStr">
        <is>
          <t>Quarta</t>
        </is>
      </c>
      <c r="C1691" s="7" t="inlineStr">
        <is>
          <t>CTS CONCEIÇÃO</t>
        </is>
      </c>
      <c r="D1691" s="7" t="inlineStr">
        <is>
          <t>LEANDRO</t>
        </is>
      </c>
      <c r="E1691" s="7" t="inlineStr">
        <is>
          <t>WJ</t>
        </is>
      </c>
      <c r="F1691" s="13" t="inlineStr">
        <is>
          <t>Piloto e puxe entre PV 10.1 ao 10.2</t>
        </is>
      </c>
      <c r="G1691" s="7" t="inlineStr">
        <is>
          <t>10.1</t>
        </is>
      </c>
      <c r="H1691" s="7" t="n"/>
      <c r="I1691" s="7" t="inlineStr">
        <is>
          <t>10.1</t>
        </is>
      </c>
      <c r="J1691" s="7" t="inlineStr">
        <is>
          <t>Piloto e puxe</t>
        </is>
      </c>
      <c r="K1691" s="7" t="inlineStr">
        <is>
          <t>Planejamento</t>
        </is>
      </c>
      <c r="L1691" s="16" t="inlineStr">
        <is>
          <t>PDS-Abril(2).docx</t>
        </is>
      </c>
      <c r="M1691">
        <f>IF($A1691="","",TEXT($A1691,"mmmm/yyyy"))</f>
        <v/>
      </c>
      <c r="P1691">
        <f>IFERROR(_xludf.XLOOKUP($N1691,Base_Enderecos!$A:$A,Base_Enderecos!$B:$B,""),"")</f>
        <v/>
      </c>
      <c r="Q1691">
        <f>IFERROR(_xludf.XLOOKUP($N1691,Base_Enderecos!$A:$A,Base_Enderecos!$C:$C,""),"")</f>
        <v/>
      </c>
      <c r="R1691">
        <f>IF(OR(ISNUMBER(SEARCH("HDD",$F1691)),ISNUMBER(SEARCH("MND",$F1691)),ISNUMBER(SEARCH("PEAD",$F1691)),ISNUMBER(SEARCH("Puxe",$J1691)),ISNUMBER(SEARCH("Apoio HDD",$F1691))),"MND",IF(OR(ISNUMBER(SEARCH("VCA",$F1691)),ISNUMBER(SEARCH("PVC",$F1691)),ISNUMBER(SEARCH("vca",$J1691)),ISNUMBER(SEARCH("Transformação",$J1691))),"VCA",IF(OR(ISNUMBER(SEARCH("crava",$F1691)),ISNUMBER(SEARCH("tubo cravado",$F1691)),ISNUMBER(SEARCH("shaft",$J1691)),ISNUMBER(SEARCH("concreto",$F1691))),"TUBO CRAVADO","")))</f>
        <v/>
      </c>
      <c r="T1691">
        <f>IF($A1691="","",TEXT($A1691,"yyyymm")&amp;"|"&amp;$C1691&amp;"|"&amp;$F1691&amp;"|"&amp;$N1691&amp;"|"&amp;$R1691)</f>
        <v/>
      </c>
    </row>
    <row r="1692" ht="11.55" customHeight="1">
      <c r="A1692" s="10" t="n">
        <v>46120</v>
      </c>
      <c r="B1692" s="7" t="inlineStr">
        <is>
          <t>Quarta</t>
        </is>
      </c>
      <c r="C1692" s="7" t="inlineStr">
        <is>
          <t>CTS CONCEIÇÃO</t>
        </is>
      </c>
      <c r="D1692" s="7" t="inlineStr">
        <is>
          <t>LEANDRO</t>
        </is>
      </c>
      <c r="E1692" s="7" t="inlineStr">
        <is>
          <t>Medeiros</t>
        </is>
      </c>
      <c r="F1692" s="13" t="inlineStr">
        <is>
          <t>Apoio HDD entre PV 10.1 ao 10.2</t>
        </is>
      </c>
      <c r="G1692" s="7" t="inlineStr">
        <is>
          <t>10.1</t>
        </is>
      </c>
      <c r="H1692" s="7" t="n"/>
      <c r="I1692" s="7" t="inlineStr">
        <is>
          <t>10.1</t>
        </is>
      </c>
      <c r="J1692" s="7" t="inlineStr">
        <is>
          <t>Apoio HDD</t>
        </is>
      </c>
      <c r="K1692" s="7" t="inlineStr">
        <is>
          <t>Planejamento</t>
        </is>
      </c>
      <c r="L1692" s="16" t="inlineStr">
        <is>
          <t>PDS-Abril(2).docx</t>
        </is>
      </c>
      <c r="M1692">
        <f>IF($A1692="","",TEXT($A1692,"mmmm/yyyy"))</f>
        <v/>
      </c>
      <c r="P1692">
        <f>IFERROR(_xludf.XLOOKUP($N1692,Base_Enderecos!$A:$A,Base_Enderecos!$B:$B,""),"")</f>
        <v/>
      </c>
      <c r="Q1692">
        <f>IFERROR(_xludf.XLOOKUP($N1692,Base_Enderecos!$A:$A,Base_Enderecos!$C:$C,""),"")</f>
        <v/>
      </c>
      <c r="R1692">
        <f>IF(OR(ISNUMBER(SEARCH("HDD",$F1692)),ISNUMBER(SEARCH("MND",$F1692)),ISNUMBER(SEARCH("PEAD",$F1692)),ISNUMBER(SEARCH("Puxe",$J1692)),ISNUMBER(SEARCH("Apoio HDD",$F1692))),"MND",IF(OR(ISNUMBER(SEARCH("VCA",$F1692)),ISNUMBER(SEARCH("PVC",$F1692)),ISNUMBER(SEARCH("vca",$J1692)),ISNUMBER(SEARCH("Transformação",$J1692))),"VCA",IF(OR(ISNUMBER(SEARCH("crava",$F1692)),ISNUMBER(SEARCH("tubo cravado",$F1692)),ISNUMBER(SEARCH("shaft",$J1692)),ISNUMBER(SEARCH("concreto",$F1692))),"TUBO CRAVADO","")))</f>
        <v/>
      </c>
      <c r="T1692">
        <f>IF($A1692="","",TEXT($A1692,"yyyymm")&amp;"|"&amp;$C1692&amp;"|"&amp;$F1692&amp;"|"&amp;$N1692&amp;"|"&amp;$R1692)</f>
        <v/>
      </c>
    </row>
    <row r="1693" ht="11.55" customHeight="1">
      <c r="A1693" s="10" t="n">
        <v>46120</v>
      </c>
      <c r="B1693" s="7" t="inlineStr">
        <is>
          <t>Quarta</t>
        </is>
      </c>
      <c r="C1693" s="7" t="inlineStr">
        <is>
          <t>CTS CONCEIÇÃO</t>
        </is>
      </c>
      <c r="D1693" s="7" t="inlineStr">
        <is>
          <t>LEANDRO</t>
        </is>
      </c>
      <c r="E1693" s="7" t="inlineStr">
        <is>
          <t>Cesar</t>
        </is>
      </c>
      <c r="F1693" s="13" t="inlineStr">
        <is>
          <t>Transformação PV 09</t>
        </is>
      </c>
      <c r="G1693" s="7" t="inlineStr">
        <is>
          <t>09</t>
        </is>
      </c>
      <c r="H1693" s="7" t="n"/>
      <c r="I1693" s="7" t="inlineStr">
        <is>
          <t>09</t>
        </is>
      </c>
      <c r="J1693" s="7" t="inlineStr">
        <is>
          <t>Transformação</t>
        </is>
      </c>
      <c r="K1693" s="7" t="inlineStr">
        <is>
          <t>Planejamento</t>
        </is>
      </c>
      <c r="L1693" s="16" t="inlineStr">
        <is>
          <t>PDS-Abril(2).docx</t>
        </is>
      </c>
      <c r="M1693">
        <f>IF($A1693="","",TEXT($A1693,"mmmm/yyyy"))</f>
        <v/>
      </c>
      <c r="P1693">
        <f>IFERROR(_xludf.XLOOKUP($N1693,Base_Enderecos!$A:$A,Base_Enderecos!$B:$B,""),"")</f>
        <v/>
      </c>
      <c r="Q1693">
        <f>IFERROR(_xludf.XLOOKUP($N1693,Base_Enderecos!$A:$A,Base_Enderecos!$C:$C,""),"")</f>
        <v/>
      </c>
      <c r="R1693">
        <f>IF(OR(ISNUMBER(SEARCH("HDD",$F1693)),ISNUMBER(SEARCH("MND",$F1693)),ISNUMBER(SEARCH("PEAD",$F1693)),ISNUMBER(SEARCH("Puxe",$J1693)),ISNUMBER(SEARCH("Apoio HDD",$F1693))),"MND",IF(OR(ISNUMBER(SEARCH("VCA",$F1693)),ISNUMBER(SEARCH("PVC",$F1693)),ISNUMBER(SEARCH("vca",$J1693)),ISNUMBER(SEARCH("Transformação",$J1693))),"VCA",IF(OR(ISNUMBER(SEARCH("crava",$F1693)),ISNUMBER(SEARCH("tubo cravado",$F1693)),ISNUMBER(SEARCH("shaft",$J1693)),ISNUMBER(SEARCH("concreto",$F1693))),"TUBO CRAVADO","")))</f>
        <v/>
      </c>
      <c r="T1693">
        <f>IF($A1693="","",TEXT($A1693,"yyyymm")&amp;"|"&amp;$C1693&amp;"|"&amp;$F1693&amp;"|"&amp;$N1693&amp;"|"&amp;$R1693)</f>
        <v/>
      </c>
    </row>
    <row r="1694" ht="11.55" customHeight="1">
      <c r="A1694" s="10" t="n">
        <v>46120</v>
      </c>
      <c r="B1694" s="7" t="inlineStr">
        <is>
          <t>Quarta</t>
        </is>
      </c>
      <c r="C1694" s="7" t="inlineStr">
        <is>
          <t>CTS CONCEIÇÃO</t>
        </is>
      </c>
      <c r="D1694" s="7" t="inlineStr">
        <is>
          <t>LEANDRO</t>
        </is>
      </c>
      <c r="E1694" s="7" t="inlineStr">
        <is>
          <t>Carlos</t>
        </is>
      </c>
      <c r="F1694" s="13" t="inlineStr">
        <is>
          <t>Shaft PV 09.1***</t>
        </is>
      </c>
      <c r="G1694" s="7" t="inlineStr">
        <is>
          <t>09.1</t>
        </is>
      </c>
      <c r="H1694" s="7" t="n"/>
      <c r="I1694" s="7" t="inlineStr">
        <is>
          <t>09.1</t>
        </is>
      </c>
      <c r="J1694" s="7" t="inlineStr">
        <is>
          <t>Shaft</t>
        </is>
      </c>
      <c r="K1694" s="7" t="inlineStr">
        <is>
          <t>Planejamento</t>
        </is>
      </c>
      <c r="L1694" s="16" t="inlineStr">
        <is>
          <t>PDS-Abril(2).docx</t>
        </is>
      </c>
      <c r="M1694">
        <f>IF($A1694="","",TEXT($A1694,"mmmm/yyyy"))</f>
        <v/>
      </c>
      <c r="P1694">
        <f>IFERROR(_xludf.XLOOKUP($N1694,Base_Enderecos!$A:$A,Base_Enderecos!$B:$B,""),"")</f>
        <v/>
      </c>
      <c r="Q1694">
        <f>IFERROR(_xludf.XLOOKUP($N1694,Base_Enderecos!$A:$A,Base_Enderecos!$C:$C,""),"")</f>
        <v/>
      </c>
      <c r="R1694">
        <f>IF(OR(ISNUMBER(SEARCH("HDD",$F1694)),ISNUMBER(SEARCH("MND",$F1694)),ISNUMBER(SEARCH("PEAD",$F1694)),ISNUMBER(SEARCH("Puxe",$J1694)),ISNUMBER(SEARCH("Apoio HDD",$F1694))),"MND",IF(OR(ISNUMBER(SEARCH("VCA",$F1694)),ISNUMBER(SEARCH("PVC",$F1694)),ISNUMBER(SEARCH("vca",$J1694)),ISNUMBER(SEARCH("Transformação",$J1694))),"VCA",IF(OR(ISNUMBER(SEARCH("crava",$F1694)),ISNUMBER(SEARCH("tubo cravado",$F1694)),ISNUMBER(SEARCH("shaft",$J1694)),ISNUMBER(SEARCH("concreto",$F1694))),"TUBO CRAVADO","")))</f>
        <v/>
      </c>
      <c r="T1694">
        <f>IF($A1694="","",TEXT($A1694,"yyyymm")&amp;"|"&amp;$C1694&amp;"|"&amp;$F1694&amp;"|"&amp;$N1694&amp;"|"&amp;$R1694)</f>
        <v/>
      </c>
    </row>
    <row r="1695" ht="11.55" customHeight="1">
      <c r="A1695" s="10" t="n">
        <v>46120</v>
      </c>
      <c r="B1695" s="7" t="inlineStr">
        <is>
          <t>Quarta</t>
        </is>
      </c>
      <c r="C1695" s="7" t="inlineStr">
        <is>
          <t>CTS CONCEIÇÃO</t>
        </is>
      </c>
      <c r="D1695" s="7" t="inlineStr">
        <is>
          <t>LEANDRO</t>
        </is>
      </c>
      <c r="E1695" s="7" t="inlineStr">
        <is>
          <t>Sergio</t>
        </is>
      </c>
      <c r="F1695" s="13" t="inlineStr">
        <is>
          <t>Limpeza PV 10.1</t>
        </is>
      </c>
      <c r="G1695" s="7" t="inlineStr">
        <is>
          <t>10.1</t>
        </is>
      </c>
      <c r="H1695" s="7" t="n"/>
      <c r="I1695" s="7" t="inlineStr">
        <is>
          <t>10.1</t>
        </is>
      </c>
      <c r="J1695" s="7" t="inlineStr">
        <is>
          <t>Limpeza</t>
        </is>
      </c>
      <c r="K1695" s="7" t="inlineStr">
        <is>
          <t>Planejamento</t>
        </is>
      </c>
      <c r="L1695" s="16" t="inlineStr">
        <is>
          <t>PDS-Abril(2).docx</t>
        </is>
      </c>
      <c r="M1695">
        <f>IF($A1695="","",TEXT($A1695,"mmmm/yyyy"))</f>
        <v/>
      </c>
      <c r="P1695">
        <f>IFERROR(_xludf.XLOOKUP($N1695,Base_Enderecos!$A:$A,Base_Enderecos!$B:$B,""),"")</f>
        <v/>
      </c>
      <c r="Q1695">
        <f>IFERROR(_xludf.XLOOKUP($N1695,Base_Enderecos!$A:$A,Base_Enderecos!$C:$C,""),"")</f>
        <v/>
      </c>
      <c r="R1695">
        <f>IF(OR(ISNUMBER(SEARCH("HDD",$F1695)),ISNUMBER(SEARCH("MND",$F1695)),ISNUMBER(SEARCH("PEAD",$F1695)),ISNUMBER(SEARCH("Puxe",$J1695)),ISNUMBER(SEARCH("Apoio HDD",$F1695))),"MND",IF(OR(ISNUMBER(SEARCH("VCA",$F1695)),ISNUMBER(SEARCH("PVC",$F1695)),ISNUMBER(SEARCH("vca",$J1695)),ISNUMBER(SEARCH("Transformação",$J1695))),"VCA",IF(OR(ISNUMBER(SEARCH("crava",$F1695)),ISNUMBER(SEARCH("tubo cravado",$F1695)),ISNUMBER(SEARCH("shaft",$J1695)),ISNUMBER(SEARCH("concreto",$F1695))),"TUBO CRAVADO","")))</f>
        <v/>
      </c>
      <c r="T1695">
        <f>IF($A1695="","",TEXT($A1695,"yyyymm")&amp;"|"&amp;$C1695&amp;"|"&amp;$F1695&amp;"|"&amp;$N1695&amp;"|"&amp;$R1695)</f>
        <v/>
      </c>
    </row>
    <row r="1696" ht="11.55" customHeight="1">
      <c r="A1696" s="10" t="n">
        <v>46120</v>
      </c>
      <c r="B1696" s="7" t="inlineStr">
        <is>
          <t>Quarta</t>
        </is>
      </c>
      <c r="C1696" s="7" t="inlineStr">
        <is>
          <t>CT ÁGUA VERMELHA M.D. e M.E</t>
        </is>
      </c>
      <c r="D1696" s="7" t="inlineStr">
        <is>
          <t>FABIO</t>
        </is>
      </c>
      <c r="E1696" s="7" t="inlineStr">
        <is>
          <t>Claudinei</t>
        </is>
      </c>
      <c r="F1696" s="13" t="inlineStr">
        <is>
          <t>Apoio casa (PVD 7)</t>
        </is>
      </c>
      <c r="G1696" s="7" t="inlineStr">
        <is>
          <t>7</t>
        </is>
      </c>
      <c r="H1696" s="7" t="n"/>
      <c r="I1696" s="7" t="inlineStr">
        <is>
          <t>7</t>
        </is>
      </c>
      <c r="J1696" s="7" t="n"/>
      <c r="K1696" s="7" t="inlineStr">
        <is>
          <t>Planejamento</t>
        </is>
      </c>
      <c r="L1696" s="16" t="inlineStr">
        <is>
          <t>PDS-Abril(2).docx</t>
        </is>
      </c>
      <c r="M1696">
        <f>IF($A1696="","",TEXT($A1696,"mmmm/yyyy"))</f>
        <v/>
      </c>
      <c r="P1696">
        <f>IFERROR(_xludf.XLOOKUP($N1696,Base_Enderecos!$A:$A,Base_Enderecos!$B:$B,""),"")</f>
        <v/>
      </c>
      <c r="Q1696">
        <f>IFERROR(_xludf.XLOOKUP($N1696,Base_Enderecos!$A:$A,Base_Enderecos!$C:$C,""),"")</f>
        <v/>
      </c>
      <c r="R1696">
        <f>IF(OR(ISNUMBER(SEARCH("HDD",$F1696)),ISNUMBER(SEARCH("MND",$F1696)),ISNUMBER(SEARCH("PEAD",$F1696)),ISNUMBER(SEARCH("Puxe",$J1696)),ISNUMBER(SEARCH("Apoio HDD",$F1696))),"MND",IF(OR(ISNUMBER(SEARCH("VCA",$F1696)),ISNUMBER(SEARCH("PVC",$F1696)),ISNUMBER(SEARCH("vca",$J1696)),ISNUMBER(SEARCH("Transformação",$J1696))),"VCA",IF(OR(ISNUMBER(SEARCH("crava",$F1696)),ISNUMBER(SEARCH("tubo cravado",$F1696)),ISNUMBER(SEARCH("shaft",$J1696)),ISNUMBER(SEARCH("concreto",$F1696))),"TUBO CRAVADO","")))</f>
        <v/>
      </c>
      <c r="T1696">
        <f>IF($A1696="","",TEXT($A1696,"yyyymm")&amp;"|"&amp;$C1696&amp;"|"&amp;$F1696&amp;"|"&amp;$N1696&amp;"|"&amp;$R1696)</f>
        <v/>
      </c>
    </row>
    <row r="1697" ht="11.55" customHeight="1">
      <c r="A1697" s="10" t="n">
        <v>46120</v>
      </c>
      <c r="B1697" s="7" t="inlineStr">
        <is>
          <t>Quarta</t>
        </is>
      </c>
      <c r="C1697" s="7" t="inlineStr">
        <is>
          <t>CT ÁGUA VERMELHA M.D. e M.E</t>
        </is>
      </c>
      <c r="D1697" s="7" t="inlineStr">
        <is>
          <t>FABIO</t>
        </is>
      </c>
      <c r="E1697" s="7" t="inlineStr">
        <is>
          <t>Higor</t>
        </is>
      </c>
      <c r="F1697" s="13" t="inlineStr">
        <is>
          <t>Shaft PVE 04</t>
        </is>
      </c>
      <c r="G1697" s="7" t="inlineStr">
        <is>
          <t>04</t>
        </is>
      </c>
      <c r="H1697" s="7" t="n"/>
      <c r="I1697" s="7" t="inlineStr">
        <is>
          <t>04</t>
        </is>
      </c>
      <c r="J1697" s="7" t="inlineStr">
        <is>
          <t>Shaft</t>
        </is>
      </c>
      <c r="K1697" s="7" t="inlineStr">
        <is>
          <t>Planejamento</t>
        </is>
      </c>
      <c r="L1697" s="16" t="inlineStr">
        <is>
          <t>PDS-Abril(2).docx</t>
        </is>
      </c>
      <c r="M1697">
        <f>IF($A1697="","",TEXT($A1697,"mmmm/yyyy"))</f>
        <v/>
      </c>
      <c r="P1697">
        <f>IFERROR(_xludf.XLOOKUP($N1697,Base_Enderecos!$A:$A,Base_Enderecos!$B:$B,""),"")</f>
        <v/>
      </c>
      <c r="Q1697">
        <f>IFERROR(_xludf.XLOOKUP($N1697,Base_Enderecos!$A:$A,Base_Enderecos!$C:$C,""),"")</f>
        <v/>
      </c>
      <c r="R1697">
        <f>IF(OR(ISNUMBER(SEARCH("HDD",$F1697)),ISNUMBER(SEARCH("MND",$F1697)),ISNUMBER(SEARCH("PEAD",$F1697)),ISNUMBER(SEARCH("Puxe",$J1697)),ISNUMBER(SEARCH("Apoio HDD",$F1697))),"MND",IF(OR(ISNUMBER(SEARCH("VCA",$F1697)),ISNUMBER(SEARCH("PVC",$F1697)),ISNUMBER(SEARCH("vca",$J1697)),ISNUMBER(SEARCH("Transformação",$J1697))),"VCA",IF(OR(ISNUMBER(SEARCH("crava",$F1697)),ISNUMBER(SEARCH("tubo cravado",$F1697)),ISNUMBER(SEARCH("shaft",$J1697)),ISNUMBER(SEARCH("concreto",$F1697))),"TUBO CRAVADO","")))</f>
        <v/>
      </c>
      <c r="T1697">
        <f>IF($A1697="","",TEXT($A1697,"yyyymm")&amp;"|"&amp;$C1697&amp;"|"&amp;$F1697&amp;"|"&amp;$N1697&amp;"|"&amp;$R1697)</f>
        <v/>
      </c>
    </row>
    <row r="1698" ht="11.55" customHeight="1">
      <c r="A1698" s="10" t="n">
        <v>46120</v>
      </c>
      <c r="B1698" s="7" t="inlineStr">
        <is>
          <t>Quarta</t>
        </is>
      </c>
      <c r="C1698" s="7" t="inlineStr">
        <is>
          <t>CT ÁGUA VERMELHA M.D. e M.E</t>
        </is>
      </c>
      <c r="D1698" s="7" t="inlineStr">
        <is>
          <t>FABIO</t>
        </is>
      </c>
      <c r="E1698" s="7" t="inlineStr">
        <is>
          <t>Cidão</t>
        </is>
      </c>
      <c r="F1698" s="13" t="inlineStr">
        <is>
          <t>Shaft PVE 06</t>
        </is>
      </c>
      <c r="G1698" s="7" t="inlineStr">
        <is>
          <t>06</t>
        </is>
      </c>
      <c r="H1698" s="7" t="n"/>
      <c r="I1698" s="7" t="inlineStr">
        <is>
          <t>06</t>
        </is>
      </c>
      <c r="J1698" s="7" t="inlineStr">
        <is>
          <t>Shaft</t>
        </is>
      </c>
      <c r="K1698" s="7" t="inlineStr">
        <is>
          <t>Planejamento</t>
        </is>
      </c>
      <c r="L1698" s="16" t="inlineStr">
        <is>
          <t>PDS-Abril(2).docx</t>
        </is>
      </c>
      <c r="M1698">
        <f>IF($A1698="","",TEXT($A1698,"mmmm/yyyy"))</f>
        <v/>
      </c>
      <c r="P1698">
        <f>IFERROR(_xludf.XLOOKUP($N1698,Base_Enderecos!$A:$A,Base_Enderecos!$B:$B,""),"")</f>
        <v/>
      </c>
      <c r="Q1698">
        <f>IFERROR(_xludf.XLOOKUP($N1698,Base_Enderecos!$A:$A,Base_Enderecos!$C:$C,""),"")</f>
        <v/>
      </c>
      <c r="R1698">
        <f>IF(OR(ISNUMBER(SEARCH("HDD",$F1698)),ISNUMBER(SEARCH("MND",$F1698)),ISNUMBER(SEARCH("PEAD",$F1698)),ISNUMBER(SEARCH("Puxe",$J1698)),ISNUMBER(SEARCH("Apoio HDD",$F1698))),"MND",IF(OR(ISNUMBER(SEARCH("VCA",$F1698)),ISNUMBER(SEARCH("PVC",$F1698)),ISNUMBER(SEARCH("vca",$J1698)),ISNUMBER(SEARCH("Transformação",$J1698))),"VCA",IF(OR(ISNUMBER(SEARCH("crava",$F1698)),ISNUMBER(SEARCH("tubo cravado",$F1698)),ISNUMBER(SEARCH("shaft",$J1698)),ISNUMBER(SEARCH("concreto",$F1698))),"TUBO CRAVADO","")))</f>
        <v/>
      </c>
      <c r="T1698">
        <f>IF($A1698="","",TEXT($A1698,"yyyymm")&amp;"|"&amp;$C1698&amp;"|"&amp;$F1698&amp;"|"&amp;$N1698&amp;"|"&amp;$R1698)</f>
        <v/>
      </c>
    </row>
    <row r="1699" ht="11.55" customHeight="1">
      <c r="A1699" s="10" t="n">
        <v>46120</v>
      </c>
      <c r="B1699" s="7" t="inlineStr">
        <is>
          <t>Quarta</t>
        </is>
      </c>
      <c r="C1699" s="7" t="inlineStr">
        <is>
          <t>CT ÁGUA VERMELHA M.D. e M.E</t>
        </is>
      </c>
      <c r="D1699" s="7" t="inlineStr">
        <is>
          <t>FABIO</t>
        </is>
      </c>
      <c r="E1699" s="7" t="inlineStr">
        <is>
          <t>Marcelo</t>
        </is>
      </c>
      <c r="F1699" s="13" t="inlineStr">
        <is>
          <t>Shaft PV 19</t>
        </is>
      </c>
      <c r="G1699" s="7" t="inlineStr">
        <is>
          <t>19</t>
        </is>
      </c>
      <c r="H1699" s="7" t="n"/>
      <c r="I1699" s="7" t="inlineStr">
        <is>
          <t>19</t>
        </is>
      </c>
      <c r="J1699" s="7" t="inlineStr">
        <is>
          <t>Shaft</t>
        </is>
      </c>
      <c r="K1699" s="7" t="inlineStr">
        <is>
          <t>Planejamento</t>
        </is>
      </c>
      <c r="L1699" s="16" t="inlineStr">
        <is>
          <t>PDS-Abril(2).docx</t>
        </is>
      </c>
      <c r="M1699">
        <f>IF($A1699="","",TEXT($A1699,"mmmm/yyyy"))</f>
        <v/>
      </c>
      <c r="P1699">
        <f>IFERROR(_xludf.XLOOKUP($N1699,Base_Enderecos!$A:$A,Base_Enderecos!$B:$B,""),"")</f>
        <v/>
      </c>
      <c r="Q1699">
        <f>IFERROR(_xludf.XLOOKUP($N1699,Base_Enderecos!$A:$A,Base_Enderecos!$C:$C,""),"")</f>
        <v/>
      </c>
      <c r="R1699">
        <f>IF(OR(ISNUMBER(SEARCH("HDD",$F1699)),ISNUMBER(SEARCH("MND",$F1699)),ISNUMBER(SEARCH("PEAD",$F1699)),ISNUMBER(SEARCH("Puxe",$J1699)),ISNUMBER(SEARCH("Apoio HDD",$F1699))),"MND",IF(OR(ISNUMBER(SEARCH("VCA",$F1699)),ISNUMBER(SEARCH("PVC",$F1699)),ISNUMBER(SEARCH("vca",$J1699)),ISNUMBER(SEARCH("Transformação",$J1699))),"VCA",IF(OR(ISNUMBER(SEARCH("crava",$F1699)),ISNUMBER(SEARCH("tubo cravado",$F1699)),ISNUMBER(SEARCH("shaft",$J1699)),ISNUMBER(SEARCH("concreto",$F1699))),"TUBO CRAVADO","")))</f>
        <v/>
      </c>
      <c r="T1699">
        <f>IF($A1699="","",TEXT($A1699,"yyyymm")&amp;"|"&amp;$C1699&amp;"|"&amp;$F1699&amp;"|"&amp;$N1699&amp;"|"&amp;$R1699)</f>
        <v/>
      </c>
    </row>
    <row r="1700" ht="11.55" customHeight="1">
      <c r="A1700" s="10" t="n">
        <v>46120</v>
      </c>
      <c r="B1700" s="7" t="inlineStr">
        <is>
          <t>Quarta</t>
        </is>
      </c>
      <c r="C1700" s="7" t="inlineStr">
        <is>
          <t>CT ÁGUA VERMELHA M.D. e M.E</t>
        </is>
      </c>
      <c r="D1700" s="7" t="inlineStr">
        <is>
          <t>FABIO</t>
        </is>
      </c>
      <c r="E1700" s="7" t="inlineStr">
        <is>
          <t>Edivando</t>
        </is>
      </c>
      <c r="F1700" s="13" t="inlineStr">
        <is>
          <t>Shaft PVE 24</t>
        </is>
      </c>
      <c r="G1700" s="7" t="inlineStr">
        <is>
          <t>24</t>
        </is>
      </c>
      <c r="H1700" s="7" t="n"/>
      <c r="I1700" s="7" t="inlineStr">
        <is>
          <t>24</t>
        </is>
      </c>
      <c r="J1700" s="7" t="inlineStr">
        <is>
          <t>Shaft</t>
        </is>
      </c>
      <c r="K1700" s="7" t="inlineStr">
        <is>
          <t>Planejamento</t>
        </is>
      </c>
      <c r="L1700" s="16" t="inlineStr">
        <is>
          <t>PDS-Abril(2).docx</t>
        </is>
      </c>
      <c r="M1700">
        <f>IF($A1700="","",TEXT($A1700,"mmmm/yyyy"))</f>
        <v/>
      </c>
      <c r="P1700">
        <f>IFERROR(_xludf.XLOOKUP($N1700,Base_Enderecos!$A:$A,Base_Enderecos!$B:$B,""),"")</f>
        <v/>
      </c>
      <c r="Q1700">
        <f>IFERROR(_xludf.XLOOKUP($N1700,Base_Enderecos!$A:$A,Base_Enderecos!$C:$C,""),"")</f>
        <v/>
      </c>
      <c r="R1700">
        <f>IF(OR(ISNUMBER(SEARCH("HDD",$F1700)),ISNUMBER(SEARCH("MND",$F1700)),ISNUMBER(SEARCH("PEAD",$F1700)),ISNUMBER(SEARCH("Puxe",$J1700)),ISNUMBER(SEARCH("Apoio HDD",$F1700))),"MND",IF(OR(ISNUMBER(SEARCH("VCA",$F1700)),ISNUMBER(SEARCH("PVC",$F1700)),ISNUMBER(SEARCH("vca",$J1700)),ISNUMBER(SEARCH("Transformação",$J1700))),"VCA",IF(OR(ISNUMBER(SEARCH("crava",$F1700)),ISNUMBER(SEARCH("tubo cravado",$F1700)),ISNUMBER(SEARCH("shaft",$J1700)),ISNUMBER(SEARCH("concreto",$F1700))),"TUBO CRAVADO","")))</f>
        <v/>
      </c>
      <c r="T1700">
        <f>IF($A1700="","",TEXT($A1700,"yyyymm")&amp;"|"&amp;$C1700&amp;"|"&amp;$F1700&amp;"|"&amp;$N1700&amp;"|"&amp;$R1700)</f>
        <v/>
      </c>
    </row>
    <row r="1701" ht="11.55" customHeight="1">
      <c r="A1701" s="10" t="n">
        <v>46120</v>
      </c>
      <c r="B1701" s="7" t="inlineStr">
        <is>
          <t>Quarta</t>
        </is>
      </c>
      <c r="C1701" s="7" t="inlineStr">
        <is>
          <t>Int. ÁGUA BOA</t>
        </is>
      </c>
      <c r="D1701" s="7" t="inlineStr">
        <is>
          <t>VALMIR</t>
        </is>
      </c>
      <c r="E1701" s="7" t="inlineStr">
        <is>
          <t>Antônio</t>
        </is>
      </c>
      <c r="F1701" s="13" t="inlineStr">
        <is>
          <t>Acabamento PV 03</t>
        </is>
      </c>
      <c r="G1701" s="7" t="inlineStr">
        <is>
          <t>03</t>
        </is>
      </c>
      <c r="H1701" s="7" t="n"/>
      <c r="I1701" s="7" t="inlineStr">
        <is>
          <t>03</t>
        </is>
      </c>
      <c r="J1701" s="7" t="inlineStr">
        <is>
          <t>Acabamento</t>
        </is>
      </c>
      <c r="K1701" s="7" t="inlineStr">
        <is>
          <t>Planejamento</t>
        </is>
      </c>
      <c r="L1701" s="16" t="inlineStr">
        <is>
          <t>PDS-Abril(2).docx</t>
        </is>
      </c>
      <c r="M1701">
        <f>IF($A1701="","",TEXT($A1701,"mmmm/yyyy"))</f>
        <v/>
      </c>
      <c r="P1701">
        <f>IFERROR(_xludf.XLOOKUP($N1701,Base_Enderecos!$A:$A,Base_Enderecos!$B:$B,""),"")</f>
        <v/>
      </c>
      <c r="Q1701">
        <f>IFERROR(_xludf.XLOOKUP($N1701,Base_Enderecos!$A:$A,Base_Enderecos!$C:$C,""),"")</f>
        <v/>
      </c>
      <c r="R1701">
        <f>IF(OR(ISNUMBER(SEARCH("HDD",$F1701)),ISNUMBER(SEARCH("MND",$F1701)),ISNUMBER(SEARCH("PEAD",$F1701)),ISNUMBER(SEARCH("Puxe",$J1701)),ISNUMBER(SEARCH("Apoio HDD",$F1701))),"MND",IF(OR(ISNUMBER(SEARCH("VCA",$F1701)),ISNUMBER(SEARCH("PVC",$F1701)),ISNUMBER(SEARCH("vca",$J1701)),ISNUMBER(SEARCH("Transformação",$J1701))),"VCA",IF(OR(ISNUMBER(SEARCH("crava",$F1701)),ISNUMBER(SEARCH("tubo cravado",$F1701)),ISNUMBER(SEARCH("shaft",$J1701)),ISNUMBER(SEARCH("concreto",$F1701))),"TUBO CRAVADO","")))</f>
        <v/>
      </c>
      <c r="T1701">
        <f>IF($A1701="","",TEXT($A1701,"yyyymm")&amp;"|"&amp;$C1701&amp;"|"&amp;$F1701&amp;"|"&amp;$N1701&amp;"|"&amp;$R1701)</f>
        <v/>
      </c>
    </row>
    <row r="1702" ht="11.55" customHeight="1">
      <c r="A1702" s="10" t="n">
        <v>46120</v>
      </c>
      <c r="B1702" s="7" t="inlineStr">
        <is>
          <t>Quarta</t>
        </is>
      </c>
      <c r="C1702" s="7" t="inlineStr">
        <is>
          <t>Int. ÁGUA BOA</t>
        </is>
      </c>
      <c r="D1702" s="7" t="inlineStr">
        <is>
          <t>VALMIR</t>
        </is>
      </c>
      <c r="E1702" s="7" t="inlineStr">
        <is>
          <t>Ricardo</t>
        </is>
      </c>
      <c r="F1702" s="13" t="inlineStr">
        <is>
          <t>Acabamento PV 04</t>
        </is>
      </c>
      <c r="G1702" s="7" t="inlineStr">
        <is>
          <t>04</t>
        </is>
      </c>
      <c r="H1702" s="7" t="n"/>
      <c r="I1702" s="7" t="inlineStr">
        <is>
          <t>04</t>
        </is>
      </c>
      <c r="J1702" s="7" t="inlineStr">
        <is>
          <t>Acabamento</t>
        </is>
      </c>
      <c r="K1702" s="7" t="inlineStr">
        <is>
          <t>Planejamento</t>
        </is>
      </c>
      <c r="L1702" s="16" t="inlineStr">
        <is>
          <t>PDS-Abril(2).docx</t>
        </is>
      </c>
      <c r="M1702">
        <f>IF($A1702="","",TEXT($A1702,"mmmm/yyyy"))</f>
        <v/>
      </c>
      <c r="P1702">
        <f>IFERROR(_xludf.XLOOKUP($N1702,Base_Enderecos!$A:$A,Base_Enderecos!$B:$B,""),"")</f>
        <v/>
      </c>
      <c r="Q1702">
        <f>IFERROR(_xludf.XLOOKUP($N1702,Base_Enderecos!$A:$A,Base_Enderecos!$C:$C,""),"")</f>
        <v/>
      </c>
      <c r="R1702">
        <f>IF(OR(ISNUMBER(SEARCH("HDD",$F1702)),ISNUMBER(SEARCH("MND",$F1702)),ISNUMBER(SEARCH("PEAD",$F1702)),ISNUMBER(SEARCH("Puxe",$J1702)),ISNUMBER(SEARCH("Apoio HDD",$F1702))),"MND",IF(OR(ISNUMBER(SEARCH("VCA",$F1702)),ISNUMBER(SEARCH("PVC",$F1702)),ISNUMBER(SEARCH("vca",$J1702)),ISNUMBER(SEARCH("Transformação",$J1702))),"VCA",IF(OR(ISNUMBER(SEARCH("crava",$F1702)),ISNUMBER(SEARCH("tubo cravado",$F1702)),ISNUMBER(SEARCH("shaft",$J1702)),ISNUMBER(SEARCH("concreto",$F1702))),"TUBO CRAVADO","")))</f>
        <v/>
      </c>
      <c r="T1702">
        <f>IF($A1702="","",TEXT($A1702,"yyyymm")&amp;"|"&amp;$C1702&amp;"|"&amp;$F1702&amp;"|"&amp;$N1702&amp;"|"&amp;$R1702)</f>
        <v/>
      </c>
    </row>
    <row r="1703" ht="11.55" customHeight="1">
      <c r="A1703" s="10" t="n">
        <v>46120</v>
      </c>
      <c r="B1703" s="7" t="inlineStr">
        <is>
          <t>Quarta</t>
        </is>
      </c>
      <c r="C1703" s="7" t="inlineStr">
        <is>
          <t>RCE FCO. SOUTO MAIOR</t>
        </is>
      </c>
      <c r="D1703" s="7" t="inlineStr">
        <is>
          <t>SILVESTRE</t>
        </is>
      </c>
      <c r="E1703" s="7" t="inlineStr">
        <is>
          <t>Valter</t>
        </is>
      </c>
      <c r="F1703" s="13" t="inlineStr">
        <is>
          <t>Ligações – Rua Canto da Serra</t>
        </is>
      </c>
      <c r="G1703" s="7" t="n"/>
      <c r="H1703" s="7" t="n"/>
      <c r="I1703" s="7" t="n"/>
      <c r="J1703" s="7" t="inlineStr">
        <is>
          <t>Ligações</t>
        </is>
      </c>
      <c r="K1703" s="7" t="inlineStr">
        <is>
          <t>Planejamento</t>
        </is>
      </c>
      <c r="L1703" s="16" t="inlineStr">
        <is>
          <t>PDS-Abril(2).docx</t>
        </is>
      </c>
      <c r="M1703">
        <f>IF($A1703="","",TEXT($A1703,"mmmm/yyyy"))</f>
        <v/>
      </c>
      <c r="P1703">
        <f>IFERROR(_xludf.XLOOKUP($N1703,Base_Enderecos!$A:$A,Base_Enderecos!$B:$B,""),"")</f>
        <v/>
      </c>
      <c r="Q1703">
        <f>IFERROR(_xludf.XLOOKUP($N1703,Base_Enderecos!$A:$A,Base_Enderecos!$C:$C,""),"")</f>
        <v/>
      </c>
      <c r="R1703">
        <f>IF(OR(ISNUMBER(SEARCH("HDD",$F1703)),ISNUMBER(SEARCH("MND",$F1703)),ISNUMBER(SEARCH("PEAD",$F1703)),ISNUMBER(SEARCH("Puxe",$J1703)),ISNUMBER(SEARCH("Apoio HDD",$F1703))),"MND",IF(OR(ISNUMBER(SEARCH("VCA",$F1703)),ISNUMBER(SEARCH("PVC",$F1703)),ISNUMBER(SEARCH("vca",$J1703)),ISNUMBER(SEARCH("Transformação",$J1703))),"VCA",IF(OR(ISNUMBER(SEARCH("crava",$F1703)),ISNUMBER(SEARCH("tubo cravado",$F1703)),ISNUMBER(SEARCH("shaft",$J1703)),ISNUMBER(SEARCH("concreto",$F1703))),"TUBO CRAVADO","")))</f>
        <v/>
      </c>
      <c r="T1703">
        <f>IF($A1703="","",TEXT($A1703,"yyyymm")&amp;"|"&amp;$C1703&amp;"|"&amp;$F1703&amp;"|"&amp;$N1703&amp;"|"&amp;$R1703)</f>
        <v/>
      </c>
    </row>
    <row r="1704" ht="11.55" customHeight="1">
      <c r="A1704" s="10" t="n">
        <v>46120</v>
      </c>
      <c r="B1704" s="7" t="inlineStr">
        <is>
          <t>Quarta</t>
        </is>
      </c>
      <c r="C1704" s="7" t="inlineStr">
        <is>
          <t>CTS LUIS BOTELHO MOURÃO</t>
        </is>
      </c>
      <c r="D1704" s="7" t="inlineStr">
        <is>
          <t>ROBSON</t>
        </is>
      </c>
      <c r="E1704" s="7" t="inlineStr">
        <is>
          <t>Goiania Drill</t>
        </is>
      </c>
      <c r="F1704" s="13" t="inlineStr">
        <is>
          <t>Piloto e puxe PV 05 ao PV 07</t>
        </is>
      </c>
      <c r="G1704" s="7" t="inlineStr">
        <is>
          <t>05</t>
        </is>
      </c>
      <c r="H1704" s="7" t="inlineStr">
        <is>
          <t>07</t>
        </is>
      </c>
      <c r="I1704" s="7" t="inlineStr">
        <is>
          <t>05, 07</t>
        </is>
      </c>
      <c r="J1704" s="7" t="inlineStr">
        <is>
          <t>Piloto e puxe</t>
        </is>
      </c>
      <c r="K1704" s="7" t="inlineStr">
        <is>
          <t>Planejamento</t>
        </is>
      </c>
      <c r="L1704" s="16" t="inlineStr">
        <is>
          <t>PDS-Abril(2).docx</t>
        </is>
      </c>
      <c r="M1704">
        <f>IF($A1704="","",TEXT($A1704,"mmmm/yyyy"))</f>
        <v/>
      </c>
      <c r="P1704">
        <f>IFERROR(_xludf.XLOOKUP($N1704,Base_Enderecos!$A:$A,Base_Enderecos!$B:$B,""),"")</f>
        <v/>
      </c>
      <c r="Q1704">
        <f>IFERROR(_xludf.XLOOKUP($N1704,Base_Enderecos!$A:$A,Base_Enderecos!$C:$C,""),"")</f>
        <v/>
      </c>
      <c r="R1704">
        <f>IF(OR(ISNUMBER(SEARCH("HDD",$F1704)),ISNUMBER(SEARCH("MND",$F1704)),ISNUMBER(SEARCH("PEAD",$F1704)),ISNUMBER(SEARCH("Puxe",$J1704)),ISNUMBER(SEARCH("Apoio HDD",$F1704))),"MND",IF(OR(ISNUMBER(SEARCH("VCA",$F1704)),ISNUMBER(SEARCH("PVC",$F1704)),ISNUMBER(SEARCH("vca",$J1704)),ISNUMBER(SEARCH("Transformação",$J1704))),"VCA",IF(OR(ISNUMBER(SEARCH("crava",$F1704)),ISNUMBER(SEARCH("tubo cravado",$F1704)),ISNUMBER(SEARCH("shaft",$J1704)),ISNUMBER(SEARCH("concreto",$F1704))),"TUBO CRAVADO","")))</f>
        <v/>
      </c>
      <c r="T1704">
        <f>IF($A1704="","",TEXT($A1704,"yyyymm")&amp;"|"&amp;$C1704&amp;"|"&amp;$F1704&amp;"|"&amp;$N1704&amp;"|"&amp;$R1704)</f>
        <v/>
      </c>
    </row>
    <row r="1705" ht="11.55" customHeight="1">
      <c r="A1705" s="10" t="n">
        <v>46120</v>
      </c>
      <c r="B1705" s="7" t="inlineStr">
        <is>
          <t>Quarta</t>
        </is>
      </c>
      <c r="C1705" s="7" t="inlineStr">
        <is>
          <t>CTS LUIS BOTELHO MOURÃO</t>
        </is>
      </c>
      <c r="D1705" s="7" t="inlineStr">
        <is>
          <t>ROBSON</t>
        </is>
      </c>
      <c r="E1705" s="7" t="inlineStr">
        <is>
          <t>Bruno</t>
        </is>
      </c>
      <c r="F1705" s="13" t="inlineStr">
        <is>
          <t>Apoio HDD PV 05 ao PV 07</t>
        </is>
      </c>
      <c r="G1705" s="7" t="inlineStr">
        <is>
          <t>05</t>
        </is>
      </c>
      <c r="H1705" s="7" t="inlineStr">
        <is>
          <t>07</t>
        </is>
      </c>
      <c r="I1705" s="7" t="inlineStr">
        <is>
          <t>05, 07</t>
        </is>
      </c>
      <c r="J1705" s="7" t="inlineStr">
        <is>
          <t>Apoio HDD</t>
        </is>
      </c>
      <c r="K1705" s="7" t="inlineStr">
        <is>
          <t>Planejamento</t>
        </is>
      </c>
      <c r="L1705" s="16" t="inlineStr">
        <is>
          <t>PDS-Abril(2).docx</t>
        </is>
      </c>
      <c r="M1705">
        <f>IF($A1705="","",TEXT($A1705,"mmmm/yyyy"))</f>
        <v/>
      </c>
      <c r="P1705">
        <f>IFERROR(_xludf.XLOOKUP($N1705,Base_Enderecos!$A:$A,Base_Enderecos!$B:$B,""),"")</f>
        <v/>
      </c>
      <c r="Q1705">
        <f>IFERROR(_xludf.XLOOKUP($N1705,Base_Enderecos!$A:$A,Base_Enderecos!$C:$C,""),"")</f>
        <v/>
      </c>
      <c r="R1705">
        <f>IF(OR(ISNUMBER(SEARCH("HDD",$F1705)),ISNUMBER(SEARCH("MND",$F1705)),ISNUMBER(SEARCH("PEAD",$F1705)),ISNUMBER(SEARCH("Puxe",$J1705)),ISNUMBER(SEARCH("Apoio HDD",$F1705))),"MND",IF(OR(ISNUMBER(SEARCH("VCA",$F1705)),ISNUMBER(SEARCH("PVC",$F1705)),ISNUMBER(SEARCH("vca",$J1705)),ISNUMBER(SEARCH("Transformação",$J1705))),"VCA",IF(OR(ISNUMBER(SEARCH("crava",$F1705)),ISNUMBER(SEARCH("tubo cravado",$F1705)),ISNUMBER(SEARCH("shaft",$J1705)),ISNUMBER(SEARCH("concreto",$F1705))),"TUBO CRAVADO","")))</f>
        <v/>
      </c>
      <c r="T1705">
        <f>IF($A1705="","",TEXT($A1705,"yyyymm")&amp;"|"&amp;$C1705&amp;"|"&amp;$F1705&amp;"|"&amp;$N1705&amp;"|"&amp;$R1705)</f>
        <v/>
      </c>
    </row>
    <row r="1706" ht="11.55" customHeight="1">
      <c r="A1706" s="10" t="n">
        <v>46120</v>
      </c>
      <c r="B1706" s="7" t="inlineStr">
        <is>
          <t>Quarta</t>
        </is>
      </c>
      <c r="C1706" s="7" t="inlineStr">
        <is>
          <t>CTS LUIS BOTELHO MOURÃO</t>
        </is>
      </c>
      <c r="D1706" s="7" t="inlineStr">
        <is>
          <t>ROBSON</t>
        </is>
      </c>
      <c r="E1706" s="7" t="inlineStr">
        <is>
          <t>Marcio</t>
        </is>
      </c>
      <c r="F1706" s="13" t="inlineStr">
        <is>
          <t>Transformação + Interlig. PV 02</t>
        </is>
      </c>
      <c r="G1706" s="7" t="inlineStr">
        <is>
          <t>02</t>
        </is>
      </c>
      <c r="H1706" s="7" t="n"/>
      <c r="I1706" s="7" t="inlineStr">
        <is>
          <t>02</t>
        </is>
      </c>
      <c r="J1706" s="7" t="inlineStr">
        <is>
          <t>Transformação</t>
        </is>
      </c>
      <c r="K1706" s="7" t="inlineStr">
        <is>
          <t>Planejamento</t>
        </is>
      </c>
      <c r="L1706" s="16" t="inlineStr">
        <is>
          <t>PDS-Abril(2).docx</t>
        </is>
      </c>
      <c r="M1706">
        <f>IF($A1706="","",TEXT($A1706,"mmmm/yyyy"))</f>
        <v/>
      </c>
      <c r="P1706">
        <f>IFERROR(_xludf.XLOOKUP($N1706,Base_Enderecos!$A:$A,Base_Enderecos!$B:$B,""),"")</f>
        <v/>
      </c>
      <c r="Q1706">
        <f>IFERROR(_xludf.XLOOKUP($N1706,Base_Enderecos!$A:$A,Base_Enderecos!$C:$C,""),"")</f>
        <v/>
      </c>
      <c r="R1706">
        <f>IF(OR(ISNUMBER(SEARCH("HDD",$F1706)),ISNUMBER(SEARCH("MND",$F1706)),ISNUMBER(SEARCH("PEAD",$F1706)),ISNUMBER(SEARCH("Puxe",$J1706)),ISNUMBER(SEARCH("Apoio HDD",$F1706))),"MND",IF(OR(ISNUMBER(SEARCH("VCA",$F1706)),ISNUMBER(SEARCH("PVC",$F1706)),ISNUMBER(SEARCH("vca",$J1706)),ISNUMBER(SEARCH("Transformação",$J1706))),"VCA",IF(OR(ISNUMBER(SEARCH("crava",$F1706)),ISNUMBER(SEARCH("tubo cravado",$F1706)),ISNUMBER(SEARCH("shaft",$J1706)),ISNUMBER(SEARCH("concreto",$F1706))),"TUBO CRAVADO","")))</f>
        <v/>
      </c>
      <c r="T1706">
        <f>IF($A1706="","",TEXT($A1706,"yyyymm")&amp;"|"&amp;$C1706&amp;"|"&amp;$F1706&amp;"|"&amp;$N1706&amp;"|"&amp;$R1706)</f>
        <v/>
      </c>
    </row>
    <row r="1707" ht="11.55" customHeight="1">
      <c r="A1707" s="10" t="n">
        <v>46120</v>
      </c>
      <c r="B1707" s="7" t="inlineStr">
        <is>
          <t>Quarta</t>
        </is>
      </c>
      <c r="C1707" s="7" t="inlineStr">
        <is>
          <t>CTS LUIS BOTELHO MOURÃO</t>
        </is>
      </c>
      <c r="D1707" s="7" t="inlineStr">
        <is>
          <t>ROBSON</t>
        </is>
      </c>
      <c r="E1707" s="7" t="inlineStr">
        <is>
          <t>Jhonatan</t>
        </is>
      </c>
      <c r="F1707" s="13" t="inlineStr">
        <is>
          <t>Transformação PV 04</t>
        </is>
      </c>
      <c r="G1707" s="7" t="inlineStr">
        <is>
          <t>04</t>
        </is>
      </c>
      <c r="H1707" s="7" t="n"/>
      <c r="I1707" s="7" t="inlineStr">
        <is>
          <t>04</t>
        </is>
      </c>
      <c r="J1707" s="7" t="inlineStr">
        <is>
          <t>Transformação</t>
        </is>
      </c>
      <c r="K1707" s="7" t="inlineStr">
        <is>
          <t>Planejamento</t>
        </is>
      </c>
      <c r="L1707" s="16" t="inlineStr">
        <is>
          <t>PDS-Abril(2).docx</t>
        </is>
      </c>
      <c r="M1707">
        <f>IF($A1707="","",TEXT($A1707,"mmmm/yyyy"))</f>
        <v/>
      </c>
      <c r="P1707">
        <f>IFERROR(_xludf.XLOOKUP($N1707,Base_Enderecos!$A:$A,Base_Enderecos!$B:$B,""),"")</f>
        <v/>
      </c>
      <c r="Q1707">
        <f>IFERROR(_xludf.XLOOKUP($N1707,Base_Enderecos!$A:$A,Base_Enderecos!$C:$C,""),"")</f>
        <v/>
      </c>
      <c r="R1707">
        <f>IF(OR(ISNUMBER(SEARCH("HDD",$F1707)),ISNUMBER(SEARCH("MND",$F1707)),ISNUMBER(SEARCH("PEAD",$F1707)),ISNUMBER(SEARCH("Puxe",$J1707)),ISNUMBER(SEARCH("Apoio HDD",$F1707))),"MND",IF(OR(ISNUMBER(SEARCH("VCA",$F1707)),ISNUMBER(SEARCH("PVC",$F1707)),ISNUMBER(SEARCH("vca",$J1707)),ISNUMBER(SEARCH("Transformação",$J1707))),"VCA",IF(OR(ISNUMBER(SEARCH("crava",$F1707)),ISNUMBER(SEARCH("tubo cravado",$F1707)),ISNUMBER(SEARCH("shaft",$J1707)),ISNUMBER(SEARCH("concreto",$F1707))),"TUBO CRAVADO","")))</f>
        <v/>
      </c>
      <c r="T1707">
        <f>IF($A1707="","",TEXT($A1707,"yyyymm")&amp;"|"&amp;$C1707&amp;"|"&amp;$F1707&amp;"|"&amp;$N1707&amp;"|"&amp;$R1707)</f>
        <v/>
      </c>
    </row>
    <row r="1708" ht="11.55" customHeight="1">
      <c r="A1708" s="10" t="n">
        <v>46120</v>
      </c>
      <c r="B1708" s="7" t="inlineStr">
        <is>
          <t>Quarta</t>
        </is>
      </c>
      <c r="C1708" s="7" t="inlineStr">
        <is>
          <t>Vacal</t>
        </is>
      </c>
      <c r="D1708" s="7" t="n"/>
      <c r="E1708" s="7" t="inlineStr">
        <is>
          <t>Botelho Mourão – Renasce</t>
        </is>
      </c>
      <c r="F1708" s="13" t="inlineStr">
        <is>
          <t>Apoio Vacal</t>
        </is>
      </c>
      <c r="G1708" s="7" t="n"/>
      <c r="H1708" s="7" t="n"/>
      <c r="I1708" s="7" t="n"/>
      <c r="J1708" s="7" t="inlineStr">
        <is>
          <t>Vacal</t>
        </is>
      </c>
      <c r="K1708" s="7" t="inlineStr">
        <is>
          <t>Apoio</t>
        </is>
      </c>
      <c r="L1708" s="16" t="inlineStr">
        <is>
          <t>PDS-Abril(2).docx</t>
        </is>
      </c>
      <c r="M1708">
        <f>IF($A1708="","",TEXT($A1708,"mmmm/yyyy"))</f>
        <v/>
      </c>
      <c r="P1708">
        <f>IFERROR(_xludf.XLOOKUP($N1708,Base_Enderecos!$A:$A,Base_Enderecos!$B:$B,""),"")</f>
        <v/>
      </c>
      <c r="Q1708">
        <f>IFERROR(_xludf.XLOOKUP($N1708,Base_Enderecos!$A:$A,Base_Enderecos!$C:$C,""),"")</f>
        <v/>
      </c>
      <c r="R1708">
        <f>IF(OR(ISNUMBER(SEARCH("HDD",$F1708)),ISNUMBER(SEARCH("MND",$F1708)),ISNUMBER(SEARCH("PEAD",$F1708)),ISNUMBER(SEARCH("Puxe",$J1708)),ISNUMBER(SEARCH("Apoio HDD",$F1708))),"MND",IF(OR(ISNUMBER(SEARCH("VCA",$F1708)),ISNUMBER(SEARCH("PVC",$F1708)),ISNUMBER(SEARCH("vca",$J1708)),ISNUMBER(SEARCH("Transformação",$J1708))),"VCA",IF(OR(ISNUMBER(SEARCH("crava",$F1708)),ISNUMBER(SEARCH("tubo cravado",$F1708)),ISNUMBER(SEARCH("shaft",$J1708)),ISNUMBER(SEARCH("concreto",$F1708))),"TUBO CRAVADO","")))</f>
        <v/>
      </c>
      <c r="T1708">
        <f>IF($A1708="","",TEXT($A1708,"yyyymm")&amp;"|"&amp;$C1708&amp;"|"&amp;$F1708&amp;"|"&amp;$N1708&amp;"|"&amp;$R1708)</f>
        <v/>
      </c>
    </row>
    <row r="1709" ht="11.55" customHeight="1">
      <c r="A1709" s="10" t="n">
        <v>46120</v>
      </c>
      <c r="B1709" s="7" t="inlineStr">
        <is>
          <t>Quarta</t>
        </is>
      </c>
      <c r="C1709" s="7" t="inlineStr">
        <is>
          <t>Vacal</t>
        </is>
      </c>
      <c r="D1709" s="7" t="n"/>
      <c r="E1709" s="7" t="inlineStr">
        <is>
          <t>Botelho Mourão – BRD</t>
        </is>
      </c>
      <c r="F1709" s="13" t="inlineStr">
        <is>
          <t>Apoio Vacal</t>
        </is>
      </c>
      <c r="G1709" s="7" t="n"/>
      <c r="H1709" s="7" t="n"/>
      <c r="I1709" s="7" t="n"/>
      <c r="J1709" s="7" t="inlineStr">
        <is>
          <t>Vacal</t>
        </is>
      </c>
      <c r="K1709" s="7" t="inlineStr">
        <is>
          <t>Apoio</t>
        </is>
      </c>
      <c r="L1709" s="16" t="inlineStr">
        <is>
          <t>PDS-Abril(2).docx</t>
        </is>
      </c>
      <c r="M1709">
        <f>IF($A1709="","",TEXT($A1709,"mmmm/yyyy"))</f>
        <v/>
      </c>
      <c r="P1709">
        <f>IFERROR(_xludf.XLOOKUP($N1709,Base_Enderecos!$A:$A,Base_Enderecos!$B:$B,""),"")</f>
        <v/>
      </c>
      <c r="Q1709">
        <f>IFERROR(_xludf.XLOOKUP($N1709,Base_Enderecos!$A:$A,Base_Enderecos!$C:$C,""),"")</f>
        <v/>
      </c>
      <c r="R1709">
        <f>IF(OR(ISNUMBER(SEARCH("HDD",$F1709)),ISNUMBER(SEARCH("MND",$F1709)),ISNUMBER(SEARCH("PEAD",$F1709)),ISNUMBER(SEARCH("Puxe",$J1709)),ISNUMBER(SEARCH("Apoio HDD",$F1709))),"MND",IF(OR(ISNUMBER(SEARCH("VCA",$F1709)),ISNUMBER(SEARCH("PVC",$F1709)),ISNUMBER(SEARCH("vca",$J1709)),ISNUMBER(SEARCH("Transformação",$J1709))),"VCA",IF(OR(ISNUMBER(SEARCH("crava",$F1709)),ISNUMBER(SEARCH("tubo cravado",$F1709)),ISNUMBER(SEARCH("shaft",$J1709)),ISNUMBER(SEARCH("concreto",$F1709))),"TUBO CRAVADO","")))</f>
        <v/>
      </c>
      <c r="T1709">
        <f>IF($A1709="","",TEXT($A1709,"yyyymm")&amp;"|"&amp;$C1709&amp;"|"&amp;$F1709&amp;"|"&amp;$N1709&amp;"|"&amp;$R1709)</f>
        <v/>
      </c>
    </row>
    <row r="1710" ht="11.55" customHeight="1">
      <c r="A1710" s="10" t="n">
        <v>46120</v>
      </c>
      <c r="B1710" s="7" t="inlineStr">
        <is>
          <t>Quarta</t>
        </is>
      </c>
      <c r="C1710" s="7" t="inlineStr">
        <is>
          <t>Vacal</t>
        </is>
      </c>
      <c r="D1710" s="7" t="n"/>
      <c r="E1710" s="7" t="inlineStr">
        <is>
          <t>Conceição – Renasce</t>
        </is>
      </c>
      <c r="F1710" s="13" t="inlineStr">
        <is>
          <t>Apoio Vacal</t>
        </is>
      </c>
      <c r="G1710" s="7" t="n"/>
      <c r="H1710" s="7" t="n"/>
      <c r="I1710" s="7" t="n"/>
      <c r="J1710" s="7" t="inlineStr">
        <is>
          <t>Vacal</t>
        </is>
      </c>
      <c r="K1710" s="7" t="inlineStr">
        <is>
          <t>Apoio</t>
        </is>
      </c>
      <c r="L1710" s="16" t="inlineStr">
        <is>
          <t>PDS-Abril(2).docx</t>
        </is>
      </c>
      <c r="M1710">
        <f>IF($A1710="","",TEXT($A1710,"mmmm/yyyy"))</f>
        <v/>
      </c>
      <c r="P1710">
        <f>IFERROR(_xludf.XLOOKUP($N1710,Base_Enderecos!$A:$A,Base_Enderecos!$B:$B,""),"")</f>
        <v/>
      </c>
      <c r="Q1710">
        <f>IFERROR(_xludf.XLOOKUP($N1710,Base_Enderecos!$A:$A,Base_Enderecos!$C:$C,""),"")</f>
        <v/>
      </c>
      <c r="R1710">
        <f>IF(OR(ISNUMBER(SEARCH("HDD",$F1710)),ISNUMBER(SEARCH("MND",$F1710)),ISNUMBER(SEARCH("PEAD",$F1710)),ISNUMBER(SEARCH("Puxe",$J1710)),ISNUMBER(SEARCH("Apoio HDD",$F1710))),"MND",IF(OR(ISNUMBER(SEARCH("VCA",$F1710)),ISNUMBER(SEARCH("PVC",$F1710)),ISNUMBER(SEARCH("vca",$J1710)),ISNUMBER(SEARCH("Transformação",$J1710))),"VCA",IF(OR(ISNUMBER(SEARCH("crava",$F1710)),ISNUMBER(SEARCH("tubo cravado",$F1710)),ISNUMBER(SEARCH("shaft",$J1710)),ISNUMBER(SEARCH("concreto",$F1710))),"TUBO CRAVADO","")))</f>
        <v/>
      </c>
      <c r="T1710">
        <f>IF($A1710="","",TEXT($A1710,"yyyymm")&amp;"|"&amp;$C1710&amp;"|"&amp;$F1710&amp;"|"&amp;$N1710&amp;"|"&amp;$R1710)</f>
        <v/>
      </c>
    </row>
    <row r="1711" ht="11.55" customHeight="1">
      <c r="A1711" s="10" t="n">
        <v>46120</v>
      </c>
      <c r="B1711" s="7" t="inlineStr">
        <is>
          <t>Quarta</t>
        </is>
      </c>
      <c r="C1711" s="7" t="inlineStr">
        <is>
          <t>Vacal</t>
        </is>
      </c>
      <c r="D1711" s="7" t="n"/>
      <c r="E1711" s="7" t="inlineStr">
        <is>
          <t>Conceição – Hidrosol</t>
        </is>
      </c>
      <c r="F1711" s="13" t="inlineStr">
        <is>
          <t>Apoio Vacal</t>
        </is>
      </c>
      <c r="G1711" s="7" t="n"/>
      <c r="H1711" s="7" t="n"/>
      <c r="I1711" s="7" t="n"/>
      <c r="J1711" s="7" t="inlineStr">
        <is>
          <t>Vacal</t>
        </is>
      </c>
      <c r="K1711" s="7" t="inlineStr">
        <is>
          <t>Apoio</t>
        </is>
      </c>
      <c r="L1711" s="16" t="inlineStr">
        <is>
          <t>PDS-Abril(2).docx</t>
        </is>
      </c>
      <c r="M1711">
        <f>IF($A1711="","",TEXT($A1711,"mmmm/yyyy"))</f>
        <v/>
      </c>
      <c r="P1711">
        <f>IFERROR(_xludf.XLOOKUP($N1711,Base_Enderecos!$A:$A,Base_Enderecos!$B:$B,""),"")</f>
        <v/>
      </c>
      <c r="Q1711">
        <f>IFERROR(_xludf.XLOOKUP($N1711,Base_Enderecos!$A:$A,Base_Enderecos!$C:$C,""),"")</f>
        <v/>
      </c>
      <c r="R1711">
        <f>IF(OR(ISNUMBER(SEARCH("HDD",$F1711)),ISNUMBER(SEARCH("MND",$F1711)),ISNUMBER(SEARCH("PEAD",$F1711)),ISNUMBER(SEARCH("Puxe",$J1711)),ISNUMBER(SEARCH("Apoio HDD",$F1711))),"MND",IF(OR(ISNUMBER(SEARCH("VCA",$F1711)),ISNUMBER(SEARCH("PVC",$F1711)),ISNUMBER(SEARCH("vca",$J1711)),ISNUMBER(SEARCH("Transformação",$J1711))),"VCA",IF(OR(ISNUMBER(SEARCH("crava",$F1711)),ISNUMBER(SEARCH("tubo cravado",$F1711)),ISNUMBER(SEARCH("shaft",$J1711)),ISNUMBER(SEARCH("concreto",$F1711))),"TUBO CRAVADO","")))</f>
        <v/>
      </c>
      <c r="T1711">
        <f>IF($A1711="","",TEXT($A1711,"yyyymm")&amp;"|"&amp;$C1711&amp;"|"&amp;$F1711&amp;"|"&amp;$N1711&amp;"|"&amp;$R1711)</f>
        <v/>
      </c>
    </row>
    <row r="1712" ht="11.55" customHeight="1">
      <c r="A1712" s="10" t="n">
        <v>46120</v>
      </c>
      <c r="B1712" s="7" t="inlineStr">
        <is>
          <t>Quarta</t>
        </is>
      </c>
      <c r="C1712" s="7" t="inlineStr">
        <is>
          <t>Vacal</t>
        </is>
      </c>
      <c r="D1712" s="7" t="n"/>
      <c r="E1712" s="7" t="inlineStr">
        <is>
          <t>Água Vermelha - Renasce</t>
        </is>
      </c>
      <c r="F1712" s="13" t="inlineStr">
        <is>
          <t>Apoio Vacal</t>
        </is>
      </c>
      <c r="G1712" s="7" t="n"/>
      <c r="H1712" s="7" t="n"/>
      <c r="I1712" s="7" t="n"/>
      <c r="J1712" s="7" t="inlineStr">
        <is>
          <t>Vacal</t>
        </is>
      </c>
      <c r="K1712" s="7" t="inlineStr">
        <is>
          <t>Apoio</t>
        </is>
      </c>
      <c r="L1712" s="16" t="inlineStr">
        <is>
          <t>PDS-Abril(2).docx</t>
        </is>
      </c>
      <c r="M1712">
        <f>IF($A1712="","",TEXT($A1712,"mmmm/yyyy"))</f>
        <v/>
      </c>
      <c r="P1712">
        <f>IFERROR(_xludf.XLOOKUP($N1712,Base_Enderecos!$A:$A,Base_Enderecos!$B:$B,""),"")</f>
        <v/>
      </c>
      <c r="Q1712">
        <f>IFERROR(_xludf.XLOOKUP($N1712,Base_Enderecos!$A:$A,Base_Enderecos!$C:$C,""),"")</f>
        <v/>
      </c>
      <c r="R1712">
        <f>IF(OR(ISNUMBER(SEARCH("HDD",$F1712)),ISNUMBER(SEARCH("MND",$F1712)),ISNUMBER(SEARCH("PEAD",$F1712)),ISNUMBER(SEARCH("Puxe",$J1712)),ISNUMBER(SEARCH("Apoio HDD",$F1712))),"MND",IF(OR(ISNUMBER(SEARCH("VCA",$F1712)),ISNUMBER(SEARCH("PVC",$F1712)),ISNUMBER(SEARCH("vca",$J1712)),ISNUMBER(SEARCH("Transformação",$J1712))),"VCA",IF(OR(ISNUMBER(SEARCH("crava",$F1712)),ISNUMBER(SEARCH("tubo cravado",$F1712)),ISNUMBER(SEARCH("shaft",$J1712)),ISNUMBER(SEARCH("concreto",$F1712))),"TUBO CRAVADO","")))</f>
        <v/>
      </c>
      <c r="T1712">
        <f>IF($A1712="","",TEXT($A1712,"yyyymm")&amp;"|"&amp;$C1712&amp;"|"&amp;$F1712&amp;"|"&amp;$N1712&amp;"|"&amp;$R1712)</f>
        <v/>
      </c>
    </row>
    <row r="1713" ht="11.55" customHeight="1">
      <c r="A1713" s="10" t="n">
        <v>46120</v>
      </c>
      <c r="B1713" s="7" t="inlineStr">
        <is>
          <t>Quarta</t>
        </is>
      </c>
      <c r="C1713" s="7" t="inlineStr">
        <is>
          <t>Vacal</t>
        </is>
      </c>
      <c r="D1713" s="7" t="n"/>
      <c r="E1713" s="7" t="inlineStr">
        <is>
          <t>Água Vermelha - Renasce</t>
        </is>
      </c>
      <c r="F1713" s="13" t="inlineStr">
        <is>
          <t>Apoio Vacal</t>
        </is>
      </c>
      <c r="G1713" s="7" t="n"/>
      <c r="H1713" s="7" t="n"/>
      <c r="I1713" s="7" t="n"/>
      <c r="J1713" s="7" t="inlineStr">
        <is>
          <t>Vacal</t>
        </is>
      </c>
      <c r="K1713" s="7" t="inlineStr">
        <is>
          <t>Apoio</t>
        </is>
      </c>
      <c r="L1713" s="16" t="inlineStr">
        <is>
          <t>PDS-Abril(2).docx</t>
        </is>
      </c>
      <c r="M1713">
        <f>IF($A1713="","",TEXT($A1713,"mmmm/yyyy"))</f>
        <v/>
      </c>
      <c r="P1713">
        <f>IFERROR(_xludf.XLOOKUP($N1713,Base_Enderecos!$A:$A,Base_Enderecos!$B:$B,""),"")</f>
        <v/>
      </c>
      <c r="Q1713">
        <f>IFERROR(_xludf.XLOOKUP($N1713,Base_Enderecos!$A:$A,Base_Enderecos!$C:$C,""),"")</f>
        <v/>
      </c>
      <c r="R1713">
        <f>IF(OR(ISNUMBER(SEARCH("HDD",$F1713)),ISNUMBER(SEARCH("MND",$F1713)),ISNUMBER(SEARCH("PEAD",$F1713)),ISNUMBER(SEARCH("Puxe",$J1713)),ISNUMBER(SEARCH("Apoio HDD",$F1713))),"MND",IF(OR(ISNUMBER(SEARCH("VCA",$F1713)),ISNUMBER(SEARCH("PVC",$F1713)),ISNUMBER(SEARCH("vca",$J1713)),ISNUMBER(SEARCH("Transformação",$J1713))),"VCA",IF(OR(ISNUMBER(SEARCH("crava",$F1713)),ISNUMBER(SEARCH("tubo cravado",$F1713)),ISNUMBER(SEARCH("shaft",$J1713)),ISNUMBER(SEARCH("concreto",$F1713))),"TUBO CRAVADO","")))</f>
        <v/>
      </c>
      <c r="T1713">
        <f>IF($A1713="","",TEXT($A1713,"yyyymm")&amp;"|"&amp;$C1713&amp;"|"&amp;$F1713&amp;"|"&amp;$N1713&amp;"|"&amp;$R1713)</f>
        <v/>
      </c>
    </row>
    <row r="1714" ht="11.55" customHeight="1">
      <c r="A1714" s="10" t="n">
        <v>46120</v>
      </c>
      <c r="B1714" s="7" t="inlineStr">
        <is>
          <t>Quarta</t>
        </is>
      </c>
      <c r="C1714" s="7" t="inlineStr">
        <is>
          <t>Guindauto</t>
        </is>
      </c>
      <c r="D1714" s="7" t="n"/>
      <c r="E1714" s="7" t="inlineStr">
        <is>
          <t>Marcio</t>
        </is>
      </c>
      <c r="F1714" s="13" t="inlineStr">
        <is>
          <t>Marcio - Apoio as equipes</t>
        </is>
      </c>
      <c r="G1714" s="7" t="n"/>
      <c r="H1714" s="7" t="n"/>
      <c r="I1714" s="7" t="n"/>
      <c r="J1714" s="7" t="inlineStr">
        <is>
          <t>Guindauto</t>
        </is>
      </c>
      <c r="K1714" s="7" t="inlineStr">
        <is>
          <t>Apoio</t>
        </is>
      </c>
      <c r="L1714" s="16" t="inlineStr">
        <is>
          <t>PDS-Abril(2).docx</t>
        </is>
      </c>
      <c r="M1714">
        <f>IF($A1714="","",TEXT($A1714,"mmmm/yyyy"))</f>
        <v/>
      </c>
      <c r="P1714">
        <f>IFERROR(_xludf.XLOOKUP($N1714,Base_Enderecos!$A:$A,Base_Enderecos!$B:$B,""),"")</f>
        <v/>
      </c>
      <c r="Q1714">
        <f>IFERROR(_xludf.XLOOKUP($N1714,Base_Enderecos!$A:$A,Base_Enderecos!$C:$C,""),"")</f>
        <v/>
      </c>
      <c r="R1714">
        <f>IF(OR(ISNUMBER(SEARCH("HDD",$F1714)),ISNUMBER(SEARCH("MND",$F1714)),ISNUMBER(SEARCH("PEAD",$F1714)),ISNUMBER(SEARCH("Puxe",$J1714)),ISNUMBER(SEARCH("Apoio HDD",$F1714))),"MND",IF(OR(ISNUMBER(SEARCH("VCA",$F1714)),ISNUMBER(SEARCH("PVC",$F1714)),ISNUMBER(SEARCH("vca",$J1714)),ISNUMBER(SEARCH("Transformação",$J1714))),"VCA",IF(OR(ISNUMBER(SEARCH("crava",$F1714)),ISNUMBER(SEARCH("tubo cravado",$F1714)),ISNUMBER(SEARCH("shaft",$J1714)),ISNUMBER(SEARCH("concreto",$F1714))),"TUBO CRAVADO","")))</f>
        <v/>
      </c>
      <c r="T1714">
        <f>IF($A1714="","",TEXT($A1714,"yyyymm")&amp;"|"&amp;$C1714&amp;"|"&amp;$F1714&amp;"|"&amp;$N1714&amp;"|"&amp;$R1714)</f>
        <v/>
      </c>
    </row>
    <row r="1715" ht="11.55" customHeight="1">
      <c r="A1715" s="10" t="n">
        <v>46121</v>
      </c>
      <c r="B1715" s="7" t="inlineStr">
        <is>
          <t>Quinta</t>
        </is>
      </c>
      <c r="C1715" s="7" t="inlineStr">
        <is>
          <t>CTS CONCEIÇÃO</t>
        </is>
      </c>
      <c r="D1715" s="7" t="inlineStr">
        <is>
          <t>LEANDRO</t>
        </is>
      </c>
      <c r="E1715" s="7" t="inlineStr">
        <is>
          <t>WJ</t>
        </is>
      </c>
      <c r="F1715" s="13" t="inlineStr">
        <is>
          <t>Piloto e puxe entre PV 10.1 ao 10.2</t>
        </is>
      </c>
      <c r="G1715" s="7" t="inlineStr">
        <is>
          <t>10.1</t>
        </is>
      </c>
      <c r="H1715" s="7" t="n"/>
      <c r="I1715" s="7" t="inlineStr">
        <is>
          <t>10.1</t>
        </is>
      </c>
      <c r="J1715" s="7" t="inlineStr">
        <is>
          <t>Piloto e puxe</t>
        </is>
      </c>
      <c r="K1715" s="7" t="inlineStr">
        <is>
          <t>Planejamento</t>
        </is>
      </c>
      <c r="L1715" s="16" t="inlineStr">
        <is>
          <t>PDS-Abril(2).docx</t>
        </is>
      </c>
      <c r="M1715">
        <f>IF($A1715="","",TEXT($A1715,"mmmm/yyyy"))</f>
        <v/>
      </c>
      <c r="P1715">
        <f>IFERROR(_xludf.XLOOKUP($N1715,Base_Enderecos!$A:$A,Base_Enderecos!$B:$B,""),"")</f>
        <v/>
      </c>
      <c r="Q1715">
        <f>IFERROR(_xludf.XLOOKUP($N1715,Base_Enderecos!$A:$A,Base_Enderecos!$C:$C,""),"")</f>
        <v/>
      </c>
      <c r="R1715">
        <f>IF(OR(ISNUMBER(SEARCH("HDD",$F1715)),ISNUMBER(SEARCH("MND",$F1715)),ISNUMBER(SEARCH("PEAD",$F1715)),ISNUMBER(SEARCH("Puxe",$J1715)),ISNUMBER(SEARCH("Apoio HDD",$F1715))),"MND",IF(OR(ISNUMBER(SEARCH("VCA",$F1715)),ISNUMBER(SEARCH("PVC",$F1715)),ISNUMBER(SEARCH("vca",$J1715)),ISNUMBER(SEARCH("Transformação",$J1715))),"VCA",IF(OR(ISNUMBER(SEARCH("crava",$F1715)),ISNUMBER(SEARCH("tubo cravado",$F1715)),ISNUMBER(SEARCH("shaft",$J1715)),ISNUMBER(SEARCH("concreto",$F1715))),"TUBO CRAVADO","")))</f>
        <v/>
      </c>
      <c r="T1715">
        <f>IF($A1715="","",TEXT($A1715,"yyyymm")&amp;"|"&amp;$C1715&amp;"|"&amp;$F1715&amp;"|"&amp;$N1715&amp;"|"&amp;$R1715)</f>
        <v/>
      </c>
    </row>
    <row r="1716" ht="11.55" customHeight="1">
      <c r="A1716" s="10" t="n">
        <v>46121</v>
      </c>
      <c r="B1716" s="7" t="inlineStr">
        <is>
          <t>Quinta</t>
        </is>
      </c>
      <c r="C1716" s="7" t="inlineStr">
        <is>
          <t>CTS CONCEIÇÃO</t>
        </is>
      </c>
      <c r="D1716" s="7" t="inlineStr">
        <is>
          <t>LEANDRO</t>
        </is>
      </c>
      <c r="E1716" s="7" t="inlineStr">
        <is>
          <t>Medeiros</t>
        </is>
      </c>
      <c r="F1716" s="13" t="inlineStr">
        <is>
          <t>Apoio HDD entre PV 10.1 ao 10.2</t>
        </is>
      </c>
      <c r="G1716" s="7" t="inlineStr">
        <is>
          <t>10.1</t>
        </is>
      </c>
      <c r="H1716" s="7" t="n"/>
      <c r="I1716" s="7" t="inlineStr">
        <is>
          <t>10.1</t>
        </is>
      </c>
      <c r="J1716" s="7" t="inlineStr">
        <is>
          <t>Apoio HDD</t>
        </is>
      </c>
      <c r="K1716" s="7" t="inlineStr">
        <is>
          <t>Planejamento</t>
        </is>
      </c>
      <c r="L1716" s="16" t="inlineStr">
        <is>
          <t>PDS-Abril(2).docx</t>
        </is>
      </c>
      <c r="M1716">
        <f>IF($A1716="","",TEXT($A1716,"mmmm/yyyy"))</f>
        <v/>
      </c>
      <c r="P1716">
        <f>IFERROR(_xludf.XLOOKUP($N1716,Base_Enderecos!$A:$A,Base_Enderecos!$B:$B,""),"")</f>
        <v/>
      </c>
      <c r="Q1716">
        <f>IFERROR(_xludf.XLOOKUP($N1716,Base_Enderecos!$A:$A,Base_Enderecos!$C:$C,""),"")</f>
        <v/>
      </c>
      <c r="R1716">
        <f>IF(OR(ISNUMBER(SEARCH("HDD",$F1716)),ISNUMBER(SEARCH("MND",$F1716)),ISNUMBER(SEARCH("PEAD",$F1716)),ISNUMBER(SEARCH("Puxe",$J1716)),ISNUMBER(SEARCH("Apoio HDD",$F1716))),"MND",IF(OR(ISNUMBER(SEARCH("VCA",$F1716)),ISNUMBER(SEARCH("PVC",$F1716)),ISNUMBER(SEARCH("vca",$J1716)),ISNUMBER(SEARCH("Transformação",$J1716))),"VCA",IF(OR(ISNUMBER(SEARCH("crava",$F1716)),ISNUMBER(SEARCH("tubo cravado",$F1716)),ISNUMBER(SEARCH("shaft",$J1716)),ISNUMBER(SEARCH("concreto",$F1716))),"TUBO CRAVADO","")))</f>
        <v/>
      </c>
      <c r="T1716">
        <f>IF($A1716="","",TEXT($A1716,"yyyymm")&amp;"|"&amp;$C1716&amp;"|"&amp;$F1716&amp;"|"&amp;$N1716&amp;"|"&amp;$R1716)</f>
        <v/>
      </c>
    </row>
    <row r="1717" ht="11.55" customHeight="1">
      <c r="A1717" s="10" t="n">
        <v>46121</v>
      </c>
      <c r="B1717" s="7" t="inlineStr">
        <is>
          <t>Quinta</t>
        </is>
      </c>
      <c r="C1717" s="7" t="inlineStr">
        <is>
          <t>CTS CONCEIÇÃO</t>
        </is>
      </c>
      <c r="D1717" s="7" t="inlineStr">
        <is>
          <t>LEANDRO</t>
        </is>
      </c>
      <c r="E1717" s="7" t="inlineStr">
        <is>
          <t>Cesar</t>
        </is>
      </c>
      <c r="F1717" s="13" t="inlineStr">
        <is>
          <t>Transformação PV 09</t>
        </is>
      </c>
      <c r="G1717" s="7" t="inlineStr">
        <is>
          <t>09</t>
        </is>
      </c>
      <c r="H1717" s="7" t="n"/>
      <c r="I1717" s="7" t="inlineStr">
        <is>
          <t>09</t>
        </is>
      </c>
      <c r="J1717" s="7" t="inlineStr">
        <is>
          <t>Transformação</t>
        </is>
      </c>
      <c r="K1717" s="7" t="inlineStr">
        <is>
          <t>Planejamento</t>
        </is>
      </c>
      <c r="L1717" s="16" t="inlineStr">
        <is>
          <t>PDS-Abril(2).docx</t>
        </is>
      </c>
      <c r="M1717">
        <f>IF($A1717="","",TEXT($A1717,"mmmm/yyyy"))</f>
        <v/>
      </c>
      <c r="P1717">
        <f>IFERROR(_xludf.XLOOKUP($N1717,Base_Enderecos!$A:$A,Base_Enderecos!$B:$B,""),"")</f>
        <v/>
      </c>
      <c r="Q1717">
        <f>IFERROR(_xludf.XLOOKUP($N1717,Base_Enderecos!$A:$A,Base_Enderecos!$C:$C,""),"")</f>
        <v/>
      </c>
      <c r="R1717">
        <f>IF(OR(ISNUMBER(SEARCH("HDD",$F1717)),ISNUMBER(SEARCH("MND",$F1717)),ISNUMBER(SEARCH("PEAD",$F1717)),ISNUMBER(SEARCH("Puxe",$J1717)),ISNUMBER(SEARCH("Apoio HDD",$F1717))),"MND",IF(OR(ISNUMBER(SEARCH("VCA",$F1717)),ISNUMBER(SEARCH("PVC",$F1717)),ISNUMBER(SEARCH("vca",$J1717)),ISNUMBER(SEARCH("Transformação",$J1717))),"VCA",IF(OR(ISNUMBER(SEARCH("crava",$F1717)),ISNUMBER(SEARCH("tubo cravado",$F1717)),ISNUMBER(SEARCH("shaft",$J1717)),ISNUMBER(SEARCH("concreto",$F1717))),"TUBO CRAVADO","")))</f>
        <v/>
      </c>
      <c r="T1717">
        <f>IF($A1717="","",TEXT($A1717,"yyyymm")&amp;"|"&amp;$C1717&amp;"|"&amp;$F1717&amp;"|"&amp;$N1717&amp;"|"&amp;$R1717)</f>
        <v/>
      </c>
    </row>
    <row r="1718" ht="11.55" customHeight="1">
      <c r="A1718" s="10" t="n">
        <v>46121</v>
      </c>
      <c r="B1718" s="7" t="inlineStr">
        <is>
          <t>Quinta</t>
        </is>
      </c>
      <c r="C1718" s="7" t="inlineStr">
        <is>
          <t>CTS CONCEIÇÃO</t>
        </is>
      </c>
      <c r="D1718" s="7" t="inlineStr">
        <is>
          <t>LEANDRO</t>
        </is>
      </c>
      <c r="E1718" s="7" t="inlineStr">
        <is>
          <t>Carlos</t>
        </is>
      </c>
      <c r="F1718" s="13" t="inlineStr">
        <is>
          <t>Shaft PV 09.1**</t>
        </is>
      </c>
      <c r="G1718" s="7" t="inlineStr">
        <is>
          <t>09.1</t>
        </is>
      </c>
      <c r="H1718" s="7" t="n"/>
      <c r="I1718" s="7" t="inlineStr">
        <is>
          <t>09.1</t>
        </is>
      </c>
      <c r="J1718" s="7" t="inlineStr">
        <is>
          <t>Shaft</t>
        </is>
      </c>
      <c r="K1718" s="7" t="inlineStr">
        <is>
          <t>Planejamento</t>
        </is>
      </c>
      <c r="L1718" s="16" t="inlineStr">
        <is>
          <t>PDS-Abril(2).docx</t>
        </is>
      </c>
      <c r="M1718">
        <f>IF($A1718="","",TEXT($A1718,"mmmm/yyyy"))</f>
        <v/>
      </c>
      <c r="P1718">
        <f>IFERROR(_xludf.XLOOKUP($N1718,Base_Enderecos!$A:$A,Base_Enderecos!$B:$B,""),"")</f>
        <v/>
      </c>
      <c r="Q1718">
        <f>IFERROR(_xludf.XLOOKUP($N1718,Base_Enderecos!$A:$A,Base_Enderecos!$C:$C,""),"")</f>
        <v/>
      </c>
      <c r="R1718">
        <f>IF(OR(ISNUMBER(SEARCH("HDD",$F1718)),ISNUMBER(SEARCH("MND",$F1718)),ISNUMBER(SEARCH("PEAD",$F1718)),ISNUMBER(SEARCH("Puxe",$J1718)),ISNUMBER(SEARCH("Apoio HDD",$F1718))),"MND",IF(OR(ISNUMBER(SEARCH("VCA",$F1718)),ISNUMBER(SEARCH("PVC",$F1718)),ISNUMBER(SEARCH("vca",$J1718)),ISNUMBER(SEARCH("Transformação",$J1718))),"VCA",IF(OR(ISNUMBER(SEARCH("crava",$F1718)),ISNUMBER(SEARCH("tubo cravado",$F1718)),ISNUMBER(SEARCH("shaft",$J1718)),ISNUMBER(SEARCH("concreto",$F1718))),"TUBO CRAVADO","")))</f>
        <v/>
      </c>
      <c r="T1718">
        <f>IF($A1718="","",TEXT($A1718,"yyyymm")&amp;"|"&amp;$C1718&amp;"|"&amp;$F1718&amp;"|"&amp;$N1718&amp;"|"&amp;$R1718)</f>
        <v/>
      </c>
    </row>
    <row r="1719" ht="11.55" customHeight="1">
      <c r="A1719" s="10" t="n">
        <v>46121</v>
      </c>
      <c r="B1719" s="7" t="inlineStr">
        <is>
          <t>Quinta</t>
        </is>
      </c>
      <c r="C1719" s="7" t="inlineStr">
        <is>
          <t>CTS CONCEIÇÃO</t>
        </is>
      </c>
      <c r="D1719" s="7" t="inlineStr">
        <is>
          <t>LEANDRO</t>
        </is>
      </c>
      <c r="E1719" s="7" t="inlineStr">
        <is>
          <t>Sergio</t>
        </is>
      </c>
      <c r="F1719" s="13" t="inlineStr">
        <is>
          <t>Limpeza PV 10.1</t>
        </is>
      </c>
      <c r="G1719" s="7" t="inlineStr">
        <is>
          <t>10.1</t>
        </is>
      </c>
      <c r="H1719" s="7" t="n"/>
      <c r="I1719" s="7" t="inlineStr">
        <is>
          <t>10.1</t>
        </is>
      </c>
      <c r="J1719" s="7" t="inlineStr">
        <is>
          <t>Limpeza</t>
        </is>
      </c>
      <c r="K1719" s="7" t="inlineStr">
        <is>
          <t>Planejamento</t>
        </is>
      </c>
      <c r="L1719" s="16" t="inlineStr">
        <is>
          <t>PDS-Abril(2).docx</t>
        </is>
      </c>
      <c r="M1719">
        <f>IF($A1719="","",TEXT($A1719,"mmmm/yyyy"))</f>
        <v/>
      </c>
      <c r="P1719">
        <f>IFERROR(_xludf.XLOOKUP($N1719,Base_Enderecos!$A:$A,Base_Enderecos!$B:$B,""),"")</f>
        <v/>
      </c>
      <c r="Q1719">
        <f>IFERROR(_xludf.XLOOKUP($N1719,Base_Enderecos!$A:$A,Base_Enderecos!$C:$C,""),"")</f>
        <v/>
      </c>
      <c r="R1719">
        <f>IF(OR(ISNUMBER(SEARCH("HDD",$F1719)),ISNUMBER(SEARCH("MND",$F1719)),ISNUMBER(SEARCH("PEAD",$F1719)),ISNUMBER(SEARCH("Puxe",$J1719)),ISNUMBER(SEARCH("Apoio HDD",$F1719))),"MND",IF(OR(ISNUMBER(SEARCH("VCA",$F1719)),ISNUMBER(SEARCH("PVC",$F1719)),ISNUMBER(SEARCH("vca",$J1719)),ISNUMBER(SEARCH("Transformação",$J1719))),"VCA",IF(OR(ISNUMBER(SEARCH("crava",$F1719)),ISNUMBER(SEARCH("tubo cravado",$F1719)),ISNUMBER(SEARCH("shaft",$J1719)),ISNUMBER(SEARCH("concreto",$F1719))),"TUBO CRAVADO","")))</f>
        <v/>
      </c>
      <c r="T1719">
        <f>IF($A1719="","",TEXT($A1719,"yyyymm")&amp;"|"&amp;$C1719&amp;"|"&amp;$F1719&amp;"|"&amp;$N1719&amp;"|"&amp;$R1719)</f>
        <v/>
      </c>
    </row>
    <row r="1720" ht="11.55" customHeight="1">
      <c r="A1720" s="10" t="n">
        <v>46121</v>
      </c>
      <c r="B1720" s="7" t="inlineStr">
        <is>
          <t>Quinta</t>
        </is>
      </c>
      <c r="C1720" s="7" t="inlineStr">
        <is>
          <t>CT ÁGUA VERMELHA M.D. e M.E</t>
        </is>
      </c>
      <c r="D1720" s="7" t="inlineStr">
        <is>
          <t>FABIO</t>
        </is>
      </c>
      <c r="E1720" s="7" t="inlineStr">
        <is>
          <t>Claudinei</t>
        </is>
      </c>
      <c r="F1720" s="13" t="inlineStr">
        <is>
          <t>Apoio casa (PVD 7)</t>
        </is>
      </c>
      <c r="G1720" s="7" t="inlineStr">
        <is>
          <t>7</t>
        </is>
      </c>
      <c r="H1720" s="7" t="n"/>
      <c r="I1720" s="7" t="inlineStr">
        <is>
          <t>7</t>
        </is>
      </c>
      <c r="J1720" s="7" t="n"/>
      <c r="K1720" s="7" t="inlineStr">
        <is>
          <t>Planejamento</t>
        </is>
      </c>
      <c r="L1720" s="16" t="inlineStr">
        <is>
          <t>PDS-Abril(2).docx</t>
        </is>
      </c>
      <c r="M1720">
        <f>IF($A1720="","",TEXT($A1720,"mmmm/yyyy"))</f>
        <v/>
      </c>
      <c r="P1720">
        <f>IFERROR(_xludf.XLOOKUP($N1720,Base_Enderecos!$A:$A,Base_Enderecos!$B:$B,""),"")</f>
        <v/>
      </c>
      <c r="Q1720">
        <f>IFERROR(_xludf.XLOOKUP($N1720,Base_Enderecos!$A:$A,Base_Enderecos!$C:$C,""),"")</f>
        <v/>
      </c>
      <c r="R1720">
        <f>IF(OR(ISNUMBER(SEARCH("HDD",$F1720)),ISNUMBER(SEARCH("MND",$F1720)),ISNUMBER(SEARCH("PEAD",$F1720)),ISNUMBER(SEARCH("Puxe",$J1720)),ISNUMBER(SEARCH("Apoio HDD",$F1720))),"MND",IF(OR(ISNUMBER(SEARCH("VCA",$F1720)),ISNUMBER(SEARCH("PVC",$F1720)),ISNUMBER(SEARCH("vca",$J1720)),ISNUMBER(SEARCH("Transformação",$J1720))),"VCA",IF(OR(ISNUMBER(SEARCH("crava",$F1720)),ISNUMBER(SEARCH("tubo cravado",$F1720)),ISNUMBER(SEARCH("shaft",$J1720)),ISNUMBER(SEARCH("concreto",$F1720))),"TUBO CRAVADO","")))</f>
        <v/>
      </c>
      <c r="T1720">
        <f>IF($A1720="","",TEXT($A1720,"yyyymm")&amp;"|"&amp;$C1720&amp;"|"&amp;$F1720&amp;"|"&amp;$N1720&amp;"|"&amp;$R1720)</f>
        <v/>
      </c>
    </row>
    <row r="1721" ht="11.55" customHeight="1">
      <c r="A1721" s="10" t="n">
        <v>46121</v>
      </c>
      <c r="B1721" s="7" t="inlineStr">
        <is>
          <t>Quinta</t>
        </is>
      </c>
      <c r="C1721" s="7" t="inlineStr">
        <is>
          <t>CT ÁGUA VERMELHA M.D. e M.E</t>
        </is>
      </c>
      <c r="D1721" s="7" t="inlineStr">
        <is>
          <t>FABIO</t>
        </is>
      </c>
      <c r="E1721" s="7" t="inlineStr">
        <is>
          <t>Higor</t>
        </is>
      </c>
      <c r="F1721" s="13" t="inlineStr">
        <is>
          <t>Shaft PVE 04</t>
        </is>
      </c>
      <c r="G1721" s="7" t="inlineStr">
        <is>
          <t>04</t>
        </is>
      </c>
      <c r="H1721" s="7" t="n"/>
      <c r="I1721" s="7" t="inlineStr">
        <is>
          <t>04</t>
        </is>
      </c>
      <c r="J1721" s="7" t="inlineStr">
        <is>
          <t>Shaft</t>
        </is>
      </c>
      <c r="K1721" s="7" t="inlineStr">
        <is>
          <t>Planejamento</t>
        </is>
      </c>
      <c r="L1721" s="16" t="inlineStr">
        <is>
          <t>PDS-Abril(2).docx</t>
        </is>
      </c>
      <c r="M1721">
        <f>IF($A1721="","",TEXT($A1721,"mmmm/yyyy"))</f>
        <v/>
      </c>
      <c r="P1721">
        <f>IFERROR(_xludf.XLOOKUP($N1721,Base_Enderecos!$A:$A,Base_Enderecos!$B:$B,""),"")</f>
        <v/>
      </c>
      <c r="Q1721">
        <f>IFERROR(_xludf.XLOOKUP($N1721,Base_Enderecos!$A:$A,Base_Enderecos!$C:$C,""),"")</f>
        <v/>
      </c>
      <c r="R1721">
        <f>IF(OR(ISNUMBER(SEARCH("HDD",$F1721)),ISNUMBER(SEARCH("MND",$F1721)),ISNUMBER(SEARCH("PEAD",$F1721)),ISNUMBER(SEARCH("Puxe",$J1721)),ISNUMBER(SEARCH("Apoio HDD",$F1721))),"MND",IF(OR(ISNUMBER(SEARCH("VCA",$F1721)),ISNUMBER(SEARCH("PVC",$F1721)),ISNUMBER(SEARCH("vca",$J1721)),ISNUMBER(SEARCH("Transformação",$J1721))),"VCA",IF(OR(ISNUMBER(SEARCH("crava",$F1721)),ISNUMBER(SEARCH("tubo cravado",$F1721)),ISNUMBER(SEARCH("shaft",$J1721)),ISNUMBER(SEARCH("concreto",$F1721))),"TUBO CRAVADO","")))</f>
        <v/>
      </c>
      <c r="T1721">
        <f>IF($A1721="","",TEXT($A1721,"yyyymm")&amp;"|"&amp;$C1721&amp;"|"&amp;$F1721&amp;"|"&amp;$N1721&amp;"|"&amp;$R1721)</f>
        <v/>
      </c>
    </row>
    <row r="1722" ht="11.55" customHeight="1">
      <c r="A1722" s="10" t="n">
        <v>46121</v>
      </c>
      <c r="B1722" s="7" t="inlineStr">
        <is>
          <t>Quinta</t>
        </is>
      </c>
      <c r="C1722" s="7" t="inlineStr">
        <is>
          <t>CT ÁGUA VERMELHA M.D. e M.E</t>
        </is>
      </c>
      <c r="D1722" s="7" t="inlineStr">
        <is>
          <t>FABIO</t>
        </is>
      </c>
      <c r="E1722" s="7" t="inlineStr">
        <is>
          <t>Cidão</t>
        </is>
      </c>
      <c r="F1722" s="13" t="inlineStr">
        <is>
          <t>Shaft PVE 06</t>
        </is>
      </c>
      <c r="G1722" s="7" t="inlineStr">
        <is>
          <t>06</t>
        </is>
      </c>
      <c r="H1722" s="7" t="n"/>
      <c r="I1722" s="7" t="inlineStr">
        <is>
          <t>06</t>
        </is>
      </c>
      <c r="J1722" s="7" t="inlineStr">
        <is>
          <t>Shaft</t>
        </is>
      </c>
      <c r="K1722" s="7" t="inlineStr">
        <is>
          <t>Planejamento</t>
        </is>
      </c>
      <c r="L1722" s="16" t="inlineStr">
        <is>
          <t>PDS-Abril(2).docx</t>
        </is>
      </c>
      <c r="M1722">
        <f>IF($A1722="","",TEXT($A1722,"mmmm/yyyy"))</f>
        <v/>
      </c>
      <c r="P1722">
        <f>IFERROR(_xludf.XLOOKUP($N1722,Base_Enderecos!$A:$A,Base_Enderecos!$B:$B,""),"")</f>
        <v/>
      </c>
      <c r="Q1722">
        <f>IFERROR(_xludf.XLOOKUP($N1722,Base_Enderecos!$A:$A,Base_Enderecos!$C:$C,""),"")</f>
        <v/>
      </c>
      <c r="R1722">
        <f>IF(OR(ISNUMBER(SEARCH("HDD",$F1722)),ISNUMBER(SEARCH("MND",$F1722)),ISNUMBER(SEARCH("PEAD",$F1722)),ISNUMBER(SEARCH("Puxe",$J1722)),ISNUMBER(SEARCH("Apoio HDD",$F1722))),"MND",IF(OR(ISNUMBER(SEARCH("VCA",$F1722)),ISNUMBER(SEARCH("PVC",$F1722)),ISNUMBER(SEARCH("vca",$J1722)),ISNUMBER(SEARCH("Transformação",$J1722))),"VCA",IF(OR(ISNUMBER(SEARCH("crava",$F1722)),ISNUMBER(SEARCH("tubo cravado",$F1722)),ISNUMBER(SEARCH("shaft",$J1722)),ISNUMBER(SEARCH("concreto",$F1722))),"TUBO CRAVADO","")))</f>
        <v/>
      </c>
      <c r="T1722">
        <f>IF($A1722="","",TEXT($A1722,"yyyymm")&amp;"|"&amp;$C1722&amp;"|"&amp;$F1722&amp;"|"&amp;$N1722&amp;"|"&amp;$R1722)</f>
        <v/>
      </c>
    </row>
    <row r="1723" ht="11.55" customHeight="1">
      <c r="A1723" s="10" t="n">
        <v>46121</v>
      </c>
      <c r="B1723" s="7" t="inlineStr">
        <is>
          <t>Quinta</t>
        </is>
      </c>
      <c r="C1723" s="7" t="inlineStr">
        <is>
          <t>CT ÁGUA VERMELHA M.D. e M.E</t>
        </is>
      </c>
      <c r="D1723" s="7" t="inlineStr">
        <is>
          <t>FABIO</t>
        </is>
      </c>
      <c r="E1723" s="7" t="inlineStr">
        <is>
          <t>Marcelo</t>
        </is>
      </c>
      <c r="F1723" s="13" t="inlineStr">
        <is>
          <t>Shaft PV 19</t>
        </is>
      </c>
      <c r="G1723" s="7" t="inlineStr">
        <is>
          <t>19</t>
        </is>
      </c>
      <c r="H1723" s="7" t="n"/>
      <c r="I1723" s="7" t="inlineStr">
        <is>
          <t>19</t>
        </is>
      </c>
      <c r="J1723" s="7" t="inlineStr">
        <is>
          <t>Shaft</t>
        </is>
      </c>
      <c r="K1723" s="7" t="inlineStr">
        <is>
          <t>Planejamento</t>
        </is>
      </c>
      <c r="L1723" s="16" t="inlineStr">
        <is>
          <t>PDS-Abril(2).docx</t>
        </is>
      </c>
      <c r="M1723">
        <f>IF($A1723="","",TEXT($A1723,"mmmm/yyyy"))</f>
        <v/>
      </c>
      <c r="P1723">
        <f>IFERROR(_xludf.XLOOKUP($N1723,Base_Enderecos!$A:$A,Base_Enderecos!$B:$B,""),"")</f>
        <v/>
      </c>
      <c r="Q1723">
        <f>IFERROR(_xludf.XLOOKUP($N1723,Base_Enderecos!$A:$A,Base_Enderecos!$C:$C,""),"")</f>
        <v/>
      </c>
      <c r="R1723">
        <f>IF(OR(ISNUMBER(SEARCH("HDD",$F1723)),ISNUMBER(SEARCH("MND",$F1723)),ISNUMBER(SEARCH("PEAD",$F1723)),ISNUMBER(SEARCH("Puxe",$J1723)),ISNUMBER(SEARCH("Apoio HDD",$F1723))),"MND",IF(OR(ISNUMBER(SEARCH("VCA",$F1723)),ISNUMBER(SEARCH("PVC",$F1723)),ISNUMBER(SEARCH("vca",$J1723)),ISNUMBER(SEARCH("Transformação",$J1723))),"VCA",IF(OR(ISNUMBER(SEARCH("crava",$F1723)),ISNUMBER(SEARCH("tubo cravado",$F1723)),ISNUMBER(SEARCH("shaft",$J1723)),ISNUMBER(SEARCH("concreto",$F1723))),"TUBO CRAVADO","")))</f>
        <v/>
      </c>
      <c r="T1723">
        <f>IF($A1723="","",TEXT($A1723,"yyyymm")&amp;"|"&amp;$C1723&amp;"|"&amp;$F1723&amp;"|"&amp;$N1723&amp;"|"&amp;$R1723)</f>
        <v/>
      </c>
    </row>
    <row r="1724" ht="11.55" customHeight="1">
      <c r="A1724" s="10" t="n">
        <v>46121</v>
      </c>
      <c r="B1724" s="7" t="inlineStr">
        <is>
          <t>Quinta</t>
        </is>
      </c>
      <c r="C1724" s="7" t="inlineStr">
        <is>
          <t>CT ÁGUA VERMELHA M.D. e M.E</t>
        </is>
      </c>
      <c r="D1724" s="7" t="inlineStr">
        <is>
          <t>FABIO</t>
        </is>
      </c>
      <c r="E1724" s="7" t="inlineStr">
        <is>
          <t>Edivando</t>
        </is>
      </c>
      <c r="F1724" s="13" t="inlineStr">
        <is>
          <t>Shaft PVE 22</t>
        </is>
      </c>
      <c r="G1724" s="7" t="inlineStr">
        <is>
          <t>22</t>
        </is>
      </c>
      <c r="H1724" s="7" t="n"/>
      <c r="I1724" s="7" t="inlineStr">
        <is>
          <t>22</t>
        </is>
      </c>
      <c r="J1724" s="7" t="inlineStr">
        <is>
          <t>Shaft</t>
        </is>
      </c>
      <c r="K1724" s="7" t="inlineStr">
        <is>
          <t>Planejamento</t>
        </is>
      </c>
      <c r="L1724" s="16" t="inlineStr">
        <is>
          <t>PDS-Abril(2).docx</t>
        </is>
      </c>
      <c r="M1724">
        <f>IF($A1724="","",TEXT($A1724,"mmmm/yyyy"))</f>
        <v/>
      </c>
      <c r="P1724">
        <f>IFERROR(_xludf.XLOOKUP($N1724,Base_Enderecos!$A:$A,Base_Enderecos!$B:$B,""),"")</f>
        <v/>
      </c>
      <c r="Q1724">
        <f>IFERROR(_xludf.XLOOKUP($N1724,Base_Enderecos!$A:$A,Base_Enderecos!$C:$C,""),"")</f>
        <v/>
      </c>
      <c r="R1724">
        <f>IF(OR(ISNUMBER(SEARCH("HDD",$F1724)),ISNUMBER(SEARCH("MND",$F1724)),ISNUMBER(SEARCH("PEAD",$F1724)),ISNUMBER(SEARCH("Puxe",$J1724)),ISNUMBER(SEARCH("Apoio HDD",$F1724))),"MND",IF(OR(ISNUMBER(SEARCH("VCA",$F1724)),ISNUMBER(SEARCH("PVC",$F1724)),ISNUMBER(SEARCH("vca",$J1724)),ISNUMBER(SEARCH("Transformação",$J1724))),"VCA",IF(OR(ISNUMBER(SEARCH("crava",$F1724)),ISNUMBER(SEARCH("tubo cravado",$F1724)),ISNUMBER(SEARCH("shaft",$J1724)),ISNUMBER(SEARCH("concreto",$F1724))),"TUBO CRAVADO","")))</f>
        <v/>
      </c>
      <c r="T1724">
        <f>IF($A1724="","",TEXT($A1724,"yyyymm")&amp;"|"&amp;$C1724&amp;"|"&amp;$F1724&amp;"|"&amp;$N1724&amp;"|"&amp;$R1724)</f>
        <v/>
      </c>
    </row>
    <row r="1725" ht="11.55" customHeight="1">
      <c r="A1725" s="10" t="n">
        <v>46121</v>
      </c>
      <c r="B1725" s="7" t="inlineStr">
        <is>
          <t>Quinta</t>
        </is>
      </c>
      <c r="C1725" s="7" t="inlineStr">
        <is>
          <t>CT LOURDES</t>
        </is>
      </c>
      <c r="D1725" s="7" t="inlineStr">
        <is>
          <t>VALMIR</t>
        </is>
      </c>
      <c r="E1725" s="7" t="inlineStr">
        <is>
          <t>Antônio</t>
        </is>
      </c>
      <c r="F1725" s="13" t="inlineStr">
        <is>
          <t>Adequação PV 22</t>
        </is>
      </c>
      <c r="G1725" s="7" t="inlineStr">
        <is>
          <t>22</t>
        </is>
      </c>
      <c r="H1725" s="7" t="n"/>
      <c r="I1725" s="7" t="inlineStr">
        <is>
          <t>22</t>
        </is>
      </c>
      <c r="J1725" s="7" t="inlineStr">
        <is>
          <t>Adequação</t>
        </is>
      </c>
      <c r="K1725" s="7" t="inlineStr">
        <is>
          <t>Planejamento</t>
        </is>
      </c>
      <c r="L1725" s="16" t="inlineStr">
        <is>
          <t>PDS-Abril(2).docx</t>
        </is>
      </c>
      <c r="M1725">
        <f>IF($A1725="","",TEXT($A1725,"mmmm/yyyy"))</f>
        <v/>
      </c>
      <c r="P1725">
        <f>IFERROR(_xludf.XLOOKUP($N1725,Base_Enderecos!$A:$A,Base_Enderecos!$B:$B,""),"")</f>
        <v/>
      </c>
      <c r="Q1725">
        <f>IFERROR(_xludf.XLOOKUP($N1725,Base_Enderecos!$A:$A,Base_Enderecos!$C:$C,""),"")</f>
        <v/>
      </c>
      <c r="R1725">
        <f>IF(OR(ISNUMBER(SEARCH("HDD",$F1725)),ISNUMBER(SEARCH("MND",$F1725)),ISNUMBER(SEARCH("PEAD",$F1725)),ISNUMBER(SEARCH("Puxe",$J1725)),ISNUMBER(SEARCH("Apoio HDD",$F1725))),"MND",IF(OR(ISNUMBER(SEARCH("VCA",$F1725)),ISNUMBER(SEARCH("PVC",$F1725)),ISNUMBER(SEARCH("vca",$J1725)),ISNUMBER(SEARCH("Transformação",$J1725))),"VCA",IF(OR(ISNUMBER(SEARCH("crava",$F1725)),ISNUMBER(SEARCH("tubo cravado",$F1725)),ISNUMBER(SEARCH("shaft",$J1725)),ISNUMBER(SEARCH("concreto",$F1725))),"TUBO CRAVADO","")))</f>
        <v/>
      </c>
      <c r="T1725">
        <f>IF($A1725="","",TEXT($A1725,"yyyymm")&amp;"|"&amp;$C1725&amp;"|"&amp;$F1725&amp;"|"&amp;$N1725&amp;"|"&amp;$R1725)</f>
        <v/>
      </c>
    </row>
    <row r="1726" ht="11.55" customHeight="1">
      <c r="A1726" s="10" t="n">
        <v>46121</v>
      </c>
      <c r="B1726" s="7" t="inlineStr">
        <is>
          <t>Quinta</t>
        </is>
      </c>
      <c r="C1726" s="7" t="inlineStr">
        <is>
          <t>CT LOURDES</t>
        </is>
      </c>
      <c r="D1726" s="7" t="inlineStr">
        <is>
          <t>VALMIR</t>
        </is>
      </c>
      <c r="E1726" s="7" t="inlineStr">
        <is>
          <t>Ricardo</t>
        </is>
      </c>
      <c r="F1726" s="13" t="inlineStr">
        <is>
          <t>Shaft PV 15</t>
        </is>
      </c>
      <c r="G1726" s="7" t="inlineStr">
        <is>
          <t>15</t>
        </is>
      </c>
      <c r="H1726" s="7" t="n"/>
      <c r="I1726" s="7" t="inlineStr">
        <is>
          <t>15</t>
        </is>
      </c>
      <c r="J1726" s="7" t="inlineStr">
        <is>
          <t>Shaft</t>
        </is>
      </c>
      <c r="K1726" s="7" t="inlineStr">
        <is>
          <t>Planejamento</t>
        </is>
      </c>
      <c r="L1726" s="16" t="inlineStr">
        <is>
          <t>PDS-Abril(2).docx</t>
        </is>
      </c>
      <c r="M1726">
        <f>IF($A1726="","",TEXT($A1726,"mmmm/yyyy"))</f>
        <v/>
      </c>
      <c r="P1726">
        <f>IFERROR(_xludf.XLOOKUP($N1726,Base_Enderecos!$A:$A,Base_Enderecos!$B:$B,""),"")</f>
        <v/>
      </c>
      <c r="Q1726">
        <f>IFERROR(_xludf.XLOOKUP($N1726,Base_Enderecos!$A:$A,Base_Enderecos!$C:$C,""),"")</f>
        <v/>
      </c>
      <c r="R1726">
        <f>IF(OR(ISNUMBER(SEARCH("HDD",$F1726)),ISNUMBER(SEARCH("MND",$F1726)),ISNUMBER(SEARCH("PEAD",$F1726)),ISNUMBER(SEARCH("Puxe",$J1726)),ISNUMBER(SEARCH("Apoio HDD",$F1726))),"MND",IF(OR(ISNUMBER(SEARCH("VCA",$F1726)),ISNUMBER(SEARCH("PVC",$F1726)),ISNUMBER(SEARCH("vca",$J1726)),ISNUMBER(SEARCH("Transformação",$J1726))),"VCA",IF(OR(ISNUMBER(SEARCH("crava",$F1726)),ISNUMBER(SEARCH("tubo cravado",$F1726)),ISNUMBER(SEARCH("shaft",$J1726)),ISNUMBER(SEARCH("concreto",$F1726))),"TUBO CRAVADO","")))</f>
        <v/>
      </c>
      <c r="T1726">
        <f>IF($A1726="","",TEXT($A1726,"yyyymm")&amp;"|"&amp;$C1726&amp;"|"&amp;$F1726&amp;"|"&amp;$N1726&amp;"|"&amp;$R1726)</f>
        <v/>
      </c>
    </row>
    <row r="1727" ht="11.55" customHeight="1">
      <c r="A1727" s="10" t="n">
        <v>46121</v>
      </c>
      <c r="B1727" s="7" t="inlineStr">
        <is>
          <t>Quinta</t>
        </is>
      </c>
      <c r="C1727" s="7" t="inlineStr">
        <is>
          <t>RCE FCO. SOUTO MAIOR</t>
        </is>
      </c>
      <c r="D1727" s="7" t="inlineStr">
        <is>
          <t>SILVESTRE</t>
        </is>
      </c>
      <c r="E1727" s="7" t="inlineStr">
        <is>
          <t>Valter</t>
        </is>
      </c>
      <c r="F1727" s="13" t="inlineStr">
        <is>
          <t>Ligações – Rua Canto da Serra</t>
        </is>
      </c>
      <c r="G1727" s="7" t="n"/>
      <c r="H1727" s="7" t="n"/>
      <c r="I1727" s="7" t="n"/>
      <c r="J1727" s="7" t="inlineStr">
        <is>
          <t>Ligações</t>
        </is>
      </c>
      <c r="K1727" s="7" t="inlineStr">
        <is>
          <t>Planejamento</t>
        </is>
      </c>
      <c r="L1727" s="16" t="inlineStr">
        <is>
          <t>PDS-Abril(2).docx</t>
        </is>
      </c>
      <c r="M1727">
        <f>IF($A1727="","",TEXT($A1727,"mmmm/yyyy"))</f>
        <v/>
      </c>
      <c r="P1727">
        <f>IFERROR(_xludf.XLOOKUP($N1727,Base_Enderecos!$A:$A,Base_Enderecos!$B:$B,""),"")</f>
        <v/>
      </c>
      <c r="Q1727">
        <f>IFERROR(_xludf.XLOOKUP($N1727,Base_Enderecos!$A:$A,Base_Enderecos!$C:$C,""),"")</f>
        <v/>
      </c>
      <c r="R1727">
        <f>IF(OR(ISNUMBER(SEARCH("HDD",$F1727)),ISNUMBER(SEARCH("MND",$F1727)),ISNUMBER(SEARCH("PEAD",$F1727)),ISNUMBER(SEARCH("Puxe",$J1727)),ISNUMBER(SEARCH("Apoio HDD",$F1727))),"MND",IF(OR(ISNUMBER(SEARCH("VCA",$F1727)),ISNUMBER(SEARCH("PVC",$F1727)),ISNUMBER(SEARCH("vca",$J1727)),ISNUMBER(SEARCH("Transformação",$J1727))),"VCA",IF(OR(ISNUMBER(SEARCH("crava",$F1727)),ISNUMBER(SEARCH("tubo cravado",$F1727)),ISNUMBER(SEARCH("shaft",$J1727)),ISNUMBER(SEARCH("concreto",$F1727))),"TUBO CRAVADO","")))</f>
        <v/>
      </c>
      <c r="T1727">
        <f>IF($A1727="","",TEXT($A1727,"yyyymm")&amp;"|"&amp;$C1727&amp;"|"&amp;$F1727&amp;"|"&amp;$N1727&amp;"|"&amp;$R1727)</f>
        <v/>
      </c>
    </row>
    <row r="1728" ht="11.55" customHeight="1">
      <c r="A1728" s="10" t="n">
        <v>46121</v>
      </c>
      <c r="B1728" s="7" t="inlineStr">
        <is>
          <t>Quinta</t>
        </is>
      </c>
      <c r="C1728" s="7" t="inlineStr">
        <is>
          <t>CTS LUIS BOTELHO MOURÃO</t>
        </is>
      </c>
      <c r="D1728" s="7" t="inlineStr">
        <is>
          <t>ROBSON</t>
        </is>
      </c>
      <c r="E1728" s="7" t="inlineStr">
        <is>
          <t>Goiania Drill</t>
        </is>
      </c>
      <c r="F1728" s="13" t="inlineStr">
        <is>
          <t>Piloto e puxe PV 05 ao PV 07</t>
        </is>
      </c>
      <c r="G1728" s="7" t="inlineStr">
        <is>
          <t>05</t>
        </is>
      </c>
      <c r="H1728" s="7" t="inlineStr">
        <is>
          <t>07</t>
        </is>
      </c>
      <c r="I1728" s="7" t="inlineStr">
        <is>
          <t>05, 07</t>
        </is>
      </c>
      <c r="J1728" s="7" t="inlineStr">
        <is>
          <t>Piloto e puxe</t>
        </is>
      </c>
      <c r="K1728" s="7" t="inlineStr">
        <is>
          <t>Planejamento</t>
        </is>
      </c>
      <c r="L1728" s="16" t="inlineStr">
        <is>
          <t>PDS-Abril(2).docx</t>
        </is>
      </c>
      <c r="M1728">
        <f>IF($A1728="","",TEXT($A1728,"mmmm/yyyy"))</f>
        <v/>
      </c>
      <c r="P1728">
        <f>IFERROR(_xludf.XLOOKUP($N1728,Base_Enderecos!$A:$A,Base_Enderecos!$B:$B,""),"")</f>
        <v/>
      </c>
      <c r="Q1728">
        <f>IFERROR(_xludf.XLOOKUP($N1728,Base_Enderecos!$A:$A,Base_Enderecos!$C:$C,""),"")</f>
        <v/>
      </c>
      <c r="R1728">
        <f>IF(OR(ISNUMBER(SEARCH("HDD",$F1728)),ISNUMBER(SEARCH("MND",$F1728)),ISNUMBER(SEARCH("PEAD",$F1728)),ISNUMBER(SEARCH("Puxe",$J1728)),ISNUMBER(SEARCH("Apoio HDD",$F1728))),"MND",IF(OR(ISNUMBER(SEARCH("VCA",$F1728)),ISNUMBER(SEARCH("PVC",$F1728)),ISNUMBER(SEARCH("vca",$J1728)),ISNUMBER(SEARCH("Transformação",$J1728))),"VCA",IF(OR(ISNUMBER(SEARCH("crava",$F1728)),ISNUMBER(SEARCH("tubo cravado",$F1728)),ISNUMBER(SEARCH("shaft",$J1728)),ISNUMBER(SEARCH("concreto",$F1728))),"TUBO CRAVADO","")))</f>
        <v/>
      </c>
      <c r="T1728">
        <f>IF($A1728="","",TEXT($A1728,"yyyymm")&amp;"|"&amp;$C1728&amp;"|"&amp;$F1728&amp;"|"&amp;$N1728&amp;"|"&amp;$R1728)</f>
        <v/>
      </c>
    </row>
    <row r="1729" ht="11.55" customHeight="1">
      <c r="A1729" s="10" t="n">
        <v>46121</v>
      </c>
      <c r="B1729" s="7" t="inlineStr">
        <is>
          <t>Quinta</t>
        </is>
      </c>
      <c r="C1729" s="7" t="inlineStr">
        <is>
          <t>CTS LUIS BOTELHO MOURÃO</t>
        </is>
      </c>
      <c r="D1729" s="7" t="inlineStr">
        <is>
          <t>ROBSON</t>
        </is>
      </c>
      <c r="E1729" s="7" t="inlineStr">
        <is>
          <t>Bruno</t>
        </is>
      </c>
      <c r="F1729" s="13" t="inlineStr">
        <is>
          <t>Apoio HDD PV 05 ao PV 07</t>
        </is>
      </c>
      <c r="G1729" s="7" t="inlineStr">
        <is>
          <t>05</t>
        </is>
      </c>
      <c r="H1729" s="7" t="inlineStr">
        <is>
          <t>07</t>
        </is>
      </c>
      <c r="I1729" s="7" t="inlineStr">
        <is>
          <t>05, 07</t>
        </is>
      </c>
      <c r="J1729" s="7" t="inlineStr">
        <is>
          <t>Apoio HDD</t>
        </is>
      </c>
      <c r="K1729" s="7" t="inlineStr">
        <is>
          <t>Planejamento</t>
        </is>
      </c>
      <c r="L1729" s="16" t="inlineStr">
        <is>
          <t>PDS-Abril(2).docx</t>
        </is>
      </c>
      <c r="M1729">
        <f>IF($A1729="","",TEXT($A1729,"mmmm/yyyy"))</f>
        <v/>
      </c>
      <c r="P1729">
        <f>IFERROR(_xludf.XLOOKUP($N1729,Base_Enderecos!$A:$A,Base_Enderecos!$B:$B,""),"")</f>
        <v/>
      </c>
      <c r="Q1729">
        <f>IFERROR(_xludf.XLOOKUP($N1729,Base_Enderecos!$A:$A,Base_Enderecos!$C:$C,""),"")</f>
        <v/>
      </c>
      <c r="R1729">
        <f>IF(OR(ISNUMBER(SEARCH("HDD",$F1729)),ISNUMBER(SEARCH("MND",$F1729)),ISNUMBER(SEARCH("PEAD",$F1729)),ISNUMBER(SEARCH("Puxe",$J1729)),ISNUMBER(SEARCH("Apoio HDD",$F1729))),"MND",IF(OR(ISNUMBER(SEARCH("VCA",$F1729)),ISNUMBER(SEARCH("PVC",$F1729)),ISNUMBER(SEARCH("vca",$J1729)),ISNUMBER(SEARCH("Transformação",$J1729))),"VCA",IF(OR(ISNUMBER(SEARCH("crava",$F1729)),ISNUMBER(SEARCH("tubo cravado",$F1729)),ISNUMBER(SEARCH("shaft",$J1729)),ISNUMBER(SEARCH("concreto",$F1729))),"TUBO CRAVADO","")))</f>
        <v/>
      </c>
      <c r="T1729">
        <f>IF($A1729="","",TEXT($A1729,"yyyymm")&amp;"|"&amp;$C1729&amp;"|"&amp;$F1729&amp;"|"&amp;$N1729&amp;"|"&amp;$R1729)</f>
        <v/>
      </c>
    </row>
    <row r="1730" ht="11.55" customHeight="1">
      <c r="A1730" s="10" t="n">
        <v>46121</v>
      </c>
      <c r="B1730" s="7" t="inlineStr">
        <is>
          <t>Quinta</t>
        </is>
      </c>
      <c r="C1730" s="7" t="inlineStr">
        <is>
          <t>CTS LUIS BOTELHO MOURÃO</t>
        </is>
      </c>
      <c r="D1730" s="7" t="inlineStr">
        <is>
          <t>ROBSON</t>
        </is>
      </c>
      <c r="E1730" s="7" t="inlineStr">
        <is>
          <t>Marcio</t>
        </is>
      </c>
      <c r="F1730" s="13" t="inlineStr">
        <is>
          <t>Transformação + Interlig. PV 02</t>
        </is>
      </c>
      <c r="G1730" s="7" t="inlineStr">
        <is>
          <t>02</t>
        </is>
      </c>
      <c r="H1730" s="7" t="n"/>
      <c r="I1730" s="7" t="inlineStr">
        <is>
          <t>02</t>
        </is>
      </c>
      <c r="J1730" s="7" t="inlineStr">
        <is>
          <t>Transformação</t>
        </is>
      </c>
      <c r="K1730" s="7" t="inlineStr">
        <is>
          <t>Planejamento</t>
        </is>
      </c>
      <c r="L1730" s="16" t="inlineStr">
        <is>
          <t>PDS-Abril(2).docx</t>
        </is>
      </c>
      <c r="M1730">
        <f>IF($A1730="","",TEXT($A1730,"mmmm/yyyy"))</f>
        <v/>
      </c>
      <c r="P1730">
        <f>IFERROR(_xludf.XLOOKUP($N1730,Base_Enderecos!$A:$A,Base_Enderecos!$B:$B,""),"")</f>
        <v/>
      </c>
      <c r="Q1730">
        <f>IFERROR(_xludf.XLOOKUP($N1730,Base_Enderecos!$A:$A,Base_Enderecos!$C:$C,""),"")</f>
        <v/>
      </c>
      <c r="R1730">
        <f>IF(OR(ISNUMBER(SEARCH("HDD",$F1730)),ISNUMBER(SEARCH("MND",$F1730)),ISNUMBER(SEARCH("PEAD",$F1730)),ISNUMBER(SEARCH("Puxe",$J1730)),ISNUMBER(SEARCH("Apoio HDD",$F1730))),"MND",IF(OR(ISNUMBER(SEARCH("VCA",$F1730)),ISNUMBER(SEARCH("PVC",$F1730)),ISNUMBER(SEARCH("vca",$J1730)),ISNUMBER(SEARCH("Transformação",$J1730))),"VCA",IF(OR(ISNUMBER(SEARCH("crava",$F1730)),ISNUMBER(SEARCH("tubo cravado",$F1730)),ISNUMBER(SEARCH("shaft",$J1730)),ISNUMBER(SEARCH("concreto",$F1730))),"TUBO CRAVADO","")))</f>
        <v/>
      </c>
      <c r="T1730">
        <f>IF($A1730="","",TEXT($A1730,"yyyymm")&amp;"|"&amp;$C1730&amp;"|"&amp;$F1730&amp;"|"&amp;$N1730&amp;"|"&amp;$R1730)</f>
        <v/>
      </c>
    </row>
    <row r="1731" ht="11.55" customHeight="1">
      <c r="A1731" s="10" t="n">
        <v>46121</v>
      </c>
      <c r="B1731" s="7" t="inlineStr">
        <is>
          <t>Quinta</t>
        </is>
      </c>
      <c r="C1731" s="7" t="inlineStr">
        <is>
          <t>CTS LUIS BOTELHO MOURÃO</t>
        </is>
      </c>
      <c r="D1731" s="7" t="inlineStr">
        <is>
          <t>ROBSON</t>
        </is>
      </c>
      <c r="E1731" s="7" t="inlineStr">
        <is>
          <t>Jhonatan</t>
        </is>
      </c>
      <c r="F1731" s="13" t="inlineStr">
        <is>
          <t>Transformação PV 03</t>
        </is>
      </c>
      <c r="G1731" s="7" t="inlineStr">
        <is>
          <t>03</t>
        </is>
      </c>
      <c r="H1731" s="7" t="n"/>
      <c r="I1731" s="7" t="inlineStr">
        <is>
          <t>03</t>
        </is>
      </c>
      <c r="J1731" s="7" t="inlineStr">
        <is>
          <t>Transformação</t>
        </is>
      </c>
      <c r="K1731" s="7" t="inlineStr">
        <is>
          <t>Planejamento</t>
        </is>
      </c>
      <c r="L1731" s="16" t="inlineStr">
        <is>
          <t>PDS-Abril(2).docx</t>
        </is>
      </c>
      <c r="M1731">
        <f>IF($A1731="","",TEXT($A1731,"mmmm/yyyy"))</f>
        <v/>
      </c>
      <c r="P1731">
        <f>IFERROR(_xludf.XLOOKUP($N1731,Base_Enderecos!$A:$A,Base_Enderecos!$B:$B,""),"")</f>
        <v/>
      </c>
      <c r="Q1731">
        <f>IFERROR(_xludf.XLOOKUP($N1731,Base_Enderecos!$A:$A,Base_Enderecos!$C:$C,""),"")</f>
        <v/>
      </c>
      <c r="R1731">
        <f>IF(OR(ISNUMBER(SEARCH("HDD",$F1731)),ISNUMBER(SEARCH("MND",$F1731)),ISNUMBER(SEARCH("PEAD",$F1731)),ISNUMBER(SEARCH("Puxe",$J1731)),ISNUMBER(SEARCH("Apoio HDD",$F1731))),"MND",IF(OR(ISNUMBER(SEARCH("VCA",$F1731)),ISNUMBER(SEARCH("PVC",$F1731)),ISNUMBER(SEARCH("vca",$J1731)),ISNUMBER(SEARCH("Transformação",$J1731))),"VCA",IF(OR(ISNUMBER(SEARCH("crava",$F1731)),ISNUMBER(SEARCH("tubo cravado",$F1731)),ISNUMBER(SEARCH("shaft",$J1731)),ISNUMBER(SEARCH("concreto",$F1731))),"TUBO CRAVADO","")))</f>
        <v/>
      </c>
      <c r="T1731">
        <f>IF($A1731="","",TEXT($A1731,"yyyymm")&amp;"|"&amp;$C1731&amp;"|"&amp;$F1731&amp;"|"&amp;$N1731&amp;"|"&amp;$R1731)</f>
        <v/>
      </c>
    </row>
    <row r="1732" ht="11.55" customHeight="1">
      <c r="A1732" s="10" t="n">
        <v>46121</v>
      </c>
      <c r="B1732" s="7" t="inlineStr">
        <is>
          <t>Quinta</t>
        </is>
      </c>
      <c r="C1732" s="7" t="inlineStr">
        <is>
          <t>Vacal</t>
        </is>
      </c>
      <c r="D1732" s="7" t="n"/>
      <c r="E1732" s="7" t="inlineStr">
        <is>
          <t>Botelho Mourão – Renasce</t>
        </is>
      </c>
      <c r="F1732" s="13" t="inlineStr">
        <is>
          <t>Apoio Vacal</t>
        </is>
      </c>
      <c r="G1732" s="7" t="n"/>
      <c r="H1732" s="7" t="n"/>
      <c r="I1732" s="7" t="n"/>
      <c r="J1732" s="7" t="inlineStr">
        <is>
          <t>Vacal</t>
        </is>
      </c>
      <c r="K1732" s="7" t="inlineStr">
        <is>
          <t>Apoio</t>
        </is>
      </c>
      <c r="L1732" s="16" t="inlineStr">
        <is>
          <t>PDS-Abril(2).docx</t>
        </is>
      </c>
      <c r="M1732">
        <f>IF($A1732="","",TEXT($A1732,"mmmm/yyyy"))</f>
        <v/>
      </c>
      <c r="P1732">
        <f>IFERROR(_xludf.XLOOKUP($N1732,Base_Enderecos!$A:$A,Base_Enderecos!$B:$B,""),"")</f>
        <v/>
      </c>
      <c r="Q1732">
        <f>IFERROR(_xludf.XLOOKUP($N1732,Base_Enderecos!$A:$A,Base_Enderecos!$C:$C,""),"")</f>
        <v/>
      </c>
      <c r="R1732">
        <f>IF(OR(ISNUMBER(SEARCH("HDD",$F1732)),ISNUMBER(SEARCH("MND",$F1732)),ISNUMBER(SEARCH("PEAD",$F1732)),ISNUMBER(SEARCH("Puxe",$J1732)),ISNUMBER(SEARCH("Apoio HDD",$F1732))),"MND",IF(OR(ISNUMBER(SEARCH("VCA",$F1732)),ISNUMBER(SEARCH("PVC",$F1732)),ISNUMBER(SEARCH("vca",$J1732)),ISNUMBER(SEARCH("Transformação",$J1732))),"VCA",IF(OR(ISNUMBER(SEARCH("crava",$F1732)),ISNUMBER(SEARCH("tubo cravado",$F1732)),ISNUMBER(SEARCH("shaft",$J1732)),ISNUMBER(SEARCH("concreto",$F1732))),"TUBO CRAVADO","")))</f>
        <v/>
      </c>
      <c r="T1732">
        <f>IF($A1732="","",TEXT($A1732,"yyyymm")&amp;"|"&amp;$C1732&amp;"|"&amp;$F1732&amp;"|"&amp;$N1732&amp;"|"&amp;$R1732)</f>
        <v/>
      </c>
    </row>
    <row r="1733" ht="11.55" customHeight="1">
      <c r="A1733" s="10" t="n">
        <v>46121</v>
      </c>
      <c r="B1733" s="7" t="inlineStr">
        <is>
          <t>Quinta</t>
        </is>
      </c>
      <c r="C1733" s="7" t="inlineStr">
        <is>
          <t>Vacal</t>
        </is>
      </c>
      <c r="D1733" s="7" t="n"/>
      <c r="E1733" s="7" t="inlineStr">
        <is>
          <t>Botelho Mourão – Renasce</t>
        </is>
      </c>
      <c r="F1733" s="13" t="inlineStr">
        <is>
          <t>Apoio Vacal</t>
        </is>
      </c>
      <c r="G1733" s="7" t="n"/>
      <c r="H1733" s="7" t="n"/>
      <c r="I1733" s="7" t="n"/>
      <c r="J1733" s="7" t="inlineStr">
        <is>
          <t>Vacal</t>
        </is>
      </c>
      <c r="K1733" s="7" t="inlineStr">
        <is>
          <t>Apoio</t>
        </is>
      </c>
      <c r="L1733" s="16" t="inlineStr">
        <is>
          <t>PDS-Abril(2).docx</t>
        </is>
      </c>
      <c r="M1733">
        <f>IF($A1733="","",TEXT($A1733,"mmmm/yyyy"))</f>
        <v/>
      </c>
      <c r="P1733">
        <f>IFERROR(_xludf.XLOOKUP($N1733,Base_Enderecos!$A:$A,Base_Enderecos!$B:$B,""),"")</f>
        <v/>
      </c>
      <c r="Q1733">
        <f>IFERROR(_xludf.XLOOKUP($N1733,Base_Enderecos!$A:$A,Base_Enderecos!$C:$C,""),"")</f>
        <v/>
      </c>
      <c r="R1733">
        <f>IF(OR(ISNUMBER(SEARCH("HDD",$F1733)),ISNUMBER(SEARCH("MND",$F1733)),ISNUMBER(SEARCH("PEAD",$F1733)),ISNUMBER(SEARCH("Puxe",$J1733)),ISNUMBER(SEARCH("Apoio HDD",$F1733))),"MND",IF(OR(ISNUMBER(SEARCH("VCA",$F1733)),ISNUMBER(SEARCH("PVC",$F1733)),ISNUMBER(SEARCH("vca",$J1733)),ISNUMBER(SEARCH("Transformação",$J1733))),"VCA",IF(OR(ISNUMBER(SEARCH("crava",$F1733)),ISNUMBER(SEARCH("tubo cravado",$F1733)),ISNUMBER(SEARCH("shaft",$J1733)),ISNUMBER(SEARCH("concreto",$F1733))),"TUBO CRAVADO","")))</f>
        <v/>
      </c>
      <c r="T1733">
        <f>IF($A1733="","",TEXT($A1733,"yyyymm")&amp;"|"&amp;$C1733&amp;"|"&amp;$F1733&amp;"|"&amp;$N1733&amp;"|"&amp;$R1733)</f>
        <v/>
      </c>
    </row>
    <row r="1734" ht="11.55" customHeight="1">
      <c r="A1734" s="10" t="n">
        <v>46121</v>
      </c>
      <c r="B1734" s="7" t="inlineStr">
        <is>
          <t>Quinta</t>
        </is>
      </c>
      <c r="C1734" s="7" t="inlineStr">
        <is>
          <t>Vacal</t>
        </is>
      </c>
      <c r="D1734" s="7" t="n"/>
      <c r="E1734" s="7" t="inlineStr">
        <is>
          <t>Botelho Mourão - Renasce</t>
        </is>
      </c>
      <c r="F1734" s="13" t="inlineStr">
        <is>
          <t>Apoio Vacal</t>
        </is>
      </c>
      <c r="G1734" s="7" t="n"/>
      <c r="H1734" s="7" t="n"/>
      <c r="I1734" s="7" t="n"/>
      <c r="J1734" s="7" t="inlineStr">
        <is>
          <t>Vacal</t>
        </is>
      </c>
      <c r="K1734" s="7" t="inlineStr">
        <is>
          <t>Apoio</t>
        </is>
      </c>
      <c r="L1734" s="16" t="inlineStr">
        <is>
          <t>PDS-Abril(2).docx</t>
        </is>
      </c>
      <c r="M1734">
        <f>IF($A1734="","",TEXT($A1734,"mmmm/yyyy"))</f>
        <v/>
      </c>
      <c r="P1734">
        <f>IFERROR(_xludf.XLOOKUP($N1734,Base_Enderecos!$A:$A,Base_Enderecos!$B:$B,""),"")</f>
        <v/>
      </c>
      <c r="Q1734">
        <f>IFERROR(_xludf.XLOOKUP($N1734,Base_Enderecos!$A:$A,Base_Enderecos!$C:$C,""),"")</f>
        <v/>
      </c>
      <c r="R1734">
        <f>IF(OR(ISNUMBER(SEARCH("HDD",$F1734)),ISNUMBER(SEARCH("MND",$F1734)),ISNUMBER(SEARCH("PEAD",$F1734)),ISNUMBER(SEARCH("Puxe",$J1734)),ISNUMBER(SEARCH("Apoio HDD",$F1734))),"MND",IF(OR(ISNUMBER(SEARCH("VCA",$F1734)),ISNUMBER(SEARCH("PVC",$F1734)),ISNUMBER(SEARCH("vca",$J1734)),ISNUMBER(SEARCH("Transformação",$J1734))),"VCA",IF(OR(ISNUMBER(SEARCH("crava",$F1734)),ISNUMBER(SEARCH("tubo cravado",$F1734)),ISNUMBER(SEARCH("shaft",$J1734)),ISNUMBER(SEARCH("concreto",$F1734))),"TUBO CRAVADO","")))</f>
        <v/>
      </c>
      <c r="T1734">
        <f>IF($A1734="","",TEXT($A1734,"yyyymm")&amp;"|"&amp;$C1734&amp;"|"&amp;$F1734&amp;"|"&amp;$N1734&amp;"|"&amp;$R1734)</f>
        <v/>
      </c>
    </row>
    <row r="1735" ht="11.55" customHeight="1">
      <c r="A1735" s="10" t="n">
        <v>46121</v>
      </c>
      <c r="B1735" s="7" t="inlineStr">
        <is>
          <t>Quinta</t>
        </is>
      </c>
      <c r="C1735" s="7" t="inlineStr">
        <is>
          <t>Vacal</t>
        </is>
      </c>
      <c r="D1735" s="7" t="n"/>
      <c r="E1735" s="7" t="inlineStr">
        <is>
          <t>Conceição – Renasce</t>
        </is>
      </c>
      <c r="F1735" s="13" t="inlineStr">
        <is>
          <t>Apoio Vacal</t>
        </is>
      </c>
      <c r="G1735" s="7" t="n"/>
      <c r="H1735" s="7" t="n"/>
      <c r="I1735" s="7" t="n"/>
      <c r="J1735" s="7" t="inlineStr">
        <is>
          <t>Vacal</t>
        </is>
      </c>
      <c r="K1735" s="7" t="inlineStr">
        <is>
          <t>Apoio</t>
        </is>
      </c>
      <c r="L1735" s="16" t="inlineStr">
        <is>
          <t>PDS-Abril(2).docx</t>
        </is>
      </c>
      <c r="M1735">
        <f>IF($A1735="","",TEXT($A1735,"mmmm/yyyy"))</f>
        <v/>
      </c>
      <c r="P1735">
        <f>IFERROR(_xludf.XLOOKUP($N1735,Base_Enderecos!$A:$A,Base_Enderecos!$B:$B,""),"")</f>
        <v/>
      </c>
      <c r="Q1735">
        <f>IFERROR(_xludf.XLOOKUP($N1735,Base_Enderecos!$A:$A,Base_Enderecos!$C:$C,""),"")</f>
        <v/>
      </c>
      <c r="R1735">
        <f>IF(OR(ISNUMBER(SEARCH("HDD",$F1735)),ISNUMBER(SEARCH("MND",$F1735)),ISNUMBER(SEARCH("PEAD",$F1735)),ISNUMBER(SEARCH("Puxe",$J1735)),ISNUMBER(SEARCH("Apoio HDD",$F1735))),"MND",IF(OR(ISNUMBER(SEARCH("VCA",$F1735)),ISNUMBER(SEARCH("PVC",$F1735)),ISNUMBER(SEARCH("vca",$J1735)),ISNUMBER(SEARCH("Transformação",$J1735))),"VCA",IF(OR(ISNUMBER(SEARCH("crava",$F1735)),ISNUMBER(SEARCH("tubo cravado",$F1735)),ISNUMBER(SEARCH("shaft",$J1735)),ISNUMBER(SEARCH("concreto",$F1735))),"TUBO CRAVADO","")))</f>
        <v/>
      </c>
      <c r="T1735">
        <f>IF($A1735="","",TEXT($A1735,"yyyymm")&amp;"|"&amp;$C1735&amp;"|"&amp;$F1735&amp;"|"&amp;$N1735&amp;"|"&amp;$R1735)</f>
        <v/>
      </c>
    </row>
    <row r="1736" ht="11.55" customHeight="1">
      <c r="A1736" s="10" t="n">
        <v>46121</v>
      </c>
      <c r="B1736" s="7" t="inlineStr">
        <is>
          <t>Quinta</t>
        </is>
      </c>
      <c r="C1736" s="7" t="inlineStr">
        <is>
          <t>Vacal</t>
        </is>
      </c>
      <c r="D1736" s="7" t="n"/>
      <c r="E1736" s="7" t="inlineStr">
        <is>
          <t>Conceição – Hidrosol</t>
        </is>
      </c>
      <c r="F1736" s="13" t="inlineStr">
        <is>
          <t>Apoio Vacal</t>
        </is>
      </c>
      <c r="G1736" s="7" t="n"/>
      <c r="H1736" s="7" t="n"/>
      <c r="I1736" s="7" t="n"/>
      <c r="J1736" s="7" t="inlineStr">
        <is>
          <t>Vacal</t>
        </is>
      </c>
      <c r="K1736" s="7" t="inlineStr">
        <is>
          <t>Apoio</t>
        </is>
      </c>
      <c r="L1736" s="16" t="inlineStr">
        <is>
          <t>PDS-Abril(2).docx</t>
        </is>
      </c>
      <c r="M1736">
        <f>IF($A1736="","",TEXT($A1736,"mmmm/yyyy"))</f>
        <v/>
      </c>
      <c r="P1736">
        <f>IFERROR(_xludf.XLOOKUP($N1736,Base_Enderecos!$A:$A,Base_Enderecos!$B:$B,""),"")</f>
        <v/>
      </c>
      <c r="Q1736">
        <f>IFERROR(_xludf.XLOOKUP($N1736,Base_Enderecos!$A:$A,Base_Enderecos!$C:$C,""),"")</f>
        <v/>
      </c>
      <c r="R1736">
        <f>IF(OR(ISNUMBER(SEARCH("HDD",$F1736)),ISNUMBER(SEARCH("MND",$F1736)),ISNUMBER(SEARCH("PEAD",$F1736)),ISNUMBER(SEARCH("Puxe",$J1736)),ISNUMBER(SEARCH("Apoio HDD",$F1736))),"MND",IF(OR(ISNUMBER(SEARCH("VCA",$F1736)),ISNUMBER(SEARCH("PVC",$F1736)),ISNUMBER(SEARCH("vca",$J1736)),ISNUMBER(SEARCH("Transformação",$J1736))),"VCA",IF(OR(ISNUMBER(SEARCH("crava",$F1736)),ISNUMBER(SEARCH("tubo cravado",$F1736)),ISNUMBER(SEARCH("shaft",$J1736)),ISNUMBER(SEARCH("concreto",$F1736))),"TUBO CRAVADO","")))</f>
        <v/>
      </c>
      <c r="T1736">
        <f>IF($A1736="","",TEXT($A1736,"yyyymm")&amp;"|"&amp;$C1736&amp;"|"&amp;$F1736&amp;"|"&amp;$N1736&amp;"|"&amp;$R1736)</f>
        <v/>
      </c>
    </row>
    <row r="1737" ht="11.55" customHeight="1">
      <c r="A1737" s="10" t="n">
        <v>46121</v>
      </c>
      <c r="B1737" s="7" t="inlineStr">
        <is>
          <t>Quinta</t>
        </is>
      </c>
      <c r="C1737" s="7" t="inlineStr">
        <is>
          <t>Vacal</t>
        </is>
      </c>
      <c r="D1737" s="7" t="n"/>
      <c r="E1737" s="7" t="inlineStr">
        <is>
          <t>Água Vermelha - Renasce</t>
        </is>
      </c>
      <c r="F1737" s="13" t="inlineStr">
        <is>
          <t>Apoio Vacal</t>
        </is>
      </c>
      <c r="G1737" s="7" t="n"/>
      <c r="H1737" s="7" t="n"/>
      <c r="I1737" s="7" t="n"/>
      <c r="J1737" s="7" t="inlineStr">
        <is>
          <t>Vacal</t>
        </is>
      </c>
      <c r="K1737" s="7" t="inlineStr">
        <is>
          <t>Apoio</t>
        </is>
      </c>
      <c r="L1737" s="16" t="inlineStr">
        <is>
          <t>PDS-Abril(2).docx</t>
        </is>
      </c>
      <c r="M1737">
        <f>IF($A1737="","",TEXT($A1737,"mmmm/yyyy"))</f>
        <v/>
      </c>
      <c r="P1737">
        <f>IFERROR(_xludf.XLOOKUP($N1737,Base_Enderecos!$A:$A,Base_Enderecos!$B:$B,""),"")</f>
        <v/>
      </c>
      <c r="Q1737">
        <f>IFERROR(_xludf.XLOOKUP($N1737,Base_Enderecos!$A:$A,Base_Enderecos!$C:$C,""),"")</f>
        <v/>
      </c>
      <c r="R1737">
        <f>IF(OR(ISNUMBER(SEARCH("HDD",$F1737)),ISNUMBER(SEARCH("MND",$F1737)),ISNUMBER(SEARCH("PEAD",$F1737)),ISNUMBER(SEARCH("Puxe",$J1737)),ISNUMBER(SEARCH("Apoio HDD",$F1737))),"MND",IF(OR(ISNUMBER(SEARCH("VCA",$F1737)),ISNUMBER(SEARCH("PVC",$F1737)),ISNUMBER(SEARCH("vca",$J1737)),ISNUMBER(SEARCH("Transformação",$J1737))),"VCA",IF(OR(ISNUMBER(SEARCH("crava",$F1737)),ISNUMBER(SEARCH("tubo cravado",$F1737)),ISNUMBER(SEARCH("shaft",$J1737)),ISNUMBER(SEARCH("concreto",$F1737))),"TUBO CRAVADO","")))</f>
        <v/>
      </c>
      <c r="T1737">
        <f>IF($A1737="","",TEXT($A1737,"yyyymm")&amp;"|"&amp;$C1737&amp;"|"&amp;$F1737&amp;"|"&amp;$N1737&amp;"|"&amp;$R1737)</f>
        <v/>
      </c>
    </row>
    <row r="1738" ht="11.55" customHeight="1">
      <c r="A1738" s="10" t="n">
        <v>46121</v>
      </c>
      <c r="B1738" s="7" t="inlineStr">
        <is>
          <t>Quinta</t>
        </is>
      </c>
      <c r="C1738" s="7" t="inlineStr">
        <is>
          <t>Guindauto</t>
        </is>
      </c>
      <c r="D1738" s="7" t="n"/>
      <c r="E1738" s="7" t="inlineStr">
        <is>
          <t>Marcio</t>
        </is>
      </c>
      <c r="F1738" s="13" t="inlineStr">
        <is>
          <t>Marcio - Apoio as equipes</t>
        </is>
      </c>
      <c r="G1738" s="7" t="n"/>
      <c r="H1738" s="7" t="n"/>
      <c r="I1738" s="7" t="n"/>
      <c r="J1738" s="7" t="inlineStr">
        <is>
          <t>Guindauto</t>
        </is>
      </c>
      <c r="K1738" s="7" t="inlineStr">
        <is>
          <t>Apoio</t>
        </is>
      </c>
      <c r="L1738" s="16" t="inlineStr">
        <is>
          <t>PDS-Abril(2).docx</t>
        </is>
      </c>
      <c r="M1738">
        <f>IF($A1738="","",TEXT($A1738,"mmmm/yyyy"))</f>
        <v/>
      </c>
      <c r="P1738">
        <f>IFERROR(_xludf.XLOOKUP($N1738,Base_Enderecos!$A:$A,Base_Enderecos!$B:$B,""),"")</f>
        <v/>
      </c>
      <c r="Q1738">
        <f>IFERROR(_xludf.XLOOKUP($N1738,Base_Enderecos!$A:$A,Base_Enderecos!$C:$C,""),"")</f>
        <v/>
      </c>
      <c r="R1738">
        <f>IF(OR(ISNUMBER(SEARCH("HDD",$F1738)),ISNUMBER(SEARCH("MND",$F1738)),ISNUMBER(SEARCH("PEAD",$F1738)),ISNUMBER(SEARCH("Puxe",$J1738)),ISNUMBER(SEARCH("Apoio HDD",$F1738))),"MND",IF(OR(ISNUMBER(SEARCH("VCA",$F1738)),ISNUMBER(SEARCH("PVC",$F1738)),ISNUMBER(SEARCH("vca",$J1738)),ISNUMBER(SEARCH("Transformação",$J1738))),"VCA",IF(OR(ISNUMBER(SEARCH("crava",$F1738)),ISNUMBER(SEARCH("tubo cravado",$F1738)),ISNUMBER(SEARCH("shaft",$J1738)),ISNUMBER(SEARCH("concreto",$F1738))),"TUBO CRAVADO","")))</f>
        <v/>
      </c>
      <c r="T1738">
        <f>IF($A1738="","",TEXT($A1738,"yyyymm")&amp;"|"&amp;$C1738&amp;"|"&amp;$F1738&amp;"|"&amp;$N1738&amp;"|"&amp;$R1738)</f>
        <v/>
      </c>
    </row>
    <row r="1739" ht="11.55" customHeight="1">
      <c r="A1739" s="10" t="n">
        <v>46122</v>
      </c>
      <c r="B1739" s="7" t="inlineStr">
        <is>
          <t>Sexta</t>
        </is>
      </c>
      <c r="C1739" s="7" t="inlineStr">
        <is>
          <t>CTS CONCEIÇÃO</t>
        </is>
      </c>
      <c r="D1739" s="7" t="inlineStr">
        <is>
          <t>LEANDRO</t>
        </is>
      </c>
      <c r="E1739" s="7" t="inlineStr">
        <is>
          <t>WJ</t>
        </is>
      </c>
      <c r="F1739" s="13" t="inlineStr">
        <is>
          <t>Piloto e puxe entre PV 10.1 ao 10.2</t>
        </is>
      </c>
      <c r="G1739" s="7" t="inlineStr">
        <is>
          <t>10.1</t>
        </is>
      </c>
      <c r="H1739" s="7" t="n"/>
      <c r="I1739" s="7" t="inlineStr">
        <is>
          <t>10.1</t>
        </is>
      </c>
      <c r="J1739" s="7" t="inlineStr">
        <is>
          <t>Piloto e puxe</t>
        </is>
      </c>
      <c r="K1739" s="7" t="inlineStr">
        <is>
          <t>Planejamento</t>
        </is>
      </c>
      <c r="L1739" s="16" t="inlineStr">
        <is>
          <t>PDS-Abril(2).docx</t>
        </is>
      </c>
      <c r="M1739">
        <f>IF($A1739="","",TEXT($A1739,"mmmm/yyyy"))</f>
        <v/>
      </c>
      <c r="P1739">
        <f>IFERROR(_xludf.XLOOKUP($N1739,Base_Enderecos!$A:$A,Base_Enderecos!$B:$B,""),"")</f>
        <v/>
      </c>
      <c r="Q1739">
        <f>IFERROR(_xludf.XLOOKUP($N1739,Base_Enderecos!$A:$A,Base_Enderecos!$C:$C,""),"")</f>
        <v/>
      </c>
      <c r="R1739">
        <f>IF(OR(ISNUMBER(SEARCH("HDD",$F1739)),ISNUMBER(SEARCH("MND",$F1739)),ISNUMBER(SEARCH("PEAD",$F1739)),ISNUMBER(SEARCH("Puxe",$J1739)),ISNUMBER(SEARCH("Apoio HDD",$F1739))),"MND",IF(OR(ISNUMBER(SEARCH("VCA",$F1739)),ISNUMBER(SEARCH("PVC",$F1739)),ISNUMBER(SEARCH("vca",$J1739)),ISNUMBER(SEARCH("Transformação",$J1739))),"VCA",IF(OR(ISNUMBER(SEARCH("crava",$F1739)),ISNUMBER(SEARCH("tubo cravado",$F1739)),ISNUMBER(SEARCH("shaft",$J1739)),ISNUMBER(SEARCH("concreto",$F1739))),"TUBO CRAVADO","")))</f>
        <v/>
      </c>
      <c r="T1739">
        <f>IF($A1739="","",TEXT($A1739,"yyyymm")&amp;"|"&amp;$C1739&amp;"|"&amp;$F1739&amp;"|"&amp;$N1739&amp;"|"&amp;$R1739)</f>
        <v/>
      </c>
    </row>
    <row r="1740" ht="11.55" customHeight="1">
      <c r="A1740" s="10" t="n">
        <v>46122</v>
      </c>
      <c r="B1740" s="7" t="inlineStr">
        <is>
          <t>Sexta</t>
        </is>
      </c>
      <c r="C1740" s="7" t="inlineStr">
        <is>
          <t>CTS CONCEIÇÃO</t>
        </is>
      </c>
      <c r="D1740" s="7" t="inlineStr">
        <is>
          <t>LEANDRO</t>
        </is>
      </c>
      <c r="E1740" s="7" t="inlineStr">
        <is>
          <t>Medeiros</t>
        </is>
      </c>
      <c r="F1740" s="13" t="inlineStr">
        <is>
          <t>Apoio HDD entre PV 10.1 ao 10.2</t>
        </is>
      </c>
      <c r="G1740" s="7" t="inlineStr">
        <is>
          <t>10.1</t>
        </is>
      </c>
      <c r="H1740" s="7" t="n"/>
      <c r="I1740" s="7" t="inlineStr">
        <is>
          <t>10.1</t>
        </is>
      </c>
      <c r="J1740" s="7" t="inlineStr">
        <is>
          <t>Apoio HDD</t>
        </is>
      </c>
      <c r="K1740" s="7" t="inlineStr">
        <is>
          <t>Planejamento</t>
        </is>
      </c>
      <c r="L1740" s="16" t="inlineStr">
        <is>
          <t>PDS-Abril(2).docx</t>
        </is>
      </c>
      <c r="M1740">
        <f>IF($A1740="","",TEXT($A1740,"mmmm/yyyy"))</f>
        <v/>
      </c>
      <c r="P1740">
        <f>IFERROR(_xludf.XLOOKUP($N1740,Base_Enderecos!$A:$A,Base_Enderecos!$B:$B,""),"")</f>
        <v/>
      </c>
      <c r="Q1740">
        <f>IFERROR(_xludf.XLOOKUP($N1740,Base_Enderecos!$A:$A,Base_Enderecos!$C:$C,""),"")</f>
        <v/>
      </c>
      <c r="R1740">
        <f>IF(OR(ISNUMBER(SEARCH("HDD",$F1740)),ISNUMBER(SEARCH("MND",$F1740)),ISNUMBER(SEARCH("PEAD",$F1740)),ISNUMBER(SEARCH("Puxe",$J1740)),ISNUMBER(SEARCH("Apoio HDD",$F1740))),"MND",IF(OR(ISNUMBER(SEARCH("VCA",$F1740)),ISNUMBER(SEARCH("PVC",$F1740)),ISNUMBER(SEARCH("vca",$J1740)),ISNUMBER(SEARCH("Transformação",$J1740))),"VCA",IF(OR(ISNUMBER(SEARCH("crava",$F1740)),ISNUMBER(SEARCH("tubo cravado",$F1740)),ISNUMBER(SEARCH("shaft",$J1740)),ISNUMBER(SEARCH("concreto",$F1740))),"TUBO CRAVADO","")))</f>
        <v/>
      </c>
      <c r="T1740">
        <f>IF($A1740="","",TEXT($A1740,"yyyymm")&amp;"|"&amp;$C1740&amp;"|"&amp;$F1740&amp;"|"&amp;$N1740&amp;"|"&amp;$R1740)</f>
        <v/>
      </c>
    </row>
    <row r="1741" ht="11.55" customHeight="1">
      <c r="A1741" s="10" t="n">
        <v>46122</v>
      </c>
      <c r="B1741" s="7" t="inlineStr">
        <is>
          <t>Sexta</t>
        </is>
      </c>
      <c r="C1741" s="7" t="inlineStr">
        <is>
          <t>CTS CONCEIÇÃO</t>
        </is>
      </c>
      <c r="D1741" s="7" t="inlineStr">
        <is>
          <t>LEANDRO</t>
        </is>
      </c>
      <c r="E1741" s="7" t="inlineStr">
        <is>
          <t>Cesar</t>
        </is>
      </c>
      <c r="F1741" s="13" t="inlineStr">
        <is>
          <t>Transformação PV 09</t>
        </is>
      </c>
      <c r="G1741" s="7" t="inlineStr">
        <is>
          <t>09</t>
        </is>
      </c>
      <c r="H1741" s="7" t="n"/>
      <c r="I1741" s="7" t="inlineStr">
        <is>
          <t>09</t>
        </is>
      </c>
      <c r="J1741" s="7" t="inlineStr">
        <is>
          <t>Transformação</t>
        </is>
      </c>
      <c r="K1741" s="7" t="inlineStr">
        <is>
          <t>Planejamento</t>
        </is>
      </c>
      <c r="L1741" s="16" t="inlineStr">
        <is>
          <t>PDS-Abril(2).docx</t>
        </is>
      </c>
      <c r="M1741">
        <f>IF($A1741="","",TEXT($A1741,"mmmm/yyyy"))</f>
        <v/>
      </c>
      <c r="P1741">
        <f>IFERROR(_xludf.XLOOKUP($N1741,Base_Enderecos!$A:$A,Base_Enderecos!$B:$B,""),"")</f>
        <v/>
      </c>
      <c r="Q1741">
        <f>IFERROR(_xludf.XLOOKUP($N1741,Base_Enderecos!$A:$A,Base_Enderecos!$C:$C,""),"")</f>
        <v/>
      </c>
      <c r="R1741">
        <f>IF(OR(ISNUMBER(SEARCH("HDD",$F1741)),ISNUMBER(SEARCH("MND",$F1741)),ISNUMBER(SEARCH("PEAD",$F1741)),ISNUMBER(SEARCH("Puxe",$J1741)),ISNUMBER(SEARCH("Apoio HDD",$F1741))),"MND",IF(OR(ISNUMBER(SEARCH("VCA",$F1741)),ISNUMBER(SEARCH("PVC",$F1741)),ISNUMBER(SEARCH("vca",$J1741)),ISNUMBER(SEARCH("Transformação",$J1741))),"VCA",IF(OR(ISNUMBER(SEARCH("crava",$F1741)),ISNUMBER(SEARCH("tubo cravado",$F1741)),ISNUMBER(SEARCH("shaft",$J1741)),ISNUMBER(SEARCH("concreto",$F1741))),"TUBO CRAVADO","")))</f>
        <v/>
      </c>
      <c r="T1741">
        <f>IF($A1741="","",TEXT($A1741,"yyyymm")&amp;"|"&amp;$C1741&amp;"|"&amp;$F1741&amp;"|"&amp;$N1741&amp;"|"&amp;$R1741)</f>
        <v/>
      </c>
    </row>
    <row r="1742" ht="11.55" customHeight="1">
      <c r="A1742" s="10" t="n">
        <v>46122</v>
      </c>
      <c r="B1742" s="7" t="inlineStr">
        <is>
          <t>Sexta</t>
        </is>
      </c>
      <c r="C1742" s="7" t="inlineStr">
        <is>
          <t>CTS CONCEIÇÃO</t>
        </is>
      </c>
      <c r="D1742" s="7" t="inlineStr">
        <is>
          <t>LEANDRO</t>
        </is>
      </c>
      <c r="E1742" s="7" t="inlineStr">
        <is>
          <t>Carlos</t>
        </is>
      </c>
      <c r="F1742" s="13" t="inlineStr">
        <is>
          <t>Shaft PV 09.1**</t>
        </is>
      </c>
      <c r="G1742" s="7" t="inlineStr">
        <is>
          <t>09.1</t>
        </is>
      </c>
      <c r="H1742" s="7" t="n"/>
      <c r="I1742" s="7" t="inlineStr">
        <is>
          <t>09.1</t>
        </is>
      </c>
      <c r="J1742" s="7" t="inlineStr">
        <is>
          <t>Shaft</t>
        </is>
      </c>
      <c r="K1742" s="7" t="inlineStr">
        <is>
          <t>Planejamento</t>
        </is>
      </c>
      <c r="L1742" s="16" t="inlineStr">
        <is>
          <t>PDS-Abril(2).docx</t>
        </is>
      </c>
      <c r="M1742">
        <f>IF($A1742="","",TEXT($A1742,"mmmm/yyyy"))</f>
        <v/>
      </c>
      <c r="P1742">
        <f>IFERROR(_xludf.XLOOKUP($N1742,Base_Enderecos!$A:$A,Base_Enderecos!$B:$B,""),"")</f>
        <v/>
      </c>
      <c r="Q1742">
        <f>IFERROR(_xludf.XLOOKUP($N1742,Base_Enderecos!$A:$A,Base_Enderecos!$C:$C,""),"")</f>
        <v/>
      </c>
      <c r="R1742">
        <f>IF(OR(ISNUMBER(SEARCH("HDD",$F1742)),ISNUMBER(SEARCH("MND",$F1742)),ISNUMBER(SEARCH("PEAD",$F1742)),ISNUMBER(SEARCH("Puxe",$J1742)),ISNUMBER(SEARCH("Apoio HDD",$F1742))),"MND",IF(OR(ISNUMBER(SEARCH("VCA",$F1742)),ISNUMBER(SEARCH("PVC",$F1742)),ISNUMBER(SEARCH("vca",$J1742)),ISNUMBER(SEARCH("Transformação",$J1742))),"VCA",IF(OR(ISNUMBER(SEARCH("crava",$F1742)),ISNUMBER(SEARCH("tubo cravado",$F1742)),ISNUMBER(SEARCH("shaft",$J1742)),ISNUMBER(SEARCH("concreto",$F1742))),"TUBO CRAVADO","")))</f>
        <v/>
      </c>
      <c r="T1742">
        <f>IF($A1742="","",TEXT($A1742,"yyyymm")&amp;"|"&amp;$C1742&amp;"|"&amp;$F1742&amp;"|"&amp;$N1742&amp;"|"&amp;$R1742)</f>
        <v/>
      </c>
    </row>
    <row r="1743" ht="11.55" customHeight="1">
      <c r="A1743" s="10" t="n">
        <v>46122</v>
      </c>
      <c r="B1743" s="7" t="inlineStr">
        <is>
          <t>Sexta</t>
        </is>
      </c>
      <c r="C1743" s="7" t="inlineStr">
        <is>
          <t>CTS CONCEIÇÃO</t>
        </is>
      </c>
      <c r="D1743" s="7" t="inlineStr">
        <is>
          <t>LEANDRO</t>
        </is>
      </c>
      <c r="E1743" s="7" t="inlineStr">
        <is>
          <t>Sergio</t>
        </is>
      </c>
      <c r="F1743" s="13" t="inlineStr">
        <is>
          <t>Limpeza PV 10.1</t>
        </is>
      </c>
      <c r="G1743" s="7" t="inlineStr">
        <is>
          <t>10.1</t>
        </is>
      </c>
      <c r="H1743" s="7" t="n"/>
      <c r="I1743" s="7" t="inlineStr">
        <is>
          <t>10.1</t>
        </is>
      </c>
      <c r="J1743" s="7" t="inlineStr">
        <is>
          <t>Limpeza</t>
        </is>
      </c>
      <c r="K1743" s="7" t="inlineStr">
        <is>
          <t>Planejamento</t>
        </is>
      </c>
      <c r="L1743" s="16" t="inlineStr">
        <is>
          <t>PDS-Abril(2).docx</t>
        </is>
      </c>
      <c r="M1743">
        <f>IF($A1743="","",TEXT($A1743,"mmmm/yyyy"))</f>
        <v/>
      </c>
      <c r="P1743">
        <f>IFERROR(_xludf.XLOOKUP($N1743,Base_Enderecos!$A:$A,Base_Enderecos!$B:$B,""),"")</f>
        <v/>
      </c>
      <c r="Q1743">
        <f>IFERROR(_xludf.XLOOKUP($N1743,Base_Enderecos!$A:$A,Base_Enderecos!$C:$C,""),"")</f>
        <v/>
      </c>
      <c r="R1743">
        <f>IF(OR(ISNUMBER(SEARCH("HDD",$F1743)),ISNUMBER(SEARCH("MND",$F1743)),ISNUMBER(SEARCH("PEAD",$F1743)),ISNUMBER(SEARCH("Puxe",$J1743)),ISNUMBER(SEARCH("Apoio HDD",$F1743))),"MND",IF(OR(ISNUMBER(SEARCH("VCA",$F1743)),ISNUMBER(SEARCH("PVC",$F1743)),ISNUMBER(SEARCH("vca",$J1743)),ISNUMBER(SEARCH("Transformação",$J1743))),"VCA",IF(OR(ISNUMBER(SEARCH("crava",$F1743)),ISNUMBER(SEARCH("tubo cravado",$F1743)),ISNUMBER(SEARCH("shaft",$J1743)),ISNUMBER(SEARCH("concreto",$F1743))),"TUBO CRAVADO","")))</f>
        <v/>
      </c>
      <c r="T1743">
        <f>IF($A1743="","",TEXT($A1743,"yyyymm")&amp;"|"&amp;$C1743&amp;"|"&amp;$F1743&amp;"|"&amp;$N1743&amp;"|"&amp;$R1743)</f>
        <v/>
      </c>
    </row>
    <row r="1744" ht="11.55" customHeight="1">
      <c r="A1744" s="10" t="n">
        <v>46122</v>
      </c>
      <c r="B1744" s="7" t="inlineStr">
        <is>
          <t>Sexta</t>
        </is>
      </c>
      <c r="C1744" s="7" t="inlineStr">
        <is>
          <t>CT ÁGUA VERMELHA M.D. e M.E</t>
        </is>
      </c>
      <c r="D1744" s="7" t="inlineStr">
        <is>
          <t>FABIO</t>
        </is>
      </c>
      <c r="E1744" s="7" t="inlineStr">
        <is>
          <t>Claudinei</t>
        </is>
      </c>
      <c r="F1744" s="13" t="inlineStr">
        <is>
          <t>Apoio casa (PVD 7)</t>
        </is>
      </c>
      <c r="G1744" s="7" t="inlineStr">
        <is>
          <t>7</t>
        </is>
      </c>
      <c r="H1744" s="7" t="n"/>
      <c r="I1744" s="7" t="inlineStr">
        <is>
          <t>7</t>
        </is>
      </c>
      <c r="J1744" s="7" t="n"/>
      <c r="K1744" s="7" t="inlineStr">
        <is>
          <t>Planejamento</t>
        </is>
      </c>
      <c r="L1744" s="16" t="inlineStr">
        <is>
          <t>PDS-Abril(2).docx</t>
        </is>
      </c>
      <c r="M1744">
        <f>IF($A1744="","",TEXT($A1744,"mmmm/yyyy"))</f>
        <v/>
      </c>
      <c r="P1744">
        <f>IFERROR(_xludf.XLOOKUP($N1744,Base_Enderecos!$A:$A,Base_Enderecos!$B:$B,""),"")</f>
        <v/>
      </c>
      <c r="Q1744">
        <f>IFERROR(_xludf.XLOOKUP($N1744,Base_Enderecos!$A:$A,Base_Enderecos!$C:$C,""),"")</f>
        <v/>
      </c>
      <c r="R1744">
        <f>IF(OR(ISNUMBER(SEARCH("HDD",$F1744)),ISNUMBER(SEARCH("MND",$F1744)),ISNUMBER(SEARCH("PEAD",$F1744)),ISNUMBER(SEARCH("Puxe",$J1744)),ISNUMBER(SEARCH("Apoio HDD",$F1744))),"MND",IF(OR(ISNUMBER(SEARCH("VCA",$F1744)),ISNUMBER(SEARCH("PVC",$F1744)),ISNUMBER(SEARCH("vca",$J1744)),ISNUMBER(SEARCH("Transformação",$J1744))),"VCA",IF(OR(ISNUMBER(SEARCH("crava",$F1744)),ISNUMBER(SEARCH("tubo cravado",$F1744)),ISNUMBER(SEARCH("shaft",$J1744)),ISNUMBER(SEARCH("concreto",$F1744))),"TUBO CRAVADO","")))</f>
        <v/>
      </c>
      <c r="T1744">
        <f>IF($A1744="","",TEXT($A1744,"yyyymm")&amp;"|"&amp;$C1744&amp;"|"&amp;$F1744&amp;"|"&amp;$N1744&amp;"|"&amp;$R1744)</f>
        <v/>
      </c>
    </row>
    <row r="1745" ht="11.55" customHeight="1">
      <c r="A1745" s="10" t="n">
        <v>46122</v>
      </c>
      <c r="B1745" s="7" t="inlineStr">
        <is>
          <t>Sexta</t>
        </is>
      </c>
      <c r="C1745" s="7" t="inlineStr">
        <is>
          <t>CT ÁGUA VERMELHA M.D. e M.E</t>
        </is>
      </c>
      <c r="D1745" s="7" t="inlineStr">
        <is>
          <t>FABIO</t>
        </is>
      </c>
      <c r="E1745" s="7" t="inlineStr">
        <is>
          <t>Higor</t>
        </is>
      </c>
      <c r="F1745" s="13" t="inlineStr">
        <is>
          <t>Shaft PVE 04</t>
        </is>
      </c>
      <c r="G1745" s="7" t="inlineStr">
        <is>
          <t>04</t>
        </is>
      </c>
      <c r="H1745" s="7" t="n"/>
      <c r="I1745" s="7" t="inlineStr">
        <is>
          <t>04</t>
        </is>
      </c>
      <c r="J1745" s="7" t="inlineStr">
        <is>
          <t>Shaft</t>
        </is>
      </c>
      <c r="K1745" s="7" t="inlineStr">
        <is>
          <t>Planejamento</t>
        </is>
      </c>
      <c r="L1745" s="16" t="inlineStr">
        <is>
          <t>PDS-Abril(2).docx</t>
        </is>
      </c>
      <c r="M1745">
        <f>IF($A1745="","",TEXT($A1745,"mmmm/yyyy"))</f>
        <v/>
      </c>
      <c r="P1745">
        <f>IFERROR(_xludf.XLOOKUP($N1745,Base_Enderecos!$A:$A,Base_Enderecos!$B:$B,""),"")</f>
        <v/>
      </c>
      <c r="Q1745">
        <f>IFERROR(_xludf.XLOOKUP($N1745,Base_Enderecos!$A:$A,Base_Enderecos!$C:$C,""),"")</f>
        <v/>
      </c>
      <c r="R1745">
        <f>IF(OR(ISNUMBER(SEARCH("HDD",$F1745)),ISNUMBER(SEARCH("MND",$F1745)),ISNUMBER(SEARCH("PEAD",$F1745)),ISNUMBER(SEARCH("Puxe",$J1745)),ISNUMBER(SEARCH("Apoio HDD",$F1745))),"MND",IF(OR(ISNUMBER(SEARCH("VCA",$F1745)),ISNUMBER(SEARCH("PVC",$F1745)),ISNUMBER(SEARCH("vca",$J1745)),ISNUMBER(SEARCH("Transformação",$J1745))),"VCA",IF(OR(ISNUMBER(SEARCH("crava",$F1745)),ISNUMBER(SEARCH("tubo cravado",$F1745)),ISNUMBER(SEARCH("shaft",$J1745)),ISNUMBER(SEARCH("concreto",$F1745))),"TUBO CRAVADO","")))</f>
        <v/>
      </c>
      <c r="T1745">
        <f>IF($A1745="","",TEXT($A1745,"yyyymm")&amp;"|"&amp;$C1745&amp;"|"&amp;$F1745&amp;"|"&amp;$N1745&amp;"|"&amp;$R1745)</f>
        <v/>
      </c>
    </row>
    <row r="1746" ht="11.55" customHeight="1">
      <c r="A1746" s="10" t="n">
        <v>46122</v>
      </c>
      <c r="B1746" s="7" t="inlineStr">
        <is>
          <t>Sexta</t>
        </is>
      </c>
      <c r="C1746" s="7" t="inlineStr">
        <is>
          <t>CT ÁGUA VERMELHA M.D. e M.E</t>
        </is>
      </c>
      <c r="D1746" s="7" t="inlineStr">
        <is>
          <t>FABIO</t>
        </is>
      </c>
      <c r="E1746" s="7" t="inlineStr">
        <is>
          <t>Cidão</t>
        </is>
      </c>
      <c r="F1746" s="13" t="inlineStr">
        <is>
          <t>Adequação PVE 25</t>
        </is>
      </c>
      <c r="G1746" s="7" t="inlineStr">
        <is>
          <t>25</t>
        </is>
      </c>
      <c r="H1746" s="7" t="n"/>
      <c r="I1746" s="7" t="inlineStr">
        <is>
          <t>25</t>
        </is>
      </c>
      <c r="J1746" s="7" t="inlineStr">
        <is>
          <t>Adequação</t>
        </is>
      </c>
      <c r="K1746" s="7" t="inlineStr">
        <is>
          <t>Planejamento</t>
        </is>
      </c>
      <c r="L1746" s="16" t="inlineStr">
        <is>
          <t>PDS-Abril(2).docx</t>
        </is>
      </c>
      <c r="M1746">
        <f>IF($A1746="","",TEXT($A1746,"mmmm/yyyy"))</f>
        <v/>
      </c>
      <c r="P1746">
        <f>IFERROR(_xludf.XLOOKUP($N1746,Base_Enderecos!$A:$A,Base_Enderecos!$B:$B,""),"")</f>
        <v/>
      </c>
      <c r="Q1746">
        <f>IFERROR(_xludf.XLOOKUP($N1746,Base_Enderecos!$A:$A,Base_Enderecos!$C:$C,""),"")</f>
        <v/>
      </c>
      <c r="R1746">
        <f>IF(OR(ISNUMBER(SEARCH("HDD",$F1746)),ISNUMBER(SEARCH("MND",$F1746)),ISNUMBER(SEARCH("PEAD",$F1746)),ISNUMBER(SEARCH("Puxe",$J1746)),ISNUMBER(SEARCH("Apoio HDD",$F1746))),"MND",IF(OR(ISNUMBER(SEARCH("VCA",$F1746)),ISNUMBER(SEARCH("PVC",$F1746)),ISNUMBER(SEARCH("vca",$J1746)),ISNUMBER(SEARCH("Transformação",$J1746))),"VCA",IF(OR(ISNUMBER(SEARCH("crava",$F1746)),ISNUMBER(SEARCH("tubo cravado",$F1746)),ISNUMBER(SEARCH("shaft",$J1746)),ISNUMBER(SEARCH("concreto",$F1746))),"TUBO CRAVADO","")))</f>
        <v/>
      </c>
      <c r="T1746">
        <f>IF($A1746="","",TEXT($A1746,"yyyymm")&amp;"|"&amp;$C1746&amp;"|"&amp;$F1746&amp;"|"&amp;$N1746&amp;"|"&amp;$R1746)</f>
        <v/>
      </c>
    </row>
    <row r="1747" ht="11.55" customHeight="1">
      <c r="A1747" s="10" t="n">
        <v>46122</v>
      </c>
      <c r="B1747" s="7" t="inlineStr">
        <is>
          <t>Sexta</t>
        </is>
      </c>
      <c r="C1747" s="7" t="inlineStr">
        <is>
          <t>CT ÁGUA VERMELHA M.D. e M.E</t>
        </is>
      </c>
      <c r="D1747" s="7" t="inlineStr">
        <is>
          <t>FABIO</t>
        </is>
      </c>
      <c r="E1747" s="7" t="inlineStr">
        <is>
          <t>Marcelo</t>
        </is>
      </c>
      <c r="F1747" s="13" t="inlineStr">
        <is>
          <t>Shaft PV 19</t>
        </is>
      </c>
      <c r="G1747" s="7" t="inlineStr">
        <is>
          <t>19</t>
        </is>
      </c>
      <c r="H1747" s="7" t="n"/>
      <c r="I1747" s="7" t="inlineStr">
        <is>
          <t>19</t>
        </is>
      </c>
      <c r="J1747" s="7" t="inlineStr">
        <is>
          <t>Shaft</t>
        </is>
      </c>
      <c r="K1747" s="7" t="inlineStr">
        <is>
          <t>Planejamento</t>
        </is>
      </c>
      <c r="L1747" s="16" t="inlineStr">
        <is>
          <t>PDS-Abril(2).docx</t>
        </is>
      </c>
      <c r="M1747">
        <f>IF($A1747="","",TEXT($A1747,"mmmm/yyyy"))</f>
        <v/>
      </c>
      <c r="P1747">
        <f>IFERROR(_xludf.XLOOKUP($N1747,Base_Enderecos!$A:$A,Base_Enderecos!$B:$B,""),"")</f>
        <v/>
      </c>
      <c r="Q1747">
        <f>IFERROR(_xludf.XLOOKUP($N1747,Base_Enderecos!$A:$A,Base_Enderecos!$C:$C,""),"")</f>
        <v/>
      </c>
      <c r="R1747">
        <f>IF(OR(ISNUMBER(SEARCH("HDD",$F1747)),ISNUMBER(SEARCH("MND",$F1747)),ISNUMBER(SEARCH("PEAD",$F1747)),ISNUMBER(SEARCH("Puxe",$J1747)),ISNUMBER(SEARCH("Apoio HDD",$F1747))),"MND",IF(OR(ISNUMBER(SEARCH("VCA",$F1747)),ISNUMBER(SEARCH("PVC",$F1747)),ISNUMBER(SEARCH("vca",$J1747)),ISNUMBER(SEARCH("Transformação",$J1747))),"VCA",IF(OR(ISNUMBER(SEARCH("crava",$F1747)),ISNUMBER(SEARCH("tubo cravado",$F1747)),ISNUMBER(SEARCH("shaft",$J1747)),ISNUMBER(SEARCH("concreto",$F1747))),"TUBO CRAVADO","")))</f>
        <v/>
      </c>
      <c r="T1747">
        <f>IF($A1747="","",TEXT($A1747,"yyyymm")&amp;"|"&amp;$C1747&amp;"|"&amp;$F1747&amp;"|"&amp;$N1747&amp;"|"&amp;$R1747)</f>
        <v/>
      </c>
    </row>
    <row r="1748" ht="11.55" customHeight="1">
      <c r="A1748" s="10" t="n">
        <v>46122</v>
      </c>
      <c r="B1748" s="7" t="inlineStr">
        <is>
          <t>Sexta</t>
        </is>
      </c>
      <c r="C1748" s="7" t="inlineStr">
        <is>
          <t>CT ÁGUA VERMELHA M.D. e M.E</t>
        </is>
      </c>
      <c r="D1748" s="7" t="inlineStr">
        <is>
          <t>FABIO</t>
        </is>
      </c>
      <c r="E1748" s="7" t="inlineStr">
        <is>
          <t>Edivando</t>
        </is>
      </c>
      <c r="F1748" s="13" t="inlineStr">
        <is>
          <t>Shaft PVE 22</t>
        </is>
      </c>
      <c r="G1748" s="7" t="inlineStr">
        <is>
          <t>22</t>
        </is>
      </c>
      <c r="H1748" s="7" t="n"/>
      <c r="I1748" s="7" t="inlineStr">
        <is>
          <t>22</t>
        </is>
      </c>
      <c r="J1748" s="7" t="inlineStr">
        <is>
          <t>Shaft</t>
        </is>
      </c>
      <c r="K1748" s="7" t="inlineStr">
        <is>
          <t>Planejamento</t>
        </is>
      </c>
      <c r="L1748" s="16" t="inlineStr">
        <is>
          <t>PDS-Abril(2).docx</t>
        </is>
      </c>
      <c r="M1748">
        <f>IF($A1748="","",TEXT($A1748,"mmmm/yyyy"))</f>
        <v/>
      </c>
      <c r="P1748">
        <f>IFERROR(_xludf.XLOOKUP($N1748,Base_Enderecos!$A:$A,Base_Enderecos!$B:$B,""),"")</f>
        <v/>
      </c>
      <c r="Q1748">
        <f>IFERROR(_xludf.XLOOKUP($N1748,Base_Enderecos!$A:$A,Base_Enderecos!$C:$C,""),"")</f>
        <v/>
      </c>
      <c r="R1748">
        <f>IF(OR(ISNUMBER(SEARCH("HDD",$F1748)),ISNUMBER(SEARCH("MND",$F1748)),ISNUMBER(SEARCH("PEAD",$F1748)),ISNUMBER(SEARCH("Puxe",$J1748)),ISNUMBER(SEARCH("Apoio HDD",$F1748))),"MND",IF(OR(ISNUMBER(SEARCH("VCA",$F1748)),ISNUMBER(SEARCH("PVC",$F1748)),ISNUMBER(SEARCH("vca",$J1748)),ISNUMBER(SEARCH("Transformação",$J1748))),"VCA",IF(OR(ISNUMBER(SEARCH("crava",$F1748)),ISNUMBER(SEARCH("tubo cravado",$F1748)),ISNUMBER(SEARCH("shaft",$J1748)),ISNUMBER(SEARCH("concreto",$F1748))),"TUBO CRAVADO","")))</f>
        <v/>
      </c>
      <c r="T1748">
        <f>IF($A1748="","",TEXT($A1748,"yyyymm")&amp;"|"&amp;$C1748&amp;"|"&amp;$F1748&amp;"|"&amp;$N1748&amp;"|"&amp;$R1748)</f>
        <v/>
      </c>
    </row>
    <row r="1749" ht="11.55" customHeight="1">
      <c r="A1749" s="10" t="n">
        <v>46122</v>
      </c>
      <c r="B1749" s="7" t="inlineStr">
        <is>
          <t>Sexta</t>
        </is>
      </c>
      <c r="C1749" s="7" t="inlineStr">
        <is>
          <t>CT LOURDES</t>
        </is>
      </c>
      <c r="D1749" s="7" t="inlineStr">
        <is>
          <t>VALMIR</t>
        </is>
      </c>
      <c r="E1749" s="7" t="inlineStr">
        <is>
          <t>Antônio</t>
        </is>
      </c>
      <c r="F1749" s="13" t="inlineStr">
        <is>
          <t>Adequação PV 22</t>
        </is>
      </c>
      <c r="G1749" s="7" t="inlineStr">
        <is>
          <t>22</t>
        </is>
      </c>
      <c r="H1749" s="7" t="n"/>
      <c r="I1749" s="7" t="inlineStr">
        <is>
          <t>22</t>
        </is>
      </c>
      <c r="J1749" s="7" t="inlineStr">
        <is>
          <t>Adequação</t>
        </is>
      </c>
      <c r="K1749" s="7" t="inlineStr">
        <is>
          <t>Planejamento</t>
        </is>
      </c>
      <c r="L1749" s="16" t="inlineStr">
        <is>
          <t>PDS-Abril(2).docx</t>
        </is>
      </c>
      <c r="M1749">
        <f>IF($A1749="","",TEXT($A1749,"mmmm/yyyy"))</f>
        <v/>
      </c>
      <c r="P1749">
        <f>IFERROR(_xludf.XLOOKUP($N1749,Base_Enderecos!$A:$A,Base_Enderecos!$B:$B,""),"")</f>
        <v/>
      </c>
      <c r="Q1749">
        <f>IFERROR(_xludf.XLOOKUP($N1749,Base_Enderecos!$A:$A,Base_Enderecos!$C:$C,""),"")</f>
        <v/>
      </c>
      <c r="R1749">
        <f>IF(OR(ISNUMBER(SEARCH("HDD",$F1749)),ISNUMBER(SEARCH("MND",$F1749)),ISNUMBER(SEARCH("PEAD",$F1749)),ISNUMBER(SEARCH("Puxe",$J1749)),ISNUMBER(SEARCH("Apoio HDD",$F1749))),"MND",IF(OR(ISNUMBER(SEARCH("VCA",$F1749)),ISNUMBER(SEARCH("PVC",$F1749)),ISNUMBER(SEARCH("vca",$J1749)),ISNUMBER(SEARCH("Transformação",$J1749))),"VCA",IF(OR(ISNUMBER(SEARCH("crava",$F1749)),ISNUMBER(SEARCH("tubo cravado",$F1749)),ISNUMBER(SEARCH("shaft",$J1749)),ISNUMBER(SEARCH("concreto",$F1749))),"TUBO CRAVADO","")))</f>
        <v/>
      </c>
      <c r="T1749">
        <f>IF($A1749="","",TEXT($A1749,"yyyymm")&amp;"|"&amp;$C1749&amp;"|"&amp;$F1749&amp;"|"&amp;$N1749&amp;"|"&amp;$R1749)</f>
        <v/>
      </c>
    </row>
    <row r="1750" ht="11.55" customHeight="1">
      <c r="A1750" s="10" t="n">
        <v>46122</v>
      </c>
      <c r="B1750" s="7" t="inlineStr">
        <is>
          <t>Sexta</t>
        </is>
      </c>
      <c r="C1750" s="7" t="inlineStr">
        <is>
          <t>RCE FCO. SOUTO MAIOR</t>
        </is>
      </c>
      <c r="D1750" s="7" t="inlineStr">
        <is>
          <t>SILVESTRE</t>
        </is>
      </c>
      <c r="E1750" s="7" t="inlineStr">
        <is>
          <t>Valter</t>
        </is>
      </c>
      <c r="F1750" s="13" t="inlineStr">
        <is>
          <t>Ligações – Rua Canto da Serra</t>
        </is>
      </c>
      <c r="G1750" s="7" t="n"/>
      <c r="H1750" s="7" t="n"/>
      <c r="I1750" s="7" t="n"/>
      <c r="J1750" s="7" t="inlineStr">
        <is>
          <t>Ligações</t>
        </is>
      </c>
      <c r="K1750" s="7" t="inlineStr">
        <is>
          <t>Planejamento</t>
        </is>
      </c>
      <c r="L1750" s="16" t="inlineStr">
        <is>
          <t>PDS-Abril(2).docx</t>
        </is>
      </c>
      <c r="M1750">
        <f>IF($A1750="","",TEXT($A1750,"mmmm/yyyy"))</f>
        <v/>
      </c>
      <c r="P1750">
        <f>IFERROR(_xludf.XLOOKUP($N1750,Base_Enderecos!$A:$A,Base_Enderecos!$B:$B,""),"")</f>
        <v/>
      </c>
      <c r="Q1750">
        <f>IFERROR(_xludf.XLOOKUP($N1750,Base_Enderecos!$A:$A,Base_Enderecos!$C:$C,""),"")</f>
        <v/>
      </c>
      <c r="R1750">
        <f>IF(OR(ISNUMBER(SEARCH("HDD",$F1750)),ISNUMBER(SEARCH("MND",$F1750)),ISNUMBER(SEARCH("PEAD",$F1750)),ISNUMBER(SEARCH("Puxe",$J1750)),ISNUMBER(SEARCH("Apoio HDD",$F1750))),"MND",IF(OR(ISNUMBER(SEARCH("VCA",$F1750)),ISNUMBER(SEARCH("PVC",$F1750)),ISNUMBER(SEARCH("vca",$J1750)),ISNUMBER(SEARCH("Transformação",$J1750))),"VCA",IF(OR(ISNUMBER(SEARCH("crava",$F1750)),ISNUMBER(SEARCH("tubo cravado",$F1750)),ISNUMBER(SEARCH("shaft",$J1750)),ISNUMBER(SEARCH("concreto",$F1750))),"TUBO CRAVADO","")))</f>
        <v/>
      </c>
      <c r="T1750">
        <f>IF($A1750="","",TEXT($A1750,"yyyymm")&amp;"|"&amp;$C1750&amp;"|"&amp;$F1750&amp;"|"&amp;$N1750&amp;"|"&amp;$R1750)</f>
        <v/>
      </c>
    </row>
    <row r="1751" ht="11.55" customHeight="1">
      <c r="A1751" s="10" t="n">
        <v>46122</v>
      </c>
      <c r="B1751" s="7" t="inlineStr">
        <is>
          <t>Sexta</t>
        </is>
      </c>
      <c r="C1751" s="7" t="inlineStr">
        <is>
          <t>CTS LUIS BOTELHO MOURÃO</t>
        </is>
      </c>
      <c r="D1751" s="7" t="inlineStr">
        <is>
          <t>ROBSON</t>
        </is>
      </c>
      <c r="E1751" s="7" t="inlineStr">
        <is>
          <t>Goiania Drill</t>
        </is>
      </c>
      <c r="F1751" s="13" t="inlineStr">
        <is>
          <t>Piloto e puxe PV 06 ao PV 05</t>
        </is>
      </c>
      <c r="G1751" s="7" t="inlineStr">
        <is>
          <t>06</t>
        </is>
      </c>
      <c r="H1751" s="7" t="inlineStr">
        <is>
          <t>05</t>
        </is>
      </c>
      <c r="I1751" s="7" t="inlineStr">
        <is>
          <t>06, 05</t>
        </is>
      </c>
      <c r="J1751" s="7" t="inlineStr">
        <is>
          <t>Piloto e puxe</t>
        </is>
      </c>
      <c r="K1751" s="7" t="inlineStr">
        <is>
          <t>Planejamento</t>
        </is>
      </c>
      <c r="L1751" s="16" t="inlineStr">
        <is>
          <t>PDS-Abril(2).docx</t>
        </is>
      </c>
      <c r="M1751">
        <f>IF($A1751="","",TEXT($A1751,"mmmm/yyyy"))</f>
        <v/>
      </c>
      <c r="P1751">
        <f>IFERROR(_xludf.XLOOKUP($N1751,Base_Enderecos!$A:$A,Base_Enderecos!$B:$B,""),"")</f>
        <v/>
      </c>
      <c r="Q1751">
        <f>IFERROR(_xludf.XLOOKUP($N1751,Base_Enderecos!$A:$A,Base_Enderecos!$C:$C,""),"")</f>
        <v/>
      </c>
      <c r="R1751">
        <f>IF(OR(ISNUMBER(SEARCH("HDD",$F1751)),ISNUMBER(SEARCH("MND",$F1751)),ISNUMBER(SEARCH("PEAD",$F1751)),ISNUMBER(SEARCH("Puxe",$J1751)),ISNUMBER(SEARCH("Apoio HDD",$F1751))),"MND",IF(OR(ISNUMBER(SEARCH("VCA",$F1751)),ISNUMBER(SEARCH("PVC",$F1751)),ISNUMBER(SEARCH("vca",$J1751)),ISNUMBER(SEARCH("Transformação",$J1751))),"VCA",IF(OR(ISNUMBER(SEARCH("crava",$F1751)),ISNUMBER(SEARCH("tubo cravado",$F1751)),ISNUMBER(SEARCH("shaft",$J1751)),ISNUMBER(SEARCH("concreto",$F1751))),"TUBO CRAVADO","")))</f>
        <v/>
      </c>
      <c r="T1751">
        <f>IF($A1751="","",TEXT($A1751,"yyyymm")&amp;"|"&amp;$C1751&amp;"|"&amp;$F1751&amp;"|"&amp;$N1751&amp;"|"&amp;$R1751)</f>
        <v/>
      </c>
    </row>
    <row r="1752" ht="11.55" customHeight="1">
      <c r="A1752" s="10" t="n">
        <v>46122</v>
      </c>
      <c r="B1752" s="7" t="inlineStr">
        <is>
          <t>Sexta</t>
        </is>
      </c>
      <c r="C1752" s="7" t="inlineStr">
        <is>
          <t>CTS LUIS BOTELHO MOURÃO</t>
        </is>
      </c>
      <c r="D1752" s="7" t="inlineStr">
        <is>
          <t>ROBSON</t>
        </is>
      </c>
      <c r="E1752" s="7" t="inlineStr">
        <is>
          <t>Bruno</t>
        </is>
      </c>
      <c r="F1752" s="13" t="inlineStr">
        <is>
          <t>Apoio HDD PV 06 ao PV 05</t>
        </is>
      </c>
      <c r="G1752" s="7" t="inlineStr">
        <is>
          <t>06</t>
        </is>
      </c>
      <c r="H1752" s="7" t="inlineStr">
        <is>
          <t>05</t>
        </is>
      </c>
      <c r="I1752" s="7" t="inlineStr">
        <is>
          <t>06, 05</t>
        </is>
      </c>
      <c r="J1752" s="7" t="inlineStr">
        <is>
          <t>Apoio HDD</t>
        </is>
      </c>
      <c r="K1752" s="7" t="inlineStr">
        <is>
          <t>Planejamento</t>
        </is>
      </c>
      <c r="L1752" s="16" t="inlineStr">
        <is>
          <t>PDS-Abril(2).docx</t>
        </is>
      </c>
      <c r="M1752">
        <f>IF($A1752="","",TEXT($A1752,"mmmm/yyyy"))</f>
        <v/>
      </c>
      <c r="P1752">
        <f>IFERROR(_xludf.XLOOKUP($N1752,Base_Enderecos!$A:$A,Base_Enderecos!$B:$B,""),"")</f>
        <v/>
      </c>
      <c r="Q1752">
        <f>IFERROR(_xludf.XLOOKUP($N1752,Base_Enderecos!$A:$A,Base_Enderecos!$C:$C,""),"")</f>
        <v/>
      </c>
      <c r="R1752">
        <f>IF(OR(ISNUMBER(SEARCH("HDD",$F1752)),ISNUMBER(SEARCH("MND",$F1752)),ISNUMBER(SEARCH("PEAD",$F1752)),ISNUMBER(SEARCH("Puxe",$J1752)),ISNUMBER(SEARCH("Apoio HDD",$F1752))),"MND",IF(OR(ISNUMBER(SEARCH("VCA",$F1752)),ISNUMBER(SEARCH("PVC",$F1752)),ISNUMBER(SEARCH("vca",$J1752)),ISNUMBER(SEARCH("Transformação",$J1752))),"VCA",IF(OR(ISNUMBER(SEARCH("crava",$F1752)),ISNUMBER(SEARCH("tubo cravado",$F1752)),ISNUMBER(SEARCH("shaft",$J1752)),ISNUMBER(SEARCH("concreto",$F1752))),"TUBO CRAVADO","")))</f>
        <v/>
      </c>
      <c r="T1752">
        <f>IF($A1752="","",TEXT($A1752,"yyyymm")&amp;"|"&amp;$C1752&amp;"|"&amp;$F1752&amp;"|"&amp;$N1752&amp;"|"&amp;$R1752)</f>
        <v/>
      </c>
    </row>
    <row r="1753" ht="11.55" customHeight="1">
      <c r="A1753" s="10" t="n">
        <v>46122</v>
      </c>
      <c r="B1753" s="7" t="inlineStr">
        <is>
          <t>Sexta</t>
        </is>
      </c>
      <c r="C1753" s="7" t="inlineStr">
        <is>
          <t>CTS LUIS BOTELHO MOURÃO</t>
        </is>
      </c>
      <c r="D1753" s="7" t="inlineStr">
        <is>
          <t>ROBSON</t>
        </is>
      </c>
      <c r="E1753" s="7" t="inlineStr">
        <is>
          <t>Marcio</t>
        </is>
      </c>
      <c r="F1753" s="13" t="inlineStr">
        <is>
          <t>Transformação + Interlig. PV 02</t>
        </is>
      </c>
      <c r="G1753" s="7" t="inlineStr">
        <is>
          <t>02</t>
        </is>
      </c>
      <c r="H1753" s="7" t="n"/>
      <c r="I1753" s="7" t="inlineStr">
        <is>
          <t>02</t>
        </is>
      </c>
      <c r="J1753" s="7" t="inlineStr">
        <is>
          <t>Transformação</t>
        </is>
      </c>
      <c r="K1753" s="7" t="inlineStr">
        <is>
          <t>Planejamento</t>
        </is>
      </c>
      <c r="L1753" s="16" t="inlineStr">
        <is>
          <t>PDS-Abril(2).docx</t>
        </is>
      </c>
      <c r="M1753">
        <f>IF($A1753="","",TEXT($A1753,"mmmm/yyyy"))</f>
        <v/>
      </c>
      <c r="P1753">
        <f>IFERROR(_xludf.XLOOKUP($N1753,Base_Enderecos!$A:$A,Base_Enderecos!$B:$B,""),"")</f>
        <v/>
      </c>
      <c r="Q1753">
        <f>IFERROR(_xludf.XLOOKUP($N1753,Base_Enderecos!$A:$A,Base_Enderecos!$C:$C,""),"")</f>
        <v/>
      </c>
      <c r="R1753">
        <f>IF(OR(ISNUMBER(SEARCH("HDD",$F1753)),ISNUMBER(SEARCH("MND",$F1753)),ISNUMBER(SEARCH("PEAD",$F1753)),ISNUMBER(SEARCH("Puxe",$J1753)),ISNUMBER(SEARCH("Apoio HDD",$F1753))),"MND",IF(OR(ISNUMBER(SEARCH("VCA",$F1753)),ISNUMBER(SEARCH("PVC",$F1753)),ISNUMBER(SEARCH("vca",$J1753)),ISNUMBER(SEARCH("Transformação",$J1753))),"VCA",IF(OR(ISNUMBER(SEARCH("crava",$F1753)),ISNUMBER(SEARCH("tubo cravado",$F1753)),ISNUMBER(SEARCH("shaft",$J1753)),ISNUMBER(SEARCH("concreto",$F1753))),"TUBO CRAVADO","")))</f>
        <v/>
      </c>
      <c r="T1753">
        <f>IF($A1753="","",TEXT($A1753,"yyyymm")&amp;"|"&amp;$C1753&amp;"|"&amp;$F1753&amp;"|"&amp;$N1753&amp;"|"&amp;$R1753)</f>
        <v/>
      </c>
    </row>
    <row r="1754" ht="11.55" customHeight="1">
      <c r="A1754" s="10" t="n">
        <v>46122</v>
      </c>
      <c r="B1754" s="7" t="inlineStr">
        <is>
          <t>Sexta</t>
        </is>
      </c>
      <c r="C1754" s="7" t="inlineStr">
        <is>
          <t>CTS LUIS BOTELHO MOURÃO</t>
        </is>
      </c>
      <c r="D1754" s="7" t="inlineStr">
        <is>
          <t>ROBSON</t>
        </is>
      </c>
      <c r="E1754" s="7" t="inlineStr">
        <is>
          <t>Jhonatan</t>
        </is>
      </c>
      <c r="F1754" s="13" t="inlineStr">
        <is>
          <t>Transformação PV 03</t>
        </is>
      </c>
      <c r="G1754" s="7" t="inlineStr">
        <is>
          <t>03</t>
        </is>
      </c>
      <c r="H1754" s="7" t="n"/>
      <c r="I1754" s="7" t="inlineStr">
        <is>
          <t>03</t>
        </is>
      </c>
      <c r="J1754" s="7" t="inlineStr">
        <is>
          <t>Transformação</t>
        </is>
      </c>
      <c r="K1754" s="7" t="inlineStr">
        <is>
          <t>Planejamento</t>
        </is>
      </c>
      <c r="L1754" s="16" t="inlineStr">
        <is>
          <t>PDS-Abril(2).docx</t>
        </is>
      </c>
      <c r="M1754">
        <f>IF($A1754="","",TEXT($A1754,"mmmm/yyyy"))</f>
        <v/>
      </c>
      <c r="P1754">
        <f>IFERROR(_xludf.XLOOKUP($N1754,Base_Enderecos!$A:$A,Base_Enderecos!$B:$B,""),"")</f>
        <v/>
      </c>
      <c r="Q1754">
        <f>IFERROR(_xludf.XLOOKUP($N1754,Base_Enderecos!$A:$A,Base_Enderecos!$C:$C,""),"")</f>
        <v/>
      </c>
      <c r="R1754">
        <f>IF(OR(ISNUMBER(SEARCH("HDD",$F1754)),ISNUMBER(SEARCH("MND",$F1754)),ISNUMBER(SEARCH("PEAD",$F1754)),ISNUMBER(SEARCH("Puxe",$J1754)),ISNUMBER(SEARCH("Apoio HDD",$F1754))),"MND",IF(OR(ISNUMBER(SEARCH("VCA",$F1754)),ISNUMBER(SEARCH("PVC",$F1754)),ISNUMBER(SEARCH("vca",$J1754)),ISNUMBER(SEARCH("Transformação",$J1754))),"VCA",IF(OR(ISNUMBER(SEARCH("crava",$F1754)),ISNUMBER(SEARCH("tubo cravado",$F1754)),ISNUMBER(SEARCH("shaft",$J1754)),ISNUMBER(SEARCH("concreto",$F1754))),"TUBO CRAVADO","")))</f>
        <v/>
      </c>
      <c r="T1754">
        <f>IF($A1754="","",TEXT($A1754,"yyyymm")&amp;"|"&amp;$C1754&amp;"|"&amp;$F1754&amp;"|"&amp;$N1754&amp;"|"&amp;$R1754)</f>
        <v/>
      </c>
    </row>
    <row r="1755" ht="11.55" customHeight="1">
      <c r="A1755" s="10" t="n">
        <v>46122</v>
      </c>
      <c r="B1755" s="7" t="inlineStr">
        <is>
          <t>Sexta</t>
        </is>
      </c>
      <c r="C1755" s="7" t="inlineStr">
        <is>
          <t>CTS LUIS BOTELHO MOURÃO</t>
        </is>
      </c>
      <c r="D1755" s="7" t="inlineStr">
        <is>
          <t>ROBSON</t>
        </is>
      </c>
      <c r="E1755" s="7" t="inlineStr">
        <is>
          <t>Ricardo</t>
        </is>
      </c>
      <c r="F1755" s="13" t="inlineStr">
        <is>
          <t>Shaft PV 06</t>
        </is>
      </c>
      <c r="G1755" s="7" t="inlineStr">
        <is>
          <t>06</t>
        </is>
      </c>
      <c r="H1755" s="7" t="n"/>
      <c r="I1755" s="7" t="inlineStr">
        <is>
          <t>06</t>
        </is>
      </c>
      <c r="J1755" s="7" t="inlineStr">
        <is>
          <t>Shaft</t>
        </is>
      </c>
      <c r="K1755" s="7" t="inlineStr">
        <is>
          <t>Planejamento</t>
        </is>
      </c>
      <c r="L1755" s="16" t="inlineStr">
        <is>
          <t>PDS-Abril(2).docx</t>
        </is>
      </c>
      <c r="M1755">
        <f>IF($A1755="","",TEXT($A1755,"mmmm/yyyy"))</f>
        <v/>
      </c>
      <c r="P1755">
        <f>IFERROR(_xludf.XLOOKUP($N1755,Base_Enderecos!$A:$A,Base_Enderecos!$B:$B,""),"")</f>
        <v/>
      </c>
      <c r="Q1755">
        <f>IFERROR(_xludf.XLOOKUP($N1755,Base_Enderecos!$A:$A,Base_Enderecos!$C:$C,""),"")</f>
        <v/>
      </c>
      <c r="R1755">
        <f>IF(OR(ISNUMBER(SEARCH("HDD",$F1755)),ISNUMBER(SEARCH("MND",$F1755)),ISNUMBER(SEARCH("PEAD",$F1755)),ISNUMBER(SEARCH("Puxe",$J1755)),ISNUMBER(SEARCH("Apoio HDD",$F1755))),"MND",IF(OR(ISNUMBER(SEARCH("VCA",$F1755)),ISNUMBER(SEARCH("PVC",$F1755)),ISNUMBER(SEARCH("vca",$J1755)),ISNUMBER(SEARCH("Transformação",$J1755))),"VCA",IF(OR(ISNUMBER(SEARCH("crava",$F1755)),ISNUMBER(SEARCH("tubo cravado",$F1755)),ISNUMBER(SEARCH("shaft",$J1755)),ISNUMBER(SEARCH("concreto",$F1755))),"TUBO CRAVADO","")))</f>
        <v/>
      </c>
      <c r="T1755">
        <f>IF($A1755="","",TEXT($A1755,"yyyymm")&amp;"|"&amp;$C1755&amp;"|"&amp;$F1755&amp;"|"&amp;$N1755&amp;"|"&amp;$R1755)</f>
        <v/>
      </c>
    </row>
    <row r="1756" ht="11.55" customHeight="1">
      <c r="A1756" s="10" t="n">
        <v>46122</v>
      </c>
      <c r="B1756" s="7" t="inlineStr">
        <is>
          <t>Sexta</t>
        </is>
      </c>
      <c r="C1756" s="7" t="inlineStr">
        <is>
          <t>Vacal</t>
        </is>
      </c>
      <c r="D1756" s="7" t="n"/>
      <c r="E1756" s="7" t="inlineStr">
        <is>
          <t>Botelho Mourão – Renasce</t>
        </is>
      </c>
      <c r="F1756" s="13" t="inlineStr">
        <is>
          <t>Apoio Vacal</t>
        </is>
      </c>
      <c r="G1756" s="7" t="n"/>
      <c r="H1756" s="7" t="n"/>
      <c r="I1756" s="7" t="n"/>
      <c r="J1756" s="7" t="inlineStr">
        <is>
          <t>Vacal</t>
        </is>
      </c>
      <c r="K1756" s="7" t="inlineStr">
        <is>
          <t>Apoio</t>
        </is>
      </c>
      <c r="L1756" s="16" t="inlineStr">
        <is>
          <t>PDS-Abril(2).docx</t>
        </is>
      </c>
      <c r="M1756">
        <f>IF($A1756="","",TEXT($A1756,"mmmm/yyyy"))</f>
        <v/>
      </c>
      <c r="P1756">
        <f>IFERROR(_xludf.XLOOKUP($N1756,Base_Enderecos!$A:$A,Base_Enderecos!$B:$B,""),"")</f>
        <v/>
      </c>
      <c r="Q1756">
        <f>IFERROR(_xludf.XLOOKUP($N1756,Base_Enderecos!$A:$A,Base_Enderecos!$C:$C,""),"")</f>
        <v/>
      </c>
      <c r="R1756">
        <f>IF(OR(ISNUMBER(SEARCH("HDD",$F1756)),ISNUMBER(SEARCH("MND",$F1756)),ISNUMBER(SEARCH("PEAD",$F1756)),ISNUMBER(SEARCH("Puxe",$J1756)),ISNUMBER(SEARCH("Apoio HDD",$F1756))),"MND",IF(OR(ISNUMBER(SEARCH("VCA",$F1756)),ISNUMBER(SEARCH("PVC",$F1756)),ISNUMBER(SEARCH("vca",$J1756)),ISNUMBER(SEARCH("Transformação",$J1756))),"VCA",IF(OR(ISNUMBER(SEARCH("crava",$F1756)),ISNUMBER(SEARCH("tubo cravado",$F1756)),ISNUMBER(SEARCH("shaft",$J1756)),ISNUMBER(SEARCH("concreto",$F1756))),"TUBO CRAVADO","")))</f>
        <v/>
      </c>
      <c r="T1756">
        <f>IF($A1756="","",TEXT($A1756,"yyyymm")&amp;"|"&amp;$C1756&amp;"|"&amp;$F1756&amp;"|"&amp;$N1756&amp;"|"&amp;$R1756)</f>
        <v/>
      </c>
    </row>
    <row r="1757" ht="11.55" customHeight="1">
      <c r="A1757" s="10" t="n">
        <v>46122</v>
      </c>
      <c r="B1757" s="7" t="inlineStr">
        <is>
          <t>Sexta</t>
        </is>
      </c>
      <c r="C1757" s="7" t="inlineStr">
        <is>
          <t>Vacal</t>
        </is>
      </c>
      <c r="D1757" s="7" t="n"/>
      <c r="E1757" s="7" t="inlineStr">
        <is>
          <t>Botelho Mourão –BRD</t>
        </is>
      </c>
      <c r="F1757" s="13" t="inlineStr">
        <is>
          <t>Apoio Vacal</t>
        </is>
      </c>
      <c r="G1757" s="7" t="n"/>
      <c r="H1757" s="7" t="n"/>
      <c r="I1757" s="7" t="n"/>
      <c r="J1757" s="7" t="inlineStr">
        <is>
          <t>Vacal</t>
        </is>
      </c>
      <c r="K1757" s="7" t="inlineStr">
        <is>
          <t>Apoio</t>
        </is>
      </c>
      <c r="L1757" s="16" t="inlineStr">
        <is>
          <t>PDS-Abril(2).docx</t>
        </is>
      </c>
      <c r="M1757">
        <f>IF($A1757="","",TEXT($A1757,"mmmm/yyyy"))</f>
        <v/>
      </c>
      <c r="P1757">
        <f>IFERROR(_xludf.XLOOKUP($N1757,Base_Enderecos!$A:$A,Base_Enderecos!$B:$B,""),"")</f>
        <v/>
      </c>
      <c r="Q1757">
        <f>IFERROR(_xludf.XLOOKUP($N1757,Base_Enderecos!$A:$A,Base_Enderecos!$C:$C,""),"")</f>
        <v/>
      </c>
      <c r="R1757">
        <f>IF(OR(ISNUMBER(SEARCH("HDD",$F1757)),ISNUMBER(SEARCH("MND",$F1757)),ISNUMBER(SEARCH("PEAD",$F1757)),ISNUMBER(SEARCH("Puxe",$J1757)),ISNUMBER(SEARCH("Apoio HDD",$F1757))),"MND",IF(OR(ISNUMBER(SEARCH("VCA",$F1757)),ISNUMBER(SEARCH("PVC",$F1757)),ISNUMBER(SEARCH("vca",$J1757)),ISNUMBER(SEARCH("Transformação",$J1757))),"VCA",IF(OR(ISNUMBER(SEARCH("crava",$F1757)),ISNUMBER(SEARCH("tubo cravado",$F1757)),ISNUMBER(SEARCH("shaft",$J1757)),ISNUMBER(SEARCH("concreto",$F1757))),"TUBO CRAVADO","")))</f>
        <v/>
      </c>
      <c r="T1757">
        <f>IF($A1757="","",TEXT($A1757,"yyyymm")&amp;"|"&amp;$C1757&amp;"|"&amp;$F1757&amp;"|"&amp;$N1757&amp;"|"&amp;$R1757)</f>
        <v/>
      </c>
    </row>
    <row r="1758" ht="11.55" customHeight="1">
      <c r="A1758" s="10" t="n">
        <v>46122</v>
      </c>
      <c r="B1758" s="7" t="inlineStr">
        <is>
          <t>Sexta</t>
        </is>
      </c>
      <c r="C1758" s="7" t="inlineStr">
        <is>
          <t>Vacal</t>
        </is>
      </c>
      <c r="D1758" s="7" t="n"/>
      <c r="E1758" s="7" t="inlineStr">
        <is>
          <t>Conceição – Renasce</t>
        </is>
      </c>
      <c r="F1758" s="13" t="inlineStr">
        <is>
          <t>Apoio Vacal</t>
        </is>
      </c>
      <c r="G1758" s="7" t="n"/>
      <c r="H1758" s="7" t="n"/>
      <c r="I1758" s="7" t="n"/>
      <c r="J1758" s="7" t="inlineStr">
        <is>
          <t>Vacal</t>
        </is>
      </c>
      <c r="K1758" s="7" t="inlineStr">
        <is>
          <t>Apoio</t>
        </is>
      </c>
      <c r="L1758" s="16" t="inlineStr">
        <is>
          <t>PDS-Abril(2).docx</t>
        </is>
      </c>
      <c r="M1758">
        <f>IF($A1758="","",TEXT($A1758,"mmmm/yyyy"))</f>
        <v/>
      </c>
      <c r="P1758">
        <f>IFERROR(_xludf.XLOOKUP($N1758,Base_Enderecos!$A:$A,Base_Enderecos!$B:$B,""),"")</f>
        <v/>
      </c>
      <c r="Q1758">
        <f>IFERROR(_xludf.XLOOKUP($N1758,Base_Enderecos!$A:$A,Base_Enderecos!$C:$C,""),"")</f>
        <v/>
      </c>
      <c r="R1758">
        <f>IF(OR(ISNUMBER(SEARCH("HDD",$F1758)),ISNUMBER(SEARCH("MND",$F1758)),ISNUMBER(SEARCH("PEAD",$F1758)),ISNUMBER(SEARCH("Puxe",$J1758)),ISNUMBER(SEARCH("Apoio HDD",$F1758))),"MND",IF(OR(ISNUMBER(SEARCH("VCA",$F1758)),ISNUMBER(SEARCH("PVC",$F1758)),ISNUMBER(SEARCH("vca",$J1758)),ISNUMBER(SEARCH("Transformação",$J1758))),"VCA",IF(OR(ISNUMBER(SEARCH("crava",$F1758)),ISNUMBER(SEARCH("tubo cravado",$F1758)),ISNUMBER(SEARCH("shaft",$J1758)),ISNUMBER(SEARCH("concreto",$F1758))),"TUBO CRAVADO","")))</f>
        <v/>
      </c>
      <c r="T1758">
        <f>IF($A1758="","",TEXT($A1758,"yyyymm")&amp;"|"&amp;$C1758&amp;"|"&amp;$F1758&amp;"|"&amp;$N1758&amp;"|"&amp;$R1758)</f>
        <v/>
      </c>
    </row>
    <row r="1759" ht="11.55" customHeight="1">
      <c r="A1759" s="10" t="n">
        <v>46122</v>
      </c>
      <c r="B1759" s="7" t="inlineStr">
        <is>
          <t>Sexta</t>
        </is>
      </c>
      <c r="C1759" s="7" t="inlineStr">
        <is>
          <t>Vacal</t>
        </is>
      </c>
      <c r="D1759" s="7" t="n"/>
      <c r="E1759" s="7" t="inlineStr">
        <is>
          <t>Conceição – Hidrosol</t>
        </is>
      </c>
      <c r="F1759" s="13" t="inlineStr">
        <is>
          <t>Apoio Vacal</t>
        </is>
      </c>
      <c r="G1759" s="7" t="n"/>
      <c r="H1759" s="7" t="n"/>
      <c r="I1759" s="7" t="n"/>
      <c r="J1759" s="7" t="inlineStr">
        <is>
          <t>Vacal</t>
        </is>
      </c>
      <c r="K1759" s="7" t="inlineStr">
        <is>
          <t>Apoio</t>
        </is>
      </c>
      <c r="L1759" s="16" t="inlineStr">
        <is>
          <t>PDS-Abril(2).docx</t>
        </is>
      </c>
      <c r="M1759">
        <f>IF($A1759="","",TEXT($A1759,"mmmm/yyyy"))</f>
        <v/>
      </c>
      <c r="P1759">
        <f>IFERROR(_xludf.XLOOKUP($N1759,Base_Enderecos!$A:$A,Base_Enderecos!$B:$B,""),"")</f>
        <v/>
      </c>
      <c r="Q1759">
        <f>IFERROR(_xludf.XLOOKUP($N1759,Base_Enderecos!$A:$A,Base_Enderecos!$C:$C,""),"")</f>
        <v/>
      </c>
      <c r="R1759">
        <f>IF(OR(ISNUMBER(SEARCH("HDD",$F1759)),ISNUMBER(SEARCH("MND",$F1759)),ISNUMBER(SEARCH("PEAD",$F1759)),ISNUMBER(SEARCH("Puxe",$J1759)),ISNUMBER(SEARCH("Apoio HDD",$F1759))),"MND",IF(OR(ISNUMBER(SEARCH("VCA",$F1759)),ISNUMBER(SEARCH("PVC",$F1759)),ISNUMBER(SEARCH("vca",$J1759)),ISNUMBER(SEARCH("Transformação",$J1759))),"VCA",IF(OR(ISNUMBER(SEARCH("crava",$F1759)),ISNUMBER(SEARCH("tubo cravado",$F1759)),ISNUMBER(SEARCH("shaft",$J1759)),ISNUMBER(SEARCH("concreto",$F1759))),"TUBO CRAVADO","")))</f>
        <v/>
      </c>
      <c r="T1759">
        <f>IF($A1759="","",TEXT($A1759,"yyyymm")&amp;"|"&amp;$C1759&amp;"|"&amp;$F1759&amp;"|"&amp;$N1759&amp;"|"&amp;$R1759)</f>
        <v/>
      </c>
    </row>
    <row r="1760" ht="11.55" customHeight="1">
      <c r="A1760" s="10" t="n">
        <v>46122</v>
      </c>
      <c r="B1760" s="7" t="inlineStr">
        <is>
          <t>Sexta</t>
        </is>
      </c>
      <c r="C1760" s="7" t="inlineStr">
        <is>
          <t>Vacal</t>
        </is>
      </c>
      <c r="D1760" s="7" t="n"/>
      <c r="E1760" s="7" t="inlineStr">
        <is>
          <t>Água Vermelha – Henko</t>
        </is>
      </c>
      <c r="F1760" s="13" t="inlineStr">
        <is>
          <t>Apoio Vacal</t>
        </is>
      </c>
      <c r="G1760" s="7" t="n"/>
      <c r="H1760" s="7" t="n"/>
      <c r="I1760" s="7" t="n"/>
      <c r="J1760" s="7" t="inlineStr">
        <is>
          <t>Vacal</t>
        </is>
      </c>
      <c r="K1760" s="7" t="inlineStr">
        <is>
          <t>Apoio</t>
        </is>
      </c>
      <c r="L1760" s="16" t="inlineStr">
        <is>
          <t>PDS-Abril(2).docx</t>
        </is>
      </c>
      <c r="M1760">
        <f>IF($A1760="","",TEXT($A1760,"mmmm/yyyy"))</f>
        <v/>
      </c>
      <c r="P1760">
        <f>IFERROR(_xludf.XLOOKUP($N1760,Base_Enderecos!$A:$A,Base_Enderecos!$B:$B,""),"")</f>
        <v/>
      </c>
      <c r="Q1760">
        <f>IFERROR(_xludf.XLOOKUP($N1760,Base_Enderecos!$A:$A,Base_Enderecos!$C:$C,""),"")</f>
        <v/>
      </c>
      <c r="R1760">
        <f>IF(OR(ISNUMBER(SEARCH("HDD",$F1760)),ISNUMBER(SEARCH("MND",$F1760)),ISNUMBER(SEARCH("PEAD",$F1760)),ISNUMBER(SEARCH("Puxe",$J1760)),ISNUMBER(SEARCH("Apoio HDD",$F1760))),"MND",IF(OR(ISNUMBER(SEARCH("VCA",$F1760)),ISNUMBER(SEARCH("PVC",$F1760)),ISNUMBER(SEARCH("vca",$J1760)),ISNUMBER(SEARCH("Transformação",$J1760))),"VCA",IF(OR(ISNUMBER(SEARCH("crava",$F1760)),ISNUMBER(SEARCH("tubo cravado",$F1760)),ISNUMBER(SEARCH("shaft",$J1760)),ISNUMBER(SEARCH("concreto",$F1760))),"TUBO CRAVADO","")))</f>
        <v/>
      </c>
      <c r="T1760">
        <f>IF($A1760="","",TEXT($A1760,"yyyymm")&amp;"|"&amp;$C1760&amp;"|"&amp;$F1760&amp;"|"&amp;$N1760&amp;"|"&amp;$R1760)</f>
        <v/>
      </c>
    </row>
    <row r="1761" ht="11.55" customHeight="1">
      <c r="A1761" s="10" t="n">
        <v>46122</v>
      </c>
      <c r="B1761" s="7" t="inlineStr">
        <is>
          <t>Sexta</t>
        </is>
      </c>
      <c r="C1761" s="7" t="inlineStr">
        <is>
          <t>Guindauto</t>
        </is>
      </c>
      <c r="D1761" s="7" t="n"/>
      <c r="E1761" s="7" t="inlineStr">
        <is>
          <t>Marcio</t>
        </is>
      </c>
      <c r="F1761" s="13" t="inlineStr">
        <is>
          <t>Marcio - Apoio as equipes</t>
        </is>
      </c>
      <c r="G1761" s="7" t="n"/>
      <c r="H1761" s="7" t="n"/>
      <c r="I1761" s="7" t="n"/>
      <c r="J1761" s="7" t="inlineStr">
        <is>
          <t>Guindauto</t>
        </is>
      </c>
      <c r="K1761" s="7" t="inlineStr">
        <is>
          <t>Apoio</t>
        </is>
      </c>
      <c r="L1761" s="16" t="inlineStr">
        <is>
          <t>PDS-Abril(2).docx</t>
        </is>
      </c>
      <c r="M1761">
        <f>IF($A1761="","",TEXT($A1761,"mmmm/yyyy"))</f>
        <v/>
      </c>
      <c r="P1761">
        <f>IFERROR(_xludf.XLOOKUP($N1761,Base_Enderecos!$A:$A,Base_Enderecos!$B:$B,""),"")</f>
        <v/>
      </c>
      <c r="Q1761">
        <f>IFERROR(_xludf.XLOOKUP($N1761,Base_Enderecos!$A:$A,Base_Enderecos!$C:$C,""),"")</f>
        <v/>
      </c>
      <c r="R1761">
        <f>IF(OR(ISNUMBER(SEARCH("HDD",$F1761)),ISNUMBER(SEARCH("MND",$F1761)),ISNUMBER(SEARCH("PEAD",$F1761)),ISNUMBER(SEARCH("Puxe",$J1761)),ISNUMBER(SEARCH("Apoio HDD",$F1761))),"MND",IF(OR(ISNUMBER(SEARCH("VCA",$F1761)),ISNUMBER(SEARCH("PVC",$F1761)),ISNUMBER(SEARCH("vca",$J1761)),ISNUMBER(SEARCH("Transformação",$J1761))),"VCA",IF(OR(ISNUMBER(SEARCH("crava",$F1761)),ISNUMBER(SEARCH("tubo cravado",$F1761)),ISNUMBER(SEARCH("shaft",$J1761)),ISNUMBER(SEARCH("concreto",$F1761))),"TUBO CRAVADO","")))</f>
        <v/>
      </c>
      <c r="T1761">
        <f>IF($A1761="","",TEXT($A1761,"yyyymm")&amp;"|"&amp;$C1761&amp;"|"&amp;$F1761&amp;"|"&amp;$N1761&amp;"|"&amp;$R1761)</f>
        <v/>
      </c>
    </row>
    <row r="1762" ht="11.55" customHeight="1">
      <c r="A1762" s="10" t="n">
        <v>46123</v>
      </c>
      <c r="B1762" s="7" t="n"/>
      <c r="C1762" s="7" t="inlineStr">
        <is>
          <t>CTS CONCEIÇÃO</t>
        </is>
      </c>
      <c r="D1762" s="7" t="inlineStr">
        <is>
          <t>LEANDRO</t>
        </is>
      </c>
      <c r="E1762" s="7" t="inlineStr">
        <is>
          <t>WJ</t>
        </is>
      </c>
      <c r="F1762" s="13" t="inlineStr">
        <is>
          <t>Piloto e puxe entre PV 10.1 ao 10.2</t>
        </is>
      </c>
      <c r="G1762" s="7" t="inlineStr">
        <is>
          <t>10.1</t>
        </is>
      </c>
      <c r="H1762" s="7" t="n"/>
      <c r="I1762" s="7" t="inlineStr">
        <is>
          <t>10.1</t>
        </is>
      </c>
      <c r="J1762" s="7" t="inlineStr">
        <is>
          <t>Piloto e puxe</t>
        </is>
      </c>
      <c r="K1762" s="7" t="inlineStr">
        <is>
          <t>Planejamento</t>
        </is>
      </c>
      <c r="L1762" s="16" t="inlineStr">
        <is>
          <t>PDS-Abril(2).docx</t>
        </is>
      </c>
      <c r="M1762">
        <f>IF($A1762="","",TEXT($A1762,"mmmm/yyyy"))</f>
        <v/>
      </c>
      <c r="P1762">
        <f>IFERROR(_xludf.XLOOKUP($N1762,Base_Enderecos!$A:$A,Base_Enderecos!$B:$B,""),"")</f>
        <v/>
      </c>
      <c r="Q1762">
        <f>IFERROR(_xludf.XLOOKUP($N1762,Base_Enderecos!$A:$A,Base_Enderecos!$C:$C,""),"")</f>
        <v/>
      </c>
      <c r="R1762">
        <f>IF(OR(ISNUMBER(SEARCH("HDD",$F1762)),ISNUMBER(SEARCH("MND",$F1762)),ISNUMBER(SEARCH("PEAD",$F1762)),ISNUMBER(SEARCH("Puxe",$J1762)),ISNUMBER(SEARCH("Apoio HDD",$F1762))),"MND",IF(OR(ISNUMBER(SEARCH("VCA",$F1762)),ISNUMBER(SEARCH("PVC",$F1762)),ISNUMBER(SEARCH("vca",$J1762)),ISNUMBER(SEARCH("Transformação",$J1762))),"VCA",IF(OR(ISNUMBER(SEARCH("crava",$F1762)),ISNUMBER(SEARCH("tubo cravado",$F1762)),ISNUMBER(SEARCH("shaft",$J1762)),ISNUMBER(SEARCH("concreto",$F1762))),"TUBO CRAVADO","")))</f>
        <v/>
      </c>
      <c r="T1762">
        <f>IF($A1762="","",TEXT($A1762,"yyyymm")&amp;"|"&amp;$C1762&amp;"|"&amp;$F1762&amp;"|"&amp;$N1762&amp;"|"&amp;$R1762)</f>
        <v/>
      </c>
    </row>
    <row r="1763" ht="11.55" customHeight="1">
      <c r="A1763" s="10" t="n">
        <v>46123</v>
      </c>
      <c r="B1763" s="7" t="n"/>
      <c r="C1763" s="7" t="inlineStr">
        <is>
          <t>CTS CONCEIÇÃO</t>
        </is>
      </c>
      <c r="D1763" s="7" t="inlineStr">
        <is>
          <t>LEANDRO</t>
        </is>
      </c>
      <c r="E1763" s="7" t="inlineStr">
        <is>
          <t>Medeiros</t>
        </is>
      </c>
      <c r="F1763" s="13" t="inlineStr">
        <is>
          <t>Apoio HDD entre PV 10.1 ao 10.2</t>
        </is>
      </c>
      <c r="G1763" s="7" t="inlineStr">
        <is>
          <t>10.1</t>
        </is>
      </c>
      <c r="H1763" s="7" t="n"/>
      <c r="I1763" s="7" t="inlineStr">
        <is>
          <t>10.1</t>
        </is>
      </c>
      <c r="J1763" s="7" t="inlineStr">
        <is>
          <t>Apoio HDD</t>
        </is>
      </c>
      <c r="K1763" s="7" t="inlineStr">
        <is>
          <t>Planejamento</t>
        </is>
      </c>
      <c r="L1763" s="16" t="inlineStr">
        <is>
          <t>PDS-Abril(2).docx</t>
        </is>
      </c>
      <c r="M1763">
        <f>IF($A1763="","",TEXT($A1763,"mmmm/yyyy"))</f>
        <v/>
      </c>
      <c r="P1763">
        <f>IFERROR(_xludf.XLOOKUP($N1763,Base_Enderecos!$A:$A,Base_Enderecos!$B:$B,""),"")</f>
        <v/>
      </c>
      <c r="Q1763">
        <f>IFERROR(_xludf.XLOOKUP($N1763,Base_Enderecos!$A:$A,Base_Enderecos!$C:$C,""),"")</f>
        <v/>
      </c>
      <c r="R1763">
        <f>IF(OR(ISNUMBER(SEARCH("HDD",$F1763)),ISNUMBER(SEARCH("MND",$F1763)),ISNUMBER(SEARCH("PEAD",$F1763)),ISNUMBER(SEARCH("Puxe",$J1763)),ISNUMBER(SEARCH("Apoio HDD",$F1763))),"MND",IF(OR(ISNUMBER(SEARCH("VCA",$F1763)),ISNUMBER(SEARCH("PVC",$F1763)),ISNUMBER(SEARCH("vca",$J1763)),ISNUMBER(SEARCH("Transformação",$J1763))),"VCA",IF(OR(ISNUMBER(SEARCH("crava",$F1763)),ISNUMBER(SEARCH("tubo cravado",$F1763)),ISNUMBER(SEARCH("shaft",$J1763)),ISNUMBER(SEARCH("concreto",$F1763))),"TUBO CRAVADO","")))</f>
        <v/>
      </c>
      <c r="T1763">
        <f>IF($A1763="","",TEXT($A1763,"yyyymm")&amp;"|"&amp;$C1763&amp;"|"&amp;$F1763&amp;"|"&amp;$N1763&amp;"|"&amp;$R1763)</f>
        <v/>
      </c>
    </row>
    <row r="1764" ht="11.55" customHeight="1">
      <c r="A1764" s="10" t="n">
        <v>46123</v>
      </c>
      <c r="B1764" s="7" t="n"/>
      <c r="C1764" s="7" t="inlineStr">
        <is>
          <t>CTS CONCEIÇÃO</t>
        </is>
      </c>
      <c r="D1764" s="7" t="inlineStr">
        <is>
          <t>LEANDRO</t>
        </is>
      </c>
      <c r="E1764" s="7" t="inlineStr">
        <is>
          <t>GR DRILL</t>
        </is>
      </c>
      <c r="F1764" s="13" t="inlineStr">
        <is>
          <t>Piloto e puxe entre PV 09.1 ao 10.1</t>
        </is>
      </c>
      <c r="G1764" s="7" t="inlineStr">
        <is>
          <t>09.1</t>
        </is>
      </c>
      <c r="H1764" s="7" t="n"/>
      <c r="I1764" s="7" t="inlineStr">
        <is>
          <t>09.1</t>
        </is>
      </c>
      <c r="J1764" s="7" t="inlineStr">
        <is>
          <t>Piloto e puxe</t>
        </is>
      </c>
      <c r="K1764" s="7" t="inlineStr">
        <is>
          <t>Planejamento</t>
        </is>
      </c>
      <c r="L1764" s="16" t="inlineStr">
        <is>
          <t>PDS-Abril(2).docx</t>
        </is>
      </c>
      <c r="M1764">
        <f>IF($A1764="","",TEXT($A1764,"mmmm/yyyy"))</f>
        <v/>
      </c>
      <c r="P1764">
        <f>IFERROR(_xludf.XLOOKUP($N1764,Base_Enderecos!$A:$A,Base_Enderecos!$B:$B,""),"")</f>
        <v/>
      </c>
      <c r="Q1764">
        <f>IFERROR(_xludf.XLOOKUP($N1764,Base_Enderecos!$A:$A,Base_Enderecos!$C:$C,""),"")</f>
        <v/>
      </c>
      <c r="R1764">
        <f>IF(OR(ISNUMBER(SEARCH("HDD",$F1764)),ISNUMBER(SEARCH("MND",$F1764)),ISNUMBER(SEARCH("PEAD",$F1764)),ISNUMBER(SEARCH("Puxe",$J1764)),ISNUMBER(SEARCH("Apoio HDD",$F1764))),"MND",IF(OR(ISNUMBER(SEARCH("VCA",$F1764)),ISNUMBER(SEARCH("PVC",$F1764)),ISNUMBER(SEARCH("vca",$J1764)),ISNUMBER(SEARCH("Transformação",$J1764))),"VCA",IF(OR(ISNUMBER(SEARCH("crava",$F1764)),ISNUMBER(SEARCH("tubo cravado",$F1764)),ISNUMBER(SEARCH("shaft",$J1764)),ISNUMBER(SEARCH("concreto",$F1764))),"TUBO CRAVADO","")))</f>
        <v/>
      </c>
      <c r="T1764">
        <f>IF($A1764="","",TEXT($A1764,"yyyymm")&amp;"|"&amp;$C1764&amp;"|"&amp;$F1764&amp;"|"&amp;$N1764&amp;"|"&amp;$R1764)</f>
        <v/>
      </c>
    </row>
    <row r="1765" ht="11.55" customHeight="1">
      <c r="A1765" s="10" t="n">
        <v>46123</v>
      </c>
      <c r="B1765" s="7" t="n"/>
      <c r="C1765" s="7" t="inlineStr">
        <is>
          <t>CTS CONCEIÇÃO</t>
        </is>
      </c>
      <c r="D1765" s="7" t="inlineStr">
        <is>
          <t>LEANDRO</t>
        </is>
      </c>
      <c r="E1765" s="7" t="inlineStr">
        <is>
          <t>Carlos</t>
        </is>
      </c>
      <c r="F1765" s="13" t="inlineStr">
        <is>
          <t>Apoio HDD entre PV 09.1 ao 10.1</t>
        </is>
      </c>
      <c r="G1765" s="7" t="inlineStr">
        <is>
          <t>09.1</t>
        </is>
      </c>
      <c r="H1765" s="7" t="n"/>
      <c r="I1765" s="7" t="inlineStr">
        <is>
          <t>09.1</t>
        </is>
      </c>
      <c r="J1765" s="7" t="inlineStr">
        <is>
          <t>Apoio HDD</t>
        </is>
      </c>
      <c r="K1765" s="7" t="inlineStr">
        <is>
          <t>Planejamento</t>
        </is>
      </c>
      <c r="L1765" s="16" t="inlineStr">
        <is>
          <t>PDS-Abril(2).docx</t>
        </is>
      </c>
      <c r="M1765">
        <f>IF($A1765="","",TEXT($A1765,"mmmm/yyyy"))</f>
        <v/>
      </c>
      <c r="P1765">
        <f>IFERROR(_xludf.XLOOKUP($N1765,Base_Enderecos!$A:$A,Base_Enderecos!$B:$B,""),"")</f>
        <v/>
      </c>
      <c r="Q1765">
        <f>IFERROR(_xludf.XLOOKUP($N1765,Base_Enderecos!$A:$A,Base_Enderecos!$C:$C,""),"")</f>
        <v/>
      </c>
      <c r="R1765">
        <f>IF(OR(ISNUMBER(SEARCH("HDD",$F1765)),ISNUMBER(SEARCH("MND",$F1765)),ISNUMBER(SEARCH("PEAD",$F1765)),ISNUMBER(SEARCH("Puxe",$J1765)),ISNUMBER(SEARCH("Apoio HDD",$F1765))),"MND",IF(OR(ISNUMBER(SEARCH("VCA",$F1765)),ISNUMBER(SEARCH("PVC",$F1765)),ISNUMBER(SEARCH("vca",$J1765)),ISNUMBER(SEARCH("Transformação",$J1765))),"VCA",IF(OR(ISNUMBER(SEARCH("crava",$F1765)),ISNUMBER(SEARCH("tubo cravado",$F1765)),ISNUMBER(SEARCH("shaft",$J1765)),ISNUMBER(SEARCH("concreto",$F1765))),"TUBO CRAVADO","")))</f>
        <v/>
      </c>
      <c r="T1765">
        <f>IF($A1765="","",TEXT($A1765,"yyyymm")&amp;"|"&amp;$C1765&amp;"|"&amp;$F1765&amp;"|"&amp;$N1765&amp;"|"&amp;$R1765)</f>
        <v/>
      </c>
    </row>
    <row r="1766" ht="11.55" customHeight="1">
      <c r="A1766" s="10" t="n">
        <v>46123</v>
      </c>
      <c r="B1766" s="7" t="n"/>
      <c r="C1766" s="7" t="inlineStr">
        <is>
          <t>CTS CONCEIÇÃO</t>
        </is>
      </c>
      <c r="D1766" s="7" t="inlineStr">
        <is>
          <t>LEANDRO</t>
        </is>
      </c>
      <c r="E1766" s="7" t="inlineStr">
        <is>
          <t>Sergio</t>
        </is>
      </c>
      <c r="F1766" s="13" t="inlineStr">
        <is>
          <t>Transformação PV 09</t>
        </is>
      </c>
      <c r="G1766" s="7" t="inlineStr">
        <is>
          <t>09</t>
        </is>
      </c>
      <c r="H1766" s="7" t="n"/>
      <c r="I1766" s="7" t="inlineStr">
        <is>
          <t>09</t>
        </is>
      </c>
      <c r="J1766" s="7" t="inlineStr">
        <is>
          <t>Transformação</t>
        </is>
      </c>
      <c r="K1766" s="7" t="inlineStr">
        <is>
          <t>Planejamento</t>
        </is>
      </c>
      <c r="L1766" s="16" t="inlineStr">
        <is>
          <t>PDS-Abril(2).docx</t>
        </is>
      </c>
      <c r="M1766">
        <f>IF($A1766="","",TEXT($A1766,"mmmm/yyyy"))</f>
        <v/>
      </c>
      <c r="P1766">
        <f>IFERROR(_xludf.XLOOKUP($N1766,Base_Enderecos!$A:$A,Base_Enderecos!$B:$B,""),"")</f>
        <v/>
      </c>
      <c r="Q1766">
        <f>IFERROR(_xludf.XLOOKUP($N1766,Base_Enderecos!$A:$A,Base_Enderecos!$C:$C,""),"")</f>
        <v/>
      </c>
      <c r="R1766">
        <f>IF(OR(ISNUMBER(SEARCH("HDD",$F1766)),ISNUMBER(SEARCH("MND",$F1766)),ISNUMBER(SEARCH("PEAD",$F1766)),ISNUMBER(SEARCH("Puxe",$J1766)),ISNUMBER(SEARCH("Apoio HDD",$F1766))),"MND",IF(OR(ISNUMBER(SEARCH("VCA",$F1766)),ISNUMBER(SEARCH("PVC",$F1766)),ISNUMBER(SEARCH("vca",$J1766)),ISNUMBER(SEARCH("Transformação",$J1766))),"VCA",IF(OR(ISNUMBER(SEARCH("crava",$F1766)),ISNUMBER(SEARCH("tubo cravado",$F1766)),ISNUMBER(SEARCH("shaft",$J1766)),ISNUMBER(SEARCH("concreto",$F1766))),"TUBO CRAVADO","")))</f>
        <v/>
      </c>
      <c r="T1766">
        <f>IF($A1766="","",TEXT($A1766,"yyyymm")&amp;"|"&amp;$C1766&amp;"|"&amp;$F1766&amp;"|"&amp;$N1766&amp;"|"&amp;$R1766)</f>
        <v/>
      </c>
    </row>
    <row r="1767" ht="11.55" customHeight="1">
      <c r="A1767" s="10" t="n">
        <v>46123</v>
      </c>
      <c r="B1767" s="7" t="n"/>
      <c r="C1767" s="7" t="inlineStr">
        <is>
          <t>CT ÁGUA VERMELHA M.D. e M.E</t>
        </is>
      </c>
      <c r="D1767" s="7" t="inlineStr">
        <is>
          <t>FABIO e VALMIR</t>
        </is>
      </c>
      <c r="E1767" s="7" t="inlineStr">
        <is>
          <t>Claudinei</t>
        </is>
      </c>
      <c r="F1767" s="13" t="inlineStr">
        <is>
          <t>Apoio casa (PVD 7)</t>
        </is>
      </c>
      <c r="G1767" s="7" t="inlineStr">
        <is>
          <t>7</t>
        </is>
      </c>
      <c r="H1767" s="7" t="n"/>
      <c r="I1767" s="7" t="inlineStr">
        <is>
          <t>7</t>
        </is>
      </c>
      <c r="J1767" s="7" t="n"/>
      <c r="K1767" s="7" t="inlineStr">
        <is>
          <t>Planejamento</t>
        </is>
      </c>
      <c r="L1767" s="16" t="inlineStr">
        <is>
          <t>PDS-Abril(2).docx</t>
        </is>
      </c>
      <c r="M1767">
        <f>IF($A1767="","",TEXT($A1767,"mmmm/yyyy"))</f>
        <v/>
      </c>
      <c r="P1767">
        <f>IFERROR(_xludf.XLOOKUP($N1767,Base_Enderecos!$A:$A,Base_Enderecos!$B:$B,""),"")</f>
        <v/>
      </c>
      <c r="Q1767">
        <f>IFERROR(_xludf.XLOOKUP($N1767,Base_Enderecos!$A:$A,Base_Enderecos!$C:$C,""),"")</f>
        <v/>
      </c>
      <c r="R1767">
        <f>IF(OR(ISNUMBER(SEARCH("HDD",$F1767)),ISNUMBER(SEARCH("MND",$F1767)),ISNUMBER(SEARCH("PEAD",$F1767)),ISNUMBER(SEARCH("Puxe",$J1767)),ISNUMBER(SEARCH("Apoio HDD",$F1767))),"MND",IF(OR(ISNUMBER(SEARCH("VCA",$F1767)),ISNUMBER(SEARCH("PVC",$F1767)),ISNUMBER(SEARCH("vca",$J1767)),ISNUMBER(SEARCH("Transformação",$J1767))),"VCA",IF(OR(ISNUMBER(SEARCH("crava",$F1767)),ISNUMBER(SEARCH("tubo cravado",$F1767)),ISNUMBER(SEARCH("shaft",$J1767)),ISNUMBER(SEARCH("concreto",$F1767))),"TUBO CRAVADO","")))</f>
        <v/>
      </c>
      <c r="T1767">
        <f>IF($A1767="","",TEXT($A1767,"yyyymm")&amp;"|"&amp;$C1767&amp;"|"&amp;$F1767&amp;"|"&amp;$N1767&amp;"|"&amp;$R1767)</f>
        <v/>
      </c>
    </row>
    <row r="1768" ht="11.55" customHeight="1">
      <c r="A1768" s="10" t="n">
        <v>46123</v>
      </c>
      <c r="B1768" s="7" t="n"/>
      <c r="C1768" s="7" t="inlineStr">
        <is>
          <t>CT ÁGUA VERMELHA M.D. e M.E</t>
        </is>
      </c>
      <c r="D1768" s="7" t="inlineStr">
        <is>
          <t>FABIO e VALMIR</t>
        </is>
      </c>
      <c r="E1768" s="7" t="inlineStr">
        <is>
          <t>Higor</t>
        </is>
      </c>
      <c r="F1768" s="13" t="inlineStr">
        <is>
          <t>Shaft PVE 04</t>
        </is>
      </c>
      <c r="G1768" s="7" t="inlineStr">
        <is>
          <t>04</t>
        </is>
      </c>
      <c r="H1768" s="7" t="n"/>
      <c r="I1768" s="7" t="inlineStr">
        <is>
          <t>04</t>
        </is>
      </c>
      <c r="J1768" s="7" t="inlineStr">
        <is>
          <t>Shaft</t>
        </is>
      </c>
      <c r="K1768" s="7" t="inlineStr">
        <is>
          <t>Planejamento</t>
        </is>
      </c>
      <c r="L1768" s="16" t="inlineStr">
        <is>
          <t>PDS-Abril(2).docx</t>
        </is>
      </c>
      <c r="M1768">
        <f>IF($A1768="","",TEXT($A1768,"mmmm/yyyy"))</f>
        <v/>
      </c>
      <c r="P1768">
        <f>IFERROR(_xludf.XLOOKUP($N1768,Base_Enderecos!$A:$A,Base_Enderecos!$B:$B,""),"")</f>
        <v/>
      </c>
      <c r="Q1768">
        <f>IFERROR(_xludf.XLOOKUP($N1768,Base_Enderecos!$A:$A,Base_Enderecos!$C:$C,""),"")</f>
        <v/>
      </c>
      <c r="R1768">
        <f>IF(OR(ISNUMBER(SEARCH("HDD",$F1768)),ISNUMBER(SEARCH("MND",$F1768)),ISNUMBER(SEARCH("PEAD",$F1768)),ISNUMBER(SEARCH("Puxe",$J1768)),ISNUMBER(SEARCH("Apoio HDD",$F1768))),"MND",IF(OR(ISNUMBER(SEARCH("VCA",$F1768)),ISNUMBER(SEARCH("PVC",$F1768)),ISNUMBER(SEARCH("vca",$J1768)),ISNUMBER(SEARCH("Transformação",$J1768))),"VCA",IF(OR(ISNUMBER(SEARCH("crava",$F1768)),ISNUMBER(SEARCH("tubo cravado",$F1768)),ISNUMBER(SEARCH("shaft",$J1768)),ISNUMBER(SEARCH("concreto",$F1768))),"TUBO CRAVADO","")))</f>
        <v/>
      </c>
      <c r="T1768">
        <f>IF($A1768="","",TEXT($A1768,"yyyymm")&amp;"|"&amp;$C1768&amp;"|"&amp;$F1768&amp;"|"&amp;$N1768&amp;"|"&amp;$R1768)</f>
        <v/>
      </c>
    </row>
    <row r="1769" ht="11.55" customHeight="1">
      <c r="A1769" s="10" t="n">
        <v>46123</v>
      </c>
      <c r="B1769" s="7" t="n"/>
      <c r="C1769" s="7" t="inlineStr">
        <is>
          <t>CT ÁGUA VERMELHA M.D. e M.E</t>
        </is>
      </c>
      <c r="D1769" s="7" t="inlineStr">
        <is>
          <t>FABIO e VALMIR</t>
        </is>
      </c>
      <c r="E1769" s="7" t="inlineStr">
        <is>
          <t>Cidão</t>
        </is>
      </c>
      <c r="F1769" s="13" t="inlineStr">
        <is>
          <t>Shaft PI.E 21</t>
        </is>
      </c>
      <c r="G1769" s="7" t="n"/>
      <c r="H1769" s="7" t="n"/>
      <c r="I1769" s="7" t="n"/>
      <c r="J1769" s="7" t="inlineStr">
        <is>
          <t>Shaft</t>
        </is>
      </c>
      <c r="K1769" s="7" t="inlineStr">
        <is>
          <t>Planejamento</t>
        </is>
      </c>
      <c r="L1769" s="16" t="inlineStr">
        <is>
          <t>PDS-Abril(2).docx</t>
        </is>
      </c>
      <c r="M1769">
        <f>IF($A1769="","",TEXT($A1769,"mmmm/yyyy"))</f>
        <v/>
      </c>
      <c r="P1769">
        <f>IFERROR(_xludf.XLOOKUP($N1769,Base_Enderecos!$A:$A,Base_Enderecos!$B:$B,""),"")</f>
        <v/>
      </c>
      <c r="Q1769">
        <f>IFERROR(_xludf.XLOOKUP($N1769,Base_Enderecos!$A:$A,Base_Enderecos!$C:$C,""),"")</f>
        <v/>
      </c>
      <c r="R1769">
        <f>IF(OR(ISNUMBER(SEARCH("HDD",$F1769)),ISNUMBER(SEARCH("MND",$F1769)),ISNUMBER(SEARCH("PEAD",$F1769)),ISNUMBER(SEARCH("Puxe",$J1769)),ISNUMBER(SEARCH("Apoio HDD",$F1769))),"MND",IF(OR(ISNUMBER(SEARCH("VCA",$F1769)),ISNUMBER(SEARCH("PVC",$F1769)),ISNUMBER(SEARCH("vca",$J1769)),ISNUMBER(SEARCH("Transformação",$J1769))),"VCA",IF(OR(ISNUMBER(SEARCH("crava",$F1769)),ISNUMBER(SEARCH("tubo cravado",$F1769)),ISNUMBER(SEARCH("shaft",$J1769)),ISNUMBER(SEARCH("concreto",$F1769))),"TUBO CRAVADO","")))</f>
        <v/>
      </c>
      <c r="T1769">
        <f>IF($A1769="","",TEXT($A1769,"yyyymm")&amp;"|"&amp;$C1769&amp;"|"&amp;$F1769&amp;"|"&amp;$N1769&amp;"|"&amp;$R1769)</f>
        <v/>
      </c>
    </row>
    <row r="1770" ht="11.55" customHeight="1">
      <c r="A1770" s="10" t="n">
        <v>46123</v>
      </c>
      <c r="B1770" s="7" t="n"/>
      <c r="C1770" s="7" t="inlineStr">
        <is>
          <t>CT ÁGUA VERMELHA M.D. e M.E</t>
        </is>
      </c>
      <c r="D1770" s="7" t="inlineStr">
        <is>
          <t>FABIO e VALMIR</t>
        </is>
      </c>
      <c r="E1770" s="7" t="inlineStr">
        <is>
          <t>Marcelo</t>
        </is>
      </c>
      <c r="F1770" s="13" t="inlineStr">
        <is>
          <t>Shaft PVE 19</t>
        </is>
      </c>
      <c r="G1770" s="7" t="inlineStr">
        <is>
          <t>19</t>
        </is>
      </c>
      <c r="H1770" s="7" t="n"/>
      <c r="I1770" s="7" t="inlineStr">
        <is>
          <t>19</t>
        </is>
      </c>
      <c r="J1770" s="7" t="inlineStr">
        <is>
          <t>Shaft</t>
        </is>
      </c>
      <c r="K1770" s="7" t="inlineStr">
        <is>
          <t>Planejamento</t>
        </is>
      </c>
      <c r="L1770" s="16" t="inlineStr">
        <is>
          <t>PDS-Abril(2).docx</t>
        </is>
      </c>
      <c r="M1770">
        <f>IF($A1770="","",TEXT($A1770,"mmmm/yyyy"))</f>
        <v/>
      </c>
      <c r="P1770">
        <f>IFERROR(_xludf.XLOOKUP($N1770,Base_Enderecos!$A:$A,Base_Enderecos!$B:$B,""),"")</f>
        <v/>
      </c>
      <c r="Q1770">
        <f>IFERROR(_xludf.XLOOKUP($N1770,Base_Enderecos!$A:$A,Base_Enderecos!$C:$C,""),"")</f>
        <v/>
      </c>
      <c r="R1770">
        <f>IF(OR(ISNUMBER(SEARCH("HDD",$F1770)),ISNUMBER(SEARCH("MND",$F1770)),ISNUMBER(SEARCH("PEAD",$F1770)),ISNUMBER(SEARCH("Puxe",$J1770)),ISNUMBER(SEARCH("Apoio HDD",$F1770))),"MND",IF(OR(ISNUMBER(SEARCH("VCA",$F1770)),ISNUMBER(SEARCH("PVC",$F1770)),ISNUMBER(SEARCH("vca",$J1770)),ISNUMBER(SEARCH("Transformação",$J1770))),"VCA",IF(OR(ISNUMBER(SEARCH("crava",$F1770)),ISNUMBER(SEARCH("tubo cravado",$F1770)),ISNUMBER(SEARCH("shaft",$J1770)),ISNUMBER(SEARCH("concreto",$F1770))),"TUBO CRAVADO","")))</f>
        <v/>
      </c>
      <c r="T1770">
        <f>IF($A1770="","",TEXT($A1770,"yyyymm")&amp;"|"&amp;$C1770&amp;"|"&amp;$F1770&amp;"|"&amp;$N1770&amp;"|"&amp;$R1770)</f>
        <v/>
      </c>
    </row>
    <row r="1771" ht="11.55" customHeight="1">
      <c r="A1771" s="10" t="n">
        <v>46123</v>
      </c>
      <c r="B1771" s="7" t="n"/>
      <c r="C1771" s="7" t="inlineStr">
        <is>
          <t>CT ÁGUA VERMELHA M.D. e M.E</t>
        </is>
      </c>
      <c r="D1771" s="7" t="inlineStr">
        <is>
          <t>FABIO e VALMIR</t>
        </is>
      </c>
      <c r="E1771" s="7" t="inlineStr">
        <is>
          <t>Edivando</t>
        </is>
      </c>
      <c r="F1771" s="13" t="inlineStr">
        <is>
          <t>Shaft PVE 22</t>
        </is>
      </c>
      <c r="G1771" s="7" t="inlineStr">
        <is>
          <t>22</t>
        </is>
      </c>
      <c r="H1771" s="7" t="n"/>
      <c r="I1771" s="7" t="inlineStr">
        <is>
          <t>22</t>
        </is>
      </c>
      <c r="J1771" s="7" t="inlineStr">
        <is>
          <t>Shaft</t>
        </is>
      </c>
      <c r="K1771" s="7" t="inlineStr">
        <is>
          <t>Planejamento</t>
        </is>
      </c>
      <c r="L1771" s="16" t="inlineStr">
        <is>
          <t>PDS-Abril(2).docx</t>
        </is>
      </c>
      <c r="M1771">
        <f>IF($A1771="","",TEXT($A1771,"mmmm/yyyy"))</f>
        <v/>
      </c>
      <c r="P1771">
        <f>IFERROR(_xludf.XLOOKUP($N1771,Base_Enderecos!$A:$A,Base_Enderecos!$B:$B,""),"")</f>
        <v/>
      </c>
      <c r="Q1771">
        <f>IFERROR(_xludf.XLOOKUP($N1771,Base_Enderecos!$A:$A,Base_Enderecos!$C:$C,""),"")</f>
        <v/>
      </c>
      <c r="R1771">
        <f>IF(OR(ISNUMBER(SEARCH("HDD",$F1771)),ISNUMBER(SEARCH("MND",$F1771)),ISNUMBER(SEARCH("PEAD",$F1771)),ISNUMBER(SEARCH("Puxe",$J1771)),ISNUMBER(SEARCH("Apoio HDD",$F1771))),"MND",IF(OR(ISNUMBER(SEARCH("VCA",$F1771)),ISNUMBER(SEARCH("PVC",$F1771)),ISNUMBER(SEARCH("vca",$J1771)),ISNUMBER(SEARCH("Transformação",$J1771))),"VCA",IF(OR(ISNUMBER(SEARCH("crava",$F1771)),ISNUMBER(SEARCH("tubo cravado",$F1771)),ISNUMBER(SEARCH("shaft",$J1771)),ISNUMBER(SEARCH("concreto",$F1771))),"TUBO CRAVADO","")))</f>
        <v/>
      </c>
      <c r="T1771">
        <f>IF($A1771="","",TEXT($A1771,"yyyymm")&amp;"|"&amp;$C1771&amp;"|"&amp;$F1771&amp;"|"&amp;$N1771&amp;"|"&amp;$R1771)</f>
        <v/>
      </c>
    </row>
    <row r="1772" ht="11.55" customHeight="1">
      <c r="A1772" s="10" t="n">
        <v>46123</v>
      </c>
      <c r="B1772" s="7" t="n"/>
      <c r="C1772" s="7" t="inlineStr">
        <is>
          <t>CT ÁGUA VERMELHA M.D. e M.E</t>
        </is>
      </c>
      <c r="D1772" s="7" t="inlineStr">
        <is>
          <t>FABIO e VALMIR</t>
        </is>
      </c>
      <c r="E1772" s="7" t="inlineStr">
        <is>
          <t>Antônio</t>
        </is>
      </c>
      <c r="F1772" s="13" t="inlineStr">
        <is>
          <t>Shaft PVE 1.1</t>
        </is>
      </c>
      <c r="G1772" s="7" t="inlineStr">
        <is>
          <t>1.1</t>
        </is>
      </c>
      <c r="H1772" s="7" t="n"/>
      <c r="I1772" s="7" t="inlineStr">
        <is>
          <t>1.1</t>
        </is>
      </c>
      <c r="J1772" s="7" t="inlineStr">
        <is>
          <t>Shaft</t>
        </is>
      </c>
      <c r="K1772" s="7" t="inlineStr">
        <is>
          <t>Planejamento</t>
        </is>
      </c>
      <c r="L1772" s="16" t="inlineStr">
        <is>
          <t>PDS-Abril(2).docx</t>
        </is>
      </c>
      <c r="M1772">
        <f>IF($A1772="","",TEXT($A1772,"mmmm/yyyy"))</f>
        <v/>
      </c>
      <c r="P1772">
        <f>IFERROR(_xludf.XLOOKUP($N1772,Base_Enderecos!$A:$A,Base_Enderecos!$B:$B,""),"")</f>
        <v/>
      </c>
      <c r="Q1772">
        <f>IFERROR(_xludf.XLOOKUP($N1772,Base_Enderecos!$A:$A,Base_Enderecos!$C:$C,""),"")</f>
        <v/>
      </c>
      <c r="R1772">
        <f>IF(OR(ISNUMBER(SEARCH("HDD",$F1772)),ISNUMBER(SEARCH("MND",$F1772)),ISNUMBER(SEARCH("PEAD",$F1772)),ISNUMBER(SEARCH("Puxe",$J1772)),ISNUMBER(SEARCH("Apoio HDD",$F1772))),"MND",IF(OR(ISNUMBER(SEARCH("VCA",$F1772)),ISNUMBER(SEARCH("PVC",$F1772)),ISNUMBER(SEARCH("vca",$J1772)),ISNUMBER(SEARCH("Transformação",$J1772))),"VCA",IF(OR(ISNUMBER(SEARCH("crava",$F1772)),ISNUMBER(SEARCH("tubo cravado",$F1772)),ISNUMBER(SEARCH("shaft",$J1772)),ISNUMBER(SEARCH("concreto",$F1772))),"TUBO CRAVADO","")))</f>
        <v/>
      </c>
      <c r="T1772">
        <f>IF($A1772="","",TEXT($A1772,"yyyymm")&amp;"|"&amp;$C1772&amp;"|"&amp;$F1772&amp;"|"&amp;$N1772&amp;"|"&amp;$R1772)</f>
        <v/>
      </c>
    </row>
    <row r="1773" ht="11.55" customHeight="1">
      <c r="A1773" s="10" t="n">
        <v>46123</v>
      </c>
      <c r="B1773" s="7" t="n"/>
      <c r="C1773" s="7" t="inlineStr">
        <is>
          <t>RCE FCO. SOUTO MAIOR</t>
        </is>
      </c>
      <c r="D1773" s="7" t="inlineStr">
        <is>
          <t>SILVESTRE</t>
        </is>
      </c>
      <c r="E1773" s="7" t="inlineStr">
        <is>
          <t>Valter</t>
        </is>
      </c>
      <c r="F1773" s="13" t="inlineStr">
        <is>
          <t>Ligações – Rua Canto da Serra</t>
        </is>
      </c>
      <c r="G1773" s="7" t="n"/>
      <c r="H1773" s="7" t="n"/>
      <c r="I1773" s="7" t="n"/>
      <c r="J1773" s="7" t="inlineStr">
        <is>
          <t>Ligações</t>
        </is>
      </c>
      <c r="K1773" s="7" t="inlineStr">
        <is>
          <t>Planejamento</t>
        </is>
      </c>
      <c r="L1773" s="16" t="inlineStr">
        <is>
          <t>PDS-Abril(2).docx</t>
        </is>
      </c>
      <c r="M1773">
        <f>IF($A1773="","",TEXT($A1773,"mmmm/yyyy"))</f>
        <v/>
      </c>
      <c r="P1773">
        <f>IFERROR(_xludf.XLOOKUP($N1773,Base_Enderecos!$A:$A,Base_Enderecos!$B:$B,""),"")</f>
        <v/>
      </c>
      <c r="Q1773">
        <f>IFERROR(_xludf.XLOOKUP($N1773,Base_Enderecos!$A:$A,Base_Enderecos!$C:$C,""),"")</f>
        <v/>
      </c>
      <c r="R1773">
        <f>IF(OR(ISNUMBER(SEARCH("HDD",$F1773)),ISNUMBER(SEARCH("MND",$F1773)),ISNUMBER(SEARCH("PEAD",$F1773)),ISNUMBER(SEARCH("Puxe",$J1773)),ISNUMBER(SEARCH("Apoio HDD",$F1773))),"MND",IF(OR(ISNUMBER(SEARCH("VCA",$F1773)),ISNUMBER(SEARCH("PVC",$F1773)),ISNUMBER(SEARCH("vca",$J1773)),ISNUMBER(SEARCH("Transformação",$J1773))),"VCA",IF(OR(ISNUMBER(SEARCH("crava",$F1773)),ISNUMBER(SEARCH("tubo cravado",$F1773)),ISNUMBER(SEARCH("shaft",$J1773)),ISNUMBER(SEARCH("concreto",$F1773))),"TUBO CRAVADO","")))</f>
        <v/>
      </c>
      <c r="T1773">
        <f>IF($A1773="","",TEXT($A1773,"yyyymm")&amp;"|"&amp;$C1773&amp;"|"&amp;$F1773&amp;"|"&amp;$N1773&amp;"|"&amp;$R1773)</f>
        <v/>
      </c>
    </row>
    <row r="1774" ht="11.55" customHeight="1">
      <c r="A1774" s="10" t="n">
        <v>46123</v>
      </c>
      <c r="B1774" s="7" t="n"/>
      <c r="C1774" s="7" t="inlineStr">
        <is>
          <t>CT LUIS BOTELHO MOURÃO</t>
        </is>
      </c>
      <c r="D1774" s="7" t="inlineStr">
        <is>
          <t>ROBSON</t>
        </is>
      </c>
      <c r="E1774" s="7" t="inlineStr">
        <is>
          <t>Goiania Drill</t>
        </is>
      </c>
      <c r="F1774" s="13" t="inlineStr">
        <is>
          <t>Piloto e puxe PV 07 ao PV 08</t>
        </is>
      </c>
      <c r="G1774" s="7" t="inlineStr">
        <is>
          <t>07</t>
        </is>
      </c>
      <c r="H1774" s="7" t="inlineStr">
        <is>
          <t>08</t>
        </is>
      </c>
      <c r="I1774" s="7" t="inlineStr">
        <is>
          <t>07, 08</t>
        </is>
      </c>
      <c r="J1774" s="7" t="inlineStr">
        <is>
          <t>Piloto e puxe</t>
        </is>
      </c>
      <c r="K1774" s="7" t="inlineStr">
        <is>
          <t>Planejamento</t>
        </is>
      </c>
      <c r="L1774" s="16" t="inlineStr">
        <is>
          <t>PDS-Abril(2).docx</t>
        </is>
      </c>
      <c r="M1774">
        <f>IF($A1774="","",TEXT($A1774,"mmmm/yyyy"))</f>
        <v/>
      </c>
      <c r="P1774">
        <f>IFERROR(_xludf.XLOOKUP($N1774,Base_Enderecos!$A:$A,Base_Enderecos!$B:$B,""),"")</f>
        <v/>
      </c>
      <c r="Q1774">
        <f>IFERROR(_xludf.XLOOKUP($N1774,Base_Enderecos!$A:$A,Base_Enderecos!$C:$C,""),"")</f>
        <v/>
      </c>
      <c r="R1774">
        <f>IF(OR(ISNUMBER(SEARCH("HDD",$F1774)),ISNUMBER(SEARCH("MND",$F1774)),ISNUMBER(SEARCH("PEAD",$F1774)),ISNUMBER(SEARCH("Puxe",$J1774)),ISNUMBER(SEARCH("Apoio HDD",$F1774))),"MND",IF(OR(ISNUMBER(SEARCH("VCA",$F1774)),ISNUMBER(SEARCH("PVC",$F1774)),ISNUMBER(SEARCH("vca",$J1774)),ISNUMBER(SEARCH("Transformação",$J1774))),"VCA",IF(OR(ISNUMBER(SEARCH("crava",$F1774)),ISNUMBER(SEARCH("tubo cravado",$F1774)),ISNUMBER(SEARCH("shaft",$J1774)),ISNUMBER(SEARCH("concreto",$F1774))),"TUBO CRAVADO","")))</f>
        <v/>
      </c>
      <c r="T1774">
        <f>IF($A1774="","",TEXT($A1774,"yyyymm")&amp;"|"&amp;$C1774&amp;"|"&amp;$F1774&amp;"|"&amp;$N1774&amp;"|"&amp;$R1774)</f>
        <v/>
      </c>
    </row>
    <row r="1775" ht="11.55" customHeight="1">
      <c r="A1775" s="10" t="n">
        <v>46123</v>
      </c>
      <c r="B1775" s="7" t="n"/>
      <c r="C1775" s="7" t="inlineStr">
        <is>
          <t>CT LUIS BOTELHO MOURÃO</t>
        </is>
      </c>
      <c r="D1775" s="7" t="inlineStr">
        <is>
          <t>ROBSON</t>
        </is>
      </c>
      <c r="E1775" s="7" t="inlineStr">
        <is>
          <t>Bruno</t>
        </is>
      </c>
      <c r="F1775" s="13" t="inlineStr">
        <is>
          <t>Apoio HDD PV 07 ao PV 08</t>
        </is>
      </c>
      <c r="G1775" s="7" t="inlineStr">
        <is>
          <t>07</t>
        </is>
      </c>
      <c r="H1775" s="7" t="inlineStr">
        <is>
          <t>08</t>
        </is>
      </c>
      <c r="I1775" s="7" t="inlineStr">
        <is>
          <t>07, 08</t>
        </is>
      </c>
      <c r="J1775" s="7" t="inlineStr">
        <is>
          <t>Apoio HDD</t>
        </is>
      </c>
      <c r="K1775" s="7" t="inlineStr">
        <is>
          <t>Planejamento</t>
        </is>
      </c>
      <c r="L1775" s="16" t="inlineStr">
        <is>
          <t>PDS-Abril(2).docx</t>
        </is>
      </c>
      <c r="M1775">
        <f>IF($A1775="","",TEXT($A1775,"mmmm/yyyy"))</f>
        <v/>
      </c>
      <c r="P1775">
        <f>IFERROR(_xludf.XLOOKUP($N1775,Base_Enderecos!$A:$A,Base_Enderecos!$B:$B,""),"")</f>
        <v/>
      </c>
      <c r="Q1775">
        <f>IFERROR(_xludf.XLOOKUP($N1775,Base_Enderecos!$A:$A,Base_Enderecos!$C:$C,""),"")</f>
        <v/>
      </c>
      <c r="R1775">
        <f>IF(OR(ISNUMBER(SEARCH("HDD",$F1775)),ISNUMBER(SEARCH("MND",$F1775)),ISNUMBER(SEARCH("PEAD",$F1775)),ISNUMBER(SEARCH("Puxe",$J1775)),ISNUMBER(SEARCH("Apoio HDD",$F1775))),"MND",IF(OR(ISNUMBER(SEARCH("VCA",$F1775)),ISNUMBER(SEARCH("PVC",$F1775)),ISNUMBER(SEARCH("vca",$J1775)),ISNUMBER(SEARCH("Transformação",$J1775))),"VCA",IF(OR(ISNUMBER(SEARCH("crava",$F1775)),ISNUMBER(SEARCH("tubo cravado",$F1775)),ISNUMBER(SEARCH("shaft",$J1775)),ISNUMBER(SEARCH("concreto",$F1775))),"TUBO CRAVADO","")))</f>
        <v/>
      </c>
      <c r="T1775">
        <f>IF($A1775="","",TEXT($A1775,"yyyymm")&amp;"|"&amp;$C1775&amp;"|"&amp;$F1775&amp;"|"&amp;$N1775&amp;"|"&amp;$R1775)</f>
        <v/>
      </c>
    </row>
    <row r="1776" ht="11.55" customHeight="1">
      <c r="A1776" s="10" t="n">
        <v>46123</v>
      </c>
      <c r="B1776" s="7" t="n"/>
      <c r="C1776" s="7" t="inlineStr">
        <is>
          <t>CT LUIS BOTELHO MOURÃO</t>
        </is>
      </c>
      <c r="D1776" s="7" t="inlineStr">
        <is>
          <t>ROBSON</t>
        </is>
      </c>
      <c r="E1776" s="7" t="inlineStr">
        <is>
          <t>Marcio</t>
        </is>
      </c>
      <c r="F1776" s="13" t="inlineStr">
        <is>
          <t>Transformação + Interlig. PV 02</t>
        </is>
      </c>
      <c r="G1776" s="7" t="inlineStr">
        <is>
          <t>02</t>
        </is>
      </c>
      <c r="H1776" s="7" t="n"/>
      <c r="I1776" s="7" t="inlineStr">
        <is>
          <t>02</t>
        </is>
      </c>
      <c r="J1776" s="7" t="inlineStr">
        <is>
          <t>Transformação</t>
        </is>
      </c>
      <c r="K1776" s="7" t="inlineStr">
        <is>
          <t>Planejamento</t>
        </is>
      </c>
      <c r="L1776" s="16" t="inlineStr">
        <is>
          <t>PDS-Abril(2).docx</t>
        </is>
      </c>
      <c r="M1776">
        <f>IF($A1776="","",TEXT($A1776,"mmmm/yyyy"))</f>
        <v/>
      </c>
      <c r="P1776">
        <f>IFERROR(_xludf.XLOOKUP($N1776,Base_Enderecos!$A:$A,Base_Enderecos!$B:$B,""),"")</f>
        <v/>
      </c>
      <c r="Q1776">
        <f>IFERROR(_xludf.XLOOKUP($N1776,Base_Enderecos!$A:$A,Base_Enderecos!$C:$C,""),"")</f>
        <v/>
      </c>
      <c r="R1776">
        <f>IF(OR(ISNUMBER(SEARCH("HDD",$F1776)),ISNUMBER(SEARCH("MND",$F1776)),ISNUMBER(SEARCH("PEAD",$F1776)),ISNUMBER(SEARCH("Puxe",$J1776)),ISNUMBER(SEARCH("Apoio HDD",$F1776))),"MND",IF(OR(ISNUMBER(SEARCH("VCA",$F1776)),ISNUMBER(SEARCH("PVC",$F1776)),ISNUMBER(SEARCH("vca",$J1776)),ISNUMBER(SEARCH("Transformação",$J1776))),"VCA",IF(OR(ISNUMBER(SEARCH("crava",$F1776)),ISNUMBER(SEARCH("tubo cravado",$F1776)),ISNUMBER(SEARCH("shaft",$J1776)),ISNUMBER(SEARCH("concreto",$F1776))),"TUBO CRAVADO","")))</f>
        <v/>
      </c>
      <c r="T1776">
        <f>IF($A1776="","",TEXT($A1776,"yyyymm")&amp;"|"&amp;$C1776&amp;"|"&amp;$F1776&amp;"|"&amp;$N1776&amp;"|"&amp;$R1776)</f>
        <v/>
      </c>
    </row>
    <row r="1777" ht="11.55" customHeight="1">
      <c r="A1777" s="10" t="n">
        <v>46123</v>
      </c>
      <c r="B1777" s="7" t="n"/>
      <c r="C1777" s="7" t="inlineStr">
        <is>
          <t>CT LUIS BOTELHO MOURÃO</t>
        </is>
      </c>
      <c r="D1777" s="7" t="inlineStr">
        <is>
          <t>ROBSON</t>
        </is>
      </c>
      <c r="E1777" s="7" t="inlineStr">
        <is>
          <t>Jhonatan</t>
        </is>
      </c>
      <c r="F1777" s="13" t="inlineStr">
        <is>
          <t>Transformação PV 03</t>
        </is>
      </c>
      <c r="G1777" s="7" t="inlineStr">
        <is>
          <t>03</t>
        </is>
      </c>
      <c r="H1777" s="7" t="n"/>
      <c r="I1777" s="7" t="inlineStr">
        <is>
          <t>03</t>
        </is>
      </c>
      <c r="J1777" s="7" t="inlineStr">
        <is>
          <t>Transformação</t>
        </is>
      </c>
      <c r="K1777" s="7" t="inlineStr">
        <is>
          <t>Planejamento</t>
        </is>
      </c>
      <c r="L1777" s="16" t="inlineStr">
        <is>
          <t>PDS-Abril(2).docx</t>
        </is>
      </c>
      <c r="M1777">
        <f>IF($A1777="","",TEXT($A1777,"mmmm/yyyy"))</f>
        <v/>
      </c>
      <c r="P1777">
        <f>IFERROR(_xludf.XLOOKUP($N1777,Base_Enderecos!$A:$A,Base_Enderecos!$B:$B,""),"")</f>
        <v/>
      </c>
      <c r="Q1777">
        <f>IFERROR(_xludf.XLOOKUP($N1777,Base_Enderecos!$A:$A,Base_Enderecos!$C:$C,""),"")</f>
        <v/>
      </c>
      <c r="R1777">
        <f>IF(OR(ISNUMBER(SEARCH("HDD",$F1777)),ISNUMBER(SEARCH("MND",$F1777)),ISNUMBER(SEARCH("PEAD",$F1777)),ISNUMBER(SEARCH("Puxe",$J1777)),ISNUMBER(SEARCH("Apoio HDD",$F1777))),"MND",IF(OR(ISNUMBER(SEARCH("VCA",$F1777)),ISNUMBER(SEARCH("PVC",$F1777)),ISNUMBER(SEARCH("vca",$J1777)),ISNUMBER(SEARCH("Transformação",$J1777))),"VCA",IF(OR(ISNUMBER(SEARCH("crava",$F1777)),ISNUMBER(SEARCH("tubo cravado",$F1777)),ISNUMBER(SEARCH("shaft",$J1777)),ISNUMBER(SEARCH("concreto",$F1777))),"TUBO CRAVADO","")))</f>
        <v/>
      </c>
      <c r="T1777">
        <f>IF($A1777="","",TEXT($A1777,"yyyymm")&amp;"|"&amp;$C1777&amp;"|"&amp;$F1777&amp;"|"&amp;$N1777&amp;"|"&amp;$R1777)</f>
        <v/>
      </c>
    </row>
    <row r="1778" ht="11.55" customHeight="1">
      <c r="A1778" s="10" t="n">
        <v>46123</v>
      </c>
      <c r="B1778" s="7" t="n"/>
      <c r="C1778" s="7" t="inlineStr">
        <is>
          <t>CT LUIS BOTELHO MOURÃO</t>
        </is>
      </c>
      <c r="D1778" s="7" t="inlineStr">
        <is>
          <t>ROBSON</t>
        </is>
      </c>
      <c r="E1778" s="7" t="inlineStr">
        <is>
          <t>Ricardo</t>
        </is>
      </c>
      <c r="F1778" s="13" t="inlineStr">
        <is>
          <t>Shaft PV 06</t>
        </is>
      </c>
      <c r="G1778" s="7" t="inlineStr">
        <is>
          <t>06</t>
        </is>
      </c>
      <c r="H1778" s="7" t="n"/>
      <c r="I1778" s="7" t="inlineStr">
        <is>
          <t>06</t>
        </is>
      </c>
      <c r="J1778" s="7" t="inlineStr">
        <is>
          <t>Shaft</t>
        </is>
      </c>
      <c r="K1778" s="7" t="inlineStr">
        <is>
          <t>Planejamento</t>
        </is>
      </c>
      <c r="L1778" s="16" t="inlineStr">
        <is>
          <t>PDS-Abril(2).docx</t>
        </is>
      </c>
      <c r="M1778">
        <f>IF($A1778="","",TEXT($A1778,"mmmm/yyyy"))</f>
        <v/>
      </c>
      <c r="P1778">
        <f>IFERROR(_xludf.XLOOKUP($N1778,Base_Enderecos!$A:$A,Base_Enderecos!$B:$B,""),"")</f>
        <v/>
      </c>
      <c r="Q1778">
        <f>IFERROR(_xludf.XLOOKUP($N1778,Base_Enderecos!$A:$A,Base_Enderecos!$C:$C,""),"")</f>
        <v/>
      </c>
      <c r="R1778">
        <f>IF(OR(ISNUMBER(SEARCH("HDD",$F1778)),ISNUMBER(SEARCH("MND",$F1778)),ISNUMBER(SEARCH("PEAD",$F1778)),ISNUMBER(SEARCH("Puxe",$J1778)),ISNUMBER(SEARCH("Apoio HDD",$F1778))),"MND",IF(OR(ISNUMBER(SEARCH("VCA",$F1778)),ISNUMBER(SEARCH("PVC",$F1778)),ISNUMBER(SEARCH("vca",$J1778)),ISNUMBER(SEARCH("Transformação",$J1778))),"VCA",IF(OR(ISNUMBER(SEARCH("crava",$F1778)),ISNUMBER(SEARCH("tubo cravado",$F1778)),ISNUMBER(SEARCH("shaft",$J1778)),ISNUMBER(SEARCH("concreto",$F1778))),"TUBO CRAVADO","")))</f>
        <v/>
      </c>
      <c r="T1778">
        <f>IF($A1778="","",TEXT($A1778,"yyyymm")&amp;"|"&amp;$C1778&amp;"|"&amp;$F1778&amp;"|"&amp;$N1778&amp;"|"&amp;$R1778)</f>
        <v/>
      </c>
    </row>
    <row r="1779" ht="11.55" customHeight="1">
      <c r="A1779" s="10" t="n">
        <v>46123</v>
      </c>
      <c r="B1779" s="7" t="n"/>
      <c r="C1779" s="7" t="inlineStr">
        <is>
          <t>Vacal</t>
        </is>
      </c>
      <c r="D1779" s="7" t="n"/>
      <c r="E1779" s="7" t="inlineStr">
        <is>
          <t>Botelho Mourão – Renasce</t>
        </is>
      </c>
      <c r="F1779" s="13" t="inlineStr">
        <is>
          <t>Apoio Vacal</t>
        </is>
      </c>
      <c r="G1779" s="7" t="n"/>
      <c r="H1779" s="7" t="n"/>
      <c r="I1779" s="7" t="n"/>
      <c r="J1779" s="7" t="inlineStr">
        <is>
          <t>Vacal</t>
        </is>
      </c>
      <c r="K1779" s="7" t="inlineStr">
        <is>
          <t>Apoio</t>
        </is>
      </c>
      <c r="L1779" s="16" t="inlineStr">
        <is>
          <t>PDS-Abril(2).docx</t>
        </is>
      </c>
      <c r="M1779">
        <f>IF($A1779="","",TEXT($A1779,"mmmm/yyyy"))</f>
        <v/>
      </c>
      <c r="P1779">
        <f>IFERROR(_xludf.XLOOKUP($N1779,Base_Enderecos!$A:$A,Base_Enderecos!$B:$B,""),"")</f>
        <v/>
      </c>
      <c r="Q1779">
        <f>IFERROR(_xludf.XLOOKUP($N1779,Base_Enderecos!$A:$A,Base_Enderecos!$C:$C,""),"")</f>
        <v/>
      </c>
      <c r="R1779">
        <f>IF(OR(ISNUMBER(SEARCH("HDD",$F1779)),ISNUMBER(SEARCH("MND",$F1779)),ISNUMBER(SEARCH("PEAD",$F1779)),ISNUMBER(SEARCH("Puxe",$J1779)),ISNUMBER(SEARCH("Apoio HDD",$F1779))),"MND",IF(OR(ISNUMBER(SEARCH("VCA",$F1779)),ISNUMBER(SEARCH("PVC",$F1779)),ISNUMBER(SEARCH("vca",$J1779)),ISNUMBER(SEARCH("Transformação",$J1779))),"VCA",IF(OR(ISNUMBER(SEARCH("crava",$F1779)),ISNUMBER(SEARCH("tubo cravado",$F1779)),ISNUMBER(SEARCH("shaft",$J1779)),ISNUMBER(SEARCH("concreto",$F1779))),"TUBO CRAVADO","")))</f>
        <v/>
      </c>
      <c r="T1779">
        <f>IF($A1779="","",TEXT($A1779,"yyyymm")&amp;"|"&amp;$C1779&amp;"|"&amp;$F1779&amp;"|"&amp;$N1779&amp;"|"&amp;$R1779)</f>
        <v/>
      </c>
    </row>
    <row r="1780" ht="11.55" customHeight="1">
      <c r="A1780" s="10" t="n">
        <v>46123</v>
      </c>
      <c r="B1780" s="7" t="n"/>
      <c r="C1780" s="7" t="inlineStr">
        <is>
          <t>Vacal</t>
        </is>
      </c>
      <c r="D1780" s="7" t="n"/>
      <c r="E1780" s="7" t="inlineStr">
        <is>
          <t>Botelho Mourão –BRD</t>
        </is>
      </c>
      <c r="F1780" s="13" t="inlineStr">
        <is>
          <t>Apoio Vacal</t>
        </is>
      </c>
      <c r="G1780" s="7" t="n"/>
      <c r="H1780" s="7" t="n"/>
      <c r="I1780" s="7" t="n"/>
      <c r="J1780" s="7" t="inlineStr">
        <is>
          <t>Vacal</t>
        </is>
      </c>
      <c r="K1780" s="7" t="inlineStr">
        <is>
          <t>Apoio</t>
        </is>
      </c>
      <c r="L1780" s="16" t="inlineStr">
        <is>
          <t>PDS-Abril(2).docx</t>
        </is>
      </c>
      <c r="M1780">
        <f>IF($A1780="","",TEXT($A1780,"mmmm/yyyy"))</f>
        <v/>
      </c>
      <c r="P1780">
        <f>IFERROR(_xludf.XLOOKUP($N1780,Base_Enderecos!$A:$A,Base_Enderecos!$B:$B,""),"")</f>
        <v/>
      </c>
      <c r="Q1780">
        <f>IFERROR(_xludf.XLOOKUP($N1780,Base_Enderecos!$A:$A,Base_Enderecos!$C:$C,""),"")</f>
        <v/>
      </c>
      <c r="R1780">
        <f>IF(OR(ISNUMBER(SEARCH("HDD",$F1780)),ISNUMBER(SEARCH("MND",$F1780)),ISNUMBER(SEARCH("PEAD",$F1780)),ISNUMBER(SEARCH("Puxe",$J1780)),ISNUMBER(SEARCH("Apoio HDD",$F1780))),"MND",IF(OR(ISNUMBER(SEARCH("VCA",$F1780)),ISNUMBER(SEARCH("PVC",$F1780)),ISNUMBER(SEARCH("vca",$J1780)),ISNUMBER(SEARCH("Transformação",$J1780))),"VCA",IF(OR(ISNUMBER(SEARCH("crava",$F1780)),ISNUMBER(SEARCH("tubo cravado",$F1780)),ISNUMBER(SEARCH("shaft",$J1780)),ISNUMBER(SEARCH("concreto",$F1780))),"TUBO CRAVADO","")))</f>
        <v/>
      </c>
      <c r="T1780">
        <f>IF($A1780="","",TEXT($A1780,"yyyymm")&amp;"|"&amp;$C1780&amp;"|"&amp;$F1780&amp;"|"&amp;$N1780&amp;"|"&amp;$R1780)</f>
        <v/>
      </c>
    </row>
    <row r="1781" ht="11.55" customHeight="1">
      <c r="A1781" s="10" t="n">
        <v>46123</v>
      </c>
      <c r="B1781" s="7" t="n"/>
      <c r="C1781" s="7" t="inlineStr">
        <is>
          <t>Vacal</t>
        </is>
      </c>
      <c r="D1781" s="7" t="n"/>
      <c r="E1781" s="7" t="inlineStr">
        <is>
          <t>Botelho Mourão – Henko</t>
        </is>
      </c>
      <c r="F1781" s="13" t="inlineStr">
        <is>
          <t>Apoio Vacal</t>
        </is>
      </c>
      <c r="G1781" s="7" t="n"/>
      <c r="H1781" s="7" t="n"/>
      <c r="I1781" s="7" t="n"/>
      <c r="J1781" s="7" t="inlineStr">
        <is>
          <t>Vacal</t>
        </is>
      </c>
      <c r="K1781" s="7" t="inlineStr">
        <is>
          <t>Apoio</t>
        </is>
      </c>
      <c r="L1781" s="16" t="inlineStr">
        <is>
          <t>PDS-Abril(2).docx</t>
        </is>
      </c>
      <c r="M1781">
        <f>IF($A1781="","",TEXT($A1781,"mmmm/yyyy"))</f>
        <v/>
      </c>
      <c r="P1781">
        <f>IFERROR(_xludf.XLOOKUP($N1781,Base_Enderecos!$A:$A,Base_Enderecos!$B:$B,""),"")</f>
        <v/>
      </c>
      <c r="Q1781">
        <f>IFERROR(_xludf.XLOOKUP($N1781,Base_Enderecos!$A:$A,Base_Enderecos!$C:$C,""),"")</f>
        <v/>
      </c>
      <c r="R1781">
        <f>IF(OR(ISNUMBER(SEARCH("HDD",$F1781)),ISNUMBER(SEARCH("MND",$F1781)),ISNUMBER(SEARCH("PEAD",$F1781)),ISNUMBER(SEARCH("Puxe",$J1781)),ISNUMBER(SEARCH("Apoio HDD",$F1781))),"MND",IF(OR(ISNUMBER(SEARCH("VCA",$F1781)),ISNUMBER(SEARCH("PVC",$F1781)),ISNUMBER(SEARCH("vca",$J1781)),ISNUMBER(SEARCH("Transformação",$J1781))),"VCA",IF(OR(ISNUMBER(SEARCH("crava",$F1781)),ISNUMBER(SEARCH("tubo cravado",$F1781)),ISNUMBER(SEARCH("shaft",$J1781)),ISNUMBER(SEARCH("concreto",$F1781))),"TUBO CRAVADO","")))</f>
        <v/>
      </c>
      <c r="T1781">
        <f>IF($A1781="","",TEXT($A1781,"yyyymm")&amp;"|"&amp;$C1781&amp;"|"&amp;$F1781&amp;"|"&amp;$N1781&amp;"|"&amp;$R1781)</f>
        <v/>
      </c>
    </row>
    <row r="1782" ht="11.55" customHeight="1">
      <c r="A1782" s="10" t="n">
        <v>46123</v>
      </c>
      <c r="B1782" s="7" t="n"/>
      <c r="C1782" s="7" t="inlineStr">
        <is>
          <t>Vacal</t>
        </is>
      </c>
      <c r="D1782" s="7" t="n"/>
      <c r="E1782" s="7" t="inlineStr">
        <is>
          <t>Conceição – Renasce</t>
        </is>
      </c>
      <c r="F1782" s="13" t="inlineStr">
        <is>
          <t>Apoio Vacal</t>
        </is>
      </c>
      <c r="G1782" s="7" t="n"/>
      <c r="H1782" s="7" t="n"/>
      <c r="I1782" s="7" t="n"/>
      <c r="J1782" s="7" t="inlineStr">
        <is>
          <t>Vacal</t>
        </is>
      </c>
      <c r="K1782" s="7" t="inlineStr">
        <is>
          <t>Apoio</t>
        </is>
      </c>
      <c r="L1782" s="16" t="inlineStr">
        <is>
          <t>PDS-Abril(2).docx</t>
        </is>
      </c>
      <c r="M1782">
        <f>IF($A1782="","",TEXT($A1782,"mmmm/yyyy"))</f>
        <v/>
      </c>
      <c r="P1782">
        <f>IFERROR(_xludf.XLOOKUP($N1782,Base_Enderecos!$A:$A,Base_Enderecos!$B:$B,""),"")</f>
        <v/>
      </c>
      <c r="Q1782">
        <f>IFERROR(_xludf.XLOOKUP($N1782,Base_Enderecos!$A:$A,Base_Enderecos!$C:$C,""),"")</f>
        <v/>
      </c>
      <c r="R1782">
        <f>IF(OR(ISNUMBER(SEARCH("HDD",$F1782)),ISNUMBER(SEARCH("MND",$F1782)),ISNUMBER(SEARCH("PEAD",$F1782)),ISNUMBER(SEARCH("Puxe",$J1782)),ISNUMBER(SEARCH("Apoio HDD",$F1782))),"MND",IF(OR(ISNUMBER(SEARCH("VCA",$F1782)),ISNUMBER(SEARCH("PVC",$F1782)),ISNUMBER(SEARCH("vca",$J1782)),ISNUMBER(SEARCH("Transformação",$J1782))),"VCA",IF(OR(ISNUMBER(SEARCH("crava",$F1782)),ISNUMBER(SEARCH("tubo cravado",$F1782)),ISNUMBER(SEARCH("shaft",$J1782)),ISNUMBER(SEARCH("concreto",$F1782))),"TUBO CRAVADO","")))</f>
        <v/>
      </c>
      <c r="T1782">
        <f>IF($A1782="","",TEXT($A1782,"yyyymm")&amp;"|"&amp;$C1782&amp;"|"&amp;$F1782&amp;"|"&amp;$N1782&amp;"|"&amp;$R1782)</f>
        <v/>
      </c>
    </row>
    <row r="1783" ht="11.55" customHeight="1">
      <c r="A1783" s="10" t="n">
        <v>46123</v>
      </c>
      <c r="B1783" s="7" t="n"/>
      <c r="C1783" s="7" t="inlineStr">
        <is>
          <t>Vacal</t>
        </is>
      </c>
      <c r="D1783" s="7" t="n"/>
      <c r="E1783" s="7" t="inlineStr">
        <is>
          <t>Água Vermelh – Renasce</t>
        </is>
      </c>
      <c r="F1783" s="13" t="inlineStr">
        <is>
          <t>Apoio Vacal</t>
        </is>
      </c>
      <c r="G1783" s="7" t="n"/>
      <c r="H1783" s="7" t="n"/>
      <c r="I1783" s="7" t="n"/>
      <c r="J1783" s="7" t="inlineStr">
        <is>
          <t>Vacal</t>
        </is>
      </c>
      <c r="K1783" s="7" t="inlineStr">
        <is>
          <t>Apoio</t>
        </is>
      </c>
      <c r="L1783" s="16" t="inlineStr">
        <is>
          <t>PDS-Abril(2).docx</t>
        </is>
      </c>
      <c r="M1783">
        <f>IF($A1783="","",TEXT($A1783,"mmmm/yyyy"))</f>
        <v/>
      </c>
      <c r="P1783">
        <f>IFERROR(_xludf.XLOOKUP($N1783,Base_Enderecos!$A:$A,Base_Enderecos!$B:$B,""),"")</f>
        <v/>
      </c>
      <c r="Q1783">
        <f>IFERROR(_xludf.XLOOKUP($N1783,Base_Enderecos!$A:$A,Base_Enderecos!$C:$C,""),"")</f>
        <v/>
      </c>
      <c r="R1783">
        <f>IF(OR(ISNUMBER(SEARCH("HDD",$F1783)),ISNUMBER(SEARCH("MND",$F1783)),ISNUMBER(SEARCH("PEAD",$F1783)),ISNUMBER(SEARCH("Puxe",$J1783)),ISNUMBER(SEARCH("Apoio HDD",$F1783))),"MND",IF(OR(ISNUMBER(SEARCH("VCA",$F1783)),ISNUMBER(SEARCH("PVC",$F1783)),ISNUMBER(SEARCH("vca",$J1783)),ISNUMBER(SEARCH("Transformação",$J1783))),"VCA",IF(OR(ISNUMBER(SEARCH("crava",$F1783)),ISNUMBER(SEARCH("tubo cravado",$F1783)),ISNUMBER(SEARCH("shaft",$J1783)),ISNUMBER(SEARCH("concreto",$F1783))),"TUBO CRAVADO","")))</f>
        <v/>
      </c>
      <c r="T1783">
        <f>IF($A1783="","",TEXT($A1783,"yyyymm")&amp;"|"&amp;$C1783&amp;"|"&amp;$F1783&amp;"|"&amp;$N1783&amp;"|"&amp;$R1783)</f>
        <v/>
      </c>
    </row>
    <row r="1784" ht="11.55" customHeight="1">
      <c r="A1784" s="10" t="n">
        <v>46123</v>
      </c>
      <c r="B1784" s="7" t="n"/>
      <c r="C1784" s="7" t="inlineStr">
        <is>
          <t>Vacal</t>
        </is>
      </c>
      <c r="D1784" s="7" t="n"/>
      <c r="E1784" s="7" t="inlineStr">
        <is>
          <t>Água Vermelha - Renasce</t>
        </is>
      </c>
      <c r="F1784" s="13" t="inlineStr">
        <is>
          <t>Apoio Vacal</t>
        </is>
      </c>
      <c r="G1784" s="7" t="n"/>
      <c r="H1784" s="7" t="n"/>
      <c r="I1784" s="7" t="n"/>
      <c r="J1784" s="7" t="inlineStr">
        <is>
          <t>Vacal</t>
        </is>
      </c>
      <c r="K1784" s="7" t="inlineStr">
        <is>
          <t>Apoio</t>
        </is>
      </c>
      <c r="L1784" s="16" t="inlineStr">
        <is>
          <t>PDS-Abril(2).docx</t>
        </is>
      </c>
      <c r="M1784">
        <f>IF($A1784="","",TEXT($A1784,"mmmm/yyyy"))</f>
        <v/>
      </c>
      <c r="P1784">
        <f>IFERROR(_xludf.XLOOKUP($N1784,Base_Enderecos!$A:$A,Base_Enderecos!$B:$B,""),"")</f>
        <v/>
      </c>
      <c r="Q1784">
        <f>IFERROR(_xludf.XLOOKUP($N1784,Base_Enderecos!$A:$A,Base_Enderecos!$C:$C,""),"")</f>
        <v/>
      </c>
      <c r="R1784">
        <f>IF(OR(ISNUMBER(SEARCH("HDD",$F1784)),ISNUMBER(SEARCH("MND",$F1784)),ISNUMBER(SEARCH("PEAD",$F1784)),ISNUMBER(SEARCH("Puxe",$J1784)),ISNUMBER(SEARCH("Apoio HDD",$F1784))),"MND",IF(OR(ISNUMBER(SEARCH("VCA",$F1784)),ISNUMBER(SEARCH("PVC",$F1784)),ISNUMBER(SEARCH("vca",$J1784)),ISNUMBER(SEARCH("Transformação",$J1784))),"VCA",IF(OR(ISNUMBER(SEARCH("crava",$F1784)),ISNUMBER(SEARCH("tubo cravado",$F1784)),ISNUMBER(SEARCH("shaft",$J1784)),ISNUMBER(SEARCH("concreto",$F1784))),"TUBO CRAVADO","")))</f>
        <v/>
      </c>
      <c r="T1784">
        <f>IF($A1784="","",TEXT($A1784,"yyyymm")&amp;"|"&amp;$C1784&amp;"|"&amp;$F1784&amp;"|"&amp;$N1784&amp;"|"&amp;$R1784)</f>
        <v/>
      </c>
    </row>
    <row r="1785" ht="11.55" customHeight="1">
      <c r="A1785" s="10" t="n">
        <v>46123</v>
      </c>
      <c r="B1785" s="7" t="n"/>
      <c r="C1785" s="7" t="inlineStr">
        <is>
          <t>Guindauto</t>
        </is>
      </c>
      <c r="D1785" s="7" t="n"/>
      <c r="E1785" s="7" t="inlineStr">
        <is>
          <t>Marcio</t>
        </is>
      </c>
      <c r="F1785" s="13" t="inlineStr">
        <is>
          <t>Marcio - Apoio as equipes</t>
        </is>
      </c>
      <c r="G1785" s="7" t="n"/>
      <c r="H1785" s="7" t="n"/>
      <c r="I1785" s="7" t="n"/>
      <c r="J1785" s="7" t="inlineStr">
        <is>
          <t>Guindauto</t>
        </is>
      </c>
      <c r="K1785" s="7" t="inlineStr">
        <is>
          <t>Apoio</t>
        </is>
      </c>
      <c r="L1785" s="16" t="inlineStr">
        <is>
          <t>PDS-Abril(2).docx</t>
        </is>
      </c>
      <c r="M1785">
        <f>IF($A1785="","",TEXT($A1785,"mmmm/yyyy"))</f>
        <v/>
      </c>
      <c r="P1785">
        <f>IFERROR(_xludf.XLOOKUP($N1785,Base_Enderecos!$A:$A,Base_Enderecos!$B:$B,""),"")</f>
        <v/>
      </c>
      <c r="Q1785">
        <f>IFERROR(_xludf.XLOOKUP($N1785,Base_Enderecos!$A:$A,Base_Enderecos!$C:$C,""),"")</f>
        <v/>
      </c>
      <c r="R1785">
        <f>IF(OR(ISNUMBER(SEARCH("HDD",$F1785)),ISNUMBER(SEARCH("MND",$F1785)),ISNUMBER(SEARCH("PEAD",$F1785)),ISNUMBER(SEARCH("Puxe",$J1785)),ISNUMBER(SEARCH("Apoio HDD",$F1785))),"MND",IF(OR(ISNUMBER(SEARCH("VCA",$F1785)),ISNUMBER(SEARCH("PVC",$F1785)),ISNUMBER(SEARCH("vca",$J1785)),ISNUMBER(SEARCH("Transformação",$J1785))),"VCA",IF(OR(ISNUMBER(SEARCH("crava",$F1785)),ISNUMBER(SEARCH("tubo cravado",$F1785)),ISNUMBER(SEARCH("shaft",$J1785)),ISNUMBER(SEARCH("concreto",$F1785))),"TUBO CRAVADO","")))</f>
        <v/>
      </c>
      <c r="T1785">
        <f>IF($A1785="","",TEXT($A1785,"yyyymm")&amp;"|"&amp;$C1785&amp;"|"&amp;$F1785&amp;"|"&amp;$N1785&amp;"|"&amp;$R1785)</f>
        <v/>
      </c>
    </row>
    <row r="1786" ht="11.55" customHeight="1">
      <c r="A1786" s="10" t="n">
        <v>46124</v>
      </c>
      <c r="B1786" s="7" t="n"/>
      <c r="C1786" s="7" t="inlineStr">
        <is>
          <t>CT ÁGUA VERMELHA M.D. e M.E</t>
        </is>
      </c>
      <c r="D1786" s="7" t="inlineStr">
        <is>
          <t>FABIO e VALMIR</t>
        </is>
      </c>
      <c r="E1786" s="7" t="inlineStr">
        <is>
          <t>Cidão</t>
        </is>
      </c>
      <c r="F1786" s="13" t="inlineStr">
        <is>
          <t>Shaft PI.E 21</t>
        </is>
      </c>
      <c r="G1786" s="7" t="n"/>
      <c r="H1786" s="7" t="n"/>
      <c r="I1786" s="7" t="n"/>
      <c r="J1786" s="7" t="inlineStr">
        <is>
          <t>Shaft</t>
        </is>
      </c>
      <c r="K1786" s="7" t="inlineStr">
        <is>
          <t>Planejamento</t>
        </is>
      </c>
      <c r="L1786" s="16" t="inlineStr">
        <is>
          <t>PDS-Abril(2).docx</t>
        </is>
      </c>
      <c r="M1786">
        <f>IF($A1786="","",TEXT($A1786,"mmmm/yyyy"))</f>
        <v/>
      </c>
      <c r="P1786">
        <f>IFERROR(_xludf.XLOOKUP($N1786,Base_Enderecos!$A:$A,Base_Enderecos!$B:$B,""),"")</f>
        <v/>
      </c>
      <c r="Q1786">
        <f>IFERROR(_xludf.XLOOKUP($N1786,Base_Enderecos!$A:$A,Base_Enderecos!$C:$C,""),"")</f>
        <v/>
      </c>
      <c r="R1786">
        <f>IF(OR(ISNUMBER(SEARCH("HDD",$F1786)),ISNUMBER(SEARCH("MND",$F1786)),ISNUMBER(SEARCH("PEAD",$F1786)),ISNUMBER(SEARCH("Puxe",$J1786)),ISNUMBER(SEARCH("Apoio HDD",$F1786))),"MND",IF(OR(ISNUMBER(SEARCH("VCA",$F1786)),ISNUMBER(SEARCH("PVC",$F1786)),ISNUMBER(SEARCH("vca",$J1786)),ISNUMBER(SEARCH("Transformação",$J1786))),"VCA",IF(OR(ISNUMBER(SEARCH("crava",$F1786)),ISNUMBER(SEARCH("tubo cravado",$F1786)),ISNUMBER(SEARCH("shaft",$J1786)),ISNUMBER(SEARCH("concreto",$F1786))),"TUBO CRAVADO","")))</f>
        <v/>
      </c>
      <c r="T1786">
        <f>IF($A1786="","",TEXT($A1786,"yyyymm")&amp;"|"&amp;$C1786&amp;"|"&amp;$F1786&amp;"|"&amp;$N1786&amp;"|"&amp;$R1786)</f>
        <v/>
      </c>
    </row>
    <row r="1787" ht="11.55" customHeight="1">
      <c r="A1787" s="10" t="n">
        <v>46124</v>
      </c>
      <c r="B1787" s="7" t="n"/>
      <c r="C1787" s="7" t="inlineStr">
        <is>
          <t>CT ÁGUA VERMELHA M.D. e M.E</t>
        </is>
      </c>
      <c r="D1787" s="7" t="inlineStr">
        <is>
          <t>FABIO e VALMIR</t>
        </is>
      </c>
      <c r="E1787" s="7" t="inlineStr">
        <is>
          <t>Marcelo</t>
        </is>
      </c>
      <c r="F1787" s="13" t="inlineStr">
        <is>
          <t>Shaft PVE 19</t>
        </is>
      </c>
      <c r="G1787" s="7" t="inlineStr">
        <is>
          <t>19</t>
        </is>
      </c>
      <c r="H1787" s="7" t="n"/>
      <c r="I1787" s="7" t="inlineStr">
        <is>
          <t>19</t>
        </is>
      </c>
      <c r="J1787" s="7" t="inlineStr">
        <is>
          <t>Shaft</t>
        </is>
      </c>
      <c r="K1787" s="7" t="inlineStr">
        <is>
          <t>Planejamento</t>
        </is>
      </c>
      <c r="L1787" s="16" t="inlineStr">
        <is>
          <t>PDS-Abril(2).docx</t>
        </is>
      </c>
      <c r="M1787">
        <f>IF($A1787="","",TEXT($A1787,"mmmm/yyyy"))</f>
        <v/>
      </c>
      <c r="P1787">
        <f>IFERROR(_xludf.XLOOKUP($N1787,Base_Enderecos!$A:$A,Base_Enderecos!$B:$B,""),"")</f>
        <v/>
      </c>
      <c r="Q1787">
        <f>IFERROR(_xludf.XLOOKUP($N1787,Base_Enderecos!$A:$A,Base_Enderecos!$C:$C,""),"")</f>
        <v/>
      </c>
      <c r="R1787">
        <f>IF(OR(ISNUMBER(SEARCH("HDD",$F1787)),ISNUMBER(SEARCH("MND",$F1787)),ISNUMBER(SEARCH("PEAD",$F1787)),ISNUMBER(SEARCH("Puxe",$J1787)),ISNUMBER(SEARCH("Apoio HDD",$F1787))),"MND",IF(OR(ISNUMBER(SEARCH("VCA",$F1787)),ISNUMBER(SEARCH("PVC",$F1787)),ISNUMBER(SEARCH("vca",$J1787)),ISNUMBER(SEARCH("Transformação",$J1787))),"VCA",IF(OR(ISNUMBER(SEARCH("crava",$F1787)),ISNUMBER(SEARCH("tubo cravado",$F1787)),ISNUMBER(SEARCH("shaft",$J1787)),ISNUMBER(SEARCH("concreto",$F1787))),"TUBO CRAVADO","")))</f>
        <v/>
      </c>
      <c r="T1787">
        <f>IF($A1787="","",TEXT($A1787,"yyyymm")&amp;"|"&amp;$C1787&amp;"|"&amp;$F1787&amp;"|"&amp;$N1787&amp;"|"&amp;$R1787)</f>
        <v/>
      </c>
    </row>
    <row r="1788" ht="11.55" customHeight="1">
      <c r="A1788" s="10" t="n">
        <v>46124</v>
      </c>
      <c r="B1788" s="7" t="n"/>
      <c r="C1788" s="7" t="inlineStr">
        <is>
          <t>CT ÁGUA VERMELHA M.D. e M.E</t>
        </is>
      </c>
      <c r="D1788" s="7" t="inlineStr">
        <is>
          <t>FABIO e VALMIR</t>
        </is>
      </c>
      <c r="E1788" s="7" t="inlineStr">
        <is>
          <t>Edivando</t>
        </is>
      </c>
      <c r="F1788" s="13" t="inlineStr">
        <is>
          <t>Shaft PVE 24</t>
        </is>
      </c>
      <c r="G1788" s="7" t="inlineStr">
        <is>
          <t>24</t>
        </is>
      </c>
      <c r="H1788" s="7" t="n"/>
      <c r="I1788" s="7" t="inlineStr">
        <is>
          <t>24</t>
        </is>
      </c>
      <c r="J1788" s="7" t="inlineStr">
        <is>
          <t>Shaft</t>
        </is>
      </c>
      <c r="K1788" s="7" t="inlineStr">
        <is>
          <t>Planejamento</t>
        </is>
      </c>
      <c r="L1788" s="16" t="inlineStr">
        <is>
          <t>PDS-Abril(2).docx</t>
        </is>
      </c>
      <c r="M1788">
        <f>IF($A1788="","",TEXT($A1788,"mmmm/yyyy"))</f>
        <v/>
      </c>
      <c r="P1788">
        <f>IFERROR(_xludf.XLOOKUP($N1788,Base_Enderecos!$A:$A,Base_Enderecos!$B:$B,""),"")</f>
        <v/>
      </c>
      <c r="Q1788">
        <f>IFERROR(_xludf.XLOOKUP($N1788,Base_Enderecos!$A:$A,Base_Enderecos!$C:$C,""),"")</f>
        <v/>
      </c>
      <c r="R1788">
        <f>IF(OR(ISNUMBER(SEARCH("HDD",$F1788)),ISNUMBER(SEARCH("MND",$F1788)),ISNUMBER(SEARCH("PEAD",$F1788)),ISNUMBER(SEARCH("Puxe",$J1788)),ISNUMBER(SEARCH("Apoio HDD",$F1788))),"MND",IF(OR(ISNUMBER(SEARCH("VCA",$F1788)),ISNUMBER(SEARCH("PVC",$F1788)),ISNUMBER(SEARCH("vca",$J1788)),ISNUMBER(SEARCH("Transformação",$J1788))),"VCA",IF(OR(ISNUMBER(SEARCH("crava",$F1788)),ISNUMBER(SEARCH("tubo cravado",$F1788)),ISNUMBER(SEARCH("shaft",$J1788)),ISNUMBER(SEARCH("concreto",$F1788))),"TUBO CRAVADO","")))</f>
        <v/>
      </c>
      <c r="T1788">
        <f>IF($A1788="","",TEXT($A1788,"yyyymm")&amp;"|"&amp;$C1788&amp;"|"&amp;$F1788&amp;"|"&amp;$N1788&amp;"|"&amp;$R1788)</f>
        <v/>
      </c>
    </row>
    <row r="1789" ht="11.55" customHeight="1">
      <c r="A1789" s="10" t="n">
        <v>46124</v>
      </c>
      <c r="B1789" s="7" t="n"/>
      <c r="C1789" s="7" t="inlineStr">
        <is>
          <t>CT ÁGUA VERMELHA M.D. e M.E</t>
        </is>
      </c>
      <c r="D1789" s="7" t="inlineStr">
        <is>
          <t>FABIO e VALMIR</t>
        </is>
      </c>
      <c r="E1789" s="7" t="inlineStr">
        <is>
          <t>Antônio</t>
        </is>
      </c>
      <c r="F1789" s="13" t="inlineStr">
        <is>
          <t>Shaft PV 04</t>
        </is>
      </c>
      <c r="G1789" s="7" t="inlineStr">
        <is>
          <t>04</t>
        </is>
      </c>
      <c r="H1789" s="7" t="n"/>
      <c r="I1789" s="7" t="inlineStr">
        <is>
          <t>04</t>
        </is>
      </c>
      <c r="J1789" s="7" t="inlineStr">
        <is>
          <t>Shaft</t>
        </is>
      </c>
      <c r="K1789" s="7" t="inlineStr">
        <is>
          <t>Planejamento</t>
        </is>
      </c>
      <c r="L1789" s="16" t="inlineStr">
        <is>
          <t>PDS-Abril(2).docx</t>
        </is>
      </c>
      <c r="M1789">
        <f>IF($A1789="","",TEXT($A1789,"mmmm/yyyy"))</f>
        <v/>
      </c>
      <c r="P1789">
        <f>IFERROR(_xludf.XLOOKUP($N1789,Base_Enderecos!$A:$A,Base_Enderecos!$B:$B,""),"")</f>
        <v/>
      </c>
      <c r="Q1789">
        <f>IFERROR(_xludf.XLOOKUP($N1789,Base_Enderecos!$A:$A,Base_Enderecos!$C:$C,""),"")</f>
        <v/>
      </c>
      <c r="R1789">
        <f>IF(OR(ISNUMBER(SEARCH("HDD",$F1789)),ISNUMBER(SEARCH("MND",$F1789)),ISNUMBER(SEARCH("PEAD",$F1789)),ISNUMBER(SEARCH("Puxe",$J1789)),ISNUMBER(SEARCH("Apoio HDD",$F1789))),"MND",IF(OR(ISNUMBER(SEARCH("VCA",$F1789)),ISNUMBER(SEARCH("PVC",$F1789)),ISNUMBER(SEARCH("vca",$J1789)),ISNUMBER(SEARCH("Transformação",$J1789))),"VCA",IF(OR(ISNUMBER(SEARCH("crava",$F1789)),ISNUMBER(SEARCH("tubo cravado",$F1789)),ISNUMBER(SEARCH("shaft",$J1789)),ISNUMBER(SEARCH("concreto",$F1789))),"TUBO CRAVADO","")))</f>
        <v/>
      </c>
      <c r="T1789">
        <f>IF($A1789="","",TEXT($A1789,"yyyymm")&amp;"|"&amp;$C1789&amp;"|"&amp;$F1789&amp;"|"&amp;$N1789&amp;"|"&amp;$R1789)</f>
        <v/>
      </c>
    </row>
    <row r="1790" ht="11.55" customHeight="1">
      <c r="A1790" s="10" t="n">
        <v>46124</v>
      </c>
      <c r="B1790" s="7" t="n"/>
      <c r="C1790" s="7" t="inlineStr">
        <is>
          <t>CTS LUIS BOTELHO MOURÃO</t>
        </is>
      </c>
      <c r="D1790" s="7" t="inlineStr">
        <is>
          <t>SILVESTRE</t>
        </is>
      </c>
      <c r="E1790" s="7" t="inlineStr">
        <is>
          <t>Marcio</t>
        </is>
      </c>
      <c r="F1790" s="13" t="inlineStr">
        <is>
          <t>Transformação PV 02</t>
        </is>
      </c>
      <c r="G1790" s="7" t="inlineStr">
        <is>
          <t>02</t>
        </is>
      </c>
      <c r="H1790" s="7" t="n"/>
      <c r="I1790" s="7" t="inlineStr">
        <is>
          <t>02</t>
        </is>
      </c>
      <c r="J1790" s="7" t="inlineStr">
        <is>
          <t>Transformação</t>
        </is>
      </c>
      <c r="K1790" s="7" t="inlineStr">
        <is>
          <t>Planejamento</t>
        </is>
      </c>
      <c r="L1790" s="16" t="inlineStr">
        <is>
          <t>PDS-Abril(2).docx</t>
        </is>
      </c>
      <c r="M1790">
        <f>IF($A1790="","",TEXT($A1790,"mmmm/yyyy"))</f>
        <v/>
      </c>
      <c r="P1790">
        <f>IFERROR(_xludf.XLOOKUP($N1790,Base_Enderecos!$A:$A,Base_Enderecos!$B:$B,""),"")</f>
        <v/>
      </c>
      <c r="Q1790">
        <f>IFERROR(_xludf.XLOOKUP($N1790,Base_Enderecos!$A:$A,Base_Enderecos!$C:$C,""),"")</f>
        <v/>
      </c>
      <c r="R1790">
        <f>IF(OR(ISNUMBER(SEARCH("HDD",$F1790)),ISNUMBER(SEARCH("MND",$F1790)),ISNUMBER(SEARCH("PEAD",$F1790)),ISNUMBER(SEARCH("Puxe",$J1790)),ISNUMBER(SEARCH("Apoio HDD",$F1790))),"MND",IF(OR(ISNUMBER(SEARCH("VCA",$F1790)),ISNUMBER(SEARCH("PVC",$F1790)),ISNUMBER(SEARCH("vca",$J1790)),ISNUMBER(SEARCH("Transformação",$J1790))),"VCA",IF(OR(ISNUMBER(SEARCH("crava",$F1790)),ISNUMBER(SEARCH("tubo cravado",$F1790)),ISNUMBER(SEARCH("shaft",$J1790)),ISNUMBER(SEARCH("concreto",$F1790))),"TUBO CRAVADO","")))</f>
        <v/>
      </c>
      <c r="T1790">
        <f>IF($A1790="","",TEXT($A1790,"yyyymm")&amp;"|"&amp;$C1790&amp;"|"&amp;$F1790&amp;"|"&amp;$N1790&amp;"|"&amp;$R1790)</f>
        <v/>
      </c>
    </row>
    <row r="1791" ht="11.55" customHeight="1">
      <c r="A1791" s="10" t="n">
        <v>46124</v>
      </c>
      <c r="B1791" s="7" t="n"/>
      <c r="C1791" s="7" t="inlineStr">
        <is>
          <t>CTS LUIS BOTELHO MOURÃO</t>
        </is>
      </c>
      <c r="D1791" s="7" t="inlineStr">
        <is>
          <t>SILVESTRE</t>
        </is>
      </c>
      <c r="E1791" s="7" t="inlineStr">
        <is>
          <t>Jhonatan</t>
        </is>
      </c>
      <c r="F1791" s="13" t="inlineStr">
        <is>
          <t>Shaft PV 06</t>
        </is>
      </c>
      <c r="G1791" s="7" t="inlineStr">
        <is>
          <t>06</t>
        </is>
      </c>
      <c r="H1791" s="7" t="n"/>
      <c r="I1791" s="7" t="inlineStr">
        <is>
          <t>06</t>
        </is>
      </c>
      <c r="J1791" s="7" t="inlineStr">
        <is>
          <t>Shaft</t>
        </is>
      </c>
      <c r="K1791" s="7" t="inlineStr">
        <is>
          <t>Planejamento</t>
        </is>
      </c>
      <c r="L1791" s="16" t="inlineStr">
        <is>
          <t>PDS-Abril(2).docx</t>
        </is>
      </c>
      <c r="M1791">
        <f>IF($A1791="","",TEXT($A1791,"mmmm/yyyy"))</f>
        <v/>
      </c>
      <c r="P1791">
        <f>IFERROR(_xludf.XLOOKUP($N1791,Base_Enderecos!$A:$A,Base_Enderecos!$B:$B,""),"")</f>
        <v/>
      </c>
      <c r="Q1791">
        <f>IFERROR(_xludf.XLOOKUP($N1791,Base_Enderecos!$A:$A,Base_Enderecos!$C:$C,""),"")</f>
        <v/>
      </c>
      <c r="R1791">
        <f>IF(OR(ISNUMBER(SEARCH("HDD",$F1791)),ISNUMBER(SEARCH("MND",$F1791)),ISNUMBER(SEARCH("PEAD",$F1791)),ISNUMBER(SEARCH("Puxe",$J1791)),ISNUMBER(SEARCH("Apoio HDD",$F1791))),"MND",IF(OR(ISNUMBER(SEARCH("VCA",$F1791)),ISNUMBER(SEARCH("PVC",$F1791)),ISNUMBER(SEARCH("vca",$J1791)),ISNUMBER(SEARCH("Transformação",$J1791))),"VCA",IF(OR(ISNUMBER(SEARCH("crava",$F1791)),ISNUMBER(SEARCH("tubo cravado",$F1791)),ISNUMBER(SEARCH("shaft",$J1791)),ISNUMBER(SEARCH("concreto",$F1791))),"TUBO CRAVADO","")))</f>
        <v/>
      </c>
      <c r="T1791">
        <f>IF($A1791="","",TEXT($A1791,"yyyymm")&amp;"|"&amp;$C1791&amp;"|"&amp;$F1791&amp;"|"&amp;$N1791&amp;"|"&amp;$R1791)</f>
        <v/>
      </c>
    </row>
    <row r="1792" ht="11.55" customHeight="1">
      <c r="A1792" s="10" t="n">
        <v>46124</v>
      </c>
      <c r="B1792" s="7" t="n"/>
      <c r="C1792" s="7" t="inlineStr">
        <is>
          <t>Vacal</t>
        </is>
      </c>
      <c r="D1792" s="7" t="n"/>
      <c r="E1792" s="7" t="inlineStr">
        <is>
          <t>Botelho Mourão – Renasce</t>
        </is>
      </c>
      <c r="F1792" s="13" t="inlineStr">
        <is>
          <t>Apoio Vacal</t>
        </is>
      </c>
      <c r="G1792" s="7" t="n"/>
      <c r="H1792" s="7" t="n"/>
      <c r="I1792" s="7" t="n"/>
      <c r="J1792" s="7" t="inlineStr">
        <is>
          <t>Vacal</t>
        </is>
      </c>
      <c r="K1792" s="7" t="inlineStr">
        <is>
          <t>Apoio</t>
        </is>
      </c>
      <c r="L1792" s="16" t="inlineStr">
        <is>
          <t>PDS-Abril(2).docx</t>
        </is>
      </c>
      <c r="M1792">
        <f>IF($A1792="","",TEXT($A1792,"mmmm/yyyy"))</f>
        <v/>
      </c>
      <c r="P1792">
        <f>IFERROR(_xludf.XLOOKUP($N1792,Base_Enderecos!$A:$A,Base_Enderecos!$B:$B,""),"")</f>
        <v/>
      </c>
      <c r="Q1792">
        <f>IFERROR(_xludf.XLOOKUP($N1792,Base_Enderecos!$A:$A,Base_Enderecos!$C:$C,""),"")</f>
        <v/>
      </c>
      <c r="R1792">
        <f>IF(OR(ISNUMBER(SEARCH("HDD",$F1792)),ISNUMBER(SEARCH("MND",$F1792)),ISNUMBER(SEARCH("PEAD",$F1792)),ISNUMBER(SEARCH("Puxe",$J1792)),ISNUMBER(SEARCH("Apoio HDD",$F1792))),"MND",IF(OR(ISNUMBER(SEARCH("VCA",$F1792)),ISNUMBER(SEARCH("PVC",$F1792)),ISNUMBER(SEARCH("vca",$J1792)),ISNUMBER(SEARCH("Transformação",$J1792))),"VCA",IF(OR(ISNUMBER(SEARCH("crava",$F1792)),ISNUMBER(SEARCH("tubo cravado",$F1792)),ISNUMBER(SEARCH("shaft",$J1792)),ISNUMBER(SEARCH("concreto",$F1792))),"TUBO CRAVADO","")))</f>
        <v/>
      </c>
      <c r="T1792">
        <f>IF($A1792="","",TEXT($A1792,"yyyymm")&amp;"|"&amp;$C1792&amp;"|"&amp;$F1792&amp;"|"&amp;$N1792&amp;"|"&amp;$R1792)</f>
        <v/>
      </c>
    </row>
    <row r="1793" ht="11.55" customHeight="1">
      <c r="A1793" s="10" t="n">
        <v>46124</v>
      </c>
      <c r="B1793" s="7" t="n"/>
      <c r="C1793" s="7" t="inlineStr">
        <is>
          <t>Vacal</t>
        </is>
      </c>
      <c r="D1793" s="7" t="n"/>
      <c r="E1793" s="7" t="inlineStr">
        <is>
          <t>Botelho Mourão – Renasce</t>
        </is>
      </c>
      <c r="F1793" s="13" t="inlineStr">
        <is>
          <t>Apoio Vacal</t>
        </is>
      </c>
      <c r="G1793" s="7" t="n"/>
      <c r="H1793" s="7" t="n"/>
      <c r="I1793" s="7" t="n"/>
      <c r="J1793" s="7" t="inlineStr">
        <is>
          <t>Vacal</t>
        </is>
      </c>
      <c r="K1793" s="7" t="inlineStr">
        <is>
          <t>Apoio</t>
        </is>
      </c>
      <c r="L1793" s="16" t="inlineStr">
        <is>
          <t>PDS-Abril(2).docx</t>
        </is>
      </c>
      <c r="M1793">
        <f>IF($A1793="","",TEXT($A1793,"mmmm/yyyy"))</f>
        <v/>
      </c>
      <c r="P1793">
        <f>IFERROR(_xludf.XLOOKUP($N1793,Base_Enderecos!$A:$A,Base_Enderecos!$B:$B,""),"")</f>
        <v/>
      </c>
      <c r="Q1793">
        <f>IFERROR(_xludf.XLOOKUP($N1793,Base_Enderecos!$A:$A,Base_Enderecos!$C:$C,""),"")</f>
        <v/>
      </c>
      <c r="R1793">
        <f>IF(OR(ISNUMBER(SEARCH("HDD",$F1793)),ISNUMBER(SEARCH("MND",$F1793)),ISNUMBER(SEARCH("PEAD",$F1793)),ISNUMBER(SEARCH("Puxe",$J1793)),ISNUMBER(SEARCH("Apoio HDD",$F1793))),"MND",IF(OR(ISNUMBER(SEARCH("VCA",$F1793)),ISNUMBER(SEARCH("PVC",$F1793)),ISNUMBER(SEARCH("vca",$J1793)),ISNUMBER(SEARCH("Transformação",$J1793))),"VCA",IF(OR(ISNUMBER(SEARCH("crava",$F1793)),ISNUMBER(SEARCH("tubo cravado",$F1793)),ISNUMBER(SEARCH("shaft",$J1793)),ISNUMBER(SEARCH("concreto",$F1793))),"TUBO CRAVADO","")))</f>
        <v/>
      </c>
      <c r="T1793">
        <f>IF($A1793="","",TEXT($A1793,"yyyymm")&amp;"|"&amp;$C1793&amp;"|"&amp;$F1793&amp;"|"&amp;$N1793&amp;"|"&amp;$R1793)</f>
        <v/>
      </c>
    </row>
    <row r="1794" ht="11.55" customHeight="1">
      <c r="A1794" s="10" t="n">
        <v>46124</v>
      </c>
      <c r="B1794" s="7" t="n"/>
      <c r="C1794" s="7" t="inlineStr">
        <is>
          <t>Vacal</t>
        </is>
      </c>
      <c r="D1794" s="7" t="n"/>
      <c r="E1794" s="7" t="inlineStr">
        <is>
          <t>Água Vermelha – Renasce</t>
        </is>
      </c>
      <c r="F1794" s="13" t="inlineStr">
        <is>
          <t>Apoio Vacal</t>
        </is>
      </c>
      <c r="G1794" s="7" t="n"/>
      <c r="H1794" s="7" t="n"/>
      <c r="I1794" s="7" t="n"/>
      <c r="J1794" s="7" t="inlineStr">
        <is>
          <t>Vacal</t>
        </is>
      </c>
      <c r="K1794" s="7" t="inlineStr">
        <is>
          <t>Apoio</t>
        </is>
      </c>
      <c r="L1794" s="16" t="inlineStr">
        <is>
          <t>PDS-Abril(2).docx</t>
        </is>
      </c>
      <c r="M1794">
        <f>IF($A1794="","",TEXT($A1794,"mmmm/yyyy"))</f>
        <v/>
      </c>
      <c r="P1794">
        <f>IFERROR(_xludf.XLOOKUP($N1794,Base_Enderecos!$A:$A,Base_Enderecos!$B:$B,""),"")</f>
        <v/>
      </c>
      <c r="Q1794">
        <f>IFERROR(_xludf.XLOOKUP($N1794,Base_Enderecos!$A:$A,Base_Enderecos!$C:$C,""),"")</f>
        <v/>
      </c>
      <c r="R1794">
        <f>IF(OR(ISNUMBER(SEARCH("HDD",$F1794)),ISNUMBER(SEARCH("MND",$F1794)),ISNUMBER(SEARCH("PEAD",$F1794)),ISNUMBER(SEARCH("Puxe",$J1794)),ISNUMBER(SEARCH("Apoio HDD",$F1794))),"MND",IF(OR(ISNUMBER(SEARCH("VCA",$F1794)),ISNUMBER(SEARCH("PVC",$F1794)),ISNUMBER(SEARCH("vca",$J1794)),ISNUMBER(SEARCH("Transformação",$J1794))),"VCA",IF(OR(ISNUMBER(SEARCH("crava",$F1794)),ISNUMBER(SEARCH("tubo cravado",$F1794)),ISNUMBER(SEARCH("shaft",$J1794)),ISNUMBER(SEARCH("concreto",$F1794))),"TUBO CRAVADO","")))</f>
        <v/>
      </c>
      <c r="T1794">
        <f>IF($A1794="","",TEXT($A1794,"yyyymm")&amp;"|"&amp;$C1794&amp;"|"&amp;$F1794&amp;"|"&amp;$N1794&amp;"|"&amp;$R1794)</f>
        <v/>
      </c>
    </row>
    <row r="1795" ht="11.55" customHeight="1">
      <c r="A1795" s="10" t="n">
        <v>46124</v>
      </c>
      <c r="B1795" s="7" t="n"/>
      <c r="C1795" s="7" t="inlineStr">
        <is>
          <t>Vacal</t>
        </is>
      </c>
      <c r="D1795" s="7" t="n"/>
      <c r="E1795" s="7" t="inlineStr">
        <is>
          <t>Água Vermelha - Renasce</t>
        </is>
      </c>
      <c r="F1795" s="13" t="inlineStr">
        <is>
          <t>Apoio Vacal</t>
        </is>
      </c>
      <c r="G1795" s="7" t="n"/>
      <c r="H1795" s="7" t="n"/>
      <c r="I1795" s="7" t="n"/>
      <c r="J1795" s="7" t="inlineStr">
        <is>
          <t>Vacal</t>
        </is>
      </c>
      <c r="K1795" s="7" t="inlineStr">
        <is>
          <t>Apoio</t>
        </is>
      </c>
      <c r="L1795" s="16" t="inlineStr">
        <is>
          <t>PDS-Abril(2).docx</t>
        </is>
      </c>
      <c r="M1795">
        <f>IF($A1795="","",TEXT($A1795,"mmmm/yyyy"))</f>
        <v/>
      </c>
      <c r="P1795">
        <f>IFERROR(_xludf.XLOOKUP($N1795,Base_Enderecos!$A:$A,Base_Enderecos!$B:$B,""),"")</f>
        <v/>
      </c>
      <c r="Q1795">
        <f>IFERROR(_xludf.XLOOKUP($N1795,Base_Enderecos!$A:$A,Base_Enderecos!$C:$C,""),"")</f>
        <v/>
      </c>
      <c r="R1795">
        <f>IF(OR(ISNUMBER(SEARCH("HDD",$F1795)),ISNUMBER(SEARCH("MND",$F1795)),ISNUMBER(SEARCH("PEAD",$F1795)),ISNUMBER(SEARCH("Puxe",$J1795)),ISNUMBER(SEARCH("Apoio HDD",$F1795))),"MND",IF(OR(ISNUMBER(SEARCH("VCA",$F1795)),ISNUMBER(SEARCH("PVC",$F1795)),ISNUMBER(SEARCH("vca",$J1795)),ISNUMBER(SEARCH("Transformação",$J1795))),"VCA",IF(OR(ISNUMBER(SEARCH("crava",$F1795)),ISNUMBER(SEARCH("tubo cravado",$F1795)),ISNUMBER(SEARCH("shaft",$J1795)),ISNUMBER(SEARCH("concreto",$F1795))),"TUBO CRAVADO","")))</f>
        <v/>
      </c>
      <c r="T1795">
        <f>IF($A1795="","",TEXT($A1795,"yyyymm")&amp;"|"&amp;$C1795&amp;"|"&amp;$F1795&amp;"|"&amp;$N1795&amp;"|"&amp;$R1795)</f>
        <v/>
      </c>
    </row>
    <row r="1796" ht="11.55" customHeight="1">
      <c r="A1796" s="10" t="n">
        <v>46125</v>
      </c>
      <c r="B1796" s="7" t="inlineStr">
        <is>
          <t>Segunda</t>
        </is>
      </c>
      <c r="C1796" s="7" t="inlineStr">
        <is>
          <t>CTS CONCEIÇÃO</t>
        </is>
      </c>
      <c r="D1796" s="7" t="inlineStr">
        <is>
          <t>LEANDRO</t>
        </is>
      </c>
      <c r="E1796" s="7" t="inlineStr">
        <is>
          <t>WJ</t>
        </is>
      </c>
      <c r="F1796" s="13" t="inlineStr">
        <is>
          <t>Piloto e puxe entre PV 10.1 ao 10.2</t>
        </is>
      </c>
      <c r="G1796" s="7" t="inlineStr">
        <is>
          <t>10.1</t>
        </is>
      </c>
      <c r="H1796" s="7" t="n"/>
      <c r="I1796" s="7" t="inlineStr">
        <is>
          <t>10.1</t>
        </is>
      </c>
      <c r="J1796" s="7" t="inlineStr">
        <is>
          <t>Piloto e puxe</t>
        </is>
      </c>
      <c r="K1796" s="7" t="inlineStr">
        <is>
          <t>Planejamento</t>
        </is>
      </c>
      <c r="L1796" s="16" t="inlineStr">
        <is>
          <t>PDS-Abril(2).docx</t>
        </is>
      </c>
      <c r="M1796">
        <f>IF($A1796="","",TEXT($A1796,"mmmm/yyyy"))</f>
        <v/>
      </c>
      <c r="P1796">
        <f>IFERROR(_xludf.XLOOKUP($N1796,Base_Enderecos!$A:$A,Base_Enderecos!$B:$B,""),"")</f>
        <v/>
      </c>
      <c r="Q1796">
        <f>IFERROR(_xludf.XLOOKUP($N1796,Base_Enderecos!$A:$A,Base_Enderecos!$C:$C,""),"")</f>
        <v/>
      </c>
      <c r="R1796">
        <f>IF(OR(ISNUMBER(SEARCH("HDD",$F1796)),ISNUMBER(SEARCH("MND",$F1796)),ISNUMBER(SEARCH("PEAD",$F1796)),ISNUMBER(SEARCH("Puxe",$J1796)),ISNUMBER(SEARCH("Apoio HDD",$F1796))),"MND",IF(OR(ISNUMBER(SEARCH("VCA",$F1796)),ISNUMBER(SEARCH("PVC",$F1796)),ISNUMBER(SEARCH("vca",$J1796)),ISNUMBER(SEARCH("Transformação",$J1796))),"VCA",IF(OR(ISNUMBER(SEARCH("crava",$F1796)),ISNUMBER(SEARCH("tubo cravado",$F1796)),ISNUMBER(SEARCH("shaft",$J1796)),ISNUMBER(SEARCH("concreto",$F1796))),"TUBO CRAVADO","")))</f>
        <v/>
      </c>
      <c r="T1796">
        <f>IF($A1796="","",TEXT($A1796,"yyyymm")&amp;"|"&amp;$C1796&amp;"|"&amp;$F1796&amp;"|"&amp;$N1796&amp;"|"&amp;$R1796)</f>
        <v/>
      </c>
    </row>
    <row r="1797" ht="11.55" customHeight="1">
      <c r="A1797" s="10" t="n">
        <v>46125</v>
      </c>
      <c r="B1797" s="7" t="inlineStr">
        <is>
          <t>Segunda</t>
        </is>
      </c>
      <c r="C1797" s="7" t="inlineStr">
        <is>
          <t>CTS CONCEIÇÃO</t>
        </is>
      </c>
      <c r="D1797" s="7" t="inlineStr">
        <is>
          <t>LEANDRO</t>
        </is>
      </c>
      <c r="E1797" s="7" t="inlineStr">
        <is>
          <t>Medeiros</t>
        </is>
      </c>
      <c r="F1797" s="13" t="inlineStr">
        <is>
          <t>Apoio HDD PV 10.1 ao 10.2</t>
        </is>
      </c>
      <c r="G1797" s="7" t="inlineStr">
        <is>
          <t>10.1</t>
        </is>
      </c>
      <c r="H1797" s="7" t="n"/>
      <c r="I1797" s="7" t="inlineStr">
        <is>
          <t>10.1</t>
        </is>
      </c>
      <c r="J1797" s="7" t="inlineStr">
        <is>
          <t>Apoio HDD</t>
        </is>
      </c>
      <c r="K1797" s="7" t="inlineStr">
        <is>
          <t>Planejamento</t>
        </is>
      </c>
      <c r="L1797" s="16" t="inlineStr">
        <is>
          <t>PDS-Abril(2).docx</t>
        </is>
      </c>
      <c r="M1797">
        <f>IF($A1797="","",TEXT($A1797,"mmmm/yyyy"))</f>
        <v/>
      </c>
      <c r="P1797">
        <f>IFERROR(_xludf.XLOOKUP($N1797,Base_Enderecos!$A:$A,Base_Enderecos!$B:$B,""),"")</f>
        <v/>
      </c>
      <c r="Q1797">
        <f>IFERROR(_xludf.XLOOKUP($N1797,Base_Enderecos!$A:$A,Base_Enderecos!$C:$C,""),"")</f>
        <v/>
      </c>
      <c r="R1797">
        <f>IF(OR(ISNUMBER(SEARCH("HDD",$F1797)),ISNUMBER(SEARCH("MND",$F1797)),ISNUMBER(SEARCH("PEAD",$F1797)),ISNUMBER(SEARCH("Puxe",$J1797)),ISNUMBER(SEARCH("Apoio HDD",$F1797))),"MND",IF(OR(ISNUMBER(SEARCH("VCA",$F1797)),ISNUMBER(SEARCH("PVC",$F1797)),ISNUMBER(SEARCH("vca",$J1797)),ISNUMBER(SEARCH("Transformação",$J1797))),"VCA",IF(OR(ISNUMBER(SEARCH("crava",$F1797)),ISNUMBER(SEARCH("tubo cravado",$F1797)),ISNUMBER(SEARCH("shaft",$J1797)),ISNUMBER(SEARCH("concreto",$F1797))),"TUBO CRAVADO","")))</f>
        <v/>
      </c>
      <c r="T1797">
        <f>IF($A1797="","",TEXT($A1797,"yyyymm")&amp;"|"&amp;$C1797&amp;"|"&amp;$F1797&amp;"|"&amp;$N1797&amp;"|"&amp;$R1797)</f>
        <v/>
      </c>
    </row>
    <row r="1798" ht="11.55" customHeight="1">
      <c r="A1798" s="10" t="n">
        <v>46125</v>
      </c>
      <c r="B1798" s="7" t="inlineStr">
        <is>
          <t>Segunda</t>
        </is>
      </c>
      <c r="C1798" s="7" t="inlineStr">
        <is>
          <t>CTS CONCEIÇÃO</t>
        </is>
      </c>
      <c r="D1798" s="7" t="inlineStr">
        <is>
          <t>LEANDRO</t>
        </is>
      </c>
      <c r="E1798" s="7" t="inlineStr">
        <is>
          <t>GR DRILL</t>
        </is>
      </c>
      <c r="F1798" s="13" t="inlineStr">
        <is>
          <t>Apoio HDD entre PV 10.1 ao 09</t>
        </is>
      </c>
      <c r="G1798" s="7" t="inlineStr">
        <is>
          <t>10.1</t>
        </is>
      </c>
      <c r="H1798" s="7" t="n"/>
      <c r="I1798" s="7" t="inlineStr">
        <is>
          <t>10.1</t>
        </is>
      </c>
      <c r="J1798" s="7" t="inlineStr">
        <is>
          <t>Apoio HDD</t>
        </is>
      </c>
      <c r="K1798" s="7" t="inlineStr">
        <is>
          <t>Planejamento</t>
        </is>
      </c>
      <c r="L1798" s="16" t="inlineStr">
        <is>
          <t>PDS-Abril(2).docx</t>
        </is>
      </c>
      <c r="M1798">
        <f>IF($A1798="","",TEXT($A1798,"mmmm/yyyy"))</f>
        <v/>
      </c>
      <c r="P1798">
        <f>IFERROR(_xludf.XLOOKUP($N1798,Base_Enderecos!$A:$A,Base_Enderecos!$B:$B,""),"")</f>
        <v/>
      </c>
      <c r="Q1798">
        <f>IFERROR(_xludf.XLOOKUP($N1798,Base_Enderecos!$A:$A,Base_Enderecos!$C:$C,""),"")</f>
        <v/>
      </c>
      <c r="R1798">
        <f>IF(OR(ISNUMBER(SEARCH("HDD",$F1798)),ISNUMBER(SEARCH("MND",$F1798)),ISNUMBER(SEARCH("PEAD",$F1798)),ISNUMBER(SEARCH("Puxe",$J1798)),ISNUMBER(SEARCH("Apoio HDD",$F1798))),"MND",IF(OR(ISNUMBER(SEARCH("VCA",$F1798)),ISNUMBER(SEARCH("PVC",$F1798)),ISNUMBER(SEARCH("vca",$J1798)),ISNUMBER(SEARCH("Transformação",$J1798))),"VCA",IF(OR(ISNUMBER(SEARCH("crava",$F1798)),ISNUMBER(SEARCH("tubo cravado",$F1798)),ISNUMBER(SEARCH("shaft",$J1798)),ISNUMBER(SEARCH("concreto",$F1798))),"TUBO CRAVADO","")))</f>
        <v/>
      </c>
      <c r="T1798">
        <f>IF($A1798="","",TEXT($A1798,"yyyymm")&amp;"|"&amp;$C1798&amp;"|"&amp;$F1798&amp;"|"&amp;$N1798&amp;"|"&amp;$R1798)</f>
        <v/>
      </c>
    </row>
    <row r="1799" ht="11.55" customHeight="1">
      <c r="A1799" s="10" t="n">
        <v>46125</v>
      </c>
      <c r="B1799" s="7" t="inlineStr">
        <is>
          <t>Segunda</t>
        </is>
      </c>
      <c r="C1799" s="7" t="inlineStr">
        <is>
          <t>CTS CONCEIÇÃO</t>
        </is>
      </c>
      <c r="D1799" s="7" t="inlineStr">
        <is>
          <t>LEANDRO</t>
        </is>
      </c>
      <c r="E1799" s="7" t="inlineStr">
        <is>
          <t>Carlos</t>
        </is>
      </c>
      <c r="F1799" s="13" t="inlineStr">
        <is>
          <t>Apoio HDD entre PV 10.1 ao 09</t>
        </is>
      </c>
      <c r="G1799" s="7" t="inlineStr">
        <is>
          <t>10.1</t>
        </is>
      </c>
      <c r="H1799" s="7" t="n"/>
      <c r="I1799" s="7" t="inlineStr">
        <is>
          <t>10.1</t>
        </is>
      </c>
      <c r="J1799" s="7" t="inlineStr">
        <is>
          <t>Apoio HDD</t>
        </is>
      </c>
      <c r="K1799" s="7" t="inlineStr">
        <is>
          <t>Planejamento</t>
        </is>
      </c>
      <c r="L1799" s="16" t="inlineStr">
        <is>
          <t>PDS-Abril(2).docx</t>
        </is>
      </c>
      <c r="M1799">
        <f>IF($A1799="","",TEXT($A1799,"mmmm/yyyy"))</f>
        <v/>
      </c>
      <c r="P1799">
        <f>IFERROR(_xludf.XLOOKUP($N1799,Base_Enderecos!$A:$A,Base_Enderecos!$B:$B,""),"")</f>
        <v/>
      </c>
      <c r="Q1799">
        <f>IFERROR(_xludf.XLOOKUP($N1799,Base_Enderecos!$A:$A,Base_Enderecos!$C:$C,""),"")</f>
        <v/>
      </c>
      <c r="R1799">
        <f>IF(OR(ISNUMBER(SEARCH("HDD",$F1799)),ISNUMBER(SEARCH("MND",$F1799)),ISNUMBER(SEARCH("PEAD",$F1799)),ISNUMBER(SEARCH("Puxe",$J1799)),ISNUMBER(SEARCH("Apoio HDD",$F1799))),"MND",IF(OR(ISNUMBER(SEARCH("VCA",$F1799)),ISNUMBER(SEARCH("PVC",$F1799)),ISNUMBER(SEARCH("vca",$J1799)),ISNUMBER(SEARCH("Transformação",$J1799))),"VCA",IF(OR(ISNUMBER(SEARCH("crava",$F1799)),ISNUMBER(SEARCH("tubo cravado",$F1799)),ISNUMBER(SEARCH("shaft",$J1799)),ISNUMBER(SEARCH("concreto",$F1799))),"TUBO CRAVADO","")))</f>
        <v/>
      </c>
      <c r="T1799">
        <f>IF($A1799="","",TEXT($A1799,"yyyymm")&amp;"|"&amp;$C1799&amp;"|"&amp;$F1799&amp;"|"&amp;$N1799&amp;"|"&amp;$R1799)</f>
        <v/>
      </c>
    </row>
    <row r="1800" ht="11.55" customHeight="1">
      <c r="A1800" s="10" t="n">
        <v>46125</v>
      </c>
      <c r="B1800" s="7" t="inlineStr">
        <is>
          <t>Segunda</t>
        </is>
      </c>
      <c r="C1800" s="7" t="inlineStr">
        <is>
          <t>CTS CONCEIÇÃO</t>
        </is>
      </c>
      <c r="D1800" s="7" t="inlineStr">
        <is>
          <t>LEANDRO</t>
        </is>
      </c>
      <c r="E1800" s="7" t="inlineStr">
        <is>
          <t>Cesar</t>
        </is>
      </c>
      <c r="F1800" s="13" t="inlineStr">
        <is>
          <t>Transformação PV 09</t>
        </is>
      </c>
      <c r="G1800" s="7" t="inlineStr">
        <is>
          <t>09</t>
        </is>
      </c>
      <c r="H1800" s="7" t="n"/>
      <c r="I1800" s="7" t="inlineStr">
        <is>
          <t>09</t>
        </is>
      </c>
      <c r="J1800" s="7" t="inlineStr">
        <is>
          <t>Transformação</t>
        </is>
      </c>
      <c r="K1800" s="7" t="inlineStr">
        <is>
          <t>Planejamento</t>
        </is>
      </c>
      <c r="L1800" s="16" t="inlineStr">
        <is>
          <t>PDS-Abril(2).docx</t>
        </is>
      </c>
      <c r="M1800">
        <f>IF($A1800="","",TEXT($A1800,"mmmm/yyyy"))</f>
        <v/>
      </c>
      <c r="P1800">
        <f>IFERROR(_xludf.XLOOKUP($N1800,Base_Enderecos!$A:$A,Base_Enderecos!$B:$B,""),"")</f>
        <v/>
      </c>
      <c r="Q1800">
        <f>IFERROR(_xludf.XLOOKUP($N1800,Base_Enderecos!$A:$A,Base_Enderecos!$C:$C,""),"")</f>
        <v/>
      </c>
      <c r="R1800">
        <f>IF(OR(ISNUMBER(SEARCH("HDD",$F1800)),ISNUMBER(SEARCH("MND",$F1800)),ISNUMBER(SEARCH("PEAD",$F1800)),ISNUMBER(SEARCH("Puxe",$J1800)),ISNUMBER(SEARCH("Apoio HDD",$F1800))),"MND",IF(OR(ISNUMBER(SEARCH("VCA",$F1800)),ISNUMBER(SEARCH("PVC",$F1800)),ISNUMBER(SEARCH("vca",$J1800)),ISNUMBER(SEARCH("Transformação",$J1800))),"VCA",IF(OR(ISNUMBER(SEARCH("crava",$F1800)),ISNUMBER(SEARCH("tubo cravado",$F1800)),ISNUMBER(SEARCH("shaft",$J1800)),ISNUMBER(SEARCH("concreto",$F1800))),"TUBO CRAVADO","")))</f>
        <v/>
      </c>
      <c r="T1800">
        <f>IF($A1800="","",TEXT($A1800,"yyyymm")&amp;"|"&amp;$C1800&amp;"|"&amp;$F1800&amp;"|"&amp;$N1800&amp;"|"&amp;$R1800)</f>
        <v/>
      </c>
    </row>
    <row r="1801" ht="11.55" customHeight="1">
      <c r="A1801" s="10" t="n">
        <v>46125</v>
      </c>
      <c r="B1801" s="7" t="inlineStr">
        <is>
          <t>Segunda</t>
        </is>
      </c>
      <c r="C1801" s="7" t="inlineStr">
        <is>
          <t>CT ÁGUA VERMELHA M.D. e M.E</t>
        </is>
      </c>
      <c r="D1801" s="7" t="inlineStr">
        <is>
          <t>FABIO e VALMIR</t>
        </is>
      </c>
      <c r="E1801" s="7" t="inlineStr">
        <is>
          <t>Claudinei</t>
        </is>
      </c>
      <c r="F1801" s="13" t="inlineStr">
        <is>
          <t>Apoio casa (PVD 7)</t>
        </is>
      </c>
      <c r="G1801" s="7" t="inlineStr">
        <is>
          <t>7</t>
        </is>
      </c>
      <c r="H1801" s="7" t="n"/>
      <c r="I1801" s="7" t="inlineStr">
        <is>
          <t>7</t>
        </is>
      </c>
      <c r="J1801" s="7" t="n"/>
      <c r="K1801" s="7" t="inlineStr">
        <is>
          <t>Planejamento</t>
        </is>
      </c>
      <c r="L1801" s="16" t="inlineStr">
        <is>
          <t>PDS-Abril(2).docx</t>
        </is>
      </c>
      <c r="M1801">
        <f>IF($A1801="","",TEXT($A1801,"mmmm/yyyy"))</f>
        <v/>
      </c>
      <c r="P1801">
        <f>IFERROR(_xludf.XLOOKUP($N1801,Base_Enderecos!$A:$A,Base_Enderecos!$B:$B,""),"")</f>
        <v/>
      </c>
      <c r="Q1801">
        <f>IFERROR(_xludf.XLOOKUP($N1801,Base_Enderecos!$A:$A,Base_Enderecos!$C:$C,""),"")</f>
        <v/>
      </c>
      <c r="R1801">
        <f>IF(OR(ISNUMBER(SEARCH("HDD",$F1801)),ISNUMBER(SEARCH("MND",$F1801)),ISNUMBER(SEARCH("PEAD",$F1801)),ISNUMBER(SEARCH("Puxe",$J1801)),ISNUMBER(SEARCH("Apoio HDD",$F1801))),"MND",IF(OR(ISNUMBER(SEARCH("VCA",$F1801)),ISNUMBER(SEARCH("PVC",$F1801)),ISNUMBER(SEARCH("vca",$J1801)),ISNUMBER(SEARCH("Transformação",$J1801))),"VCA",IF(OR(ISNUMBER(SEARCH("crava",$F1801)),ISNUMBER(SEARCH("tubo cravado",$F1801)),ISNUMBER(SEARCH("shaft",$J1801)),ISNUMBER(SEARCH("concreto",$F1801))),"TUBO CRAVADO","")))</f>
        <v/>
      </c>
      <c r="T1801">
        <f>IF($A1801="","",TEXT($A1801,"yyyymm")&amp;"|"&amp;$C1801&amp;"|"&amp;$F1801&amp;"|"&amp;$N1801&amp;"|"&amp;$R1801)</f>
        <v/>
      </c>
    </row>
    <row r="1802" ht="11.55" customHeight="1">
      <c r="A1802" s="10" t="n">
        <v>46125</v>
      </c>
      <c r="B1802" s="7" t="inlineStr">
        <is>
          <t>Segunda</t>
        </is>
      </c>
      <c r="C1802" s="7" t="inlineStr">
        <is>
          <t>CT ÁGUA VERMELHA M.D. e M.E</t>
        </is>
      </c>
      <c r="D1802" s="7" t="inlineStr">
        <is>
          <t>FABIO e VALMIR</t>
        </is>
      </c>
      <c r="E1802" s="7" t="inlineStr">
        <is>
          <t>Higor</t>
        </is>
      </c>
      <c r="F1802" s="13" t="inlineStr">
        <is>
          <t>Transformação PVE 04</t>
        </is>
      </c>
      <c r="G1802" s="7" t="inlineStr">
        <is>
          <t>04</t>
        </is>
      </c>
      <c r="H1802" s="7" t="n"/>
      <c r="I1802" s="7" t="inlineStr">
        <is>
          <t>04</t>
        </is>
      </c>
      <c r="J1802" s="7" t="inlineStr">
        <is>
          <t>Transformação</t>
        </is>
      </c>
      <c r="K1802" s="7" t="inlineStr">
        <is>
          <t>Planejamento</t>
        </is>
      </c>
      <c r="L1802" s="16" t="inlineStr">
        <is>
          <t>PDS-Abril(2).docx</t>
        </is>
      </c>
      <c r="M1802">
        <f>IF($A1802="","",TEXT($A1802,"mmmm/yyyy"))</f>
        <v/>
      </c>
      <c r="P1802">
        <f>IFERROR(_xludf.XLOOKUP($N1802,Base_Enderecos!$A:$A,Base_Enderecos!$B:$B,""),"")</f>
        <v/>
      </c>
      <c r="Q1802">
        <f>IFERROR(_xludf.XLOOKUP($N1802,Base_Enderecos!$A:$A,Base_Enderecos!$C:$C,""),"")</f>
        <v/>
      </c>
      <c r="R1802">
        <f>IF(OR(ISNUMBER(SEARCH("HDD",$F1802)),ISNUMBER(SEARCH("MND",$F1802)),ISNUMBER(SEARCH("PEAD",$F1802)),ISNUMBER(SEARCH("Puxe",$J1802)),ISNUMBER(SEARCH("Apoio HDD",$F1802))),"MND",IF(OR(ISNUMBER(SEARCH("VCA",$F1802)),ISNUMBER(SEARCH("PVC",$F1802)),ISNUMBER(SEARCH("vca",$J1802)),ISNUMBER(SEARCH("Transformação",$J1802))),"VCA",IF(OR(ISNUMBER(SEARCH("crava",$F1802)),ISNUMBER(SEARCH("tubo cravado",$F1802)),ISNUMBER(SEARCH("shaft",$J1802)),ISNUMBER(SEARCH("concreto",$F1802))),"TUBO CRAVADO","")))</f>
        <v/>
      </c>
      <c r="T1802">
        <f>IF($A1802="","",TEXT($A1802,"yyyymm")&amp;"|"&amp;$C1802&amp;"|"&amp;$F1802&amp;"|"&amp;$N1802&amp;"|"&amp;$R1802)</f>
        <v/>
      </c>
    </row>
    <row r="1803" ht="11.55" customHeight="1">
      <c r="A1803" s="10" t="n">
        <v>46125</v>
      </c>
      <c r="B1803" s="7" t="inlineStr">
        <is>
          <t>Segunda</t>
        </is>
      </c>
      <c r="C1803" s="7" t="inlineStr">
        <is>
          <t>CT ÁGUA VERMELHA M.D. e M.E</t>
        </is>
      </c>
      <c r="D1803" s="7" t="inlineStr">
        <is>
          <t>FABIO e VALMIR</t>
        </is>
      </c>
      <c r="E1803" s="7" t="inlineStr">
        <is>
          <t>Cidão</t>
        </is>
      </c>
      <c r="F1803" s="13" t="inlineStr">
        <is>
          <t>Shaft PI.E 21</t>
        </is>
      </c>
      <c r="G1803" s="7" t="n"/>
      <c r="H1803" s="7" t="n"/>
      <c r="I1803" s="7" t="n"/>
      <c r="J1803" s="7" t="inlineStr">
        <is>
          <t>Shaft</t>
        </is>
      </c>
      <c r="K1803" s="7" t="inlineStr">
        <is>
          <t>Planejamento</t>
        </is>
      </c>
      <c r="L1803" s="16" t="inlineStr">
        <is>
          <t>PDS-Abril(2).docx</t>
        </is>
      </c>
      <c r="M1803">
        <f>IF($A1803="","",TEXT($A1803,"mmmm/yyyy"))</f>
        <v/>
      </c>
      <c r="P1803">
        <f>IFERROR(_xludf.XLOOKUP($N1803,Base_Enderecos!$A:$A,Base_Enderecos!$B:$B,""),"")</f>
        <v/>
      </c>
      <c r="Q1803">
        <f>IFERROR(_xludf.XLOOKUP($N1803,Base_Enderecos!$A:$A,Base_Enderecos!$C:$C,""),"")</f>
        <v/>
      </c>
      <c r="R1803">
        <f>IF(OR(ISNUMBER(SEARCH("HDD",$F1803)),ISNUMBER(SEARCH("MND",$F1803)),ISNUMBER(SEARCH("PEAD",$F1803)),ISNUMBER(SEARCH("Puxe",$J1803)),ISNUMBER(SEARCH("Apoio HDD",$F1803))),"MND",IF(OR(ISNUMBER(SEARCH("VCA",$F1803)),ISNUMBER(SEARCH("PVC",$F1803)),ISNUMBER(SEARCH("vca",$J1803)),ISNUMBER(SEARCH("Transformação",$J1803))),"VCA",IF(OR(ISNUMBER(SEARCH("crava",$F1803)),ISNUMBER(SEARCH("tubo cravado",$F1803)),ISNUMBER(SEARCH("shaft",$J1803)),ISNUMBER(SEARCH("concreto",$F1803))),"TUBO CRAVADO","")))</f>
        <v/>
      </c>
      <c r="T1803">
        <f>IF($A1803="","",TEXT($A1803,"yyyymm")&amp;"|"&amp;$C1803&amp;"|"&amp;$F1803&amp;"|"&amp;$N1803&amp;"|"&amp;$R1803)</f>
        <v/>
      </c>
    </row>
    <row r="1804" ht="11.55" customHeight="1">
      <c r="A1804" s="10" t="n">
        <v>46125</v>
      </c>
      <c r="B1804" s="7" t="inlineStr">
        <is>
          <t>Segunda</t>
        </is>
      </c>
      <c r="C1804" s="7" t="inlineStr">
        <is>
          <t>CT ÁGUA VERMELHA M.D. e M.E</t>
        </is>
      </c>
      <c r="D1804" s="7" t="inlineStr">
        <is>
          <t>FABIO e VALMIR</t>
        </is>
      </c>
      <c r="E1804" s="7" t="inlineStr">
        <is>
          <t>Marcelo</t>
        </is>
      </c>
      <c r="F1804" s="13" t="inlineStr">
        <is>
          <t>Shaft PVE 22</t>
        </is>
      </c>
      <c r="G1804" s="7" t="inlineStr">
        <is>
          <t>22</t>
        </is>
      </c>
      <c r="H1804" s="7" t="n"/>
      <c r="I1804" s="7" t="inlineStr">
        <is>
          <t>22</t>
        </is>
      </c>
      <c r="J1804" s="7" t="inlineStr">
        <is>
          <t>Shaft</t>
        </is>
      </c>
      <c r="K1804" s="7" t="inlineStr">
        <is>
          <t>Planejamento</t>
        </is>
      </c>
      <c r="L1804" s="16" t="inlineStr">
        <is>
          <t>PDS-Abril(2).docx</t>
        </is>
      </c>
      <c r="M1804">
        <f>IF($A1804="","",TEXT($A1804,"mmmm/yyyy"))</f>
        <v/>
      </c>
      <c r="P1804">
        <f>IFERROR(_xludf.XLOOKUP($N1804,Base_Enderecos!$A:$A,Base_Enderecos!$B:$B,""),"")</f>
        <v/>
      </c>
      <c r="Q1804">
        <f>IFERROR(_xludf.XLOOKUP($N1804,Base_Enderecos!$A:$A,Base_Enderecos!$C:$C,""),"")</f>
        <v/>
      </c>
      <c r="R1804">
        <f>IF(OR(ISNUMBER(SEARCH("HDD",$F1804)),ISNUMBER(SEARCH("MND",$F1804)),ISNUMBER(SEARCH("PEAD",$F1804)),ISNUMBER(SEARCH("Puxe",$J1804)),ISNUMBER(SEARCH("Apoio HDD",$F1804))),"MND",IF(OR(ISNUMBER(SEARCH("VCA",$F1804)),ISNUMBER(SEARCH("PVC",$F1804)),ISNUMBER(SEARCH("vca",$J1804)),ISNUMBER(SEARCH("Transformação",$J1804))),"VCA",IF(OR(ISNUMBER(SEARCH("crava",$F1804)),ISNUMBER(SEARCH("tubo cravado",$F1804)),ISNUMBER(SEARCH("shaft",$J1804)),ISNUMBER(SEARCH("concreto",$F1804))),"TUBO CRAVADO","")))</f>
        <v/>
      </c>
      <c r="T1804">
        <f>IF($A1804="","",TEXT($A1804,"yyyymm")&amp;"|"&amp;$C1804&amp;"|"&amp;$F1804&amp;"|"&amp;$N1804&amp;"|"&amp;$R1804)</f>
        <v/>
      </c>
    </row>
    <row r="1805" ht="11.55" customHeight="1">
      <c r="A1805" s="10" t="n">
        <v>46125</v>
      </c>
      <c r="B1805" s="7" t="inlineStr">
        <is>
          <t>Segunda</t>
        </is>
      </c>
      <c r="C1805" s="7" t="inlineStr">
        <is>
          <t>CT ÁGUA VERMELHA M.D. e M.E</t>
        </is>
      </c>
      <c r="D1805" s="7" t="inlineStr">
        <is>
          <t>FABIO e VALMIR</t>
        </is>
      </c>
      <c r="E1805" s="7" t="inlineStr">
        <is>
          <t>Edivando</t>
        </is>
      </c>
      <c r="F1805" s="13" t="inlineStr">
        <is>
          <t>Transformação PVE 24</t>
        </is>
      </c>
      <c r="G1805" s="7" t="inlineStr">
        <is>
          <t>24</t>
        </is>
      </c>
      <c r="H1805" s="7" t="n"/>
      <c r="I1805" s="7" t="inlineStr">
        <is>
          <t>24</t>
        </is>
      </c>
      <c r="J1805" s="7" t="inlineStr">
        <is>
          <t>Transformação</t>
        </is>
      </c>
      <c r="K1805" s="7" t="inlineStr">
        <is>
          <t>Planejamento</t>
        </is>
      </c>
      <c r="L1805" s="16" t="inlineStr">
        <is>
          <t>PDS-Abril(2).docx</t>
        </is>
      </c>
      <c r="M1805">
        <f>IF($A1805="","",TEXT($A1805,"mmmm/yyyy"))</f>
        <v/>
      </c>
      <c r="P1805">
        <f>IFERROR(_xludf.XLOOKUP($N1805,Base_Enderecos!$A:$A,Base_Enderecos!$B:$B,""),"")</f>
        <v/>
      </c>
      <c r="Q1805">
        <f>IFERROR(_xludf.XLOOKUP($N1805,Base_Enderecos!$A:$A,Base_Enderecos!$C:$C,""),"")</f>
        <v/>
      </c>
      <c r="R1805">
        <f>IF(OR(ISNUMBER(SEARCH("HDD",$F1805)),ISNUMBER(SEARCH("MND",$F1805)),ISNUMBER(SEARCH("PEAD",$F1805)),ISNUMBER(SEARCH("Puxe",$J1805)),ISNUMBER(SEARCH("Apoio HDD",$F1805))),"MND",IF(OR(ISNUMBER(SEARCH("VCA",$F1805)),ISNUMBER(SEARCH("PVC",$F1805)),ISNUMBER(SEARCH("vca",$J1805)),ISNUMBER(SEARCH("Transformação",$J1805))),"VCA",IF(OR(ISNUMBER(SEARCH("crava",$F1805)),ISNUMBER(SEARCH("tubo cravado",$F1805)),ISNUMBER(SEARCH("shaft",$J1805)),ISNUMBER(SEARCH("concreto",$F1805))),"TUBO CRAVADO","")))</f>
        <v/>
      </c>
      <c r="T1805">
        <f>IF($A1805="","",TEXT($A1805,"yyyymm")&amp;"|"&amp;$C1805&amp;"|"&amp;$F1805&amp;"|"&amp;$N1805&amp;"|"&amp;$R1805)</f>
        <v/>
      </c>
    </row>
    <row r="1806" ht="11.55" customHeight="1">
      <c r="A1806" s="10" t="n">
        <v>46125</v>
      </c>
      <c r="B1806" s="7" t="inlineStr">
        <is>
          <t>Segunda</t>
        </is>
      </c>
      <c r="C1806" s="7" t="inlineStr">
        <is>
          <t>CT ÁGUA VERMELHA M.D. e M.E</t>
        </is>
      </c>
      <c r="D1806" s="7" t="inlineStr">
        <is>
          <t>FABIO e VALMIR</t>
        </is>
      </c>
      <c r="E1806" s="7" t="inlineStr">
        <is>
          <t>Antônio</t>
        </is>
      </c>
      <c r="F1806" s="13" t="inlineStr">
        <is>
          <t>Shaft PVE 16.1</t>
        </is>
      </c>
      <c r="G1806" s="7" t="inlineStr">
        <is>
          <t>16.1</t>
        </is>
      </c>
      <c r="H1806" s="7" t="n"/>
      <c r="I1806" s="7" t="inlineStr">
        <is>
          <t>16.1</t>
        </is>
      </c>
      <c r="J1806" s="7" t="inlineStr">
        <is>
          <t>Shaft</t>
        </is>
      </c>
      <c r="K1806" s="7" t="inlineStr">
        <is>
          <t>Planejamento</t>
        </is>
      </c>
      <c r="L1806" s="16" t="inlineStr">
        <is>
          <t>PDS-Abril(2).docx</t>
        </is>
      </c>
      <c r="M1806">
        <f>IF($A1806="","",TEXT($A1806,"mmmm/yyyy"))</f>
        <v/>
      </c>
      <c r="P1806">
        <f>IFERROR(_xludf.XLOOKUP($N1806,Base_Enderecos!$A:$A,Base_Enderecos!$B:$B,""),"")</f>
        <v/>
      </c>
      <c r="Q1806">
        <f>IFERROR(_xludf.XLOOKUP($N1806,Base_Enderecos!$A:$A,Base_Enderecos!$C:$C,""),"")</f>
        <v/>
      </c>
      <c r="R1806">
        <f>IF(OR(ISNUMBER(SEARCH("HDD",$F1806)),ISNUMBER(SEARCH("MND",$F1806)),ISNUMBER(SEARCH("PEAD",$F1806)),ISNUMBER(SEARCH("Puxe",$J1806)),ISNUMBER(SEARCH("Apoio HDD",$F1806))),"MND",IF(OR(ISNUMBER(SEARCH("VCA",$F1806)),ISNUMBER(SEARCH("PVC",$F1806)),ISNUMBER(SEARCH("vca",$J1806)),ISNUMBER(SEARCH("Transformação",$J1806))),"VCA",IF(OR(ISNUMBER(SEARCH("crava",$F1806)),ISNUMBER(SEARCH("tubo cravado",$F1806)),ISNUMBER(SEARCH("shaft",$J1806)),ISNUMBER(SEARCH("concreto",$F1806))),"TUBO CRAVADO","")))</f>
        <v/>
      </c>
      <c r="T1806">
        <f>IF($A1806="","",TEXT($A1806,"yyyymm")&amp;"|"&amp;$C1806&amp;"|"&amp;$F1806&amp;"|"&amp;$N1806&amp;"|"&amp;$R1806)</f>
        <v/>
      </c>
    </row>
    <row r="1807" ht="11.55" customHeight="1">
      <c r="A1807" s="10" t="n">
        <v>46125</v>
      </c>
      <c r="B1807" s="7" t="inlineStr">
        <is>
          <t>Segunda</t>
        </is>
      </c>
      <c r="C1807" s="7" t="inlineStr">
        <is>
          <t>CT ÁGUA VERMELHA M.D. e M.E</t>
        </is>
      </c>
      <c r="D1807" s="7" t="inlineStr">
        <is>
          <t>FABIO e VALMIR</t>
        </is>
      </c>
      <c r="E1807" s="7" t="inlineStr">
        <is>
          <t>Jhonatan</t>
        </is>
      </c>
      <c r="F1807" s="13" t="inlineStr">
        <is>
          <t>Shaft PVE 17.1</t>
        </is>
      </c>
      <c r="G1807" s="7" t="inlineStr">
        <is>
          <t>17.1</t>
        </is>
      </c>
      <c r="H1807" s="7" t="n"/>
      <c r="I1807" s="7" t="inlineStr">
        <is>
          <t>17.1</t>
        </is>
      </c>
      <c r="J1807" s="7" t="inlineStr">
        <is>
          <t>Shaft</t>
        </is>
      </c>
      <c r="K1807" s="7" t="inlineStr">
        <is>
          <t>Planejamento</t>
        </is>
      </c>
      <c r="L1807" s="16" t="inlineStr">
        <is>
          <t>PDS-Abril(2).docx</t>
        </is>
      </c>
      <c r="M1807">
        <f>IF($A1807="","",TEXT($A1807,"mmmm/yyyy"))</f>
        <v/>
      </c>
      <c r="P1807">
        <f>IFERROR(_xludf.XLOOKUP($N1807,Base_Enderecos!$A:$A,Base_Enderecos!$B:$B,""),"")</f>
        <v/>
      </c>
      <c r="Q1807">
        <f>IFERROR(_xludf.XLOOKUP($N1807,Base_Enderecos!$A:$A,Base_Enderecos!$C:$C,""),"")</f>
        <v/>
      </c>
      <c r="R1807">
        <f>IF(OR(ISNUMBER(SEARCH("HDD",$F1807)),ISNUMBER(SEARCH("MND",$F1807)),ISNUMBER(SEARCH("PEAD",$F1807)),ISNUMBER(SEARCH("Puxe",$J1807)),ISNUMBER(SEARCH("Apoio HDD",$F1807))),"MND",IF(OR(ISNUMBER(SEARCH("VCA",$F1807)),ISNUMBER(SEARCH("PVC",$F1807)),ISNUMBER(SEARCH("vca",$J1807)),ISNUMBER(SEARCH("Transformação",$J1807))),"VCA",IF(OR(ISNUMBER(SEARCH("crava",$F1807)),ISNUMBER(SEARCH("tubo cravado",$F1807)),ISNUMBER(SEARCH("shaft",$J1807)),ISNUMBER(SEARCH("concreto",$F1807))),"TUBO CRAVADO","")))</f>
        <v/>
      </c>
      <c r="T1807">
        <f>IF($A1807="","",TEXT($A1807,"yyyymm")&amp;"|"&amp;$C1807&amp;"|"&amp;$F1807&amp;"|"&amp;$N1807&amp;"|"&amp;$R1807)</f>
        <v/>
      </c>
    </row>
    <row r="1808" ht="11.55" customHeight="1">
      <c r="A1808" s="10" t="n">
        <v>46125</v>
      </c>
      <c r="B1808" s="7" t="inlineStr">
        <is>
          <t>Segunda</t>
        </is>
      </c>
      <c r="C1808" s="7" t="inlineStr">
        <is>
          <t>CT ÁGUA VERMELHA M.D. e M.E</t>
        </is>
      </c>
      <c r="D1808" s="7" t="inlineStr">
        <is>
          <t>FABIO e VALMIR</t>
        </is>
      </c>
      <c r="E1808" s="7" t="inlineStr">
        <is>
          <t>Sergio</t>
        </is>
      </c>
      <c r="F1808" s="13" t="inlineStr">
        <is>
          <t>Shaft PVE 18.1</t>
        </is>
      </c>
      <c r="G1808" s="7" t="inlineStr">
        <is>
          <t>18.1</t>
        </is>
      </c>
      <c r="H1808" s="7" t="n"/>
      <c r="I1808" s="7" t="inlineStr">
        <is>
          <t>18.1</t>
        </is>
      </c>
      <c r="J1808" s="7" t="inlineStr">
        <is>
          <t>Shaft</t>
        </is>
      </c>
      <c r="K1808" s="7" t="inlineStr">
        <is>
          <t>Planejamento</t>
        </is>
      </c>
      <c r="L1808" s="16" t="inlineStr">
        <is>
          <t>PDS-Abril(2).docx</t>
        </is>
      </c>
      <c r="M1808">
        <f>IF($A1808="","",TEXT($A1808,"mmmm/yyyy"))</f>
        <v/>
      </c>
      <c r="P1808">
        <f>IFERROR(_xludf.XLOOKUP($N1808,Base_Enderecos!$A:$A,Base_Enderecos!$B:$B,""),"")</f>
        <v/>
      </c>
      <c r="Q1808">
        <f>IFERROR(_xludf.XLOOKUP($N1808,Base_Enderecos!$A:$A,Base_Enderecos!$C:$C,""),"")</f>
        <v/>
      </c>
      <c r="R1808">
        <f>IF(OR(ISNUMBER(SEARCH("HDD",$F1808)),ISNUMBER(SEARCH("MND",$F1808)),ISNUMBER(SEARCH("PEAD",$F1808)),ISNUMBER(SEARCH("Puxe",$J1808)),ISNUMBER(SEARCH("Apoio HDD",$F1808))),"MND",IF(OR(ISNUMBER(SEARCH("VCA",$F1808)),ISNUMBER(SEARCH("PVC",$F1808)),ISNUMBER(SEARCH("vca",$J1808)),ISNUMBER(SEARCH("Transformação",$J1808))),"VCA",IF(OR(ISNUMBER(SEARCH("crava",$F1808)),ISNUMBER(SEARCH("tubo cravado",$F1808)),ISNUMBER(SEARCH("shaft",$J1808)),ISNUMBER(SEARCH("concreto",$F1808))),"TUBO CRAVADO","")))</f>
        <v/>
      </c>
      <c r="T1808">
        <f>IF($A1808="","",TEXT($A1808,"yyyymm")&amp;"|"&amp;$C1808&amp;"|"&amp;$F1808&amp;"|"&amp;$N1808&amp;"|"&amp;$R1808)</f>
        <v/>
      </c>
    </row>
    <row r="1809" ht="11.55" customHeight="1">
      <c r="A1809" s="10" t="n">
        <v>46125</v>
      </c>
      <c r="B1809" s="7" t="inlineStr">
        <is>
          <t>Segunda</t>
        </is>
      </c>
      <c r="C1809" s="7" t="inlineStr">
        <is>
          <t>RCE FCO. SOUTO MAIOR</t>
        </is>
      </c>
      <c r="D1809" s="7" t="inlineStr">
        <is>
          <t>SILVESTRE</t>
        </is>
      </c>
      <c r="E1809" s="7" t="inlineStr">
        <is>
          <t>Valter</t>
        </is>
      </c>
      <c r="F1809" s="13" t="inlineStr">
        <is>
          <t>Ligações – Rua Canto da Serra</t>
        </is>
      </c>
      <c r="G1809" s="7" t="n"/>
      <c r="H1809" s="7" t="n"/>
      <c r="I1809" s="7" t="n"/>
      <c r="J1809" s="7" t="inlineStr">
        <is>
          <t>Ligações</t>
        </is>
      </c>
      <c r="K1809" s="7" t="inlineStr">
        <is>
          <t>Planejamento</t>
        </is>
      </c>
      <c r="L1809" s="16" t="inlineStr">
        <is>
          <t>PDS-Abril(2).docx</t>
        </is>
      </c>
      <c r="M1809">
        <f>IF($A1809="","",TEXT($A1809,"mmmm/yyyy"))</f>
        <v/>
      </c>
      <c r="P1809">
        <f>IFERROR(_xludf.XLOOKUP($N1809,Base_Enderecos!$A:$A,Base_Enderecos!$B:$B,""),"")</f>
        <v/>
      </c>
      <c r="Q1809">
        <f>IFERROR(_xludf.XLOOKUP($N1809,Base_Enderecos!$A:$A,Base_Enderecos!$C:$C,""),"")</f>
        <v/>
      </c>
      <c r="R1809">
        <f>IF(OR(ISNUMBER(SEARCH("HDD",$F1809)),ISNUMBER(SEARCH("MND",$F1809)),ISNUMBER(SEARCH("PEAD",$F1809)),ISNUMBER(SEARCH("Puxe",$J1809)),ISNUMBER(SEARCH("Apoio HDD",$F1809))),"MND",IF(OR(ISNUMBER(SEARCH("VCA",$F1809)),ISNUMBER(SEARCH("PVC",$F1809)),ISNUMBER(SEARCH("vca",$J1809)),ISNUMBER(SEARCH("Transformação",$J1809))),"VCA",IF(OR(ISNUMBER(SEARCH("crava",$F1809)),ISNUMBER(SEARCH("tubo cravado",$F1809)),ISNUMBER(SEARCH("shaft",$J1809)),ISNUMBER(SEARCH("concreto",$F1809))),"TUBO CRAVADO","")))</f>
        <v/>
      </c>
      <c r="T1809">
        <f>IF($A1809="","",TEXT($A1809,"yyyymm")&amp;"|"&amp;$C1809&amp;"|"&amp;$F1809&amp;"|"&amp;$N1809&amp;"|"&amp;$R1809)</f>
        <v/>
      </c>
    </row>
    <row r="1810" ht="11.55" customHeight="1">
      <c r="A1810" s="10" t="n">
        <v>46125</v>
      </c>
      <c r="B1810" s="7" t="inlineStr">
        <is>
          <t>Segunda</t>
        </is>
      </c>
      <c r="C1810" s="7" t="inlineStr">
        <is>
          <t>CTS LUIS BOTELHO MOURÃO</t>
        </is>
      </c>
      <c r="D1810" s="7" t="inlineStr">
        <is>
          <t>ROBSON</t>
        </is>
      </c>
      <c r="E1810" s="7" t="inlineStr">
        <is>
          <t>Goiania Drill</t>
        </is>
      </c>
      <c r="F1810" s="13" t="inlineStr">
        <is>
          <t>Resgate barra PV 05</t>
        </is>
      </c>
      <c r="G1810" s="7" t="inlineStr">
        <is>
          <t>05</t>
        </is>
      </c>
      <c r="H1810" s="7" t="n"/>
      <c r="I1810" s="7" t="inlineStr">
        <is>
          <t>05</t>
        </is>
      </c>
      <c r="J1810" s="7" t="inlineStr">
        <is>
          <t>Resgate</t>
        </is>
      </c>
      <c r="K1810" s="7" t="inlineStr">
        <is>
          <t>Planejamento</t>
        </is>
      </c>
      <c r="L1810" s="16" t="inlineStr">
        <is>
          <t>PDS-Abril(2).docx</t>
        </is>
      </c>
      <c r="M1810">
        <f>IF($A1810="","",TEXT($A1810,"mmmm/yyyy"))</f>
        <v/>
      </c>
      <c r="P1810">
        <f>IFERROR(_xludf.XLOOKUP($N1810,Base_Enderecos!$A:$A,Base_Enderecos!$B:$B,""),"")</f>
        <v/>
      </c>
      <c r="Q1810">
        <f>IFERROR(_xludf.XLOOKUP($N1810,Base_Enderecos!$A:$A,Base_Enderecos!$C:$C,""),"")</f>
        <v/>
      </c>
      <c r="R1810">
        <f>IF(OR(ISNUMBER(SEARCH("HDD",$F1810)),ISNUMBER(SEARCH("MND",$F1810)),ISNUMBER(SEARCH("PEAD",$F1810)),ISNUMBER(SEARCH("Puxe",$J1810)),ISNUMBER(SEARCH("Apoio HDD",$F1810))),"MND",IF(OR(ISNUMBER(SEARCH("VCA",$F1810)),ISNUMBER(SEARCH("PVC",$F1810)),ISNUMBER(SEARCH("vca",$J1810)),ISNUMBER(SEARCH("Transformação",$J1810))),"VCA",IF(OR(ISNUMBER(SEARCH("crava",$F1810)),ISNUMBER(SEARCH("tubo cravado",$F1810)),ISNUMBER(SEARCH("shaft",$J1810)),ISNUMBER(SEARCH("concreto",$F1810))),"TUBO CRAVADO","")))</f>
        <v/>
      </c>
      <c r="T1810">
        <f>IF($A1810="","",TEXT($A1810,"yyyymm")&amp;"|"&amp;$C1810&amp;"|"&amp;$F1810&amp;"|"&amp;$N1810&amp;"|"&amp;$R1810)</f>
        <v/>
      </c>
    </row>
    <row r="1811" ht="11.55" customHeight="1">
      <c r="A1811" s="10" t="n">
        <v>46125</v>
      </c>
      <c r="B1811" s="7" t="inlineStr">
        <is>
          <t>Segunda</t>
        </is>
      </c>
      <c r="C1811" s="7" t="inlineStr">
        <is>
          <t>CTS LUIS BOTELHO MOURÃO</t>
        </is>
      </c>
      <c r="D1811" s="7" t="inlineStr">
        <is>
          <t>ROBSON</t>
        </is>
      </c>
      <c r="E1811" s="7" t="inlineStr">
        <is>
          <t>Bruno</t>
        </is>
      </c>
      <c r="F1811" s="13" t="inlineStr">
        <is>
          <t>Resgate barra PV 05</t>
        </is>
      </c>
      <c r="G1811" s="7" t="inlineStr">
        <is>
          <t>05</t>
        </is>
      </c>
      <c r="H1811" s="7" t="n"/>
      <c r="I1811" s="7" t="inlineStr">
        <is>
          <t>05</t>
        </is>
      </c>
      <c r="J1811" s="7" t="inlineStr">
        <is>
          <t>Resgate</t>
        </is>
      </c>
      <c r="K1811" s="7" t="inlineStr">
        <is>
          <t>Planejamento</t>
        </is>
      </c>
      <c r="L1811" s="16" t="inlineStr">
        <is>
          <t>PDS-Abril(2).docx</t>
        </is>
      </c>
      <c r="M1811">
        <f>IF($A1811="","",TEXT($A1811,"mmmm/yyyy"))</f>
        <v/>
      </c>
      <c r="P1811">
        <f>IFERROR(_xludf.XLOOKUP($N1811,Base_Enderecos!$A:$A,Base_Enderecos!$B:$B,""),"")</f>
        <v/>
      </c>
      <c r="Q1811">
        <f>IFERROR(_xludf.XLOOKUP($N1811,Base_Enderecos!$A:$A,Base_Enderecos!$C:$C,""),"")</f>
        <v/>
      </c>
      <c r="R1811">
        <f>IF(OR(ISNUMBER(SEARCH("HDD",$F1811)),ISNUMBER(SEARCH("MND",$F1811)),ISNUMBER(SEARCH("PEAD",$F1811)),ISNUMBER(SEARCH("Puxe",$J1811)),ISNUMBER(SEARCH("Apoio HDD",$F1811))),"MND",IF(OR(ISNUMBER(SEARCH("VCA",$F1811)),ISNUMBER(SEARCH("PVC",$F1811)),ISNUMBER(SEARCH("vca",$J1811)),ISNUMBER(SEARCH("Transformação",$J1811))),"VCA",IF(OR(ISNUMBER(SEARCH("crava",$F1811)),ISNUMBER(SEARCH("tubo cravado",$F1811)),ISNUMBER(SEARCH("shaft",$J1811)),ISNUMBER(SEARCH("concreto",$F1811))),"TUBO CRAVADO","")))</f>
        <v/>
      </c>
      <c r="T1811">
        <f>IF($A1811="","",TEXT($A1811,"yyyymm")&amp;"|"&amp;$C1811&amp;"|"&amp;$F1811&amp;"|"&amp;$N1811&amp;"|"&amp;$R1811)</f>
        <v/>
      </c>
    </row>
    <row r="1812" ht="11.55" customHeight="1">
      <c r="A1812" s="10" t="n">
        <v>46125</v>
      </c>
      <c r="B1812" s="7" t="inlineStr">
        <is>
          <t>Segunda</t>
        </is>
      </c>
      <c r="C1812" s="7" t="inlineStr">
        <is>
          <t>CTS LUIS BOTELHO MOURÃO</t>
        </is>
      </c>
      <c r="D1812" s="7" t="inlineStr">
        <is>
          <t>ROBSON</t>
        </is>
      </c>
      <c r="E1812" s="7" t="inlineStr">
        <is>
          <t>Marcio</t>
        </is>
      </c>
      <c r="F1812" s="13" t="inlineStr">
        <is>
          <t>Transformação + Interlig. PV 02</t>
        </is>
      </c>
      <c r="G1812" s="7" t="inlineStr">
        <is>
          <t>02</t>
        </is>
      </c>
      <c r="H1812" s="7" t="n"/>
      <c r="I1812" s="7" t="inlineStr">
        <is>
          <t>02</t>
        </is>
      </c>
      <c r="J1812" s="7" t="inlineStr">
        <is>
          <t>Transformação</t>
        </is>
      </c>
      <c r="K1812" s="7" t="inlineStr">
        <is>
          <t>Planejamento</t>
        </is>
      </c>
      <c r="L1812" s="16" t="inlineStr">
        <is>
          <t>PDS-Abril(2).docx</t>
        </is>
      </c>
      <c r="M1812">
        <f>IF($A1812="","",TEXT($A1812,"mmmm/yyyy"))</f>
        <v/>
      </c>
      <c r="P1812">
        <f>IFERROR(_xludf.XLOOKUP($N1812,Base_Enderecos!$A:$A,Base_Enderecos!$B:$B,""),"")</f>
        <v/>
      </c>
      <c r="Q1812">
        <f>IFERROR(_xludf.XLOOKUP($N1812,Base_Enderecos!$A:$A,Base_Enderecos!$C:$C,""),"")</f>
        <v/>
      </c>
      <c r="R1812">
        <f>IF(OR(ISNUMBER(SEARCH("HDD",$F1812)),ISNUMBER(SEARCH("MND",$F1812)),ISNUMBER(SEARCH("PEAD",$F1812)),ISNUMBER(SEARCH("Puxe",$J1812)),ISNUMBER(SEARCH("Apoio HDD",$F1812))),"MND",IF(OR(ISNUMBER(SEARCH("VCA",$F1812)),ISNUMBER(SEARCH("PVC",$F1812)),ISNUMBER(SEARCH("vca",$J1812)),ISNUMBER(SEARCH("Transformação",$J1812))),"VCA",IF(OR(ISNUMBER(SEARCH("crava",$F1812)),ISNUMBER(SEARCH("tubo cravado",$F1812)),ISNUMBER(SEARCH("shaft",$J1812)),ISNUMBER(SEARCH("concreto",$F1812))),"TUBO CRAVADO","")))</f>
        <v/>
      </c>
      <c r="T1812">
        <f>IF($A1812="","",TEXT($A1812,"yyyymm")&amp;"|"&amp;$C1812&amp;"|"&amp;$F1812&amp;"|"&amp;$N1812&amp;"|"&amp;$R1812)</f>
        <v/>
      </c>
    </row>
    <row r="1813" ht="11.55" customHeight="1">
      <c r="A1813" s="10" t="n">
        <v>46125</v>
      </c>
      <c r="B1813" s="7" t="inlineStr">
        <is>
          <t>Segunda</t>
        </is>
      </c>
      <c r="C1813" s="7" t="inlineStr">
        <is>
          <t>CTS LUIS BOTELHO MOURÃO</t>
        </is>
      </c>
      <c r="D1813" s="7" t="inlineStr">
        <is>
          <t>ROBSON</t>
        </is>
      </c>
      <c r="E1813" s="7" t="inlineStr">
        <is>
          <t>Ricardo</t>
        </is>
      </c>
      <c r="F1813" s="13" t="inlineStr">
        <is>
          <t>Corte cabeça Puxe PV 06</t>
        </is>
      </c>
      <c r="G1813" s="7" t="inlineStr">
        <is>
          <t>06</t>
        </is>
      </c>
      <c r="H1813" s="7" t="n"/>
      <c r="I1813" s="7" t="inlineStr">
        <is>
          <t>06</t>
        </is>
      </c>
      <c r="J1813" s="7" t="inlineStr">
        <is>
          <t>Puxe</t>
        </is>
      </c>
      <c r="K1813" s="7" t="inlineStr">
        <is>
          <t>Planejamento</t>
        </is>
      </c>
      <c r="L1813" s="16" t="inlineStr">
        <is>
          <t>PDS-Abril(2).docx</t>
        </is>
      </c>
      <c r="M1813">
        <f>IF($A1813="","",TEXT($A1813,"mmmm/yyyy"))</f>
        <v/>
      </c>
      <c r="P1813">
        <f>IFERROR(_xludf.XLOOKUP($N1813,Base_Enderecos!$A:$A,Base_Enderecos!$B:$B,""),"")</f>
        <v/>
      </c>
      <c r="Q1813">
        <f>IFERROR(_xludf.XLOOKUP($N1813,Base_Enderecos!$A:$A,Base_Enderecos!$C:$C,""),"")</f>
        <v/>
      </c>
      <c r="R1813">
        <f>IF(OR(ISNUMBER(SEARCH("HDD",$F1813)),ISNUMBER(SEARCH("MND",$F1813)),ISNUMBER(SEARCH("PEAD",$F1813)),ISNUMBER(SEARCH("Puxe",$J1813)),ISNUMBER(SEARCH("Apoio HDD",$F1813))),"MND",IF(OR(ISNUMBER(SEARCH("VCA",$F1813)),ISNUMBER(SEARCH("PVC",$F1813)),ISNUMBER(SEARCH("vca",$J1813)),ISNUMBER(SEARCH("Transformação",$J1813))),"VCA",IF(OR(ISNUMBER(SEARCH("crava",$F1813)),ISNUMBER(SEARCH("tubo cravado",$F1813)),ISNUMBER(SEARCH("shaft",$J1813)),ISNUMBER(SEARCH("concreto",$F1813))),"TUBO CRAVADO","")))</f>
        <v/>
      </c>
      <c r="T1813">
        <f>IF($A1813="","",TEXT($A1813,"yyyymm")&amp;"|"&amp;$C1813&amp;"|"&amp;$F1813&amp;"|"&amp;$N1813&amp;"|"&amp;$R1813)</f>
        <v/>
      </c>
    </row>
    <row r="1814" ht="11.55" customHeight="1">
      <c r="A1814" s="10" t="n">
        <v>46125</v>
      </c>
      <c r="B1814" s="7" t="inlineStr">
        <is>
          <t>Segunda</t>
        </is>
      </c>
      <c r="C1814" s="7" t="inlineStr">
        <is>
          <t>Vacal</t>
        </is>
      </c>
      <c r="D1814" s="7" t="n"/>
      <c r="E1814" s="7" t="inlineStr">
        <is>
          <t>Botelho Mourão – Renasce</t>
        </is>
      </c>
      <c r="F1814" s="13" t="inlineStr">
        <is>
          <t>Apoio Vacal</t>
        </is>
      </c>
      <c r="G1814" s="7" t="n"/>
      <c r="H1814" s="7" t="n"/>
      <c r="I1814" s="7" t="n"/>
      <c r="J1814" s="7" t="inlineStr">
        <is>
          <t>Vacal</t>
        </is>
      </c>
      <c r="K1814" s="7" t="inlineStr">
        <is>
          <t>Apoio</t>
        </is>
      </c>
      <c r="L1814" s="16" t="inlineStr">
        <is>
          <t>PDS-Abril(2).docx</t>
        </is>
      </c>
      <c r="M1814">
        <f>IF($A1814="","",TEXT($A1814,"mmmm/yyyy"))</f>
        <v/>
      </c>
      <c r="P1814">
        <f>IFERROR(_xludf.XLOOKUP($N1814,Base_Enderecos!$A:$A,Base_Enderecos!$B:$B,""),"")</f>
        <v/>
      </c>
      <c r="Q1814">
        <f>IFERROR(_xludf.XLOOKUP($N1814,Base_Enderecos!$A:$A,Base_Enderecos!$C:$C,""),"")</f>
        <v/>
      </c>
      <c r="R1814">
        <f>IF(OR(ISNUMBER(SEARCH("HDD",$F1814)),ISNUMBER(SEARCH("MND",$F1814)),ISNUMBER(SEARCH("PEAD",$F1814)),ISNUMBER(SEARCH("Puxe",$J1814)),ISNUMBER(SEARCH("Apoio HDD",$F1814))),"MND",IF(OR(ISNUMBER(SEARCH("VCA",$F1814)),ISNUMBER(SEARCH("PVC",$F1814)),ISNUMBER(SEARCH("vca",$J1814)),ISNUMBER(SEARCH("Transformação",$J1814))),"VCA",IF(OR(ISNUMBER(SEARCH("crava",$F1814)),ISNUMBER(SEARCH("tubo cravado",$F1814)),ISNUMBER(SEARCH("shaft",$J1814)),ISNUMBER(SEARCH("concreto",$F1814))),"TUBO CRAVADO","")))</f>
        <v/>
      </c>
      <c r="T1814">
        <f>IF($A1814="","",TEXT($A1814,"yyyymm")&amp;"|"&amp;$C1814&amp;"|"&amp;$F1814&amp;"|"&amp;$N1814&amp;"|"&amp;$R1814)</f>
        <v/>
      </c>
    </row>
    <row r="1815" ht="11.55" customHeight="1">
      <c r="A1815" s="10" t="n">
        <v>46125</v>
      </c>
      <c r="B1815" s="7" t="inlineStr">
        <is>
          <t>Segunda</t>
        </is>
      </c>
      <c r="C1815" s="7" t="inlineStr">
        <is>
          <t>Vacal</t>
        </is>
      </c>
      <c r="D1815" s="7" t="n"/>
      <c r="E1815" s="7" t="inlineStr">
        <is>
          <t>Botelho Mourão – Renasce</t>
        </is>
      </c>
      <c r="F1815" s="13" t="inlineStr">
        <is>
          <t>Apoio Vacal</t>
        </is>
      </c>
      <c r="G1815" s="7" t="n"/>
      <c r="H1815" s="7" t="n"/>
      <c r="I1815" s="7" t="n"/>
      <c r="J1815" s="7" t="inlineStr">
        <is>
          <t>Vacal</t>
        </is>
      </c>
      <c r="K1815" s="7" t="inlineStr">
        <is>
          <t>Apoio</t>
        </is>
      </c>
      <c r="L1815" s="16" t="inlineStr">
        <is>
          <t>PDS-Abril(2).docx</t>
        </is>
      </c>
      <c r="M1815">
        <f>IF($A1815="","",TEXT($A1815,"mmmm/yyyy"))</f>
        <v/>
      </c>
      <c r="P1815">
        <f>IFERROR(_xludf.XLOOKUP($N1815,Base_Enderecos!$A:$A,Base_Enderecos!$B:$B,""),"")</f>
        <v/>
      </c>
      <c r="Q1815">
        <f>IFERROR(_xludf.XLOOKUP($N1815,Base_Enderecos!$A:$A,Base_Enderecos!$C:$C,""),"")</f>
        <v/>
      </c>
      <c r="R1815">
        <f>IF(OR(ISNUMBER(SEARCH("HDD",$F1815)),ISNUMBER(SEARCH("MND",$F1815)),ISNUMBER(SEARCH("PEAD",$F1815)),ISNUMBER(SEARCH("Puxe",$J1815)),ISNUMBER(SEARCH("Apoio HDD",$F1815))),"MND",IF(OR(ISNUMBER(SEARCH("VCA",$F1815)),ISNUMBER(SEARCH("PVC",$F1815)),ISNUMBER(SEARCH("vca",$J1815)),ISNUMBER(SEARCH("Transformação",$J1815))),"VCA",IF(OR(ISNUMBER(SEARCH("crava",$F1815)),ISNUMBER(SEARCH("tubo cravado",$F1815)),ISNUMBER(SEARCH("shaft",$J1815)),ISNUMBER(SEARCH("concreto",$F1815))),"TUBO CRAVADO","")))</f>
        <v/>
      </c>
      <c r="T1815">
        <f>IF($A1815="","",TEXT($A1815,"yyyymm")&amp;"|"&amp;$C1815&amp;"|"&amp;$F1815&amp;"|"&amp;$N1815&amp;"|"&amp;$R1815)</f>
        <v/>
      </c>
    </row>
    <row r="1816" ht="11.55" customHeight="1">
      <c r="A1816" s="10" t="n">
        <v>46125</v>
      </c>
      <c r="B1816" s="7" t="inlineStr">
        <is>
          <t>Segunda</t>
        </is>
      </c>
      <c r="C1816" s="7" t="inlineStr">
        <is>
          <t>Vacal</t>
        </is>
      </c>
      <c r="D1816" s="7" t="n"/>
      <c r="E1816" s="7" t="inlineStr">
        <is>
          <t>Botelho Mourão –Henko</t>
        </is>
      </c>
      <c r="F1816" s="13" t="inlineStr">
        <is>
          <t>Apoio Vacal</t>
        </is>
      </c>
      <c r="G1816" s="7" t="n"/>
      <c r="H1816" s="7" t="n"/>
      <c r="I1816" s="7" t="n"/>
      <c r="J1816" s="7" t="inlineStr">
        <is>
          <t>Vacal</t>
        </is>
      </c>
      <c r="K1816" s="7" t="inlineStr">
        <is>
          <t>Apoio</t>
        </is>
      </c>
      <c r="L1816" s="16" t="inlineStr">
        <is>
          <t>PDS-Abril(2).docx</t>
        </is>
      </c>
      <c r="M1816">
        <f>IF($A1816="","",TEXT($A1816,"mmmm/yyyy"))</f>
        <v/>
      </c>
      <c r="P1816">
        <f>IFERROR(_xludf.XLOOKUP($N1816,Base_Enderecos!$A:$A,Base_Enderecos!$B:$B,""),"")</f>
        <v/>
      </c>
      <c r="Q1816">
        <f>IFERROR(_xludf.XLOOKUP($N1816,Base_Enderecos!$A:$A,Base_Enderecos!$C:$C,""),"")</f>
        <v/>
      </c>
      <c r="R1816">
        <f>IF(OR(ISNUMBER(SEARCH("HDD",$F1816)),ISNUMBER(SEARCH("MND",$F1816)),ISNUMBER(SEARCH("PEAD",$F1816)),ISNUMBER(SEARCH("Puxe",$J1816)),ISNUMBER(SEARCH("Apoio HDD",$F1816))),"MND",IF(OR(ISNUMBER(SEARCH("VCA",$F1816)),ISNUMBER(SEARCH("PVC",$F1816)),ISNUMBER(SEARCH("vca",$J1816)),ISNUMBER(SEARCH("Transformação",$J1816))),"VCA",IF(OR(ISNUMBER(SEARCH("crava",$F1816)),ISNUMBER(SEARCH("tubo cravado",$F1816)),ISNUMBER(SEARCH("shaft",$J1816)),ISNUMBER(SEARCH("concreto",$F1816))),"TUBO CRAVADO","")))</f>
        <v/>
      </c>
      <c r="T1816">
        <f>IF($A1816="","",TEXT($A1816,"yyyymm")&amp;"|"&amp;$C1816&amp;"|"&amp;$F1816&amp;"|"&amp;$N1816&amp;"|"&amp;$R1816)</f>
        <v/>
      </c>
    </row>
    <row r="1817" ht="11.55" customHeight="1">
      <c r="A1817" s="10" t="n">
        <v>46125</v>
      </c>
      <c r="B1817" s="7" t="inlineStr">
        <is>
          <t>Segunda</t>
        </is>
      </c>
      <c r="C1817" s="7" t="inlineStr">
        <is>
          <t>Vacal</t>
        </is>
      </c>
      <c r="D1817" s="7" t="n"/>
      <c r="E1817" s="7" t="inlineStr">
        <is>
          <t>Conceição – Renasce</t>
        </is>
      </c>
      <c r="F1817" s="13" t="inlineStr">
        <is>
          <t>Apoio Vacal</t>
        </is>
      </c>
      <c r="G1817" s="7" t="n"/>
      <c r="H1817" s="7" t="n"/>
      <c r="I1817" s="7" t="n"/>
      <c r="J1817" s="7" t="inlineStr">
        <is>
          <t>Vacal</t>
        </is>
      </c>
      <c r="K1817" s="7" t="inlineStr">
        <is>
          <t>Apoio</t>
        </is>
      </c>
      <c r="L1817" s="16" t="inlineStr">
        <is>
          <t>PDS-Abril(2).docx</t>
        </is>
      </c>
      <c r="M1817">
        <f>IF($A1817="","",TEXT($A1817,"mmmm/yyyy"))</f>
        <v/>
      </c>
      <c r="P1817">
        <f>IFERROR(_xludf.XLOOKUP($N1817,Base_Enderecos!$A:$A,Base_Enderecos!$B:$B,""),"")</f>
        <v/>
      </c>
      <c r="Q1817">
        <f>IFERROR(_xludf.XLOOKUP($N1817,Base_Enderecos!$A:$A,Base_Enderecos!$C:$C,""),"")</f>
        <v/>
      </c>
      <c r="R1817">
        <f>IF(OR(ISNUMBER(SEARCH("HDD",$F1817)),ISNUMBER(SEARCH("MND",$F1817)),ISNUMBER(SEARCH("PEAD",$F1817)),ISNUMBER(SEARCH("Puxe",$J1817)),ISNUMBER(SEARCH("Apoio HDD",$F1817))),"MND",IF(OR(ISNUMBER(SEARCH("VCA",$F1817)),ISNUMBER(SEARCH("PVC",$F1817)),ISNUMBER(SEARCH("vca",$J1817)),ISNUMBER(SEARCH("Transformação",$J1817))),"VCA",IF(OR(ISNUMBER(SEARCH("crava",$F1817)),ISNUMBER(SEARCH("tubo cravado",$F1817)),ISNUMBER(SEARCH("shaft",$J1817)),ISNUMBER(SEARCH("concreto",$F1817))),"TUBO CRAVADO","")))</f>
        <v/>
      </c>
      <c r="T1817">
        <f>IF($A1817="","",TEXT($A1817,"yyyymm")&amp;"|"&amp;$C1817&amp;"|"&amp;$F1817&amp;"|"&amp;$N1817&amp;"|"&amp;$R1817)</f>
        <v/>
      </c>
    </row>
    <row r="1818" ht="11.55" customHeight="1">
      <c r="A1818" s="10" t="n">
        <v>46125</v>
      </c>
      <c r="B1818" s="7" t="inlineStr">
        <is>
          <t>Segunda</t>
        </is>
      </c>
      <c r="C1818" s="7" t="inlineStr">
        <is>
          <t>Vacal</t>
        </is>
      </c>
      <c r="D1818" s="7" t="n"/>
      <c r="E1818" s="7" t="inlineStr">
        <is>
          <t>Conceição - Renasce</t>
        </is>
      </c>
      <c r="F1818" s="13" t="inlineStr">
        <is>
          <t>Apoio Vacal</t>
        </is>
      </c>
      <c r="G1818" s="7" t="n"/>
      <c r="H1818" s="7" t="n"/>
      <c r="I1818" s="7" t="n"/>
      <c r="J1818" s="7" t="inlineStr">
        <is>
          <t>Vacal</t>
        </is>
      </c>
      <c r="K1818" s="7" t="inlineStr">
        <is>
          <t>Apoio</t>
        </is>
      </c>
      <c r="L1818" s="16" t="inlineStr">
        <is>
          <t>PDS-Abril(2).docx</t>
        </is>
      </c>
      <c r="M1818">
        <f>IF($A1818="","",TEXT($A1818,"mmmm/yyyy"))</f>
        <v/>
      </c>
      <c r="P1818">
        <f>IFERROR(_xludf.XLOOKUP($N1818,Base_Enderecos!$A:$A,Base_Enderecos!$B:$B,""),"")</f>
        <v/>
      </c>
      <c r="Q1818">
        <f>IFERROR(_xludf.XLOOKUP($N1818,Base_Enderecos!$A:$A,Base_Enderecos!$C:$C,""),"")</f>
        <v/>
      </c>
      <c r="R1818">
        <f>IF(OR(ISNUMBER(SEARCH("HDD",$F1818)),ISNUMBER(SEARCH("MND",$F1818)),ISNUMBER(SEARCH("PEAD",$F1818)),ISNUMBER(SEARCH("Puxe",$J1818)),ISNUMBER(SEARCH("Apoio HDD",$F1818))),"MND",IF(OR(ISNUMBER(SEARCH("VCA",$F1818)),ISNUMBER(SEARCH("PVC",$F1818)),ISNUMBER(SEARCH("vca",$J1818)),ISNUMBER(SEARCH("Transformação",$J1818))),"VCA",IF(OR(ISNUMBER(SEARCH("crava",$F1818)),ISNUMBER(SEARCH("tubo cravado",$F1818)),ISNUMBER(SEARCH("shaft",$J1818)),ISNUMBER(SEARCH("concreto",$F1818))),"TUBO CRAVADO","")))</f>
        <v/>
      </c>
      <c r="T1818">
        <f>IF($A1818="","",TEXT($A1818,"yyyymm")&amp;"|"&amp;$C1818&amp;"|"&amp;$F1818&amp;"|"&amp;$N1818&amp;"|"&amp;$R1818)</f>
        <v/>
      </c>
    </row>
    <row r="1819" ht="11.55" customHeight="1">
      <c r="A1819" s="10" t="n">
        <v>46125</v>
      </c>
      <c r="B1819" s="7" t="inlineStr">
        <is>
          <t>Segunda</t>
        </is>
      </c>
      <c r="C1819" s="7" t="inlineStr">
        <is>
          <t>Vacal</t>
        </is>
      </c>
      <c r="D1819" s="7" t="n"/>
      <c r="E1819" s="7" t="inlineStr">
        <is>
          <t>Água Vermelh – Hidrosol</t>
        </is>
      </c>
      <c r="F1819" s="13" t="inlineStr">
        <is>
          <t>Apoio Vacal</t>
        </is>
      </c>
      <c r="G1819" s="7" t="n"/>
      <c r="H1819" s="7" t="n"/>
      <c r="I1819" s="7" t="n"/>
      <c r="J1819" s="7" t="inlineStr">
        <is>
          <t>Vacal</t>
        </is>
      </c>
      <c r="K1819" s="7" t="inlineStr">
        <is>
          <t>Apoio</t>
        </is>
      </c>
      <c r="L1819" s="16" t="inlineStr">
        <is>
          <t>PDS-Abril(2).docx</t>
        </is>
      </c>
      <c r="M1819">
        <f>IF($A1819="","",TEXT($A1819,"mmmm/yyyy"))</f>
        <v/>
      </c>
      <c r="P1819">
        <f>IFERROR(_xludf.XLOOKUP($N1819,Base_Enderecos!$A:$A,Base_Enderecos!$B:$B,""),"")</f>
        <v/>
      </c>
      <c r="Q1819">
        <f>IFERROR(_xludf.XLOOKUP($N1819,Base_Enderecos!$A:$A,Base_Enderecos!$C:$C,""),"")</f>
        <v/>
      </c>
      <c r="R1819">
        <f>IF(OR(ISNUMBER(SEARCH("HDD",$F1819)),ISNUMBER(SEARCH("MND",$F1819)),ISNUMBER(SEARCH("PEAD",$F1819)),ISNUMBER(SEARCH("Puxe",$J1819)),ISNUMBER(SEARCH("Apoio HDD",$F1819))),"MND",IF(OR(ISNUMBER(SEARCH("VCA",$F1819)),ISNUMBER(SEARCH("PVC",$F1819)),ISNUMBER(SEARCH("vca",$J1819)),ISNUMBER(SEARCH("Transformação",$J1819))),"VCA",IF(OR(ISNUMBER(SEARCH("crava",$F1819)),ISNUMBER(SEARCH("tubo cravado",$F1819)),ISNUMBER(SEARCH("shaft",$J1819)),ISNUMBER(SEARCH("concreto",$F1819))),"TUBO CRAVADO","")))</f>
        <v/>
      </c>
      <c r="T1819">
        <f>IF($A1819="","",TEXT($A1819,"yyyymm")&amp;"|"&amp;$C1819&amp;"|"&amp;$F1819&amp;"|"&amp;$N1819&amp;"|"&amp;$R1819)</f>
        <v/>
      </c>
    </row>
    <row r="1820" ht="11.55" customHeight="1">
      <c r="A1820" s="10" t="n">
        <v>46125</v>
      </c>
      <c r="B1820" s="7" t="inlineStr">
        <is>
          <t>Segunda</t>
        </is>
      </c>
      <c r="C1820" s="7" t="inlineStr">
        <is>
          <t>Guindauto</t>
        </is>
      </c>
      <c r="D1820" s="7" t="n"/>
      <c r="E1820" s="7" t="inlineStr">
        <is>
          <t>Marcio</t>
        </is>
      </c>
      <c r="F1820" s="13" t="inlineStr">
        <is>
          <t>Marcio - Apoio as equipes</t>
        </is>
      </c>
      <c r="G1820" s="7" t="n"/>
      <c r="H1820" s="7" t="n"/>
      <c r="I1820" s="7" t="n"/>
      <c r="J1820" s="7" t="inlineStr">
        <is>
          <t>Guindauto</t>
        </is>
      </c>
      <c r="K1820" s="7" t="inlineStr">
        <is>
          <t>Apoio</t>
        </is>
      </c>
      <c r="L1820" s="16" t="inlineStr">
        <is>
          <t>PDS-Abril(2).docx</t>
        </is>
      </c>
      <c r="M1820">
        <f>IF($A1820="","",TEXT($A1820,"mmmm/yyyy"))</f>
        <v/>
      </c>
      <c r="P1820">
        <f>IFERROR(_xludf.XLOOKUP($N1820,Base_Enderecos!$A:$A,Base_Enderecos!$B:$B,""),"")</f>
        <v/>
      </c>
      <c r="Q1820">
        <f>IFERROR(_xludf.XLOOKUP($N1820,Base_Enderecos!$A:$A,Base_Enderecos!$C:$C,""),"")</f>
        <v/>
      </c>
      <c r="R1820">
        <f>IF(OR(ISNUMBER(SEARCH("HDD",$F1820)),ISNUMBER(SEARCH("MND",$F1820)),ISNUMBER(SEARCH("PEAD",$F1820)),ISNUMBER(SEARCH("Puxe",$J1820)),ISNUMBER(SEARCH("Apoio HDD",$F1820))),"MND",IF(OR(ISNUMBER(SEARCH("VCA",$F1820)),ISNUMBER(SEARCH("PVC",$F1820)),ISNUMBER(SEARCH("vca",$J1820)),ISNUMBER(SEARCH("Transformação",$J1820))),"VCA",IF(OR(ISNUMBER(SEARCH("crava",$F1820)),ISNUMBER(SEARCH("tubo cravado",$F1820)),ISNUMBER(SEARCH("shaft",$J1820)),ISNUMBER(SEARCH("concreto",$F1820))),"TUBO CRAVADO","")))</f>
        <v/>
      </c>
      <c r="T1820">
        <f>IF($A1820="","",TEXT($A1820,"yyyymm")&amp;"|"&amp;$C1820&amp;"|"&amp;$F1820&amp;"|"&amp;$N1820&amp;"|"&amp;$R1820)</f>
        <v/>
      </c>
    </row>
    <row r="1821" ht="11.55" customHeight="1">
      <c r="A1821" s="10" t="n">
        <v>46126</v>
      </c>
      <c r="B1821" s="7" t="inlineStr">
        <is>
          <t>Terça</t>
        </is>
      </c>
      <c r="C1821" s="7" t="inlineStr">
        <is>
          <t>CTS CONCEIÇÃO</t>
        </is>
      </c>
      <c r="D1821" s="7" t="inlineStr">
        <is>
          <t>LEANDRO</t>
        </is>
      </c>
      <c r="E1821" s="7" t="inlineStr">
        <is>
          <t>WJ 01</t>
        </is>
      </c>
      <c r="F1821" s="13" t="inlineStr">
        <is>
          <t>Piloto e puxe entre PV 10.1 ao 10.2</t>
        </is>
      </c>
      <c r="G1821" s="7" t="inlineStr">
        <is>
          <t>10.1</t>
        </is>
      </c>
      <c r="H1821" s="7" t="n"/>
      <c r="I1821" s="7" t="inlineStr">
        <is>
          <t>10.1</t>
        </is>
      </c>
      <c r="J1821" s="7" t="inlineStr">
        <is>
          <t>Piloto e puxe</t>
        </is>
      </c>
      <c r="K1821" s="7" t="inlineStr">
        <is>
          <t>Planejamento</t>
        </is>
      </c>
      <c r="L1821" s="16" t="inlineStr">
        <is>
          <t>PDS-Abril(2).docx</t>
        </is>
      </c>
      <c r="M1821">
        <f>IF($A1821="","",TEXT($A1821,"mmmm/yyyy"))</f>
        <v/>
      </c>
      <c r="P1821">
        <f>IFERROR(_xludf.XLOOKUP($N1821,Base_Enderecos!$A:$A,Base_Enderecos!$B:$B,""),"")</f>
        <v/>
      </c>
      <c r="Q1821">
        <f>IFERROR(_xludf.XLOOKUP($N1821,Base_Enderecos!$A:$A,Base_Enderecos!$C:$C,""),"")</f>
        <v/>
      </c>
      <c r="R1821">
        <f>IF(OR(ISNUMBER(SEARCH("HDD",$F1821)),ISNUMBER(SEARCH("MND",$F1821)),ISNUMBER(SEARCH("PEAD",$F1821)),ISNUMBER(SEARCH("Puxe",$J1821)),ISNUMBER(SEARCH("Apoio HDD",$F1821))),"MND",IF(OR(ISNUMBER(SEARCH("VCA",$F1821)),ISNUMBER(SEARCH("PVC",$F1821)),ISNUMBER(SEARCH("vca",$J1821)),ISNUMBER(SEARCH("Transformação",$J1821))),"VCA",IF(OR(ISNUMBER(SEARCH("crava",$F1821)),ISNUMBER(SEARCH("tubo cravado",$F1821)),ISNUMBER(SEARCH("shaft",$J1821)),ISNUMBER(SEARCH("concreto",$F1821))),"TUBO CRAVADO","")))</f>
        <v/>
      </c>
      <c r="T1821">
        <f>IF($A1821="","",TEXT($A1821,"yyyymm")&amp;"|"&amp;$C1821&amp;"|"&amp;$F1821&amp;"|"&amp;$N1821&amp;"|"&amp;$R1821)</f>
        <v/>
      </c>
    </row>
    <row r="1822" ht="11.55" customHeight="1">
      <c r="A1822" s="10" t="n">
        <v>46126</v>
      </c>
      <c r="B1822" s="7" t="inlineStr">
        <is>
          <t>Terça</t>
        </is>
      </c>
      <c r="C1822" s="7" t="inlineStr">
        <is>
          <t>CTS CONCEIÇÃO</t>
        </is>
      </c>
      <c r="D1822" s="7" t="inlineStr">
        <is>
          <t>LEANDRO</t>
        </is>
      </c>
      <c r="E1822" s="7" t="inlineStr">
        <is>
          <t>Medeiros</t>
        </is>
      </c>
      <c r="F1822" s="13" t="inlineStr">
        <is>
          <t>Apoio HDD PV 10.1 ao 10.2</t>
        </is>
      </c>
      <c r="G1822" s="7" t="inlineStr">
        <is>
          <t>10.1</t>
        </is>
      </c>
      <c r="H1822" s="7" t="n"/>
      <c r="I1822" s="7" t="inlineStr">
        <is>
          <t>10.1</t>
        </is>
      </c>
      <c r="J1822" s="7" t="inlineStr">
        <is>
          <t>Apoio HDD</t>
        </is>
      </c>
      <c r="K1822" s="7" t="inlineStr">
        <is>
          <t>Planejamento</t>
        </is>
      </c>
      <c r="L1822" s="16" t="inlineStr">
        <is>
          <t>PDS-Abril(2).docx</t>
        </is>
      </c>
      <c r="M1822">
        <f>IF($A1822="","",TEXT($A1822,"mmmm/yyyy"))</f>
        <v/>
      </c>
      <c r="P1822">
        <f>IFERROR(_xludf.XLOOKUP($N1822,Base_Enderecos!$A:$A,Base_Enderecos!$B:$B,""),"")</f>
        <v/>
      </c>
      <c r="Q1822">
        <f>IFERROR(_xludf.XLOOKUP($N1822,Base_Enderecos!$A:$A,Base_Enderecos!$C:$C,""),"")</f>
        <v/>
      </c>
      <c r="R1822">
        <f>IF(OR(ISNUMBER(SEARCH("HDD",$F1822)),ISNUMBER(SEARCH("MND",$F1822)),ISNUMBER(SEARCH("PEAD",$F1822)),ISNUMBER(SEARCH("Puxe",$J1822)),ISNUMBER(SEARCH("Apoio HDD",$F1822))),"MND",IF(OR(ISNUMBER(SEARCH("VCA",$F1822)),ISNUMBER(SEARCH("PVC",$F1822)),ISNUMBER(SEARCH("vca",$J1822)),ISNUMBER(SEARCH("Transformação",$J1822))),"VCA",IF(OR(ISNUMBER(SEARCH("crava",$F1822)),ISNUMBER(SEARCH("tubo cravado",$F1822)),ISNUMBER(SEARCH("shaft",$J1822)),ISNUMBER(SEARCH("concreto",$F1822))),"TUBO CRAVADO","")))</f>
        <v/>
      </c>
      <c r="T1822">
        <f>IF($A1822="","",TEXT($A1822,"yyyymm")&amp;"|"&amp;$C1822&amp;"|"&amp;$F1822&amp;"|"&amp;$N1822&amp;"|"&amp;$R1822)</f>
        <v/>
      </c>
    </row>
    <row r="1823" ht="11.55" customHeight="1">
      <c r="A1823" s="10" t="n">
        <v>46126</v>
      </c>
      <c r="B1823" s="7" t="inlineStr">
        <is>
          <t>Terça</t>
        </is>
      </c>
      <c r="C1823" s="7" t="inlineStr">
        <is>
          <t>CTS CONCEIÇÃO</t>
        </is>
      </c>
      <c r="D1823" s="7" t="inlineStr">
        <is>
          <t>LEANDRO</t>
        </is>
      </c>
      <c r="E1823" s="7" t="inlineStr">
        <is>
          <t>GR DRILL</t>
        </is>
      </c>
      <c r="F1823" s="13" t="inlineStr">
        <is>
          <t>Apoio HDD entre PV 10.1 ao 09</t>
        </is>
      </c>
      <c r="G1823" s="7" t="inlineStr">
        <is>
          <t>10.1</t>
        </is>
      </c>
      <c r="H1823" s="7" t="n"/>
      <c r="I1823" s="7" t="inlineStr">
        <is>
          <t>10.1</t>
        </is>
      </c>
      <c r="J1823" s="7" t="inlineStr">
        <is>
          <t>Apoio HDD</t>
        </is>
      </c>
      <c r="K1823" s="7" t="inlineStr">
        <is>
          <t>Planejamento</t>
        </is>
      </c>
      <c r="L1823" s="16" t="inlineStr">
        <is>
          <t>PDS-Abril(2).docx</t>
        </is>
      </c>
      <c r="M1823">
        <f>IF($A1823="","",TEXT($A1823,"mmmm/yyyy"))</f>
        <v/>
      </c>
      <c r="P1823">
        <f>IFERROR(_xludf.XLOOKUP($N1823,Base_Enderecos!$A:$A,Base_Enderecos!$B:$B,""),"")</f>
        <v/>
      </c>
      <c r="Q1823">
        <f>IFERROR(_xludf.XLOOKUP($N1823,Base_Enderecos!$A:$A,Base_Enderecos!$C:$C,""),"")</f>
        <v/>
      </c>
      <c r="R1823">
        <f>IF(OR(ISNUMBER(SEARCH("HDD",$F1823)),ISNUMBER(SEARCH("MND",$F1823)),ISNUMBER(SEARCH("PEAD",$F1823)),ISNUMBER(SEARCH("Puxe",$J1823)),ISNUMBER(SEARCH("Apoio HDD",$F1823))),"MND",IF(OR(ISNUMBER(SEARCH("VCA",$F1823)),ISNUMBER(SEARCH("PVC",$F1823)),ISNUMBER(SEARCH("vca",$J1823)),ISNUMBER(SEARCH("Transformação",$J1823))),"VCA",IF(OR(ISNUMBER(SEARCH("crava",$F1823)),ISNUMBER(SEARCH("tubo cravado",$F1823)),ISNUMBER(SEARCH("shaft",$J1823)),ISNUMBER(SEARCH("concreto",$F1823))),"TUBO CRAVADO","")))</f>
        <v/>
      </c>
      <c r="T1823">
        <f>IF($A1823="","",TEXT($A1823,"yyyymm")&amp;"|"&amp;$C1823&amp;"|"&amp;$F1823&amp;"|"&amp;$N1823&amp;"|"&amp;$R1823)</f>
        <v/>
      </c>
    </row>
    <row r="1824" ht="11.55" customHeight="1">
      <c r="A1824" s="10" t="n">
        <v>46126</v>
      </c>
      <c r="B1824" s="7" t="inlineStr">
        <is>
          <t>Terça</t>
        </is>
      </c>
      <c r="C1824" s="7" t="inlineStr">
        <is>
          <t>CTS CONCEIÇÃO</t>
        </is>
      </c>
      <c r="D1824" s="7" t="inlineStr">
        <is>
          <t>LEANDRO</t>
        </is>
      </c>
      <c r="E1824" s="7" t="inlineStr">
        <is>
          <t>Carlos</t>
        </is>
      </c>
      <c r="F1824" s="13" t="inlineStr">
        <is>
          <t>Apoio HDD entre PV 10.1 ao 09</t>
        </is>
      </c>
      <c r="G1824" s="7" t="inlineStr">
        <is>
          <t>10.1</t>
        </is>
      </c>
      <c r="H1824" s="7" t="n"/>
      <c r="I1824" s="7" t="inlineStr">
        <is>
          <t>10.1</t>
        </is>
      </c>
      <c r="J1824" s="7" t="inlineStr">
        <is>
          <t>Apoio HDD</t>
        </is>
      </c>
      <c r="K1824" s="7" t="inlineStr">
        <is>
          <t>Planejamento</t>
        </is>
      </c>
      <c r="L1824" s="16" t="inlineStr">
        <is>
          <t>PDS-Abril(2).docx</t>
        </is>
      </c>
      <c r="M1824">
        <f>IF($A1824="","",TEXT($A1824,"mmmm/yyyy"))</f>
        <v/>
      </c>
      <c r="P1824">
        <f>IFERROR(_xludf.XLOOKUP($N1824,Base_Enderecos!$A:$A,Base_Enderecos!$B:$B,""),"")</f>
        <v/>
      </c>
      <c r="Q1824">
        <f>IFERROR(_xludf.XLOOKUP($N1824,Base_Enderecos!$A:$A,Base_Enderecos!$C:$C,""),"")</f>
        <v/>
      </c>
      <c r="R1824">
        <f>IF(OR(ISNUMBER(SEARCH("HDD",$F1824)),ISNUMBER(SEARCH("MND",$F1824)),ISNUMBER(SEARCH("PEAD",$F1824)),ISNUMBER(SEARCH("Puxe",$J1824)),ISNUMBER(SEARCH("Apoio HDD",$F1824))),"MND",IF(OR(ISNUMBER(SEARCH("VCA",$F1824)),ISNUMBER(SEARCH("PVC",$F1824)),ISNUMBER(SEARCH("vca",$J1824)),ISNUMBER(SEARCH("Transformação",$J1824))),"VCA",IF(OR(ISNUMBER(SEARCH("crava",$F1824)),ISNUMBER(SEARCH("tubo cravado",$F1824)),ISNUMBER(SEARCH("shaft",$J1824)),ISNUMBER(SEARCH("concreto",$F1824))),"TUBO CRAVADO","")))</f>
        <v/>
      </c>
      <c r="T1824">
        <f>IF($A1824="","",TEXT($A1824,"yyyymm")&amp;"|"&amp;$C1824&amp;"|"&amp;$F1824&amp;"|"&amp;$N1824&amp;"|"&amp;$R1824)</f>
        <v/>
      </c>
    </row>
    <row r="1825" ht="11.55" customHeight="1">
      <c r="A1825" s="10" t="n">
        <v>46126</v>
      </c>
      <c r="B1825" s="7" t="inlineStr">
        <is>
          <t>Terça</t>
        </is>
      </c>
      <c r="C1825" s="7" t="inlineStr">
        <is>
          <t>CT ÁGUA VERMELHA M.D. e M.E</t>
        </is>
      </c>
      <c r="D1825" s="7" t="inlineStr">
        <is>
          <t>FABIO</t>
        </is>
      </c>
      <c r="E1825" s="7" t="inlineStr">
        <is>
          <t>WJ 02</t>
        </is>
      </c>
      <c r="F1825" s="13" t="inlineStr">
        <is>
          <t>Piloto e puxe PVE 1 ao PV PVE 1.1</t>
        </is>
      </c>
      <c r="G1825" s="7" t="inlineStr">
        <is>
          <t>1</t>
        </is>
      </c>
      <c r="H1825" s="7" t="inlineStr">
        <is>
          <t>1.1</t>
        </is>
      </c>
      <c r="I1825" s="7" t="inlineStr">
        <is>
          <t>1, 1.1</t>
        </is>
      </c>
      <c r="J1825" s="7" t="inlineStr">
        <is>
          <t>Piloto e puxe</t>
        </is>
      </c>
      <c r="K1825" s="7" t="inlineStr">
        <is>
          <t>Planejamento</t>
        </is>
      </c>
      <c r="L1825" s="16" t="inlineStr">
        <is>
          <t>PDS-Abril(2).docx</t>
        </is>
      </c>
      <c r="M1825">
        <f>IF($A1825="","",TEXT($A1825,"mmmm/yyyy"))</f>
        <v/>
      </c>
      <c r="P1825">
        <f>IFERROR(_xludf.XLOOKUP($N1825,Base_Enderecos!$A:$A,Base_Enderecos!$B:$B,""),"")</f>
        <v/>
      </c>
      <c r="Q1825">
        <f>IFERROR(_xludf.XLOOKUP($N1825,Base_Enderecos!$A:$A,Base_Enderecos!$C:$C,""),"")</f>
        <v/>
      </c>
      <c r="R1825">
        <f>IF(OR(ISNUMBER(SEARCH("HDD",$F1825)),ISNUMBER(SEARCH("MND",$F1825)),ISNUMBER(SEARCH("PEAD",$F1825)),ISNUMBER(SEARCH("Puxe",$J1825)),ISNUMBER(SEARCH("Apoio HDD",$F1825))),"MND",IF(OR(ISNUMBER(SEARCH("VCA",$F1825)),ISNUMBER(SEARCH("PVC",$F1825)),ISNUMBER(SEARCH("vca",$J1825)),ISNUMBER(SEARCH("Transformação",$J1825))),"VCA",IF(OR(ISNUMBER(SEARCH("crava",$F1825)),ISNUMBER(SEARCH("tubo cravado",$F1825)),ISNUMBER(SEARCH("shaft",$J1825)),ISNUMBER(SEARCH("concreto",$F1825))),"TUBO CRAVADO","")))</f>
        <v/>
      </c>
      <c r="T1825">
        <f>IF($A1825="","",TEXT($A1825,"yyyymm")&amp;"|"&amp;$C1825&amp;"|"&amp;$F1825&amp;"|"&amp;$N1825&amp;"|"&amp;$R1825)</f>
        <v/>
      </c>
    </row>
    <row r="1826" ht="11.55" customHeight="1">
      <c r="A1826" s="10" t="n">
        <v>46126</v>
      </c>
      <c r="B1826" s="7" t="inlineStr">
        <is>
          <t>Terça</t>
        </is>
      </c>
      <c r="C1826" s="7" t="inlineStr">
        <is>
          <t>CT ÁGUA VERMELHA M.D. e M.E</t>
        </is>
      </c>
      <c r="D1826" s="7" t="inlineStr">
        <is>
          <t>FABIO</t>
        </is>
      </c>
      <c r="E1826" s="7" t="inlineStr">
        <is>
          <t>Higor</t>
        </is>
      </c>
      <c r="F1826" s="13" t="inlineStr">
        <is>
          <t>Apoio HDD PVE 1 ao PV PVE 1.1</t>
        </is>
      </c>
      <c r="G1826" s="7" t="inlineStr">
        <is>
          <t>1</t>
        </is>
      </c>
      <c r="H1826" s="7" t="inlineStr">
        <is>
          <t>1.1</t>
        </is>
      </c>
      <c r="I1826" s="7" t="inlineStr">
        <is>
          <t>1, 1.1</t>
        </is>
      </c>
      <c r="J1826" s="7" t="inlineStr">
        <is>
          <t>Apoio HDD</t>
        </is>
      </c>
      <c r="K1826" s="7" t="inlineStr">
        <is>
          <t>Planejamento</t>
        </is>
      </c>
      <c r="L1826" s="16" t="inlineStr">
        <is>
          <t>PDS-Abril(2).docx</t>
        </is>
      </c>
      <c r="M1826">
        <f>IF($A1826="","",TEXT($A1826,"mmmm/yyyy"))</f>
        <v/>
      </c>
      <c r="P1826">
        <f>IFERROR(_xludf.XLOOKUP($N1826,Base_Enderecos!$A:$A,Base_Enderecos!$B:$B,""),"")</f>
        <v/>
      </c>
      <c r="Q1826">
        <f>IFERROR(_xludf.XLOOKUP($N1826,Base_Enderecos!$A:$A,Base_Enderecos!$C:$C,""),"")</f>
        <v/>
      </c>
      <c r="R1826">
        <f>IF(OR(ISNUMBER(SEARCH("HDD",$F1826)),ISNUMBER(SEARCH("MND",$F1826)),ISNUMBER(SEARCH("PEAD",$F1826)),ISNUMBER(SEARCH("Puxe",$J1826)),ISNUMBER(SEARCH("Apoio HDD",$F1826))),"MND",IF(OR(ISNUMBER(SEARCH("VCA",$F1826)),ISNUMBER(SEARCH("PVC",$F1826)),ISNUMBER(SEARCH("vca",$J1826)),ISNUMBER(SEARCH("Transformação",$J1826))),"VCA",IF(OR(ISNUMBER(SEARCH("crava",$F1826)),ISNUMBER(SEARCH("tubo cravado",$F1826)),ISNUMBER(SEARCH("shaft",$J1826)),ISNUMBER(SEARCH("concreto",$F1826))),"TUBO CRAVADO","")))</f>
        <v/>
      </c>
      <c r="T1826">
        <f>IF($A1826="","",TEXT($A1826,"yyyymm")&amp;"|"&amp;$C1826&amp;"|"&amp;$F1826&amp;"|"&amp;$N1826&amp;"|"&amp;$R1826)</f>
        <v/>
      </c>
    </row>
    <row r="1827" ht="11.55" customHeight="1">
      <c r="A1827" s="10" t="n">
        <v>46126</v>
      </c>
      <c r="B1827" s="7" t="inlineStr">
        <is>
          <t>Terça</t>
        </is>
      </c>
      <c r="C1827" s="7" t="inlineStr">
        <is>
          <t>CT ÁGUA VERMELHA M.D. e M.E</t>
        </is>
      </c>
      <c r="D1827" s="7" t="inlineStr">
        <is>
          <t>FABIO</t>
        </is>
      </c>
      <c r="E1827" s="7" t="inlineStr">
        <is>
          <t>Claudinei</t>
        </is>
      </c>
      <c r="F1827" s="13" t="inlineStr">
        <is>
          <t>Apoio casa (PVD 7)</t>
        </is>
      </c>
      <c r="G1827" s="7" t="inlineStr">
        <is>
          <t>7</t>
        </is>
      </c>
      <c r="H1827" s="7" t="n"/>
      <c r="I1827" s="7" t="inlineStr">
        <is>
          <t>7</t>
        </is>
      </c>
      <c r="J1827" s="7" t="n"/>
      <c r="K1827" s="7" t="inlineStr">
        <is>
          <t>Planejamento</t>
        </is>
      </c>
      <c r="L1827" s="16" t="inlineStr">
        <is>
          <t>PDS-Abril(2).docx</t>
        </is>
      </c>
      <c r="M1827">
        <f>IF($A1827="","",TEXT($A1827,"mmmm/yyyy"))</f>
        <v/>
      </c>
      <c r="P1827">
        <f>IFERROR(_xludf.XLOOKUP($N1827,Base_Enderecos!$A:$A,Base_Enderecos!$B:$B,""),"")</f>
        <v/>
      </c>
      <c r="Q1827">
        <f>IFERROR(_xludf.XLOOKUP($N1827,Base_Enderecos!$A:$A,Base_Enderecos!$C:$C,""),"")</f>
        <v/>
      </c>
      <c r="R1827">
        <f>IF(OR(ISNUMBER(SEARCH("HDD",$F1827)),ISNUMBER(SEARCH("MND",$F1827)),ISNUMBER(SEARCH("PEAD",$F1827)),ISNUMBER(SEARCH("Puxe",$J1827)),ISNUMBER(SEARCH("Apoio HDD",$F1827))),"MND",IF(OR(ISNUMBER(SEARCH("VCA",$F1827)),ISNUMBER(SEARCH("PVC",$F1827)),ISNUMBER(SEARCH("vca",$J1827)),ISNUMBER(SEARCH("Transformação",$J1827))),"VCA",IF(OR(ISNUMBER(SEARCH("crava",$F1827)),ISNUMBER(SEARCH("tubo cravado",$F1827)),ISNUMBER(SEARCH("shaft",$J1827)),ISNUMBER(SEARCH("concreto",$F1827))),"TUBO CRAVADO","")))</f>
        <v/>
      </c>
      <c r="T1827">
        <f>IF($A1827="","",TEXT($A1827,"yyyymm")&amp;"|"&amp;$C1827&amp;"|"&amp;$F1827&amp;"|"&amp;$N1827&amp;"|"&amp;$R1827)</f>
        <v/>
      </c>
    </row>
    <row r="1828" ht="11.55" customHeight="1">
      <c r="A1828" s="10" t="n">
        <v>46126</v>
      </c>
      <c r="B1828" s="7" t="inlineStr">
        <is>
          <t>Terça</t>
        </is>
      </c>
      <c r="C1828" s="7" t="inlineStr">
        <is>
          <t>CT ÁGUA VERMELHA M.D. e M.E</t>
        </is>
      </c>
      <c r="D1828" s="7" t="inlineStr">
        <is>
          <t>FABIO</t>
        </is>
      </c>
      <c r="E1828" s="7" t="inlineStr">
        <is>
          <t>Cidão</t>
        </is>
      </c>
      <c r="F1828" s="13" t="inlineStr">
        <is>
          <t>Shaft PI.E 21.1</t>
        </is>
      </c>
      <c r="G1828" s="7" t="n"/>
      <c r="H1828" s="7" t="n"/>
      <c r="I1828" s="7" t="n"/>
      <c r="J1828" s="7" t="inlineStr">
        <is>
          <t>Shaft</t>
        </is>
      </c>
      <c r="K1828" s="7" t="inlineStr">
        <is>
          <t>Planejamento</t>
        </is>
      </c>
      <c r="L1828" s="16" t="inlineStr">
        <is>
          <t>PDS-Abril(2).docx</t>
        </is>
      </c>
      <c r="M1828">
        <f>IF($A1828="","",TEXT($A1828,"mmmm/yyyy"))</f>
        <v/>
      </c>
      <c r="P1828">
        <f>IFERROR(_xludf.XLOOKUP($N1828,Base_Enderecos!$A:$A,Base_Enderecos!$B:$B,""),"")</f>
        <v/>
      </c>
      <c r="Q1828">
        <f>IFERROR(_xludf.XLOOKUP($N1828,Base_Enderecos!$A:$A,Base_Enderecos!$C:$C,""),"")</f>
        <v/>
      </c>
      <c r="R1828">
        <f>IF(OR(ISNUMBER(SEARCH("HDD",$F1828)),ISNUMBER(SEARCH("MND",$F1828)),ISNUMBER(SEARCH("PEAD",$F1828)),ISNUMBER(SEARCH("Puxe",$J1828)),ISNUMBER(SEARCH("Apoio HDD",$F1828))),"MND",IF(OR(ISNUMBER(SEARCH("VCA",$F1828)),ISNUMBER(SEARCH("PVC",$F1828)),ISNUMBER(SEARCH("vca",$J1828)),ISNUMBER(SEARCH("Transformação",$J1828))),"VCA",IF(OR(ISNUMBER(SEARCH("crava",$F1828)),ISNUMBER(SEARCH("tubo cravado",$F1828)),ISNUMBER(SEARCH("shaft",$J1828)),ISNUMBER(SEARCH("concreto",$F1828))),"TUBO CRAVADO","")))</f>
        <v/>
      </c>
      <c r="T1828">
        <f>IF($A1828="","",TEXT($A1828,"yyyymm")&amp;"|"&amp;$C1828&amp;"|"&amp;$F1828&amp;"|"&amp;$N1828&amp;"|"&amp;$R1828)</f>
        <v/>
      </c>
    </row>
    <row r="1829" ht="11.55" customHeight="1">
      <c r="A1829" s="10" t="n">
        <v>46126</v>
      </c>
      <c r="B1829" s="7" t="inlineStr">
        <is>
          <t>Terça</t>
        </is>
      </c>
      <c r="C1829" s="7" t="inlineStr">
        <is>
          <t>CT ÁGUA VERMELHA M.D. e M.E</t>
        </is>
      </c>
      <c r="D1829" s="7" t="inlineStr">
        <is>
          <t>FABIO</t>
        </is>
      </c>
      <c r="E1829" s="7" t="inlineStr">
        <is>
          <t>Marcelo</t>
        </is>
      </c>
      <c r="F1829" s="13" t="inlineStr">
        <is>
          <t>Shaft PVE 22</t>
        </is>
      </c>
      <c r="G1829" s="7" t="inlineStr">
        <is>
          <t>22</t>
        </is>
      </c>
      <c r="H1829" s="7" t="n"/>
      <c r="I1829" s="7" t="inlineStr">
        <is>
          <t>22</t>
        </is>
      </c>
      <c r="J1829" s="7" t="inlineStr">
        <is>
          <t>Shaft</t>
        </is>
      </c>
      <c r="K1829" s="7" t="inlineStr">
        <is>
          <t>Planejamento</t>
        </is>
      </c>
      <c r="L1829" s="16" t="inlineStr">
        <is>
          <t>PDS-Abril(2).docx</t>
        </is>
      </c>
      <c r="M1829">
        <f>IF($A1829="","",TEXT($A1829,"mmmm/yyyy"))</f>
        <v/>
      </c>
      <c r="P1829">
        <f>IFERROR(_xludf.XLOOKUP($N1829,Base_Enderecos!$A:$A,Base_Enderecos!$B:$B,""),"")</f>
        <v/>
      </c>
      <c r="Q1829">
        <f>IFERROR(_xludf.XLOOKUP($N1829,Base_Enderecos!$A:$A,Base_Enderecos!$C:$C,""),"")</f>
        <v/>
      </c>
      <c r="R1829">
        <f>IF(OR(ISNUMBER(SEARCH("HDD",$F1829)),ISNUMBER(SEARCH("MND",$F1829)),ISNUMBER(SEARCH("PEAD",$F1829)),ISNUMBER(SEARCH("Puxe",$J1829)),ISNUMBER(SEARCH("Apoio HDD",$F1829))),"MND",IF(OR(ISNUMBER(SEARCH("VCA",$F1829)),ISNUMBER(SEARCH("PVC",$F1829)),ISNUMBER(SEARCH("vca",$J1829)),ISNUMBER(SEARCH("Transformação",$J1829))),"VCA",IF(OR(ISNUMBER(SEARCH("crava",$F1829)),ISNUMBER(SEARCH("tubo cravado",$F1829)),ISNUMBER(SEARCH("shaft",$J1829)),ISNUMBER(SEARCH("concreto",$F1829))),"TUBO CRAVADO","")))</f>
        <v/>
      </c>
      <c r="T1829">
        <f>IF($A1829="","",TEXT($A1829,"yyyymm")&amp;"|"&amp;$C1829&amp;"|"&amp;$F1829&amp;"|"&amp;$N1829&amp;"|"&amp;$R1829)</f>
        <v/>
      </c>
    </row>
    <row r="1830" ht="11.55" customHeight="1">
      <c r="A1830" s="10" t="n">
        <v>46126</v>
      </c>
      <c r="B1830" s="7" t="inlineStr">
        <is>
          <t>Terça</t>
        </is>
      </c>
      <c r="C1830" s="7" t="inlineStr">
        <is>
          <t>CT ÁGUA VERMELHA M.D. e M.E</t>
        </is>
      </c>
      <c r="D1830" s="7" t="inlineStr">
        <is>
          <t>FABIO</t>
        </is>
      </c>
      <c r="E1830" s="7" t="inlineStr">
        <is>
          <t>Edivando</t>
        </is>
      </c>
      <c r="F1830" s="13" t="inlineStr">
        <is>
          <t>Transformação PVE 24</t>
        </is>
      </c>
      <c r="G1830" s="7" t="inlineStr">
        <is>
          <t>24</t>
        </is>
      </c>
      <c r="H1830" s="7" t="n"/>
      <c r="I1830" s="7" t="inlineStr">
        <is>
          <t>24</t>
        </is>
      </c>
      <c r="J1830" s="7" t="inlineStr">
        <is>
          <t>Transformação</t>
        </is>
      </c>
      <c r="K1830" s="7" t="inlineStr">
        <is>
          <t>Planejamento</t>
        </is>
      </c>
      <c r="L1830" s="16" t="inlineStr">
        <is>
          <t>PDS-Abril(2).docx</t>
        </is>
      </c>
      <c r="M1830">
        <f>IF($A1830="","",TEXT($A1830,"mmmm/yyyy"))</f>
        <v/>
      </c>
      <c r="P1830">
        <f>IFERROR(_xludf.XLOOKUP($N1830,Base_Enderecos!$A:$A,Base_Enderecos!$B:$B,""),"")</f>
        <v/>
      </c>
      <c r="Q1830">
        <f>IFERROR(_xludf.XLOOKUP($N1830,Base_Enderecos!$A:$A,Base_Enderecos!$C:$C,""),"")</f>
        <v/>
      </c>
      <c r="R1830">
        <f>IF(OR(ISNUMBER(SEARCH("HDD",$F1830)),ISNUMBER(SEARCH("MND",$F1830)),ISNUMBER(SEARCH("PEAD",$F1830)),ISNUMBER(SEARCH("Puxe",$J1830)),ISNUMBER(SEARCH("Apoio HDD",$F1830))),"MND",IF(OR(ISNUMBER(SEARCH("VCA",$F1830)),ISNUMBER(SEARCH("PVC",$F1830)),ISNUMBER(SEARCH("vca",$J1830)),ISNUMBER(SEARCH("Transformação",$J1830))),"VCA",IF(OR(ISNUMBER(SEARCH("crava",$F1830)),ISNUMBER(SEARCH("tubo cravado",$F1830)),ISNUMBER(SEARCH("shaft",$J1830)),ISNUMBER(SEARCH("concreto",$F1830))),"TUBO CRAVADO","")))</f>
        <v/>
      </c>
      <c r="T1830">
        <f>IF($A1830="","",TEXT($A1830,"yyyymm")&amp;"|"&amp;$C1830&amp;"|"&amp;$F1830&amp;"|"&amp;$N1830&amp;"|"&amp;$R1830)</f>
        <v/>
      </c>
    </row>
    <row r="1831" ht="11.55" customHeight="1">
      <c r="A1831" s="10" t="n">
        <v>46126</v>
      </c>
      <c r="B1831" s="7" t="inlineStr">
        <is>
          <t>Terça</t>
        </is>
      </c>
      <c r="C1831" s="7" t="inlineStr">
        <is>
          <t>CT ÁGUA VERMELHA M.D. e M.E</t>
        </is>
      </c>
      <c r="D1831" s="7" t="inlineStr">
        <is>
          <t>FABIO</t>
        </is>
      </c>
      <c r="E1831" s="7" t="inlineStr">
        <is>
          <t>Jhonatan</t>
        </is>
      </c>
      <c r="F1831" s="13" t="inlineStr">
        <is>
          <t>Shaft PVE 17.1</t>
        </is>
      </c>
      <c r="G1831" s="7" t="inlineStr">
        <is>
          <t>17.1</t>
        </is>
      </c>
      <c r="H1831" s="7" t="n"/>
      <c r="I1831" s="7" t="inlineStr">
        <is>
          <t>17.1</t>
        </is>
      </c>
      <c r="J1831" s="7" t="inlineStr">
        <is>
          <t>Shaft</t>
        </is>
      </c>
      <c r="K1831" s="7" t="inlineStr">
        <is>
          <t>Planejamento</t>
        </is>
      </c>
      <c r="L1831" s="16" t="inlineStr">
        <is>
          <t>PDS-Abril(2).docx</t>
        </is>
      </c>
      <c r="M1831">
        <f>IF($A1831="","",TEXT($A1831,"mmmm/yyyy"))</f>
        <v/>
      </c>
      <c r="P1831">
        <f>IFERROR(_xludf.XLOOKUP($N1831,Base_Enderecos!$A:$A,Base_Enderecos!$B:$B,""),"")</f>
        <v/>
      </c>
      <c r="Q1831">
        <f>IFERROR(_xludf.XLOOKUP($N1831,Base_Enderecos!$A:$A,Base_Enderecos!$C:$C,""),"")</f>
        <v/>
      </c>
      <c r="R1831">
        <f>IF(OR(ISNUMBER(SEARCH("HDD",$F1831)),ISNUMBER(SEARCH("MND",$F1831)),ISNUMBER(SEARCH("PEAD",$F1831)),ISNUMBER(SEARCH("Puxe",$J1831)),ISNUMBER(SEARCH("Apoio HDD",$F1831))),"MND",IF(OR(ISNUMBER(SEARCH("VCA",$F1831)),ISNUMBER(SEARCH("PVC",$F1831)),ISNUMBER(SEARCH("vca",$J1831)),ISNUMBER(SEARCH("Transformação",$J1831))),"VCA",IF(OR(ISNUMBER(SEARCH("crava",$F1831)),ISNUMBER(SEARCH("tubo cravado",$F1831)),ISNUMBER(SEARCH("shaft",$J1831)),ISNUMBER(SEARCH("concreto",$F1831))),"TUBO CRAVADO","")))</f>
        <v/>
      </c>
      <c r="T1831">
        <f>IF($A1831="","",TEXT($A1831,"yyyymm")&amp;"|"&amp;$C1831&amp;"|"&amp;$F1831&amp;"|"&amp;$N1831&amp;"|"&amp;$R1831)</f>
        <v/>
      </c>
    </row>
    <row r="1832" ht="11.55" customHeight="1">
      <c r="A1832" s="10" t="n">
        <v>46126</v>
      </c>
      <c r="B1832" s="7" t="inlineStr">
        <is>
          <t>Terça</t>
        </is>
      </c>
      <c r="C1832" s="7" t="inlineStr">
        <is>
          <t>CT ÁGUA VERMELHA M.D. e M.E</t>
        </is>
      </c>
      <c r="D1832" s="7" t="inlineStr">
        <is>
          <t>FABIO</t>
        </is>
      </c>
      <c r="E1832" s="7" t="inlineStr">
        <is>
          <t>Sergio</t>
        </is>
      </c>
      <c r="F1832" s="13" t="inlineStr">
        <is>
          <t>Shaft PVE 16.1</t>
        </is>
      </c>
      <c r="G1832" s="7" t="inlineStr">
        <is>
          <t>16.1</t>
        </is>
      </c>
      <c r="H1832" s="7" t="n"/>
      <c r="I1832" s="7" t="inlineStr">
        <is>
          <t>16.1</t>
        </is>
      </c>
      <c r="J1832" s="7" t="inlineStr">
        <is>
          <t>Shaft</t>
        </is>
      </c>
      <c r="K1832" s="7" t="inlineStr">
        <is>
          <t>Planejamento</t>
        </is>
      </c>
      <c r="L1832" s="16" t="inlineStr">
        <is>
          <t>PDS-Abril(2).docx</t>
        </is>
      </c>
      <c r="M1832">
        <f>IF($A1832="","",TEXT($A1832,"mmmm/yyyy"))</f>
        <v/>
      </c>
      <c r="P1832">
        <f>IFERROR(_xludf.XLOOKUP($N1832,Base_Enderecos!$A:$A,Base_Enderecos!$B:$B,""),"")</f>
        <v/>
      </c>
      <c r="Q1832">
        <f>IFERROR(_xludf.XLOOKUP($N1832,Base_Enderecos!$A:$A,Base_Enderecos!$C:$C,""),"")</f>
        <v/>
      </c>
      <c r="R1832">
        <f>IF(OR(ISNUMBER(SEARCH("HDD",$F1832)),ISNUMBER(SEARCH("MND",$F1832)),ISNUMBER(SEARCH("PEAD",$F1832)),ISNUMBER(SEARCH("Puxe",$J1832)),ISNUMBER(SEARCH("Apoio HDD",$F1832))),"MND",IF(OR(ISNUMBER(SEARCH("VCA",$F1832)),ISNUMBER(SEARCH("PVC",$F1832)),ISNUMBER(SEARCH("vca",$J1832)),ISNUMBER(SEARCH("Transformação",$J1832))),"VCA",IF(OR(ISNUMBER(SEARCH("crava",$F1832)),ISNUMBER(SEARCH("tubo cravado",$F1832)),ISNUMBER(SEARCH("shaft",$J1832)),ISNUMBER(SEARCH("concreto",$F1832))),"TUBO CRAVADO","")))</f>
        <v/>
      </c>
      <c r="T1832">
        <f>IF($A1832="","",TEXT($A1832,"yyyymm")&amp;"|"&amp;$C1832&amp;"|"&amp;$F1832&amp;"|"&amp;$N1832&amp;"|"&amp;$R1832)</f>
        <v/>
      </c>
    </row>
    <row r="1833" ht="11.55" customHeight="1">
      <c r="A1833" s="10" t="n">
        <v>46126</v>
      </c>
      <c r="B1833" s="7" t="inlineStr">
        <is>
          <t>Terça</t>
        </is>
      </c>
      <c r="C1833" s="7" t="inlineStr">
        <is>
          <t>CT ÁGUA VERMELHA M.D. e M.E</t>
        </is>
      </c>
      <c r="D1833" s="7" t="inlineStr">
        <is>
          <t>FABIO</t>
        </is>
      </c>
      <c r="E1833" s="7" t="inlineStr">
        <is>
          <t>Antonio</t>
        </is>
      </c>
      <c r="F1833" s="13" t="inlineStr">
        <is>
          <t>Shaft PVE 18.1</t>
        </is>
      </c>
      <c r="G1833" s="7" t="inlineStr">
        <is>
          <t>18.1</t>
        </is>
      </c>
      <c r="H1833" s="7" t="n"/>
      <c r="I1833" s="7" t="inlineStr">
        <is>
          <t>18.1</t>
        </is>
      </c>
      <c r="J1833" s="7" t="inlineStr">
        <is>
          <t>Shaft</t>
        </is>
      </c>
      <c r="K1833" s="7" t="inlineStr">
        <is>
          <t>Planejamento</t>
        </is>
      </c>
      <c r="L1833" s="16" t="inlineStr">
        <is>
          <t>PDS-Abril(2).docx</t>
        </is>
      </c>
      <c r="M1833">
        <f>IF($A1833="","",TEXT($A1833,"mmmm/yyyy"))</f>
        <v/>
      </c>
      <c r="P1833">
        <f>IFERROR(_xludf.XLOOKUP($N1833,Base_Enderecos!$A:$A,Base_Enderecos!$B:$B,""),"")</f>
        <v/>
      </c>
      <c r="Q1833">
        <f>IFERROR(_xludf.XLOOKUP($N1833,Base_Enderecos!$A:$A,Base_Enderecos!$C:$C,""),"")</f>
        <v/>
      </c>
      <c r="R1833">
        <f>IF(OR(ISNUMBER(SEARCH("HDD",$F1833)),ISNUMBER(SEARCH("MND",$F1833)),ISNUMBER(SEARCH("PEAD",$F1833)),ISNUMBER(SEARCH("Puxe",$J1833)),ISNUMBER(SEARCH("Apoio HDD",$F1833))),"MND",IF(OR(ISNUMBER(SEARCH("VCA",$F1833)),ISNUMBER(SEARCH("PVC",$F1833)),ISNUMBER(SEARCH("vca",$J1833)),ISNUMBER(SEARCH("Transformação",$J1833))),"VCA",IF(OR(ISNUMBER(SEARCH("crava",$F1833)),ISNUMBER(SEARCH("tubo cravado",$F1833)),ISNUMBER(SEARCH("shaft",$J1833)),ISNUMBER(SEARCH("concreto",$F1833))),"TUBO CRAVADO","")))</f>
        <v/>
      </c>
      <c r="T1833">
        <f>IF($A1833="","",TEXT($A1833,"yyyymm")&amp;"|"&amp;$C1833&amp;"|"&amp;$F1833&amp;"|"&amp;$N1833&amp;"|"&amp;$R1833)</f>
        <v/>
      </c>
    </row>
    <row r="1834" ht="11.55" customHeight="1">
      <c r="A1834" s="10" t="n">
        <v>46126</v>
      </c>
      <c r="B1834" s="7" t="inlineStr">
        <is>
          <t>Terça</t>
        </is>
      </c>
      <c r="C1834" s="7" t="inlineStr">
        <is>
          <t>INT FERNANDO PACHECO JORDÃO</t>
        </is>
      </c>
      <c r="D1834" s="7" t="inlineStr">
        <is>
          <t>SILVESTRE e VALMIR</t>
        </is>
      </c>
      <c r="E1834" s="7" t="inlineStr">
        <is>
          <t>Valter</t>
        </is>
      </c>
      <c r="F1834" s="13" t="inlineStr">
        <is>
          <t>Shaft PV 04</t>
        </is>
      </c>
      <c r="G1834" s="7" t="inlineStr">
        <is>
          <t>04</t>
        </is>
      </c>
      <c r="H1834" s="7" t="n"/>
      <c r="I1834" s="7" t="inlineStr">
        <is>
          <t>04</t>
        </is>
      </c>
      <c r="J1834" s="7" t="inlineStr">
        <is>
          <t>Shaft</t>
        </is>
      </c>
      <c r="K1834" s="7" t="inlineStr">
        <is>
          <t>Planejamento</t>
        </is>
      </c>
      <c r="L1834" s="16" t="inlineStr">
        <is>
          <t>PDS-Abril(2).docx</t>
        </is>
      </c>
      <c r="M1834">
        <f>IF($A1834="","",TEXT($A1834,"mmmm/yyyy"))</f>
        <v/>
      </c>
      <c r="P1834">
        <f>IFERROR(_xludf.XLOOKUP($N1834,Base_Enderecos!$A:$A,Base_Enderecos!$B:$B,""),"")</f>
        <v/>
      </c>
      <c r="Q1834">
        <f>IFERROR(_xludf.XLOOKUP($N1834,Base_Enderecos!$A:$A,Base_Enderecos!$C:$C,""),"")</f>
        <v/>
      </c>
      <c r="R1834">
        <f>IF(OR(ISNUMBER(SEARCH("HDD",$F1834)),ISNUMBER(SEARCH("MND",$F1834)),ISNUMBER(SEARCH("PEAD",$F1834)),ISNUMBER(SEARCH("Puxe",$J1834)),ISNUMBER(SEARCH("Apoio HDD",$F1834))),"MND",IF(OR(ISNUMBER(SEARCH("VCA",$F1834)),ISNUMBER(SEARCH("PVC",$F1834)),ISNUMBER(SEARCH("vca",$J1834)),ISNUMBER(SEARCH("Transformação",$J1834))),"VCA",IF(OR(ISNUMBER(SEARCH("crava",$F1834)),ISNUMBER(SEARCH("tubo cravado",$F1834)),ISNUMBER(SEARCH("shaft",$J1834)),ISNUMBER(SEARCH("concreto",$F1834))),"TUBO CRAVADO","")))</f>
        <v/>
      </c>
      <c r="T1834">
        <f>IF($A1834="","",TEXT($A1834,"yyyymm")&amp;"|"&amp;$C1834&amp;"|"&amp;$F1834&amp;"|"&amp;$N1834&amp;"|"&amp;$R1834)</f>
        <v/>
      </c>
    </row>
    <row r="1835" ht="11.55" customHeight="1">
      <c r="A1835" s="10" t="n">
        <v>46126</v>
      </c>
      <c r="B1835" s="7" t="inlineStr">
        <is>
          <t>Terça</t>
        </is>
      </c>
      <c r="C1835" s="7" t="inlineStr">
        <is>
          <t>INT FERNANDO PACHECO JORDÃO</t>
        </is>
      </c>
      <c r="D1835" s="7" t="inlineStr">
        <is>
          <t>SILVESTRE e VALMIR</t>
        </is>
      </c>
      <c r="E1835" s="7" t="inlineStr">
        <is>
          <t>Cesar</t>
        </is>
      </c>
      <c r="F1835" s="13" t="inlineStr">
        <is>
          <t>Shaft PV 02</t>
        </is>
      </c>
      <c r="G1835" s="7" t="inlineStr">
        <is>
          <t>02</t>
        </is>
      </c>
      <c r="H1835" s="7" t="n"/>
      <c r="I1835" s="7" t="inlineStr">
        <is>
          <t>02</t>
        </is>
      </c>
      <c r="J1835" s="7" t="inlineStr">
        <is>
          <t>Shaft</t>
        </is>
      </c>
      <c r="K1835" s="7" t="inlineStr">
        <is>
          <t>Planejamento</t>
        </is>
      </c>
      <c r="L1835" s="16" t="inlineStr">
        <is>
          <t>PDS-Abril(2).docx</t>
        </is>
      </c>
      <c r="M1835">
        <f>IF($A1835="","",TEXT($A1835,"mmmm/yyyy"))</f>
        <v/>
      </c>
      <c r="P1835">
        <f>IFERROR(_xludf.XLOOKUP($N1835,Base_Enderecos!$A:$A,Base_Enderecos!$B:$B,""),"")</f>
        <v/>
      </c>
      <c r="Q1835">
        <f>IFERROR(_xludf.XLOOKUP($N1835,Base_Enderecos!$A:$A,Base_Enderecos!$C:$C,""),"")</f>
        <v/>
      </c>
      <c r="R1835">
        <f>IF(OR(ISNUMBER(SEARCH("HDD",$F1835)),ISNUMBER(SEARCH("MND",$F1835)),ISNUMBER(SEARCH("PEAD",$F1835)),ISNUMBER(SEARCH("Puxe",$J1835)),ISNUMBER(SEARCH("Apoio HDD",$F1835))),"MND",IF(OR(ISNUMBER(SEARCH("VCA",$F1835)),ISNUMBER(SEARCH("PVC",$F1835)),ISNUMBER(SEARCH("vca",$J1835)),ISNUMBER(SEARCH("Transformação",$J1835))),"VCA",IF(OR(ISNUMBER(SEARCH("crava",$F1835)),ISNUMBER(SEARCH("tubo cravado",$F1835)),ISNUMBER(SEARCH("shaft",$J1835)),ISNUMBER(SEARCH("concreto",$F1835))),"TUBO CRAVADO","")))</f>
        <v/>
      </c>
      <c r="T1835">
        <f>IF($A1835="","",TEXT($A1835,"yyyymm")&amp;"|"&amp;$C1835&amp;"|"&amp;$F1835&amp;"|"&amp;$N1835&amp;"|"&amp;$R1835)</f>
        <v/>
      </c>
    </row>
    <row r="1836" ht="11.55" customHeight="1">
      <c r="A1836" s="10" t="n">
        <v>46126</v>
      </c>
      <c r="B1836" s="7" t="inlineStr">
        <is>
          <t>Terça</t>
        </is>
      </c>
      <c r="C1836" s="7" t="inlineStr">
        <is>
          <t>CTS LUIS BOTELHO MOURÃO</t>
        </is>
      </c>
      <c r="D1836" s="7" t="inlineStr">
        <is>
          <t>ROBSON</t>
        </is>
      </c>
      <c r="E1836" s="7" t="inlineStr">
        <is>
          <t>Goiania Drill</t>
        </is>
      </c>
      <c r="F1836" s="13" t="inlineStr">
        <is>
          <t>Resgate barra PV 05</t>
        </is>
      </c>
      <c r="G1836" s="7" t="inlineStr">
        <is>
          <t>05</t>
        </is>
      </c>
      <c r="H1836" s="7" t="n"/>
      <c r="I1836" s="7" t="inlineStr">
        <is>
          <t>05</t>
        </is>
      </c>
      <c r="J1836" s="7" t="inlineStr">
        <is>
          <t>Resgate</t>
        </is>
      </c>
      <c r="K1836" s="7" t="inlineStr">
        <is>
          <t>Planejamento</t>
        </is>
      </c>
      <c r="L1836" s="16" t="inlineStr">
        <is>
          <t>PDS-Abril(2).docx</t>
        </is>
      </c>
      <c r="M1836">
        <f>IF($A1836="","",TEXT($A1836,"mmmm/yyyy"))</f>
        <v/>
      </c>
      <c r="P1836">
        <f>IFERROR(_xludf.XLOOKUP($N1836,Base_Enderecos!$A:$A,Base_Enderecos!$B:$B,""),"")</f>
        <v/>
      </c>
      <c r="Q1836">
        <f>IFERROR(_xludf.XLOOKUP($N1836,Base_Enderecos!$A:$A,Base_Enderecos!$C:$C,""),"")</f>
        <v/>
      </c>
      <c r="R1836">
        <f>IF(OR(ISNUMBER(SEARCH("HDD",$F1836)),ISNUMBER(SEARCH("MND",$F1836)),ISNUMBER(SEARCH("PEAD",$F1836)),ISNUMBER(SEARCH("Puxe",$J1836)),ISNUMBER(SEARCH("Apoio HDD",$F1836))),"MND",IF(OR(ISNUMBER(SEARCH("VCA",$F1836)),ISNUMBER(SEARCH("PVC",$F1836)),ISNUMBER(SEARCH("vca",$J1836)),ISNUMBER(SEARCH("Transformação",$J1836))),"VCA",IF(OR(ISNUMBER(SEARCH("crava",$F1836)),ISNUMBER(SEARCH("tubo cravado",$F1836)),ISNUMBER(SEARCH("shaft",$J1836)),ISNUMBER(SEARCH("concreto",$F1836))),"TUBO CRAVADO","")))</f>
        <v/>
      </c>
      <c r="T1836">
        <f>IF($A1836="","",TEXT($A1836,"yyyymm")&amp;"|"&amp;$C1836&amp;"|"&amp;$F1836&amp;"|"&amp;$N1836&amp;"|"&amp;$R1836)</f>
        <v/>
      </c>
    </row>
    <row r="1837" ht="11.55" customHeight="1">
      <c r="A1837" s="10" t="n">
        <v>46126</v>
      </c>
      <c r="B1837" s="7" t="inlineStr">
        <is>
          <t>Terça</t>
        </is>
      </c>
      <c r="C1837" s="7" t="inlineStr">
        <is>
          <t>CTS LUIS BOTELHO MOURÃO</t>
        </is>
      </c>
      <c r="D1837" s="7" t="inlineStr">
        <is>
          <t>ROBSON</t>
        </is>
      </c>
      <c r="E1837" s="7" t="inlineStr">
        <is>
          <t>Bruno</t>
        </is>
      </c>
      <c r="F1837" s="13" t="inlineStr">
        <is>
          <t>Resgate barra PV 05</t>
        </is>
      </c>
      <c r="G1837" s="7" t="inlineStr">
        <is>
          <t>05</t>
        </is>
      </c>
      <c r="H1837" s="7" t="n"/>
      <c r="I1837" s="7" t="inlineStr">
        <is>
          <t>05</t>
        </is>
      </c>
      <c r="J1837" s="7" t="inlineStr">
        <is>
          <t>Resgate</t>
        </is>
      </c>
      <c r="K1837" s="7" t="inlineStr">
        <is>
          <t>Planejamento</t>
        </is>
      </c>
      <c r="L1837" s="16" t="inlineStr">
        <is>
          <t>PDS-Abril(2).docx</t>
        </is>
      </c>
      <c r="M1837">
        <f>IF($A1837="","",TEXT($A1837,"mmmm/yyyy"))</f>
        <v/>
      </c>
      <c r="P1837">
        <f>IFERROR(_xludf.XLOOKUP($N1837,Base_Enderecos!$A:$A,Base_Enderecos!$B:$B,""),"")</f>
        <v/>
      </c>
      <c r="Q1837">
        <f>IFERROR(_xludf.XLOOKUP($N1837,Base_Enderecos!$A:$A,Base_Enderecos!$C:$C,""),"")</f>
        <v/>
      </c>
      <c r="R1837">
        <f>IF(OR(ISNUMBER(SEARCH("HDD",$F1837)),ISNUMBER(SEARCH("MND",$F1837)),ISNUMBER(SEARCH("PEAD",$F1837)),ISNUMBER(SEARCH("Puxe",$J1837)),ISNUMBER(SEARCH("Apoio HDD",$F1837))),"MND",IF(OR(ISNUMBER(SEARCH("VCA",$F1837)),ISNUMBER(SEARCH("PVC",$F1837)),ISNUMBER(SEARCH("vca",$J1837)),ISNUMBER(SEARCH("Transformação",$J1837))),"VCA",IF(OR(ISNUMBER(SEARCH("crava",$F1837)),ISNUMBER(SEARCH("tubo cravado",$F1837)),ISNUMBER(SEARCH("shaft",$J1837)),ISNUMBER(SEARCH("concreto",$F1837))),"TUBO CRAVADO","")))</f>
        <v/>
      </c>
      <c r="T1837">
        <f>IF($A1837="","",TEXT($A1837,"yyyymm")&amp;"|"&amp;$C1837&amp;"|"&amp;$F1837&amp;"|"&amp;$N1837&amp;"|"&amp;$R1837)</f>
        <v/>
      </c>
    </row>
    <row r="1838" ht="11.55" customHeight="1">
      <c r="A1838" s="10" t="n">
        <v>46126</v>
      </c>
      <c r="B1838" s="7" t="inlineStr">
        <is>
          <t>Terça</t>
        </is>
      </c>
      <c r="C1838" s="7" t="inlineStr">
        <is>
          <t>CTS LUIS BOTELHO MOURÃO</t>
        </is>
      </c>
      <c r="D1838" s="7" t="inlineStr">
        <is>
          <t>ROBSON</t>
        </is>
      </c>
      <c r="E1838" s="7" t="inlineStr">
        <is>
          <t>Marcio</t>
        </is>
      </c>
      <c r="F1838" s="13" t="inlineStr">
        <is>
          <t>Transformação + Interlig. PV 02</t>
        </is>
      </c>
      <c r="G1838" s="7" t="inlineStr">
        <is>
          <t>02</t>
        </is>
      </c>
      <c r="H1838" s="7" t="n"/>
      <c r="I1838" s="7" t="inlineStr">
        <is>
          <t>02</t>
        </is>
      </c>
      <c r="J1838" s="7" t="inlineStr">
        <is>
          <t>Transformação</t>
        </is>
      </c>
      <c r="K1838" s="7" t="inlineStr">
        <is>
          <t>Planejamento</t>
        </is>
      </c>
      <c r="L1838" s="16" t="inlineStr">
        <is>
          <t>PDS-Abril(2).docx</t>
        </is>
      </c>
      <c r="M1838">
        <f>IF($A1838="","",TEXT($A1838,"mmmm/yyyy"))</f>
        <v/>
      </c>
      <c r="P1838">
        <f>IFERROR(_xludf.XLOOKUP($N1838,Base_Enderecos!$A:$A,Base_Enderecos!$B:$B,""),"")</f>
        <v/>
      </c>
      <c r="Q1838">
        <f>IFERROR(_xludf.XLOOKUP($N1838,Base_Enderecos!$A:$A,Base_Enderecos!$C:$C,""),"")</f>
        <v/>
      </c>
      <c r="R1838">
        <f>IF(OR(ISNUMBER(SEARCH("HDD",$F1838)),ISNUMBER(SEARCH("MND",$F1838)),ISNUMBER(SEARCH("PEAD",$F1838)),ISNUMBER(SEARCH("Puxe",$J1838)),ISNUMBER(SEARCH("Apoio HDD",$F1838))),"MND",IF(OR(ISNUMBER(SEARCH("VCA",$F1838)),ISNUMBER(SEARCH("PVC",$F1838)),ISNUMBER(SEARCH("vca",$J1838)),ISNUMBER(SEARCH("Transformação",$J1838))),"VCA",IF(OR(ISNUMBER(SEARCH("crava",$F1838)),ISNUMBER(SEARCH("tubo cravado",$F1838)),ISNUMBER(SEARCH("shaft",$J1838)),ISNUMBER(SEARCH("concreto",$F1838))),"TUBO CRAVADO","")))</f>
        <v/>
      </c>
      <c r="T1838">
        <f>IF($A1838="","",TEXT($A1838,"yyyymm")&amp;"|"&amp;$C1838&amp;"|"&amp;$F1838&amp;"|"&amp;$N1838&amp;"|"&amp;$R1838)</f>
        <v/>
      </c>
    </row>
    <row r="1839" ht="11.55" customHeight="1">
      <c r="A1839" s="10" t="n">
        <v>46126</v>
      </c>
      <c r="B1839" s="7" t="inlineStr">
        <is>
          <t>Terça</t>
        </is>
      </c>
      <c r="C1839" s="7" t="inlineStr">
        <is>
          <t>CTS LUIS BOTELHO MOURÃO</t>
        </is>
      </c>
      <c r="D1839" s="7" t="inlineStr">
        <is>
          <t>ROBSON</t>
        </is>
      </c>
      <c r="E1839" s="7" t="inlineStr">
        <is>
          <t>Ricardo</t>
        </is>
      </c>
      <c r="F1839" s="13" t="inlineStr">
        <is>
          <t>Corte cabeça Puxe PV 06</t>
        </is>
      </c>
      <c r="G1839" s="7" t="inlineStr">
        <is>
          <t>06</t>
        </is>
      </c>
      <c r="H1839" s="7" t="n"/>
      <c r="I1839" s="7" t="inlineStr">
        <is>
          <t>06</t>
        </is>
      </c>
      <c r="J1839" s="7" t="inlineStr">
        <is>
          <t>Puxe</t>
        </is>
      </c>
      <c r="K1839" s="7" t="inlineStr">
        <is>
          <t>Planejamento</t>
        </is>
      </c>
      <c r="L1839" s="16" t="inlineStr">
        <is>
          <t>PDS-Abril(2).docx</t>
        </is>
      </c>
      <c r="M1839">
        <f>IF($A1839="","",TEXT($A1839,"mmmm/yyyy"))</f>
        <v/>
      </c>
      <c r="P1839">
        <f>IFERROR(_xludf.XLOOKUP($N1839,Base_Enderecos!$A:$A,Base_Enderecos!$B:$B,""),"")</f>
        <v/>
      </c>
      <c r="Q1839">
        <f>IFERROR(_xludf.XLOOKUP($N1839,Base_Enderecos!$A:$A,Base_Enderecos!$C:$C,""),"")</f>
        <v/>
      </c>
      <c r="R1839">
        <f>IF(OR(ISNUMBER(SEARCH("HDD",$F1839)),ISNUMBER(SEARCH("MND",$F1839)),ISNUMBER(SEARCH("PEAD",$F1839)),ISNUMBER(SEARCH("Puxe",$J1839)),ISNUMBER(SEARCH("Apoio HDD",$F1839))),"MND",IF(OR(ISNUMBER(SEARCH("VCA",$F1839)),ISNUMBER(SEARCH("PVC",$F1839)),ISNUMBER(SEARCH("vca",$J1839)),ISNUMBER(SEARCH("Transformação",$J1839))),"VCA",IF(OR(ISNUMBER(SEARCH("crava",$F1839)),ISNUMBER(SEARCH("tubo cravado",$F1839)),ISNUMBER(SEARCH("shaft",$J1839)),ISNUMBER(SEARCH("concreto",$F1839))),"TUBO CRAVADO","")))</f>
        <v/>
      </c>
      <c r="T1839">
        <f>IF($A1839="","",TEXT($A1839,"yyyymm")&amp;"|"&amp;$C1839&amp;"|"&amp;$F1839&amp;"|"&amp;$N1839&amp;"|"&amp;$R1839)</f>
        <v/>
      </c>
    </row>
    <row r="1840" ht="11.55" customHeight="1">
      <c r="A1840" s="10" t="n">
        <v>46126</v>
      </c>
      <c r="B1840" s="7" t="inlineStr">
        <is>
          <t>Terça</t>
        </is>
      </c>
      <c r="C1840" s="7" t="inlineStr">
        <is>
          <t>Vacal</t>
        </is>
      </c>
      <c r="D1840" s="7" t="n"/>
      <c r="E1840" s="7" t="inlineStr">
        <is>
          <t>Botelho Mourão – Renasce</t>
        </is>
      </c>
      <c r="F1840" s="13" t="inlineStr">
        <is>
          <t>Apoio Vacal</t>
        </is>
      </c>
      <c r="G1840" s="7" t="n"/>
      <c r="H1840" s="7" t="n"/>
      <c r="I1840" s="7" t="n"/>
      <c r="J1840" s="7" t="inlineStr">
        <is>
          <t>Vacal</t>
        </is>
      </c>
      <c r="K1840" s="7" t="inlineStr">
        <is>
          <t>Apoio</t>
        </is>
      </c>
      <c r="L1840" s="16" t="inlineStr">
        <is>
          <t>PDS-Abril(2).docx</t>
        </is>
      </c>
      <c r="M1840">
        <f>IF($A1840="","",TEXT($A1840,"mmmm/yyyy"))</f>
        <v/>
      </c>
      <c r="P1840">
        <f>IFERROR(_xludf.XLOOKUP($N1840,Base_Enderecos!$A:$A,Base_Enderecos!$B:$B,""),"")</f>
        <v/>
      </c>
      <c r="Q1840">
        <f>IFERROR(_xludf.XLOOKUP($N1840,Base_Enderecos!$A:$A,Base_Enderecos!$C:$C,""),"")</f>
        <v/>
      </c>
      <c r="R1840">
        <f>IF(OR(ISNUMBER(SEARCH("HDD",$F1840)),ISNUMBER(SEARCH("MND",$F1840)),ISNUMBER(SEARCH("PEAD",$F1840)),ISNUMBER(SEARCH("Puxe",$J1840)),ISNUMBER(SEARCH("Apoio HDD",$F1840))),"MND",IF(OR(ISNUMBER(SEARCH("VCA",$F1840)),ISNUMBER(SEARCH("PVC",$F1840)),ISNUMBER(SEARCH("vca",$J1840)),ISNUMBER(SEARCH("Transformação",$J1840))),"VCA",IF(OR(ISNUMBER(SEARCH("crava",$F1840)),ISNUMBER(SEARCH("tubo cravado",$F1840)),ISNUMBER(SEARCH("shaft",$J1840)),ISNUMBER(SEARCH("concreto",$F1840))),"TUBO CRAVADO","")))</f>
        <v/>
      </c>
      <c r="T1840">
        <f>IF($A1840="","",TEXT($A1840,"yyyymm")&amp;"|"&amp;$C1840&amp;"|"&amp;$F1840&amp;"|"&amp;$N1840&amp;"|"&amp;$R1840)</f>
        <v/>
      </c>
    </row>
    <row r="1841" ht="11.55" customHeight="1">
      <c r="A1841" s="10" t="n">
        <v>46126</v>
      </c>
      <c r="B1841" s="7" t="inlineStr">
        <is>
          <t>Terça</t>
        </is>
      </c>
      <c r="C1841" s="7" t="inlineStr">
        <is>
          <t>Vacal</t>
        </is>
      </c>
      <c r="D1841" s="7" t="n"/>
      <c r="E1841" s="7" t="inlineStr">
        <is>
          <t>Botelho Mourão – Renasce</t>
        </is>
      </c>
      <c r="F1841" s="13" t="inlineStr">
        <is>
          <t>Apoio Vacal</t>
        </is>
      </c>
      <c r="G1841" s="7" t="n"/>
      <c r="H1841" s="7" t="n"/>
      <c r="I1841" s="7" t="n"/>
      <c r="J1841" s="7" t="inlineStr">
        <is>
          <t>Vacal</t>
        </is>
      </c>
      <c r="K1841" s="7" t="inlineStr">
        <is>
          <t>Apoio</t>
        </is>
      </c>
      <c r="L1841" s="16" t="inlineStr">
        <is>
          <t>PDS-Abril(2).docx</t>
        </is>
      </c>
      <c r="M1841">
        <f>IF($A1841="","",TEXT($A1841,"mmmm/yyyy"))</f>
        <v/>
      </c>
      <c r="P1841">
        <f>IFERROR(_xludf.XLOOKUP($N1841,Base_Enderecos!$A:$A,Base_Enderecos!$B:$B,""),"")</f>
        <v/>
      </c>
      <c r="Q1841">
        <f>IFERROR(_xludf.XLOOKUP($N1841,Base_Enderecos!$A:$A,Base_Enderecos!$C:$C,""),"")</f>
        <v/>
      </c>
      <c r="R1841">
        <f>IF(OR(ISNUMBER(SEARCH("HDD",$F1841)),ISNUMBER(SEARCH("MND",$F1841)),ISNUMBER(SEARCH("PEAD",$F1841)),ISNUMBER(SEARCH("Puxe",$J1841)),ISNUMBER(SEARCH("Apoio HDD",$F1841))),"MND",IF(OR(ISNUMBER(SEARCH("VCA",$F1841)),ISNUMBER(SEARCH("PVC",$F1841)),ISNUMBER(SEARCH("vca",$J1841)),ISNUMBER(SEARCH("Transformação",$J1841))),"VCA",IF(OR(ISNUMBER(SEARCH("crava",$F1841)),ISNUMBER(SEARCH("tubo cravado",$F1841)),ISNUMBER(SEARCH("shaft",$J1841)),ISNUMBER(SEARCH("concreto",$F1841))),"TUBO CRAVADO","")))</f>
        <v/>
      </c>
      <c r="T1841">
        <f>IF($A1841="","",TEXT($A1841,"yyyymm")&amp;"|"&amp;$C1841&amp;"|"&amp;$F1841&amp;"|"&amp;$N1841&amp;"|"&amp;$R1841)</f>
        <v/>
      </c>
    </row>
    <row r="1842" ht="11.55" customHeight="1">
      <c r="A1842" s="10" t="n">
        <v>46126</v>
      </c>
      <c r="B1842" s="7" t="inlineStr">
        <is>
          <t>Terça</t>
        </is>
      </c>
      <c r="C1842" s="7" t="inlineStr">
        <is>
          <t>Vacal</t>
        </is>
      </c>
      <c r="D1842" s="7" t="n"/>
      <c r="E1842" s="7" t="inlineStr">
        <is>
          <t>Botelho Mourão –Henko</t>
        </is>
      </c>
      <c r="F1842" s="13" t="inlineStr">
        <is>
          <t>Apoio Vacal</t>
        </is>
      </c>
      <c r="G1842" s="7" t="n"/>
      <c r="H1842" s="7" t="n"/>
      <c r="I1842" s="7" t="n"/>
      <c r="J1842" s="7" t="inlineStr">
        <is>
          <t>Vacal</t>
        </is>
      </c>
      <c r="K1842" s="7" t="inlineStr">
        <is>
          <t>Apoio</t>
        </is>
      </c>
      <c r="L1842" s="16" t="inlineStr">
        <is>
          <t>PDS-Abril(2).docx</t>
        </is>
      </c>
      <c r="M1842">
        <f>IF($A1842="","",TEXT($A1842,"mmmm/yyyy"))</f>
        <v/>
      </c>
      <c r="P1842">
        <f>IFERROR(_xludf.XLOOKUP($N1842,Base_Enderecos!$A:$A,Base_Enderecos!$B:$B,""),"")</f>
        <v/>
      </c>
      <c r="Q1842">
        <f>IFERROR(_xludf.XLOOKUP($N1842,Base_Enderecos!$A:$A,Base_Enderecos!$C:$C,""),"")</f>
        <v/>
      </c>
      <c r="R1842">
        <f>IF(OR(ISNUMBER(SEARCH("HDD",$F1842)),ISNUMBER(SEARCH("MND",$F1842)),ISNUMBER(SEARCH("PEAD",$F1842)),ISNUMBER(SEARCH("Puxe",$J1842)),ISNUMBER(SEARCH("Apoio HDD",$F1842))),"MND",IF(OR(ISNUMBER(SEARCH("VCA",$F1842)),ISNUMBER(SEARCH("PVC",$F1842)),ISNUMBER(SEARCH("vca",$J1842)),ISNUMBER(SEARCH("Transformação",$J1842))),"VCA",IF(OR(ISNUMBER(SEARCH("crava",$F1842)),ISNUMBER(SEARCH("tubo cravado",$F1842)),ISNUMBER(SEARCH("shaft",$J1842)),ISNUMBER(SEARCH("concreto",$F1842))),"TUBO CRAVADO","")))</f>
        <v/>
      </c>
      <c r="T1842">
        <f>IF($A1842="","",TEXT($A1842,"yyyymm")&amp;"|"&amp;$C1842&amp;"|"&amp;$F1842&amp;"|"&amp;$N1842&amp;"|"&amp;$R1842)</f>
        <v/>
      </c>
    </row>
    <row r="1843" ht="11.55" customHeight="1">
      <c r="A1843" s="10" t="n">
        <v>46126</v>
      </c>
      <c r="B1843" s="7" t="inlineStr">
        <is>
          <t>Terça</t>
        </is>
      </c>
      <c r="C1843" s="7" t="inlineStr">
        <is>
          <t>Vacal</t>
        </is>
      </c>
      <c r="D1843" s="7" t="n"/>
      <c r="E1843" s="7" t="inlineStr">
        <is>
          <t>Conceição – Renasce</t>
        </is>
      </c>
      <c r="F1843" s="13" t="inlineStr">
        <is>
          <t>Apoio Vacal</t>
        </is>
      </c>
      <c r="G1843" s="7" t="n"/>
      <c r="H1843" s="7" t="n"/>
      <c r="I1843" s="7" t="n"/>
      <c r="J1843" s="7" t="inlineStr">
        <is>
          <t>Vacal</t>
        </is>
      </c>
      <c r="K1843" s="7" t="inlineStr">
        <is>
          <t>Apoio</t>
        </is>
      </c>
      <c r="L1843" s="16" t="inlineStr">
        <is>
          <t>PDS-Abril(2).docx</t>
        </is>
      </c>
      <c r="M1843">
        <f>IF($A1843="","",TEXT($A1843,"mmmm/yyyy"))</f>
        <v/>
      </c>
      <c r="P1843">
        <f>IFERROR(_xludf.XLOOKUP($N1843,Base_Enderecos!$A:$A,Base_Enderecos!$B:$B,""),"")</f>
        <v/>
      </c>
      <c r="Q1843">
        <f>IFERROR(_xludf.XLOOKUP($N1843,Base_Enderecos!$A:$A,Base_Enderecos!$C:$C,""),"")</f>
        <v/>
      </c>
      <c r="R1843">
        <f>IF(OR(ISNUMBER(SEARCH("HDD",$F1843)),ISNUMBER(SEARCH("MND",$F1843)),ISNUMBER(SEARCH("PEAD",$F1843)),ISNUMBER(SEARCH("Puxe",$J1843)),ISNUMBER(SEARCH("Apoio HDD",$F1843))),"MND",IF(OR(ISNUMBER(SEARCH("VCA",$F1843)),ISNUMBER(SEARCH("PVC",$F1843)),ISNUMBER(SEARCH("vca",$J1843)),ISNUMBER(SEARCH("Transformação",$J1843))),"VCA",IF(OR(ISNUMBER(SEARCH("crava",$F1843)),ISNUMBER(SEARCH("tubo cravado",$F1843)),ISNUMBER(SEARCH("shaft",$J1843)),ISNUMBER(SEARCH("concreto",$F1843))),"TUBO CRAVADO","")))</f>
        <v/>
      </c>
      <c r="T1843">
        <f>IF($A1843="","",TEXT($A1843,"yyyymm")&amp;"|"&amp;$C1843&amp;"|"&amp;$F1843&amp;"|"&amp;$N1843&amp;"|"&amp;$R1843)</f>
        <v/>
      </c>
    </row>
    <row r="1844" ht="11.55" customHeight="1">
      <c r="A1844" s="10" t="n">
        <v>46126</v>
      </c>
      <c r="B1844" s="7" t="inlineStr">
        <is>
          <t>Terça</t>
        </is>
      </c>
      <c r="C1844" s="7" t="inlineStr">
        <is>
          <t>Vacal</t>
        </is>
      </c>
      <c r="D1844" s="7" t="n"/>
      <c r="E1844" s="7" t="inlineStr">
        <is>
          <t>Conceição - Renasce</t>
        </is>
      </c>
      <c r="F1844" s="13" t="inlineStr">
        <is>
          <t>Apoio Vacal</t>
        </is>
      </c>
      <c r="G1844" s="7" t="n"/>
      <c r="H1844" s="7" t="n"/>
      <c r="I1844" s="7" t="n"/>
      <c r="J1844" s="7" t="inlineStr">
        <is>
          <t>Vacal</t>
        </is>
      </c>
      <c r="K1844" s="7" t="inlineStr">
        <is>
          <t>Apoio</t>
        </is>
      </c>
      <c r="L1844" s="16" t="inlineStr">
        <is>
          <t>PDS-Abril(2).docx</t>
        </is>
      </c>
      <c r="M1844">
        <f>IF($A1844="","",TEXT($A1844,"mmmm/yyyy"))</f>
        <v/>
      </c>
      <c r="P1844">
        <f>IFERROR(_xludf.XLOOKUP($N1844,Base_Enderecos!$A:$A,Base_Enderecos!$B:$B,""),"")</f>
        <v/>
      </c>
      <c r="Q1844">
        <f>IFERROR(_xludf.XLOOKUP($N1844,Base_Enderecos!$A:$A,Base_Enderecos!$C:$C,""),"")</f>
        <v/>
      </c>
      <c r="R1844">
        <f>IF(OR(ISNUMBER(SEARCH("HDD",$F1844)),ISNUMBER(SEARCH("MND",$F1844)),ISNUMBER(SEARCH("PEAD",$F1844)),ISNUMBER(SEARCH("Puxe",$J1844)),ISNUMBER(SEARCH("Apoio HDD",$F1844))),"MND",IF(OR(ISNUMBER(SEARCH("VCA",$F1844)),ISNUMBER(SEARCH("PVC",$F1844)),ISNUMBER(SEARCH("vca",$J1844)),ISNUMBER(SEARCH("Transformação",$J1844))),"VCA",IF(OR(ISNUMBER(SEARCH("crava",$F1844)),ISNUMBER(SEARCH("tubo cravado",$F1844)),ISNUMBER(SEARCH("shaft",$J1844)),ISNUMBER(SEARCH("concreto",$F1844))),"TUBO CRAVADO","")))</f>
        <v/>
      </c>
      <c r="T1844">
        <f>IF($A1844="","",TEXT($A1844,"yyyymm")&amp;"|"&amp;$C1844&amp;"|"&amp;$F1844&amp;"|"&amp;$N1844&amp;"|"&amp;$R1844)</f>
        <v/>
      </c>
    </row>
    <row r="1845" ht="11.55" customHeight="1">
      <c r="A1845" s="10" t="n">
        <v>46126</v>
      </c>
      <c r="B1845" s="7" t="inlineStr">
        <is>
          <t>Terça</t>
        </is>
      </c>
      <c r="C1845" s="7" t="inlineStr">
        <is>
          <t>Vacal</t>
        </is>
      </c>
      <c r="D1845" s="7" t="n"/>
      <c r="E1845" s="7" t="inlineStr">
        <is>
          <t>Água Vermelha – Hidrosol</t>
        </is>
      </c>
      <c r="F1845" s="13" t="inlineStr">
        <is>
          <t>Apoio Vacal</t>
        </is>
      </c>
      <c r="G1845" s="7" t="n"/>
      <c r="H1845" s="7" t="n"/>
      <c r="I1845" s="7" t="n"/>
      <c r="J1845" s="7" t="inlineStr">
        <is>
          <t>Vacal</t>
        </is>
      </c>
      <c r="K1845" s="7" t="inlineStr">
        <is>
          <t>Apoio</t>
        </is>
      </c>
      <c r="L1845" s="16" t="inlineStr">
        <is>
          <t>PDS-Abril(2).docx</t>
        </is>
      </c>
      <c r="M1845">
        <f>IF($A1845="","",TEXT($A1845,"mmmm/yyyy"))</f>
        <v/>
      </c>
      <c r="P1845">
        <f>IFERROR(_xludf.XLOOKUP($N1845,Base_Enderecos!$A:$A,Base_Enderecos!$B:$B,""),"")</f>
        <v/>
      </c>
      <c r="Q1845">
        <f>IFERROR(_xludf.XLOOKUP($N1845,Base_Enderecos!$A:$A,Base_Enderecos!$C:$C,""),"")</f>
        <v/>
      </c>
      <c r="R1845">
        <f>IF(OR(ISNUMBER(SEARCH("HDD",$F1845)),ISNUMBER(SEARCH("MND",$F1845)),ISNUMBER(SEARCH("PEAD",$F1845)),ISNUMBER(SEARCH("Puxe",$J1845)),ISNUMBER(SEARCH("Apoio HDD",$F1845))),"MND",IF(OR(ISNUMBER(SEARCH("VCA",$F1845)),ISNUMBER(SEARCH("PVC",$F1845)),ISNUMBER(SEARCH("vca",$J1845)),ISNUMBER(SEARCH("Transformação",$J1845))),"VCA",IF(OR(ISNUMBER(SEARCH("crava",$F1845)),ISNUMBER(SEARCH("tubo cravado",$F1845)),ISNUMBER(SEARCH("shaft",$J1845)),ISNUMBER(SEARCH("concreto",$F1845))),"TUBO CRAVADO","")))</f>
        <v/>
      </c>
      <c r="T1845">
        <f>IF($A1845="","",TEXT($A1845,"yyyymm")&amp;"|"&amp;$C1845&amp;"|"&amp;$F1845&amp;"|"&amp;$N1845&amp;"|"&amp;$R1845)</f>
        <v/>
      </c>
    </row>
    <row r="1846" ht="11.55" customHeight="1">
      <c r="A1846" s="10" t="n">
        <v>46126</v>
      </c>
      <c r="B1846" s="7" t="inlineStr">
        <is>
          <t>Terça</t>
        </is>
      </c>
      <c r="C1846" s="7" t="inlineStr">
        <is>
          <t>Guindauto</t>
        </is>
      </c>
      <c r="D1846" s="7" t="n"/>
      <c r="E1846" s="7" t="inlineStr">
        <is>
          <t>Marcio</t>
        </is>
      </c>
      <c r="F1846" s="13" t="inlineStr">
        <is>
          <t>Marcio - Apoio as equipes</t>
        </is>
      </c>
      <c r="G1846" s="7" t="n"/>
      <c r="H1846" s="7" t="n"/>
      <c r="I1846" s="7" t="n"/>
      <c r="J1846" s="7" t="inlineStr">
        <is>
          <t>Guindauto</t>
        </is>
      </c>
      <c r="K1846" s="7" t="inlineStr">
        <is>
          <t>Apoio</t>
        </is>
      </c>
      <c r="L1846" s="16" t="inlineStr">
        <is>
          <t>PDS-Abril(2).docx</t>
        </is>
      </c>
      <c r="M1846">
        <f>IF($A1846="","",TEXT($A1846,"mmmm/yyyy"))</f>
        <v/>
      </c>
      <c r="P1846">
        <f>IFERROR(_xludf.XLOOKUP($N1846,Base_Enderecos!$A:$A,Base_Enderecos!$B:$B,""),"")</f>
        <v/>
      </c>
      <c r="Q1846">
        <f>IFERROR(_xludf.XLOOKUP($N1846,Base_Enderecos!$A:$A,Base_Enderecos!$C:$C,""),"")</f>
        <v/>
      </c>
      <c r="R1846">
        <f>IF(OR(ISNUMBER(SEARCH("HDD",$F1846)),ISNUMBER(SEARCH("MND",$F1846)),ISNUMBER(SEARCH("PEAD",$F1846)),ISNUMBER(SEARCH("Puxe",$J1846)),ISNUMBER(SEARCH("Apoio HDD",$F1846))),"MND",IF(OR(ISNUMBER(SEARCH("VCA",$F1846)),ISNUMBER(SEARCH("PVC",$F1846)),ISNUMBER(SEARCH("vca",$J1846)),ISNUMBER(SEARCH("Transformação",$J1846))),"VCA",IF(OR(ISNUMBER(SEARCH("crava",$F1846)),ISNUMBER(SEARCH("tubo cravado",$F1846)),ISNUMBER(SEARCH("shaft",$J1846)),ISNUMBER(SEARCH("concreto",$F1846))),"TUBO CRAVADO","")))</f>
        <v/>
      </c>
      <c r="T1846">
        <f>IF($A1846="","",TEXT($A1846,"yyyymm")&amp;"|"&amp;$C1846&amp;"|"&amp;$F1846&amp;"|"&amp;$N1846&amp;"|"&amp;$R1846)</f>
        <v/>
      </c>
    </row>
    <row r="1847" ht="11.55" customHeight="1">
      <c r="A1847" s="10" t="n">
        <v>46127</v>
      </c>
      <c r="B1847" s="7" t="inlineStr">
        <is>
          <t>Quarta</t>
        </is>
      </c>
      <c r="C1847" s="7" t="inlineStr">
        <is>
          <t>CTS CONCEIÇÃO</t>
        </is>
      </c>
      <c r="D1847" s="7" t="inlineStr">
        <is>
          <t>LEANDRO</t>
        </is>
      </c>
      <c r="E1847" s="7" t="inlineStr">
        <is>
          <t>WJ 01</t>
        </is>
      </c>
      <c r="F1847" s="13" t="inlineStr">
        <is>
          <t>Piloto e puxe entre PV 10.1 ao 10.2</t>
        </is>
      </c>
      <c r="G1847" s="7" t="inlineStr">
        <is>
          <t>10.1</t>
        </is>
      </c>
      <c r="H1847" s="7" t="n"/>
      <c r="I1847" s="7" t="inlineStr">
        <is>
          <t>10.1</t>
        </is>
      </c>
      <c r="J1847" s="7" t="inlineStr">
        <is>
          <t>Piloto e puxe</t>
        </is>
      </c>
      <c r="K1847" s="7" t="inlineStr">
        <is>
          <t>Planejamento</t>
        </is>
      </c>
      <c r="L1847" s="16" t="inlineStr">
        <is>
          <t>PDS-Abril(2).docx</t>
        </is>
      </c>
      <c r="M1847">
        <f>IF($A1847="","",TEXT($A1847,"mmmm/yyyy"))</f>
        <v/>
      </c>
      <c r="P1847">
        <f>IFERROR(_xludf.XLOOKUP($N1847,Base_Enderecos!$A:$A,Base_Enderecos!$B:$B,""),"")</f>
        <v/>
      </c>
      <c r="Q1847">
        <f>IFERROR(_xludf.XLOOKUP($N1847,Base_Enderecos!$A:$A,Base_Enderecos!$C:$C,""),"")</f>
        <v/>
      </c>
      <c r="R1847">
        <f>IF(OR(ISNUMBER(SEARCH("HDD",$F1847)),ISNUMBER(SEARCH("MND",$F1847)),ISNUMBER(SEARCH("PEAD",$F1847)),ISNUMBER(SEARCH("Puxe",$J1847)),ISNUMBER(SEARCH("Apoio HDD",$F1847))),"MND",IF(OR(ISNUMBER(SEARCH("VCA",$F1847)),ISNUMBER(SEARCH("PVC",$F1847)),ISNUMBER(SEARCH("vca",$J1847)),ISNUMBER(SEARCH("Transformação",$J1847))),"VCA",IF(OR(ISNUMBER(SEARCH("crava",$F1847)),ISNUMBER(SEARCH("tubo cravado",$F1847)),ISNUMBER(SEARCH("shaft",$J1847)),ISNUMBER(SEARCH("concreto",$F1847))),"TUBO CRAVADO","")))</f>
        <v/>
      </c>
      <c r="T1847">
        <f>IF($A1847="","",TEXT($A1847,"yyyymm")&amp;"|"&amp;$C1847&amp;"|"&amp;$F1847&amp;"|"&amp;$N1847&amp;"|"&amp;$R1847)</f>
        <v/>
      </c>
    </row>
    <row r="1848" ht="11.55" customHeight="1">
      <c r="A1848" s="10" t="n">
        <v>46127</v>
      </c>
      <c r="B1848" s="7" t="inlineStr">
        <is>
          <t>Quarta</t>
        </is>
      </c>
      <c r="C1848" s="7" t="inlineStr">
        <is>
          <t>CTS CONCEIÇÃO</t>
        </is>
      </c>
      <c r="D1848" s="7" t="inlineStr">
        <is>
          <t>LEANDRO</t>
        </is>
      </c>
      <c r="E1848" s="7" t="inlineStr">
        <is>
          <t>Medeiros</t>
        </is>
      </c>
      <c r="F1848" s="13" t="inlineStr">
        <is>
          <t>Apoio HDD PV 10.1 ao 10.2</t>
        </is>
      </c>
      <c r="G1848" s="7" t="inlineStr">
        <is>
          <t>10.1</t>
        </is>
      </c>
      <c r="H1848" s="7" t="n"/>
      <c r="I1848" s="7" t="inlineStr">
        <is>
          <t>10.1</t>
        </is>
      </c>
      <c r="J1848" s="7" t="inlineStr">
        <is>
          <t>Apoio HDD</t>
        </is>
      </c>
      <c r="K1848" s="7" t="inlineStr">
        <is>
          <t>Planejamento</t>
        </is>
      </c>
      <c r="L1848" s="16" t="inlineStr">
        <is>
          <t>PDS-Abril(2).docx</t>
        </is>
      </c>
      <c r="M1848">
        <f>IF($A1848="","",TEXT($A1848,"mmmm/yyyy"))</f>
        <v/>
      </c>
      <c r="P1848">
        <f>IFERROR(_xludf.XLOOKUP($N1848,Base_Enderecos!$A:$A,Base_Enderecos!$B:$B,""),"")</f>
        <v/>
      </c>
      <c r="Q1848">
        <f>IFERROR(_xludf.XLOOKUP($N1848,Base_Enderecos!$A:$A,Base_Enderecos!$C:$C,""),"")</f>
        <v/>
      </c>
      <c r="R1848">
        <f>IF(OR(ISNUMBER(SEARCH("HDD",$F1848)),ISNUMBER(SEARCH("MND",$F1848)),ISNUMBER(SEARCH("PEAD",$F1848)),ISNUMBER(SEARCH("Puxe",$J1848)),ISNUMBER(SEARCH("Apoio HDD",$F1848))),"MND",IF(OR(ISNUMBER(SEARCH("VCA",$F1848)),ISNUMBER(SEARCH("PVC",$F1848)),ISNUMBER(SEARCH("vca",$J1848)),ISNUMBER(SEARCH("Transformação",$J1848))),"VCA",IF(OR(ISNUMBER(SEARCH("crava",$F1848)),ISNUMBER(SEARCH("tubo cravado",$F1848)),ISNUMBER(SEARCH("shaft",$J1848)),ISNUMBER(SEARCH("concreto",$F1848))),"TUBO CRAVADO","")))</f>
        <v/>
      </c>
      <c r="T1848">
        <f>IF($A1848="","",TEXT($A1848,"yyyymm")&amp;"|"&amp;$C1848&amp;"|"&amp;$F1848&amp;"|"&amp;$N1848&amp;"|"&amp;$R1848)</f>
        <v/>
      </c>
    </row>
    <row r="1849" ht="11.55" customHeight="1">
      <c r="A1849" s="10" t="n">
        <v>46127</v>
      </c>
      <c r="B1849" s="7" t="inlineStr">
        <is>
          <t>Quarta</t>
        </is>
      </c>
      <c r="C1849" s="7" t="inlineStr">
        <is>
          <t>CTS CONCEIÇÃO</t>
        </is>
      </c>
      <c r="D1849" s="7" t="inlineStr">
        <is>
          <t>LEANDRO</t>
        </is>
      </c>
      <c r="E1849" s="7" t="inlineStr">
        <is>
          <t>GR DRILL</t>
        </is>
      </c>
      <c r="F1849" s="13" t="inlineStr">
        <is>
          <t>Apoio HDD entre PV 10.1 ao 09</t>
        </is>
      </c>
      <c r="G1849" s="7" t="inlineStr">
        <is>
          <t>10.1</t>
        </is>
      </c>
      <c r="H1849" s="7" t="n"/>
      <c r="I1849" s="7" t="inlineStr">
        <is>
          <t>10.1</t>
        </is>
      </c>
      <c r="J1849" s="7" t="inlineStr">
        <is>
          <t>Apoio HDD</t>
        </is>
      </c>
      <c r="K1849" s="7" t="inlineStr">
        <is>
          <t>Planejamento</t>
        </is>
      </c>
      <c r="L1849" s="16" t="inlineStr">
        <is>
          <t>PDS-Abril(2).docx</t>
        </is>
      </c>
      <c r="M1849">
        <f>IF($A1849="","",TEXT($A1849,"mmmm/yyyy"))</f>
        <v/>
      </c>
      <c r="P1849">
        <f>IFERROR(_xludf.XLOOKUP($N1849,Base_Enderecos!$A:$A,Base_Enderecos!$B:$B,""),"")</f>
        <v/>
      </c>
      <c r="Q1849">
        <f>IFERROR(_xludf.XLOOKUP($N1849,Base_Enderecos!$A:$A,Base_Enderecos!$C:$C,""),"")</f>
        <v/>
      </c>
      <c r="R1849">
        <f>IF(OR(ISNUMBER(SEARCH("HDD",$F1849)),ISNUMBER(SEARCH("MND",$F1849)),ISNUMBER(SEARCH("PEAD",$F1849)),ISNUMBER(SEARCH("Puxe",$J1849)),ISNUMBER(SEARCH("Apoio HDD",$F1849))),"MND",IF(OR(ISNUMBER(SEARCH("VCA",$F1849)),ISNUMBER(SEARCH("PVC",$F1849)),ISNUMBER(SEARCH("vca",$J1849)),ISNUMBER(SEARCH("Transformação",$J1849))),"VCA",IF(OR(ISNUMBER(SEARCH("crava",$F1849)),ISNUMBER(SEARCH("tubo cravado",$F1849)),ISNUMBER(SEARCH("shaft",$J1849)),ISNUMBER(SEARCH("concreto",$F1849))),"TUBO CRAVADO","")))</f>
        <v/>
      </c>
      <c r="T1849">
        <f>IF($A1849="","",TEXT($A1849,"yyyymm")&amp;"|"&amp;$C1849&amp;"|"&amp;$F1849&amp;"|"&amp;$N1849&amp;"|"&amp;$R1849)</f>
        <v/>
      </c>
    </row>
    <row r="1850" ht="11.55" customHeight="1">
      <c r="A1850" s="10" t="n">
        <v>46127</v>
      </c>
      <c r="B1850" s="7" t="inlineStr">
        <is>
          <t>Quarta</t>
        </is>
      </c>
      <c r="C1850" s="7" t="inlineStr">
        <is>
          <t>CTS CONCEIÇÃO</t>
        </is>
      </c>
      <c r="D1850" s="7" t="inlineStr">
        <is>
          <t>LEANDRO</t>
        </is>
      </c>
      <c r="E1850" s="7" t="inlineStr">
        <is>
          <t>Carlos</t>
        </is>
      </c>
      <c r="F1850" s="13" t="inlineStr">
        <is>
          <t>Apoio HDD entre PV 10.1 ao 09</t>
        </is>
      </c>
      <c r="G1850" s="7" t="inlineStr">
        <is>
          <t>10.1</t>
        </is>
      </c>
      <c r="H1850" s="7" t="n"/>
      <c r="I1850" s="7" t="inlineStr">
        <is>
          <t>10.1</t>
        </is>
      </c>
      <c r="J1850" s="7" t="inlineStr">
        <is>
          <t>Apoio HDD</t>
        </is>
      </c>
      <c r="K1850" s="7" t="inlineStr">
        <is>
          <t>Planejamento</t>
        </is>
      </c>
      <c r="L1850" s="16" t="inlineStr">
        <is>
          <t>PDS-Abril(2).docx</t>
        </is>
      </c>
      <c r="M1850">
        <f>IF($A1850="","",TEXT($A1850,"mmmm/yyyy"))</f>
        <v/>
      </c>
      <c r="P1850">
        <f>IFERROR(_xludf.XLOOKUP($N1850,Base_Enderecos!$A:$A,Base_Enderecos!$B:$B,""),"")</f>
        <v/>
      </c>
      <c r="Q1850">
        <f>IFERROR(_xludf.XLOOKUP($N1850,Base_Enderecos!$A:$A,Base_Enderecos!$C:$C,""),"")</f>
        <v/>
      </c>
      <c r="R1850">
        <f>IF(OR(ISNUMBER(SEARCH("HDD",$F1850)),ISNUMBER(SEARCH("MND",$F1850)),ISNUMBER(SEARCH("PEAD",$F1850)),ISNUMBER(SEARCH("Puxe",$J1850)),ISNUMBER(SEARCH("Apoio HDD",$F1850))),"MND",IF(OR(ISNUMBER(SEARCH("VCA",$F1850)),ISNUMBER(SEARCH("PVC",$F1850)),ISNUMBER(SEARCH("vca",$J1850)),ISNUMBER(SEARCH("Transformação",$J1850))),"VCA",IF(OR(ISNUMBER(SEARCH("crava",$F1850)),ISNUMBER(SEARCH("tubo cravado",$F1850)),ISNUMBER(SEARCH("shaft",$J1850)),ISNUMBER(SEARCH("concreto",$F1850))),"TUBO CRAVADO","")))</f>
        <v/>
      </c>
      <c r="T1850">
        <f>IF($A1850="","",TEXT($A1850,"yyyymm")&amp;"|"&amp;$C1850&amp;"|"&amp;$F1850&amp;"|"&amp;$N1850&amp;"|"&amp;$R1850)</f>
        <v/>
      </c>
    </row>
    <row r="1851" ht="11.55" customHeight="1">
      <c r="A1851" s="10" t="n">
        <v>46127</v>
      </c>
      <c r="B1851" s="7" t="inlineStr">
        <is>
          <t>Quarta</t>
        </is>
      </c>
      <c r="C1851" s="7" t="inlineStr">
        <is>
          <t>CT ÁGUA VERMELHA M.D. e M.E</t>
        </is>
      </c>
      <c r="D1851" s="7" t="inlineStr">
        <is>
          <t>FABIO E SILVESTRE</t>
        </is>
      </c>
      <c r="E1851" s="7" t="inlineStr">
        <is>
          <t>Claudinei</t>
        </is>
      </c>
      <c r="F1851" s="13" t="inlineStr">
        <is>
          <t>Apoio casa (PVD 7)</t>
        </is>
      </c>
      <c r="G1851" s="7" t="inlineStr">
        <is>
          <t>7</t>
        </is>
      </c>
      <c r="H1851" s="7" t="n"/>
      <c r="I1851" s="7" t="inlineStr">
        <is>
          <t>7</t>
        </is>
      </c>
      <c r="J1851" s="7" t="n"/>
      <c r="K1851" s="7" t="inlineStr">
        <is>
          <t>Planejamento</t>
        </is>
      </c>
      <c r="L1851" s="16" t="inlineStr">
        <is>
          <t>PDS-Abril(2).docx</t>
        </is>
      </c>
      <c r="M1851">
        <f>IF($A1851="","",TEXT($A1851,"mmmm/yyyy"))</f>
        <v/>
      </c>
      <c r="P1851">
        <f>IFERROR(_xludf.XLOOKUP($N1851,Base_Enderecos!$A:$A,Base_Enderecos!$B:$B,""),"")</f>
        <v/>
      </c>
      <c r="Q1851">
        <f>IFERROR(_xludf.XLOOKUP($N1851,Base_Enderecos!$A:$A,Base_Enderecos!$C:$C,""),"")</f>
        <v/>
      </c>
      <c r="R1851">
        <f>IF(OR(ISNUMBER(SEARCH("HDD",$F1851)),ISNUMBER(SEARCH("MND",$F1851)),ISNUMBER(SEARCH("PEAD",$F1851)),ISNUMBER(SEARCH("Puxe",$J1851)),ISNUMBER(SEARCH("Apoio HDD",$F1851))),"MND",IF(OR(ISNUMBER(SEARCH("VCA",$F1851)),ISNUMBER(SEARCH("PVC",$F1851)),ISNUMBER(SEARCH("vca",$J1851)),ISNUMBER(SEARCH("Transformação",$J1851))),"VCA",IF(OR(ISNUMBER(SEARCH("crava",$F1851)),ISNUMBER(SEARCH("tubo cravado",$F1851)),ISNUMBER(SEARCH("shaft",$J1851)),ISNUMBER(SEARCH("concreto",$F1851))),"TUBO CRAVADO","")))</f>
        <v/>
      </c>
      <c r="T1851">
        <f>IF($A1851="","",TEXT($A1851,"yyyymm")&amp;"|"&amp;$C1851&amp;"|"&amp;$F1851&amp;"|"&amp;$N1851&amp;"|"&amp;$R1851)</f>
        <v/>
      </c>
    </row>
    <row r="1852" ht="11.55" customHeight="1">
      <c r="A1852" s="10" t="n">
        <v>46127</v>
      </c>
      <c r="B1852" s="7" t="inlineStr">
        <is>
          <t>Quarta</t>
        </is>
      </c>
      <c r="C1852" s="7" t="inlineStr">
        <is>
          <t>CT ÁGUA VERMELHA M.D. e M.E</t>
        </is>
      </c>
      <c r="D1852" s="7" t="inlineStr">
        <is>
          <t>FABIO E SILVESTRE</t>
        </is>
      </c>
      <c r="E1852" s="7" t="inlineStr">
        <is>
          <t>Cidão</t>
        </is>
      </c>
      <c r="F1852" s="13" t="inlineStr">
        <is>
          <t>Transformação PIE 21.2</t>
        </is>
      </c>
      <c r="G1852" s="7" t="n"/>
      <c r="H1852" s="7" t="n"/>
      <c r="I1852" s="7" t="n"/>
      <c r="J1852" s="7" t="inlineStr">
        <is>
          <t>Transformação</t>
        </is>
      </c>
      <c r="K1852" s="7" t="inlineStr">
        <is>
          <t>Planejamento</t>
        </is>
      </c>
      <c r="L1852" s="16" t="inlineStr">
        <is>
          <t>PDS-Abril(2).docx</t>
        </is>
      </c>
      <c r="M1852">
        <f>IF($A1852="","",TEXT($A1852,"mmmm/yyyy"))</f>
        <v/>
      </c>
      <c r="P1852">
        <f>IFERROR(_xludf.XLOOKUP($N1852,Base_Enderecos!$A:$A,Base_Enderecos!$B:$B,""),"")</f>
        <v/>
      </c>
      <c r="Q1852">
        <f>IFERROR(_xludf.XLOOKUP($N1852,Base_Enderecos!$A:$A,Base_Enderecos!$C:$C,""),"")</f>
        <v/>
      </c>
      <c r="R1852">
        <f>IF(OR(ISNUMBER(SEARCH("HDD",$F1852)),ISNUMBER(SEARCH("MND",$F1852)),ISNUMBER(SEARCH("PEAD",$F1852)),ISNUMBER(SEARCH("Puxe",$J1852)),ISNUMBER(SEARCH("Apoio HDD",$F1852))),"MND",IF(OR(ISNUMBER(SEARCH("VCA",$F1852)),ISNUMBER(SEARCH("PVC",$F1852)),ISNUMBER(SEARCH("vca",$J1852)),ISNUMBER(SEARCH("Transformação",$J1852))),"VCA",IF(OR(ISNUMBER(SEARCH("crava",$F1852)),ISNUMBER(SEARCH("tubo cravado",$F1852)),ISNUMBER(SEARCH("shaft",$J1852)),ISNUMBER(SEARCH("concreto",$F1852))),"TUBO CRAVADO","")))</f>
        <v/>
      </c>
      <c r="T1852">
        <f>IF($A1852="","",TEXT($A1852,"yyyymm")&amp;"|"&amp;$C1852&amp;"|"&amp;$F1852&amp;"|"&amp;$N1852&amp;"|"&amp;$R1852)</f>
        <v/>
      </c>
    </row>
    <row r="1853" ht="11.55" customHeight="1">
      <c r="A1853" s="10" t="n">
        <v>46127</v>
      </c>
      <c r="B1853" s="7" t="inlineStr">
        <is>
          <t>Quarta</t>
        </is>
      </c>
      <c r="C1853" s="7" t="inlineStr">
        <is>
          <t>CT ÁGUA VERMELHA M.D. e M.E</t>
        </is>
      </c>
      <c r="D1853" s="7" t="inlineStr">
        <is>
          <t>FABIO E SILVESTRE</t>
        </is>
      </c>
      <c r="E1853" s="7" t="inlineStr">
        <is>
          <t>Marcelo</t>
        </is>
      </c>
      <c r="F1853" s="13" t="inlineStr">
        <is>
          <t>Shaft PVE 22</t>
        </is>
      </c>
      <c r="G1853" s="7" t="inlineStr">
        <is>
          <t>22</t>
        </is>
      </c>
      <c r="H1853" s="7" t="n"/>
      <c r="I1853" s="7" t="inlineStr">
        <is>
          <t>22</t>
        </is>
      </c>
      <c r="J1853" s="7" t="inlineStr">
        <is>
          <t>Shaft</t>
        </is>
      </c>
      <c r="K1853" s="7" t="inlineStr">
        <is>
          <t>Planejamento</t>
        </is>
      </c>
      <c r="L1853" s="16" t="inlineStr">
        <is>
          <t>PDS-Abril(2).docx</t>
        </is>
      </c>
      <c r="M1853">
        <f>IF($A1853="","",TEXT($A1853,"mmmm/yyyy"))</f>
        <v/>
      </c>
      <c r="P1853">
        <f>IFERROR(_xludf.XLOOKUP($N1853,Base_Enderecos!$A:$A,Base_Enderecos!$B:$B,""),"")</f>
        <v/>
      </c>
      <c r="Q1853">
        <f>IFERROR(_xludf.XLOOKUP($N1853,Base_Enderecos!$A:$A,Base_Enderecos!$C:$C,""),"")</f>
        <v/>
      </c>
      <c r="R1853">
        <f>IF(OR(ISNUMBER(SEARCH("HDD",$F1853)),ISNUMBER(SEARCH("MND",$F1853)),ISNUMBER(SEARCH("PEAD",$F1853)),ISNUMBER(SEARCH("Puxe",$J1853)),ISNUMBER(SEARCH("Apoio HDD",$F1853))),"MND",IF(OR(ISNUMBER(SEARCH("VCA",$F1853)),ISNUMBER(SEARCH("PVC",$F1853)),ISNUMBER(SEARCH("vca",$J1853)),ISNUMBER(SEARCH("Transformação",$J1853))),"VCA",IF(OR(ISNUMBER(SEARCH("crava",$F1853)),ISNUMBER(SEARCH("tubo cravado",$F1853)),ISNUMBER(SEARCH("shaft",$J1853)),ISNUMBER(SEARCH("concreto",$F1853))),"TUBO CRAVADO","")))</f>
        <v/>
      </c>
      <c r="T1853">
        <f>IF($A1853="","",TEXT($A1853,"yyyymm")&amp;"|"&amp;$C1853&amp;"|"&amp;$F1853&amp;"|"&amp;$N1853&amp;"|"&amp;$R1853)</f>
        <v/>
      </c>
    </row>
    <row r="1854" ht="11.55" customHeight="1">
      <c r="A1854" s="10" t="n">
        <v>46127</v>
      </c>
      <c r="B1854" s="7" t="inlineStr">
        <is>
          <t>Quarta</t>
        </is>
      </c>
      <c r="C1854" s="7" t="inlineStr">
        <is>
          <t>CT ÁGUA VERMELHA M.D. e M.E</t>
        </is>
      </c>
      <c r="D1854" s="7" t="inlineStr">
        <is>
          <t>FABIO E SILVESTRE</t>
        </is>
      </c>
      <c r="E1854" s="7" t="inlineStr">
        <is>
          <t>Edivando</t>
        </is>
      </c>
      <c r="F1854" s="13" t="inlineStr">
        <is>
          <t>Transformação PIE 17.2 e Acabamento PV 1.1</t>
        </is>
      </c>
      <c r="G1854" s="7" t="inlineStr">
        <is>
          <t>1.1</t>
        </is>
      </c>
      <c r="H1854" s="7" t="n"/>
      <c r="I1854" s="7" t="inlineStr">
        <is>
          <t>1.1</t>
        </is>
      </c>
      <c r="J1854" s="7" t="inlineStr">
        <is>
          <t>Transformação</t>
        </is>
      </c>
      <c r="K1854" s="7" t="inlineStr">
        <is>
          <t>Planejamento</t>
        </is>
      </c>
      <c r="L1854" s="16" t="inlineStr">
        <is>
          <t>PDS-Abril(2).docx</t>
        </is>
      </c>
      <c r="M1854">
        <f>IF($A1854="","",TEXT($A1854,"mmmm/yyyy"))</f>
        <v/>
      </c>
      <c r="P1854">
        <f>IFERROR(_xludf.XLOOKUP($N1854,Base_Enderecos!$A:$A,Base_Enderecos!$B:$B,""),"")</f>
        <v/>
      </c>
      <c r="Q1854">
        <f>IFERROR(_xludf.XLOOKUP($N1854,Base_Enderecos!$A:$A,Base_Enderecos!$C:$C,""),"")</f>
        <v/>
      </c>
      <c r="R1854">
        <f>IF(OR(ISNUMBER(SEARCH("HDD",$F1854)),ISNUMBER(SEARCH("MND",$F1854)),ISNUMBER(SEARCH("PEAD",$F1854)),ISNUMBER(SEARCH("Puxe",$J1854)),ISNUMBER(SEARCH("Apoio HDD",$F1854))),"MND",IF(OR(ISNUMBER(SEARCH("VCA",$F1854)),ISNUMBER(SEARCH("PVC",$F1854)),ISNUMBER(SEARCH("vca",$J1854)),ISNUMBER(SEARCH("Transformação",$J1854))),"VCA",IF(OR(ISNUMBER(SEARCH("crava",$F1854)),ISNUMBER(SEARCH("tubo cravado",$F1854)),ISNUMBER(SEARCH("shaft",$J1854)),ISNUMBER(SEARCH("concreto",$F1854))),"TUBO CRAVADO","")))</f>
        <v/>
      </c>
      <c r="T1854">
        <f>IF($A1854="","",TEXT($A1854,"yyyymm")&amp;"|"&amp;$C1854&amp;"|"&amp;$F1854&amp;"|"&amp;$N1854&amp;"|"&amp;$R1854)</f>
        <v/>
      </c>
    </row>
    <row r="1855" ht="11.55" customHeight="1">
      <c r="A1855" s="10" t="n">
        <v>46127</v>
      </c>
      <c r="B1855" s="7" t="inlineStr">
        <is>
          <t>Quarta</t>
        </is>
      </c>
      <c r="C1855" s="7" t="inlineStr">
        <is>
          <t>CT ÁGUA VERMELHA M.D. e M.E</t>
        </is>
      </c>
      <c r="D1855" s="7" t="inlineStr">
        <is>
          <t>FABIO E SILVESTRE</t>
        </is>
      </c>
      <c r="E1855" s="7" t="inlineStr">
        <is>
          <t>Sergio</t>
        </is>
      </c>
      <c r="F1855" s="13" t="inlineStr">
        <is>
          <t>Transformação PIE 16.1 e VCA</t>
        </is>
      </c>
      <c r="G1855" s="7" t="n"/>
      <c r="H1855" s="7" t="n"/>
      <c r="I1855" s="7" t="n"/>
      <c r="J1855" s="7" t="inlineStr">
        <is>
          <t>Transformação</t>
        </is>
      </c>
      <c r="K1855" s="7" t="inlineStr">
        <is>
          <t>Planejamento</t>
        </is>
      </c>
      <c r="L1855" s="16" t="inlineStr">
        <is>
          <t>PDS-Abril(2).docx</t>
        </is>
      </c>
      <c r="M1855">
        <f>IF($A1855="","",TEXT($A1855,"mmmm/yyyy"))</f>
        <v/>
      </c>
      <c r="P1855">
        <f>IFERROR(_xludf.XLOOKUP($N1855,Base_Enderecos!$A:$A,Base_Enderecos!$B:$B,""),"")</f>
        <v/>
      </c>
      <c r="Q1855">
        <f>IFERROR(_xludf.XLOOKUP($N1855,Base_Enderecos!$A:$A,Base_Enderecos!$C:$C,""),"")</f>
        <v/>
      </c>
      <c r="R1855">
        <f>IF(OR(ISNUMBER(SEARCH("HDD",$F1855)),ISNUMBER(SEARCH("MND",$F1855)),ISNUMBER(SEARCH("PEAD",$F1855)),ISNUMBER(SEARCH("Puxe",$J1855)),ISNUMBER(SEARCH("Apoio HDD",$F1855))),"MND",IF(OR(ISNUMBER(SEARCH("VCA",$F1855)),ISNUMBER(SEARCH("PVC",$F1855)),ISNUMBER(SEARCH("vca",$J1855)),ISNUMBER(SEARCH("Transformação",$J1855))),"VCA",IF(OR(ISNUMBER(SEARCH("crava",$F1855)),ISNUMBER(SEARCH("tubo cravado",$F1855)),ISNUMBER(SEARCH("shaft",$J1855)),ISNUMBER(SEARCH("concreto",$F1855))),"TUBO CRAVADO","")))</f>
        <v/>
      </c>
      <c r="T1855">
        <f>IF($A1855="","",TEXT($A1855,"yyyymm")&amp;"|"&amp;$C1855&amp;"|"&amp;$F1855&amp;"|"&amp;$N1855&amp;"|"&amp;$R1855)</f>
        <v/>
      </c>
    </row>
    <row r="1856" ht="11.55" customHeight="1">
      <c r="A1856" s="10" t="n">
        <v>46127</v>
      </c>
      <c r="B1856" s="7" t="inlineStr">
        <is>
          <t>Quarta</t>
        </is>
      </c>
      <c r="C1856" s="7" t="inlineStr">
        <is>
          <t>CT ÁGUA VERMELHA M.D. e M.E</t>
        </is>
      </c>
      <c r="D1856" s="7" t="inlineStr">
        <is>
          <t>FABIO E SILVESTRE</t>
        </is>
      </c>
      <c r="E1856" s="7" t="inlineStr">
        <is>
          <t>Antonio</t>
        </is>
      </c>
      <c r="F1856" s="13" t="inlineStr">
        <is>
          <t>Transformação PIE 18.2 + lavagem rede</t>
        </is>
      </c>
      <c r="G1856" s="7" t="n"/>
      <c r="H1856" s="7" t="n"/>
      <c r="I1856" s="7" t="n"/>
      <c r="J1856" s="7" t="inlineStr">
        <is>
          <t>Transformação</t>
        </is>
      </c>
      <c r="K1856" s="7" t="inlineStr">
        <is>
          <t>Planejamento</t>
        </is>
      </c>
      <c r="L1856" s="16" t="inlineStr">
        <is>
          <t>PDS-Abril(2).docx</t>
        </is>
      </c>
      <c r="M1856">
        <f>IF($A1856="","",TEXT($A1856,"mmmm/yyyy"))</f>
        <v/>
      </c>
      <c r="P1856">
        <f>IFERROR(_xludf.XLOOKUP($N1856,Base_Enderecos!$A:$A,Base_Enderecos!$B:$B,""),"")</f>
        <v/>
      </c>
      <c r="Q1856">
        <f>IFERROR(_xludf.XLOOKUP($N1856,Base_Enderecos!$A:$A,Base_Enderecos!$C:$C,""),"")</f>
        <v/>
      </c>
      <c r="R1856">
        <f>IF(OR(ISNUMBER(SEARCH("HDD",$F1856)),ISNUMBER(SEARCH("MND",$F1856)),ISNUMBER(SEARCH("PEAD",$F1856)),ISNUMBER(SEARCH("Puxe",$J1856)),ISNUMBER(SEARCH("Apoio HDD",$F1856))),"MND",IF(OR(ISNUMBER(SEARCH("VCA",$F1856)),ISNUMBER(SEARCH("PVC",$F1856)),ISNUMBER(SEARCH("vca",$J1856)),ISNUMBER(SEARCH("Transformação",$J1856))),"VCA",IF(OR(ISNUMBER(SEARCH("crava",$F1856)),ISNUMBER(SEARCH("tubo cravado",$F1856)),ISNUMBER(SEARCH("shaft",$J1856)),ISNUMBER(SEARCH("concreto",$F1856))),"TUBO CRAVADO","")))</f>
        <v/>
      </c>
      <c r="T1856">
        <f>IF($A1856="","",TEXT($A1856,"yyyymm")&amp;"|"&amp;$C1856&amp;"|"&amp;$F1856&amp;"|"&amp;$N1856&amp;"|"&amp;$R1856)</f>
        <v/>
      </c>
    </row>
    <row r="1857" ht="11.55" customHeight="1">
      <c r="A1857" s="10" t="n">
        <v>46127</v>
      </c>
      <c r="B1857" s="7" t="inlineStr">
        <is>
          <t>Quarta</t>
        </is>
      </c>
      <c r="C1857" s="7" t="inlineStr">
        <is>
          <t>INT FERNANDO PACHECO JORDÃO</t>
        </is>
      </c>
      <c r="D1857" s="7" t="inlineStr">
        <is>
          <t>VALMIR</t>
        </is>
      </c>
      <c r="E1857" s="7" t="inlineStr">
        <is>
          <t>Valter</t>
        </is>
      </c>
      <c r="F1857" s="13" t="inlineStr">
        <is>
          <t>Shaft PV 04</t>
        </is>
      </c>
      <c r="G1857" s="7" t="inlineStr">
        <is>
          <t>04</t>
        </is>
      </c>
      <c r="H1857" s="7" t="n"/>
      <c r="I1857" s="7" t="inlineStr">
        <is>
          <t>04</t>
        </is>
      </c>
      <c r="J1857" s="7" t="inlineStr">
        <is>
          <t>Shaft</t>
        </is>
      </c>
      <c r="K1857" s="7" t="inlineStr">
        <is>
          <t>Planejamento</t>
        </is>
      </c>
      <c r="L1857" s="16" t="inlineStr">
        <is>
          <t>PDS-Abril(2).docx</t>
        </is>
      </c>
      <c r="M1857">
        <f>IF($A1857="","",TEXT($A1857,"mmmm/yyyy"))</f>
        <v/>
      </c>
      <c r="P1857">
        <f>IFERROR(_xludf.XLOOKUP($N1857,Base_Enderecos!$A:$A,Base_Enderecos!$B:$B,""),"")</f>
        <v/>
      </c>
      <c r="Q1857">
        <f>IFERROR(_xludf.XLOOKUP($N1857,Base_Enderecos!$A:$A,Base_Enderecos!$C:$C,""),"")</f>
        <v/>
      </c>
      <c r="R1857">
        <f>IF(OR(ISNUMBER(SEARCH("HDD",$F1857)),ISNUMBER(SEARCH("MND",$F1857)),ISNUMBER(SEARCH("PEAD",$F1857)),ISNUMBER(SEARCH("Puxe",$J1857)),ISNUMBER(SEARCH("Apoio HDD",$F1857))),"MND",IF(OR(ISNUMBER(SEARCH("VCA",$F1857)),ISNUMBER(SEARCH("PVC",$F1857)),ISNUMBER(SEARCH("vca",$J1857)),ISNUMBER(SEARCH("Transformação",$J1857))),"VCA",IF(OR(ISNUMBER(SEARCH("crava",$F1857)),ISNUMBER(SEARCH("tubo cravado",$F1857)),ISNUMBER(SEARCH("shaft",$J1857)),ISNUMBER(SEARCH("concreto",$F1857))),"TUBO CRAVADO","")))</f>
        <v/>
      </c>
      <c r="T1857">
        <f>IF($A1857="","",TEXT($A1857,"yyyymm")&amp;"|"&amp;$C1857&amp;"|"&amp;$F1857&amp;"|"&amp;$N1857&amp;"|"&amp;$R1857)</f>
        <v/>
      </c>
    </row>
    <row r="1858" ht="11.55" customHeight="1">
      <c r="A1858" s="10" t="n">
        <v>46127</v>
      </c>
      <c r="B1858" s="7" t="inlineStr">
        <is>
          <t>Quarta</t>
        </is>
      </c>
      <c r="C1858" s="7" t="inlineStr">
        <is>
          <t>INT FERNANDO PACHECO JORDÃO</t>
        </is>
      </c>
      <c r="D1858" s="7" t="inlineStr">
        <is>
          <t>VALMIR</t>
        </is>
      </c>
      <c r="E1858" s="7" t="inlineStr">
        <is>
          <t>Cesar</t>
        </is>
      </c>
      <c r="F1858" s="13" t="inlineStr">
        <is>
          <t>Shaft PV 02</t>
        </is>
      </c>
      <c r="G1858" s="7" t="inlineStr">
        <is>
          <t>02</t>
        </is>
      </c>
      <c r="H1858" s="7" t="n"/>
      <c r="I1858" s="7" t="inlineStr">
        <is>
          <t>02</t>
        </is>
      </c>
      <c r="J1858" s="7" t="inlineStr">
        <is>
          <t>Shaft</t>
        </is>
      </c>
      <c r="K1858" s="7" t="inlineStr">
        <is>
          <t>Planejamento</t>
        </is>
      </c>
      <c r="L1858" s="16" t="inlineStr">
        <is>
          <t>PDS-Abril(2).docx</t>
        </is>
      </c>
      <c r="M1858">
        <f>IF($A1858="","",TEXT($A1858,"mmmm/yyyy"))</f>
        <v/>
      </c>
      <c r="P1858">
        <f>IFERROR(_xludf.XLOOKUP($N1858,Base_Enderecos!$A:$A,Base_Enderecos!$B:$B,""),"")</f>
        <v/>
      </c>
      <c r="Q1858">
        <f>IFERROR(_xludf.XLOOKUP($N1858,Base_Enderecos!$A:$A,Base_Enderecos!$C:$C,""),"")</f>
        <v/>
      </c>
      <c r="R1858">
        <f>IF(OR(ISNUMBER(SEARCH("HDD",$F1858)),ISNUMBER(SEARCH("MND",$F1858)),ISNUMBER(SEARCH("PEAD",$F1858)),ISNUMBER(SEARCH("Puxe",$J1858)),ISNUMBER(SEARCH("Apoio HDD",$F1858))),"MND",IF(OR(ISNUMBER(SEARCH("VCA",$F1858)),ISNUMBER(SEARCH("PVC",$F1858)),ISNUMBER(SEARCH("vca",$J1858)),ISNUMBER(SEARCH("Transformação",$J1858))),"VCA",IF(OR(ISNUMBER(SEARCH("crava",$F1858)),ISNUMBER(SEARCH("tubo cravado",$F1858)),ISNUMBER(SEARCH("shaft",$J1858)),ISNUMBER(SEARCH("concreto",$F1858))),"TUBO CRAVADO","")))</f>
        <v/>
      </c>
      <c r="T1858">
        <f>IF($A1858="","",TEXT($A1858,"yyyymm")&amp;"|"&amp;$C1858&amp;"|"&amp;$F1858&amp;"|"&amp;$N1858&amp;"|"&amp;$R1858)</f>
        <v/>
      </c>
    </row>
    <row r="1859" ht="11.55" customHeight="1">
      <c r="A1859" s="10" t="n">
        <v>46127</v>
      </c>
      <c r="B1859" s="7" t="inlineStr">
        <is>
          <t>Quarta</t>
        </is>
      </c>
      <c r="C1859" s="7" t="inlineStr">
        <is>
          <t>CTS LUIS BOTELHO MOURÃO</t>
        </is>
      </c>
      <c r="D1859" s="7" t="inlineStr">
        <is>
          <t>ROBSON</t>
        </is>
      </c>
      <c r="E1859" s="7" t="inlineStr">
        <is>
          <t>Goiania Drill</t>
        </is>
      </c>
      <c r="F1859" s="13" t="inlineStr">
        <is>
          <t>Resgate barra PV 05</t>
        </is>
      </c>
      <c r="G1859" s="7" t="inlineStr">
        <is>
          <t>05</t>
        </is>
      </c>
      <c r="H1859" s="7" t="n"/>
      <c r="I1859" s="7" t="inlineStr">
        <is>
          <t>05</t>
        </is>
      </c>
      <c r="J1859" s="7" t="inlineStr">
        <is>
          <t>Resgate</t>
        </is>
      </c>
      <c r="K1859" s="7" t="inlineStr">
        <is>
          <t>Planejamento</t>
        </is>
      </c>
      <c r="L1859" s="16" t="inlineStr">
        <is>
          <t>PDS-Abril(2).docx</t>
        </is>
      </c>
      <c r="M1859">
        <f>IF($A1859="","",TEXT($A1859,"mmmm/yyyy"))</f>
        <v/>
      </c>
      <c r="P1859">
        <f>IFERROR(_xludf.XLOOKUP($N1859,Base_Enderecos!$A:$A,Base_Enderecos!$B:$B,""),"")</f>
        <v/>
      </c>
      <c r="Q1859">
        <f>IFERROR(_xludf.XLOOKUP($N1859,Base_Enderecos!$A:$A,Base_Enderecos!$C:$C,""),"")</f>
        <v/>
      </c>
      <c r="R1859">
        <f>IF(OR(ISNUMBER(SEARCH("HDD",$F1859)),ISNUMBER(SEARCH("MND",$F1859)),ISNUMBER(SEARCH("PEAD",$F1859)),ISNUMBER(SEARCH("Puxe",$J1859)),ISNUMBER(SEARCH("Apoio HDD",$F1859))),"MND",IF(OR(ISNUMBER(SEARCH("VCA",$F1859)),ISNUMBER(SEARCH("PVC",$F1859)),ISNUMBER(SEARCH("vca",$J1859)),ISNUMBER(SEARCH("Transformação",$J1859))),"VCA",IF(OR(ISNUMBER(SEARCH("crava",$F1859)),ISNUMBER(SEARCH("tubo cravado",$F1859)),ISNUMBER(SEARCH("shaft",$J1859)),ISNUMBER(SEARCH("concreto",$F1859))),"TUBO CRAVADO","")))</f>
        <v/>
      </c>
      <c r="T1859">
        <f>IF($A1859="","",TEXT($A1859,"yyyymm")&amp;"|"&amp;$C1859&amp;"|"&amp;$F1859&amp;"|"&amp;$N1859&amp;"|"&amp;$R1859)</f>
        <v/>
      </c>
    </row>
    <row r="1860" ht="11.55" customHeight="1">
      <c r="A1860" s="10" t="n">
        <v>46127</v>
      </c>
      <c r="B1860" s="7" t="inlineStr">
        <is>
          <t>Quarta</t>
        </is>
      </c>
      <c r="C1860" s="7" t="inlineStr">
        <is>
          <t>CTS LUIS BOTELHO MOURÃO</t>
        </is>
      </c>
      <c r="D1860" s="7" t="inlineStr">
        <is>
          <t>ROBSON</t>
        </is>
      </c>
      <c r="E1860" s="7" t="inlineStr">
        <is>
          <t>Bruno</t>
        </is>
      </c>
      <c r="F1860" s="13" t="inlineStr">
        <is>
          <t>Resgate barra PV 05</t>
        </is>
      </c>
      <c r="G1860" s="7" t="inlineStr">
        <is>
          <t>05</t>
        </is>
      </c>
      <c r="H1860" s="7" t="n"/>
      <c r="I1860" s="7" t="inlineStr">
        <is>
          <t>05</t>
        </is>
      </c>
      <c r="J1860" s="7" t="inlineStr">
        <is>
          <t>Resgate</t>
        </is>
      </c>
      <c r="K1860" s="7" t="inlineStr">
        <is>
          <t>Planejamento</t>
        </is>
      </c>
      <c r="L1860" s="16" t="inlineStr">
        <is>
          <t>PDS-Abril(2).docx</t>
        </is>
      </c>
      <c r="M1860">
        <f>IF($A1860="","",TEXT($A1860,"mmmm/yyyy"))</f>
        <v/>
      </c>
      <c r="P1860">
        <f>IFERROR(_xludf.XLOOKUP($N1860,Base_Enderecos!$A:$A,Base_Enderecos!$B:$B,""),"")</f>
        <v/>
      </c>
      <c r="Q1860">
        <f>IFERROR(_xludf.XLOOKUP($N1860,Base_Enderecos!$A:$A,Base_Enderecos!$C:$C,""),"")</f>
        <v/>
      </c>
      <c r="R1860">
        <f>IF(OR(ISNUMBER(SEARCH("HDD",$F1860)),ISNUMBER(SEARCH("MND",$F1860)),ISNUMBER(SEARCH("PEAD",$F1860)),ISNUMBER(SEARCH("Puxe",$J1860)),ISNUMBER(SEARCH("Apoio HDD",$F1860))),"MND",IF(OR(ISNUMBER(SEARCH("VCA",$F1860)),ISNUMBER(SEARCH("PVC",$F1860)),ISNUMBER(SEARCH("vca",$J1860)),ISNUMBER(SEARCH("Transformação",$J1860))),"VCA",IF(OR(ISNUMBER(SEARCH("crava",$F1860)),ISNUMBER(SEARCH("tubo cravado",$F1860)),ISNUMBER(SEARCH("shaft",$J1860)),ISNUMBER(SEARCH("concreto",$F1860))),"TUBO CRAVADO","")))</f>
        <v/>
      </c>
      <c r="T1860">
        <f>IF($A1860="","",TEXT($A1860,"yyyymm")&amp;"|"&amp;$C1860&amp;"|"&amp;$F1860&amp;"|"&amp;$N1860&amp;"|"&amp;$R1860)</f>
        <v/>
      </c>
    </row>
    <row r="1861" ht="11.55" customHeight="1">
      <c r="A1861" s="10" t="n">
        <v>46127</v>
      </c>
      <c r="B1861" s="7" t="inlineStr">
        <is>
          <t>Quarta</t>
        </is>
      </c>
      <c r="C1861" s="7" t="inlineStr">
        <is>
          <t>CTS LUIS BOTELHO MOURÃO</t>
        </is>
      </c>
      <c r="D1861" s="7" t="inlineStr">
        <is>
          <t>ROBSON</t>
        </is>
      </c>
      <c r="E1861" s="7" t="inlineStr">
        <is>
          <t>Marcio</t>
        </is>
      </c>
      <c r="F1861" s="13" t="inlineStr">
        <is>
          <t>Transformação + Interlig. PV 02</t>
        </is>
      </c>
      <c r="G1861" s="7" t="inlineStr">
        <is>
          <t>02</t>
        </is>
      </c>
      <c r="H1861" s="7" t="n"/>
      <c r="I1861" s="7" t="inlineStr">
        <is>
          <t>02</t>
        </is>
      </c>
      <c r="J1861" s="7" t="inlineStr">
        <is>
          <t>Transformação</t>
        </is>
      </c>
      <c r="K1861" s="7" t="inlineStr">
        <is>
          <t>Planejamento</t>
        </is>
      </c>
      <c r="L1861" s="16" t="inlineStr">
        <is>
          <t>PDS-Abril(2).docx</t>
        </is>
      </c>
      <c r="M1861">
        <f>IF($A1861="","",TEXT($A1861,"mmmm/yyyy"))</f>
        <v/>
      </c>
      <c r="P1861">
        <f>IFERROR(_xludf.XLOOKUP($N1861,Base_Enderecos!$A:$A,Base_Enderecos!$B:$B,""),"")</f>
        <v/>
      </c>
      <c r="Q1861">
        <f>IFERROR(_xludf.XLOOKUP($N1861,Base_Enderecos!$A:$A,Base_Enderecos!$C:$C,""),"")</f>
        <v/>
      </c>
      <c r="R1861">
        <f>IF(OR(ISNUMBER(SEARCH("HDD",$F1861)),ISNUMBER(SEARCH("MND",$F1861)),ISNUMBER(SEARCH("PEAD",$F1861)),ISNUMBER(SEARCH("Puxe",$J1861)),ISNUMBER(SEARCH("Apoio HDD",$F1861))),"MND",IF(OR(ISNUMBER(SEARCH("VCA",$F1861)),ISNUMBER(SEARCH("PVC",$F1861)),ISNUMBER(SEARCH("vca",$J1861)),ISNUMBER(SEARCH("Transformação",$J1861))),"VCA",IF(OR(ISNUMBER(SEARCH("crava",$F1861)),ISNUMBER(SEARCH("tubo cravado",$F1861)),ISNUMBER(SEARCH("shaft",$J1861)),ISNUMBER(SEARCH("concreto",$F1861))),"TUBO CRAVADO","")))</f>
        <v/>
      </c>
      <c r="T1861">
        <f>IF($A1861="","",TEXT($A1861,"yyyymm")&amp;"|"&amp;$C1861&amp;"|"&amp;$F1861&amp;"|"&amp;$N1861&amp;"|"&amp;$R1861)</f>
        <v/>
      </c>
    </row>
    <row r="1862" ht="11.55" customHeight="1">
      <c r="A1862" s="10" t="n">
        <v>46127</v>
      </c>
      <c r="B1862" s="7" t="inlineStr">
        <is>
          <t>Quarta</t>
        </is>
      </c>
      <c r="C1862" s="7" t="inlineStr">
        <is>
          <t>CTS LUIS BOTELHO MOURÃO</t>
        </is>
      </c>
      <c r="D1862" s="7" t="inlineStr">
        <is>
          <t>ROBSON</t>
        </is>
      </c>
      <c r="E1862" s="7" t="inlineStr">
        <is>
          <t>Ricardo</t>
        </is>
      </c>
      <c r="F1862" s="13" t="inlineStr">
        <is>
          <t>Corte cabeça Puxe PV 06</t>
        </is>
      </c>
      <c r="G1862" s="7" t="inlineStr">
        <is>
          <t>06</t>
        </is>
      </c>
      <c r="H1862" s="7" t="n"/>
      <c r="I1862" s="7" t="inlineStr">
        <is>
          <t>06</t>
        </is>
      </c>
      <c r="J1862" s="7" t="inlineStr">
        <is>
          <t>Puxe</t>
        </is>
      </c>
      <c r="K1862" s="7" t="inlineStr">
        <is>
          <t>Planejamento</t>
        </is>
      </c>
      <c r="L1862" s="16" t="inlineStr">
        <is>
          <t>PDS-Abril(2).docx</t>
        </is>
      </c>
      <c r="M1862">
        <f>IF($A1862="","",TEXT($A1862,"mmmm/yyyy"))</f>
        <v/>
      </c>
      <c r="P1862">
        <f>IFERROR(_xludf.XLOOKUP($N1862,Base_Enderecos!$A:$A,Base_Enderecos!$B:$B,""),"")</f>
        <v/>
      </c>
      <c r="Q1862">
        <f>IFERROR(_xludf.XLOOKUP($N1862,Base_Enderecos!$A:$A,Base_Enderecos!$C:$C,""),"")</f>
        <v/>
      </c>
      <c r="R1862">
        <f>IF(OR(ISNUMBER(SEARCH("HDD",$F1862)),ISNUMBER(SEARCH("MND",$F1862)),ISNUMBER(SEARCH("PEAD",$F1862)),ISNUMBER(SEARCH("Puxe",$J1862)),ISNUMBER(SEARCH("Apoio HDD",$F1862))),"MND",IF(OR(ISNUMBER(SEARCH("VCA",$F1862)),ISNUMBER(SEARCH("PVC",$F1862)),ISNUMBER(SEARCH("vca",$J1862)),ISNUMBER(SEARCH("Transformação",$J1862))),"VCA",IF(OR(ISNUMBER(SEARCH("crava",$F1862)),ISNUMBER(SEARCH("tubo cravado",$F1862)),ISNUMBER(SEARCH("shaft",$J1862)),ISNUMBER(SEARCH("concreto",$F1862))),"TUBO CRAVADO","")))</f>
        <v/>
      </c>
      <c r="T1862">
        <f>IF($A1862="","",TEXT($A1862,"yyyymm")&amp;"|"&amp;$C1862&amp;"|"&amp;$F1862&amp;"|"&amp;$N1862&amp;"|"&amp;$R1862)</f>
        <v/>
      </c>
    </row>
    <row r="1863" ht="11.55" customHeight="1">
      <c r="A1863" s="10" t="n">
        <v>46127</v>
      </c>
      <c r="B1863" s="7" t="inlineStr">
        <is>
          <t>Quarta</t>
        </is>
      </c>
      <c r="C1863" s="7" t="inlineStr">
        <is>
          <t>CTS LUIS BOTELHO MOURÃO</t>
        </is>
      </c>
      <c r="D1863" s="7" t="inlineStr">
        <is>
          <t>ROBSON</t>
        </is>
      </c>
      <c r="E1863" s="7" t="inlineStr">
        <is>
          <t>Higor</t>
        </is>
      </c>
      <c r="F1863" s="13" t="inlineStr">
        <is>
          <t>Transformação PV 08</t>
        </is>
      </c>
      <c r="G1863" s="7" t="inlineStr">
        <is>
          <t>08</t>
        </is>
      </c>
      <c r="H1863" s="7" t="n"/>
      <c r="I1863" s="7" t="inlineStr">
        <is>
          <t>08</t>
        </is>
      </c>
      <c r="J1863" s="7" t="inlineStr">
        <is>
          <t>Transformação</t>
        </is>
      </c>
      <c r="K1863" s="7" t="inlineStr">
        <is>
          <t>Planejamento</t>
        </is>
      </c>
      <c r="L1863" s="16" t="inlineStr">
        <is>
          <t>PDS-Abril(2).docx</t>
        </is>
      </c>
      <c r="M1863">
        <f>IF($A1863="","",TEXT($A1863,"mmmm/yyyy"))</f>
        <v/>
      </c>
      <c r="P1863">
        <f>IFERROR(_xludf.XLOOKUP($N1863,Base_Enderecos!$A:$A,Base_Enderecos!$B:$B,""),"")</f>
        <v/>
      </c>
      <c r="Q1863">
        <f>IFERROR(_xludf.XLOOKUP($N1863,Base_Enderecos!$A:$A,Base_Enderecos!$C:$C,""),"")</f>
        <v/>
      </c>
      <c r="R1863">
        <f>IF(OR(ISNUMBER(SEARCH("HDD",$F1863)),ISNUMBER(SEARCH("MND",$F1863)),ISNUMBER(SEARCH("PEAD",$F1863)),ISNUMBER(SEARCH("Puxe",$J1863)),ISNUMBER(SEARCH("Apoio HDD",$F1863))),"MND",IF(OR(ISNUMBER(SEARCH("VCA",$F1863)),ISNUMBER(SEARCH("PVC",$F1863)),ISNUMBER(SEARCH("vca",$J1863)),ISNUMBER(SEARCH("Transformação",$J1863))),"VCA",IF(OR(ISNUMBER(SEARCH("crava",$F1863)),ISNUMBER(SEARCH("tubo cravado",$F1863)),ISNUMBER(SEARCH("shaft",$J1863)),ISNUMBER(SEARCH("concreto",$F1863))),"TUBO CRAVADO","")))</f>
        <v/>
      </c>
      <c r="T1863">
        <f>IF($A1863="","",TEXT($A1863,"yyyymm")&amp;"|"&amp;$C1863&amp;"|"&amp;$F1863&amp;"|"&amp;$N1863&amp;"|"&amp;$R1863)</f>
        <v/>
      </c>
    </row>
    <row r="1864" ht="11.55" customHeight="1">
      <c r="A1864" s="10" t="n">
        <v>46127</v>
      </c>
      <c r="B1864" s="7" t="inlineStr">
        <is>
          <t>Quarta</t>
        </is>
      </c>
      <c r="C1864" s="7" t="inlineStr">
        <is>
          <t>CTS LUIS BOTELHO MOURÃO</t>
        </is>
      </c>
      <c r="D1864" s="7" t="inlineStr">
        <is>
          <t>ROBSON</t>
        </is>
      </c>
      <c r="E1864" s="7" t="inlineStr">
        <is>
          <t>Jhonatan</t>
        </is>
      </c>
      <c r="F1864" s="13" t="inlineStr">
        <is>
          <t>Transformação PV 07</t>
        </is>
      </c>
      <c r="G1864" s="7" t="inlineStr">
        <is>
          <t>07</t>
        </is>
      </c>
      <c r="H1864" s="7" t="n"/>
      <c r="I1864" s="7" t="inlineStr">
        <is>
          <t>07</t>
        </is>
      </c>
      <c r="J1864" s="7" t="inlineStr">
        <is>
          <t>Transformação</t>
        </is>
      </c>
      <c r="K1864" s="7" t="inlineStr">
        <is>
          <t>Planejamento</t>
        </is>
      </c>
      <c r="L1864" s="16" t="inlineStr">
        <is>
          <t>PDS-Abril(2).docx</t>
        </is>
      </c>
      <c r="M1864">
        <f>IF($A1864="","",TEXT($A1864,"mmmm/yyyy"))</f>
        <v/>
      </c>
      <c r="P1864">
        <f>IFERROR(_xludf.XLOOKUP($N1864,Base_Enderecos!$A:$A,Base_Enderecos!$B:$B,""),"")</f>
        <v/>
      </c>
      <c r="Q1864">
        <f>IFERROR(_xludf.XLOOKUP($N1864,Base_Enderecos!$A:$A,Base_Enderecos!$C:$C,""),"")</f>
        <v/>
      </c>
      <c r="R1864">
        <f>IF(OR(ISNUMBER(SEARCH("HDD",$F1864)),ISNUMBER(SEARCH("MND",$F1864)),ISNUMBER(SEARCH("PEAD",$F1864)),ISNUMBER(SEARCH("Puxe",$J1864)),ISNUMBER(SEARCH("Apoio HDD",$F1864))),"MND",IF(OR(ISNUMBER(SEARCH("VCA",$F1864)),ISNUMBER(SEARCH("PVC",$F1864)),ISNUMBER(SEARCH("vca",$J1864)),ISNUMBER(SEARCH("Transformação",$J1864))),"VCA",IF(OR(ISNUMBER(SEARCH("crava",$F1864)),ISNUMBER(SEARCH("tubo cravado",$F1864)),ISNUMBER(SEARCH("shaft",$J1864)),ISNUMBER(SEARCH("concreto",$F1864))),"TUBO CRAVADO","")))</f>
        <v/>
      </c>
      <c r="T1864">
        <f>IF($A1864="","",TEXT($A1864,"yyyymm")&amp;"|"&amp;$C1864&amp;"|"&amp;$F1864&amp;"|"&amp;$N1864&amp;"|"&amp;$R1864)</f>
        <v/>
      </c>
    </row>
    <row r="1865" ht="11.55" customHeight="1">
      <c r="A1865" s="10" t="n">
        <v>46127</v>
      </c>
      <c r="B1865" s="7" t="inlineStr">
        <is>
          <t>Quarta</t>
        </is>
      </c>
      <c r="C1865" s="7" t="inlineStr">
        <is>
          <t>Vacal</t>
        </is>
      </c>
      <c r="D1865" s="7" t="n"/>
      <c r="E1865" s="7" t="inlineStr">
        <is>
          <t>Botelho Mourão – Renasce</t>
        </is>
      </c>
      <c r="F1865" s="13" t="inlineStr">
        <is>
          <t>Apoio Vacal</t>
        </is>
      </c>
      <c r="G1865" s="7" t="n"/>
      <c r="H1865" s="7" t="n"/>
      <c r="I1865" s="7" t="n"/>
      <c r="J1865" s="7" t="inlineStr">
        <is>
          <t>Vacal</t>
        </is>
      </c>
      <c r="K1865" s="7" t="inlineStr">
        <is>
          <t>Apoio</t>
        </is>
      </c>
      <c r="L1865" s="16" t="inlineStr">
        <is>
          <t>PDS-Abril(2).docx</t>
        </is>
      </c>
      <c r="M1865">
        <f>IF($A1865="","",TEXT($A1865,"mmmm/yyyy"))</f>
        <v/>
      </c>
      <c r="P1865">
        <f>IFERROR(_xludf.XLOOKUP($N1865,Base_Enderecos!$A:$A,Base_Enderecos!$B:$B,""),"")</f>
        <v/>
      </c>
      <c r="Q1865">
        <f>IFERROR(_xludf.XLOOKUP($N1865,Base_Enderecos!$A:$A,Base_Enderecos!$C:$C,""),"")</f>
        <v/>
      </c>
      <c r="R1865">
        <f>IF(OR(ISNUMBER(SEARCH("HDD",$F1865)),ISNUMBER(SEARCH("MND",$F1865)),ISNUMBER(SEARCH("PEAD",$F1865)),ISNUMBER(SEARCH("Puxe",$J1865)),ISNUMBER(SEARCH("Apoio HDD",$F1865))),"MND",IF(OR(ISNUMBER(SEARCH("VCA",$F1865)),ISNUMBER(SEARCH("PVC",$F1865)),ISNUMBER(SEARCH("vca",$J1865)),ISNUMBER(SEARCH("Transformação",$J1865))),"VCA",IF(OR(ISNUMBER(SEARCH("crava",$F1865)),ISNUMBER(SEARCH("tubo cravado",$F1865)),ISNUMBER(SEARCH("shaft",$J1865)),ISNUMBER(SEARCH("concreto",$F1865))),"TUBO CRAVADO","")))</f>
        <v/>
      </c>
      <c r="T1865">
        <f>IF($A1865="","",TEXT($A1865,"yyyymm")&amp;"|"&amp;$C1865&amp;"|"&amp;$F1865&amp;"|"&amp;$N1865&amp;"|"&amp;$R1865)</f>
        <v/>
      </c>
    </row>
    <row r="1866" ht="11.55" customHeight="1">
      <c r="A1866" s="10" t="n">
        <v>46127</v>
      </c>
      <c r="B1866" s="7" t="inlineStr">
        <is>
          <t>Quarta</t>
        </is>
      </c>
      <c r="C1866" s="7" t="inlineStr">
        <is>
          <t>Vacal</t>
        </is>
      </c>
      <c r="D1866" s="7" t="n"/>
      <c r="E1866" s="7" t="inlineStr">
        <is>
          <t>Botelho Mourão – Hidrosol</t>
        </is>
      </c>
      <c r="F1866" s="13" t="inlineStr">
        <is>
          <t>Apoio Vacal</t>
        </is>
      </c>
      <c r="G1866" s="7" t="n"/>
      <c r="H1866" s="7" t="n"/>
      <c r="I1866" s="7" t="n"/>
      <c r="J1866" s="7" t="inlineStr">
        <is>
          <t>Vacal</t>
        </is>
      </c>
      <c r="K1866" s="7" t="inlineStr">
        <is>
          <t>Apoio</t>
        </is>
      </c>
      <c r="L1866" s="16" t="inlineStr">
        <is>
          <t>PDS-Abril(2).docx</t>
        </is>
      </c>
      <c r="M1866">
        <f>IF($A1866="","",TEXT($A1866,"mmmm/yyyy"))</f>
        <v/>
      </c>
      <c r="P1866">
        <f>IFERROR(_xludf.XLOOKUP($N1866,Base_Enderecos!$A:$A,Base_Enderecos!$B:$B,""),"")</f>
        <v/>
      </c>
      <c r="Q1866">
        <f>IFERROR(_xludf.XLOOKUP($N1866,Base_Enderecos!$A:$A,Base_Enderecos!$C:$C,""),"")</f>
        <v/>
      </c>
      <c r="R1866">
        <f>IF(OR(ISNUMBER(SEARCH("HDD",$F1866)),ISNUMBER(SEARCH("MND",$F1866)),ISNUMBER(SEARCH("PEAD",$F1866)),ISNUMBER(SEARCH("Puxe",$J1866)),ISNUMBER(SEARCH("Apoio HDD",$F1866))),"MND",IF(OR(ISNUMBER(SEARCH("VCA",$F1866)),ISNUMBER(SEARCH("PVC",$F1866)),ISNUMBER(SEARCH("vca",$J1866)),ISNUMBER(SEARCH("Transformação",$J1866))),"VCA",IF(OR(ISNUMBER(SEARCH("crava",$F1866)),ISNUMBER(SEARCH("tubo cravado",$F1866)),ISNUMBER(SEARCH("shaft",$J1866)),ISNUMBER(SEARCH("concreto",$F1866))),"TUBO CRAVADO","")))</f>
        <v/>
      </c>
      <c r="T1866">
        <f>IF($A1866="","",TEXT($A1866,"yyyymm")&amp;"|"&amp;$C1866&amp;"|"&amp;$F1866&amp;"|"&amp;$N1866&amp;"|"&amp;$R1866)</f>
        <v/>
      </c>
    </row>
    <row r="1867" ht="11.55" customHeight="1">
      <c r="A1867" s="10" t="n">
        <v>46127</v>
      </c>
      <c r="B1867" s="7" t="inlineStr">
        <is>
          <t>Quarta</t>
        </is>
      </c>
      <c r="C1867" s="7" t="inlineStr">
        <is>
          <t>Vacal</t>
        </is>
      </c>
      <c r="D1867" s="7" t="n"/>
      <c r="E1867" s="7" t="inlineStr">
        <is>
          <t>Botelho Mourão –Henko</t>
        </is>
      </c>
      <c r="F1867" s="13" t="inlineStr">
        <is>
          <t>Apoio Vacal</t>
        </is>
      </c>
      <c r="G1867" s="7" t="n"/>
      <c r="H1867" s="7" t="n"/>
      <c r="I1867" s="7" t="n"/>
      <c r="J1867" s="7" t="inlineStr">
        <is>
          <t>Vacal</t>
        </is>
      </c>
      <c r="K1867" s="7" t="inlineStr">
        <is>
          <t>Apoio</t>
        </is>
      </c>
      <c r="L1867" s="16" t="inlineStr">
        <is>
          <t>PDS-Abril(2).docx</t>
        </is>
      </c>
      <c r="M1867">
        <f>IF($A1867="","",TEXT($A1867,"mmmm/yyyy"))</f>
        <v/>
      </c>
      <c r="P1867">
        <f>IFERROR(_xludf.XLOOKUP($N1867,Base_Enderecos!$A:$A,Base_Enderecos!$B:$B,""),"")</f>
        <v/>
      </c>
      <c r="Q1867">
        <f>IFERROR(_xludf.XLOOKUP($N1867,Base_Enderecos!$A:$A,Base_Enderecos!$C:$C,""),"")</f>
        <v/>
      </c>
      <c r="R1867">
        <f>IF(OR(ISNUMBER(SEARCH("HDD",$F1867)),ISNUMBER(SEARCH("MND",$F1867)),ISNUMBER(SEARCH("PEAD",$F1867)),ISNUMBER(SEARCH("Puxe",$J1867)),ISNUMBER(SEARCH("Apoio HDD",$F1867))),"MND",IF(OR(ISNUMBER(SEARCH("VCA",$F1867)),ISNUMBER(SEARCH("PVC",$F1867)),ISNUMBER(SEARCH("vca",$J1867)),ISNUMBER(SEARCH("Transformação",$J1867))),"VCA",IF(OR(ISNUMBER(SEARCH("crava",$F1867)),ISNUMBER(SEARCH("tubo cravado",$F1867)),ISNUMBER(SEARCH("shaft",$J1867)),ISNUMBER(SEARCH("concreto",$F1867))),"TUBO CRAVADO","")))</f>
        <v/>
      </c>
      <c r="T1867">
        <f>IF($A1867="","",TEXT($A1867,"yyyymm")&amp;"|"&amp;$C1867&amp;"|"&amp;$F1867&amp;"|"&amp;$N1867&amp;"|"&amp;$R1867)</f>
        <v/>
      </c>
    </row>
    <row r="1868" ht="11.55" customHeight="1">
      <c r="A1868" s="10" t="n">
        <v>46127</v>
      </c>
      <c r="B1868" s="7" t="inlineStr">
        <is>
          <t>Quarta</t>
        </is>
      </c>
      <c r="C1868" s="7" t="inlineStr">
        <is>
          <t>Vacal</t>
        </is>
      </c>
      <c r="D1868" s="7" t="n"/>
      <c r="E1868" s="7" t="inlineStr">
        <is>
          <t>Conceição – Renasce</t>
        </is>
      </c>
      <c r="F1868" s="13" t="inlineStr">
        <is>
          <t>Apoio Vacal</t>
        </is>
      </c>
      <c r="G1868" s="7" t="n"/>
      <c r="H1868" s="7" t="n"/>
      <c r="I1868" s="7" t="n"/>
      <c r="J1868" s="7" t="inlineStr">
        <is>
          <t>Vacal</t>
        </is>
      </c>
      <c r="K1868" s="7" t="inlineStr">
        <is>
          <t>Apoio</t>
        </is>
      </c>
      <c r="L1868" s="16" t="inlineStr">
        <is>
          <t>PDS-Abril(2).docx</t>
        </is>
      </c>
      <c r="M1868">
        <f>IF($A1868="","",TEXT($A1868,"mmmm/yyyy"))</f>
        <v/>
      </c>
      <c r="P1868">
        <f>IFERROR(_xludf.XLOOKUP($N1868,Base_Enderecos!$A:$A,Base_Enderecos!$B:$B,""),"")</f>
        <v/>
      </c>
      <c r="Q1868">
        <f>IFERROR(_xludf.XLOOKUP($N1868,Base_Enderecos!$A:$A,Base_Enderecos!$C:$C,""),"")</f>
        <v/>
      </c>
      <c r="R1868">
        <f>IF(OR(ISNUMBER(SEARCH("HDD",$F1868)),ISNUMBER(SEARCH("MND",$F1868)),ISNUMBER(SEARCH("PEAD",$F1868)),ISNUMBER(SEARCH("Puxe",$J1868)),ISNUMBER(SEARCH("Apoio HDD",$F1868))),"MND",IF(OR(ISNUMBER(SEARCH("VCA",$F1868)),ISNUMBER(SEARCH("PVC",$F1868)),ISNUMBER(SEARCH("vca",$J1868)),ISNUMBER(SEARCH("Transformação",$J1868))),"VCA",IF(OR(ISNUMBER(SEARCH("crava",$F1868)),ISNUMBER(SEARCH("tubo cravado",$F1868)),ISNUMBER(SEARCH("shaft",$J1868)),ISNUMBER(SEARCH("concreto",$F1868))),"TUBO CRAVADO","")))</f>
        <v/>
      </c>
      <c r="T1868">
        <f>IF($A1868="","",TEXT($A1868,"yyyymm")&amp;"|"&amp;$C1868&amp;"|"&amp;$F1868&amp;"|"&amp;$N1868&amp;"|"&amp;$R1868)</f>
        <v/>
      </c>
    </row>
    <row r="1869" ht="11.55" customHeight="1">
      <c r="A1869" s="10" t="n">
        <v>46127</v>
      </c>
      <c r="B1869" s="7" t="inlineStr">
        <is>
          <t>Quarta</t>
        </is>
      </c>
      <c r="C1869" s="7" t="inlineStr">
        <is>
          <t>Vacal</t>
        </is>
      </c>
      <c r="D1869" s="7" t="n"/>
      <c r="E1869" s="7" t="inlineStr">
        <is>
          <t>Conceição - Renasce</t>
        </is>
      </c>
      <c r="F1869" s="13" t="inlineStr">
        <is>
          <t>Apoio Vacal</t>
        </is>
      </c>
      <c r="G1869" s="7" t="n"/>
      <c r="H1869" s="7" t="n"/>
      <c r="I1869" s="7" t="n"/>
      <c r="J1869" s="7" t="inlineStr">
        <is>
          <t>Vacal</t>
        </is>
      </c>
      <c r="K1869" s="7" t="inlineStr">
        <is>
          <t>Apoio</t>
        </is>
      </c>
      <c r="L1869" s="16" t="inlineStr">
        <is>
          <t>PDS-Abril(2).docx</t>
        </is>
      </c>
      <c r="M1869">
        <f>IF($A1869="","",TEXT($A1869,"mmmm/yyyy"))</f>
        <v/>
      </c>
      <c r="P1869">
        <f>IFERROR(_xludf.XLOOKUP($N1869,Base_Enderecos!$A:$A,Base_Enderecos!$B:$B,""),"")</f>
        <v/>
      </c>
      <c r="Q1869">
        <f>IFERROR(_xludf.XLOOKUP($N1869,Base_Enderecos!$A:$A,Base_Enderecos!$C:$C,""),"")</f>
        <v/>
      </c>
      <c r="R1869">
        <f>IF(OR(ISNUMBER(SEARCH("HDD",$F1869)),ISNUMBER(SEARCH("MND",$F1869)),ISNUMBER(SEARCH("PEAD",$F1869)),ISNUMBER(SEARCH("Puxe",$J1869)),ISNUMBER(SEARCH("Apoio HDD",$F1869))),"MND",IF(OR(ISNUMBER(SEARCH("VCA",$F1869)),ISNUMBER(SEARCH("PVC",$F1869)),ISNUMBER(SEARCH("vca",$J1869)),ISNUMBER(SEARCH("Transformação",$J1869))),"VCA",IF(OR(ISNUMBER(SEARCH("crava",$F1869)),ISNUMBER(SEARCH("tubo cravado",$F1869)),ISNUMBER(SEARCH("shaft",$J1869)),ISNUMBER(SEARCH("concreto",$F1869))),"TUBO CRAVADO","")))</f>
        <v/>
      </c>
      <c r="T1869">
        <f>IF($A1869="","",TEXT($A1869,"yyyymm")&amp;"|"&amp;$C1869&amp;"|"&amp;$F1869&amp;"|"&amp;$N1869&amp;"|"&amp;$R1869)</f>
        <v/>
      </c>
    </row>
    <row r="1870" ht="11.55" customHeight="1">
      <c r="A1870" s="10" t="n">
        <v>46127</v>
      </c>
      <c r="B1870" s="7" t="inlineStr">
        <is>
          <t>Quarta</t>
        </is>
      </c>
      <c r="C1870" s="7" t="inlineStr">
        <is>
          <t>Vacal</t>
        </is>
      </c>
      <c r="D1870" s="7" t="n"/>
      <c r="E1870" s="7" t="inlineStr">
        <is>
          <t>Água Vermelha – Renasce</t>
        </is>
      </c>
      <c r="F1870" s="13" t="inlineStr">
        <is>
          <t>Apoio Vacal</t>
        </is>
      </c>
      <c r="G1870" s="7" t="n"/>
      <c r="H1870" s="7" t="n"/>
      <c r="I1870" s="7" t="n"/>
      <c r="J1870" s="7" t="inlineStr">
        <is>
          <t>Vacal</t>
        </is>
      </c>
      <c r="K1870" s="7" t="inlineStr">
        <is>
          <t>Apoio</t>
        </is>
      </c>
      <c r="L1870" s="16" t="inlineStr">
        <is>
          <t>PDS-Abril(2).docx</t>
        </is>
      </c>
      <c r="M1870">
        <f>IF($A1870="","",TEXT($A1870,"mmmm/yyyy"))</f>
        <v/>
      </c>
      <c r="P1870">
        <f>IFERROR(_xludf.XLOOKUP($N1870,Base_Enderecos!$A:$A,Base_Enderecos!$B:$B,""),"")</f>
        <v/>
      </c>
      <c r="Q1870">
        <f>IFERROR(_xludf.XLOOKUP($N1870,Base_Enderecos!$A:$A,Base_Enderecos!$C:$C,""),"")</f>
        <v/>
      </c>
      <c r="R1870">
        <f>IF(OR(ISNUMBER(SEARCH("HDD",$F1870)),ISNUMBER(SEARCH("MND",$F1870)),ISNUMBER(SEARCH("PEAD",$F1870)),ISNUMBER(SEARCH("Puxe",$J1870)),ISNUMBER(SEARCH("Apoio HDD",$F1870))),"MND",IF(OR(ISNUMBER(SEARCH("VCA",$F1870)),ISNUMBER(SEARCH("PVC",$F1870)),ISNUMBER(SEARCH("vca",$J1870)),ISNUMBER(SEARCH("Transformação",$J1870))),"VCA",IF(OR(ISNUMBER(SEARCH("crava",$F1870)),ISNUMBER(SEARCH("tubo cravado",$F1870)),ISNUMBER(SEARCH("shaft",$J1870)),ISNUMBER(SEARCH("concreto",$F1870))),"TUBO CRAVADO","")))</f>
        <v/>
      </c>
      <c r="T1870">
        <f>IF($A1870="","",TEXT($A1870,"yyyymm")&amp;"|"&amp;$C1870&amp;"|"&amp;$F1870&amp;"|"&amp;$N1870&amp;"|"&amp;$R1870)</f>
        <v/>
      </c>
    </row>
    <row r="1871" ht="11.55" customHeight="1">
      <c r="A1871" s="10" t="n">
        <v>46127</v>
      </c>
      <c r="B1871" s="7" t="inlineStr">
        <is>
          <t>Quarta</t>
        </is>
      </c>
      <c r="C1871" s="7" t="inlineStr">
        <is>
          <t>Guindauto</t>
        </is>
      </c>
      <c r="D1871" s="7" t="n"/>
      <c r="E1871" s="7" t="inlineStr">
        <is>
          <t>Marcio</t>
        </is>
      </c>
      <c r="F1871" s="13" t="inlineStr">
        <is>
          <t>Marcio - Apoio as equipes</t>
        </is>
      </c>
      <c r="G1871" s="7" t="n"/>
      <c r="H1871" s="7" t="n"/>
      <c r="I1871" s="7" t="n"/>
      <c r="J1871" s="7" t="inlineStr">
        <is>
          <t>Guindauto</t>
        </is>
      </c>
      <c r="K1871" s="7" t="inlineStr">
        <is>
          <t>Apoio</t>
        </is>
      </c>
      <c r="L1871" s="16" t="inlineStr">
        <is>
          <t>PDS-Abril(2).docx</t>
        </is>
      </c>
      <c r="M1871">
        <f>IF($A1871="","",TEXT($A1871,"mmmm/yyyy"))</f>
        <v/>
      </c>
      <c r="P1871">
        <f>IFERROR(_xludf.XLOOKUP($N1871,Base_Enderecos!$A:$A,Base_Enderecos!$B:$B,""),"")</f>
        <v/>
      </c>
      <c r="Q1871">
        <f>IFERROR(_xludf.XLOOKUP($N1871,Base_Enderecos!$A:$A,Base_Enderecos!$C:$C,""),"")</f>
        <v/>
      </c>
      <c r="R1871">
        <f>IF(OR(ISNUMBER(SEARCH("HDD",$F1871)),ISNUMBER(SEARCH("MND",$F1871)),ISNUMBER(SEARCH("PEAD",$F1871)),ISNUMBER(SEARCH("Puxe",$J1871)),ISNUMBER(SEARCH("Apoio HDD",$F1871))),"MND",IF(OR(ISNUMBER(SEARCH("VCA",$F1871)),ISNUMBER(SEARCH("PVC",$F1871)),ISNUMBER(SEARCH("vca",$J1871)),ISNUMBER(SEARCH("Transformação",$J1871))),"VCA",IF(OR(ISNUMBER(SEARCH("crava",$F1871)),ISNUMBER(SEARCH("tubo cravado",$F1871)),ISNUMBER(SEARCH("shaft",$J1871)),ISNUMBER(SEARCH("concreto",$F1871))),"TUBO CRAVADO","")))</f>
        <v/>
      </c>
      <c r="T1871">
        <f>IF($A1871="","",TEXT($A1871,"yyyymm")&amp;"|"&amp;$C1871&amp;"|"&amp;$F1871&amp;"|"&amp;$N1871&amp;"|"&amp;$R1871)</f>
        <v/>
      </c>
    </row>
    <row r="1872" ht="11.55" customHeight="1">
      <c r="A1872" s="10" t="n">
        <v>46128</v>
      </c>
      <c r="B1872" s="7" t="inlineStr">
        <is>
          <t>Quinta</t>
        </is>
      </c>
      <c r="C1872" s="7" t="inlineStr">
        <is>
          <t>CTS CONCEIÇÃO</t>
        </is>
      </c>
      <c r="D1872" s="7" t="inlineStr">
        <is>
          <t>LEANDRO</t>
        </is>
      </c>
      <c r="E1872" s="7" t="inlineStr">
        <is>
          <t>WJ 01</t>
        </is>
      </c>
      <c r="F1872" s="13" t="inlineStr">
        <is>
          <t>Piloto e puxe entre PV 10.1 ao 10.2</t>
        </is>
      </c>
      <c r="G1872" s="7" t="inlineStr">
        <is>
          <t>10.1</t>
        </is>
      </c>
      <c r="H1872" s="7" t="n"/>
      <c r="I1872" s="7" t="inlineStr">
        <is>
          <t>10.1</t>
        </is>
      </c>
      <c r="J1872" s="7" t="inlineStr">
        <is>
          <t>Piloto e puxe</t>
        </is>
      </c>
      <c r="K1872" s="7" t="inlineStr">
        <is>
          <t>Planejamento</t>
        </is>
      </c>
      <c r="L1872" s="16" t="inlineStr">
        <is>
          <t>PDS-Abril(2).docx</t>
        </is>
      </c>
      <c r="M1872">
        <f>IF($A1872="","",TEXT($A1872,"mmmm/yyyy"))</f>
        <v/>
      </c>
      <c r="P1872">
        <f>IFERROR(_xludf.XLOOKUP($N1872,Base_Enderecos!$A:$A,Base_Enderecos!$B:$B,""),"")</f>
        <v/>
      </c>
      <c r="Q1872">
        <f>IFERROR(_xludf.XLOOKUP($N1872,Base_Enderecos!$A:$A,Base_Enderecos!$C:$C,""),"")</f>
        <v/>
      </c>
      <c r="R1872">
        <f>IF(OR(ISNUMBER(SEARCH("HDD",$F1872)),ISNUMBER(SEARCH("MND",$F1872)),ISNUMBER(SEARCH("PEAD",$F1872)),ISNUMBER(SEARCH("Puxe",$J1872)),ISNUMBER(SEARCH("Apoio HDD",$F1872))),"MND",IF(OR(ISNUMBER(SEARCH("VCA",$F1872)),ISNUMBER(SEARCH("PVC",$F1872)),ISNUMBER(SEARCH("vca",$J1872)),ISNUMBER(SEARCH("Transformação",$J1872))),"VCA",IF(OR(ISNUMBER(SEARCH("crava",$F1872)),ISNUMBER(SEARCH("tubo cravado",$F1872)),ISNUMBER(SEARCH("shaft",$J1872)),ISNUMBER(SEARCH("concreto",$F1872))),"TUBO CRAVADO","")))</f>
        <v/>
      </c>
      <c r="T1872">
        <f>IF($A1872="","",TEXT($A1872,"yyyymm")&amp;"|"&amp;$C1872&amp;"|"&amp;$F1872&amp;"|"&amp;$N1872&amp;"|"&amp;$R1872)</f>
        <v/>
      </c>
    </row>
    <row r="1873" ht="11.55" customHeight="1">
      <c r="A1873" s="10" t="n">
        <v>46128</v>
      </c>
      <c r="B1873" s="7" t="inlineStr">
        <is>
          <t>Quinta</t>
        </is>
      </c>
      <c r="C1873" s="7" t="inlineStr">
        <is>
          <t>CTS CONCEIÇÃO</t>
        </is>
      </c>
      <c r="D1873" s="7" t="inlineStr">
        <is>
          <t>LEANDRO</t>
        </is>
      </c>
      <c r="E1873" s="7" t="inlineStr">
        <is>
          <t>Medeiros</t>
        </is>
      </c>
      <c r="F1873" s="13" t="inlineStr">
        <is>
          <t>Apoio HDD PV 10.1 ao 10.2</t>
        </is>
      </c>
      <c r="G1873" s="7" t="inlineStr">
        <is>
          <t>10.1</t>
        </is>
      </c>
      <c r="H1873" s="7" t="n"/>
      <c r="I1873" s="7" t="inlineStr">
        <is>
          <t>10.1</t>
        </is>
      </c>
      <c r="J1873" s="7" t="inlineStr">
        <is>
          <t>Apoio HDD</t>
        </is>
      </c>
      <c r="K1873" s="7" t="inlineStr">
        <is>
          <t>Planejamento</t>
        </is>
      </c>
      <c r="L1873" s="16" t="inlineStr">
        <is>
          <t>PDS-Abril(2).docx</t>
        </is>
      </c>
      <c r="M1873">
        <f>IF($A1873="","",TEXT($A1873,"mmmm/yyyy"))</f>
        <v/>
      </c>
      <c r="P1873">
        <f>IFERROR(_xludf.XLOOKUP($N1873,Base_Enderecos!$A:$A,Base_Enderecos!$B:$B,""),"")</f>
        <v/>
      </c>
      <c r="Q1873">
        <f>IFERROR(_xludf.XLOOKUP($N1873,Base_Enderecos!$A:$A,Base_Enderecos!$C:$C,""),"")</f>
        <v/>
      </c>
      <c r="R1873">
        <f>IF(OR(ISNUMBER(SEARCH("HDD",$F1873)),ISNUMBER(SEARCH("MND",$F1873)),ISNUMBER(SEARCH("PEAD",$F1873)),ISNUMBER(SEARCH("Puxe",$J1873)),ISNUMBER(SEARCH("Apoio HDD",$F1873))),"MND",IF(OR(ISNUMBER(SEARCH("VCA",$F1873)),ISNUMBER(SEARCH("PVC",$F1873)),ISNUMBER(SEARCH("vca",$J1873)),ISNUMBER(SEARCH("Transformação",$J1873))),"VCA",IF(OR(ISNUMBER(SEARCH("crava",$F1873)),ISNUMBER(SEARCH("tubo cravado",$F1873)),ISNUMBER(SEARCH("shaft",$J1873)),ISNUMBER(SEARCH("concreto",$F1873))),"TUBO CRAVADO","")))</f>
        <v/>
      </c>
      <c r="T1873">
        <f>IF($A1873="","",TEXT($A1873,"yyyymm")&amp;"|"&amp;$C1873&amp;"|"&amp;$F1873&amp;"|"&amp;$N1873&amp;"|"&amp;$R1873)</f>
        <v/>
      </c>
    </row>
    <row r="1874" ht="11.55" customHeight="1">
      <c r="A1874" s="10" t="n">
        <v>46128</v>
      </c>
      <c r="B1874" s="7" t="inlineStr">
        <is>
          <t>Quinta</t>
        </is>
      </c>
      <c r="C1874" s="7" t="inlineStr">
        <is>
          <t>CTS CONCEIÇÃO</t>
        </is>
      </c>
      <c r="D1874" s="7" t="inlineStr">
        <is>
          <t>LEANDRO</t>
        </is>
      </c>
      <c r="E1874" s="7" t="inlineStr">
        <is>
          <t>GR DRILL</t>
        </is>
      </c>
      <c r="F1874" s="13" t="inlineStr">
        <is>
          <t>Apoio HDD entre PV 10.1 ao 09</t>
        </is>
      </c>
      <c r="G1874" s="7" t="inlineStr">
        <is>
          <t>10.1</t>
        </is>
      </c>
      <c r="H1874" s="7" t="n"/>
      <c r="I1874" s="7" t="inlineStr">
        <is>
          <t>10.1</t>
        </is>
      </c>
      <c r="J1874" s="7" t="inlineStr">
        <is>
          <t>Apoio HDD</t>
        </is>
      </c>
      <c r="K1874" s="7" t="inlineStr">
        <is>
          <t>Planejamento</t>
        </is>
      </c>
      <c r="L1874" s="16" t="inlineStr">
        <is>
          <t>PDS-Abril(2).docx</t>
        </is>
      </c>
      <c r="M1874">
        <f>IF($A1874="","",TEXT($A1874,"mmmm/yyyy"))</f>
        <v/>
      </c>
      <c r="P1874">
        <f>IFERROR(_xludf.XLOOKUP($N1874,Base_Enderecos!$A:$A,Base_Enderecos!$B:$B,""),"")</f>
        <v/>
      </c>
      <c r="Q1874">
        <f>IFERROR(_xludf.XLOOKUP($N1874,Base_Enderecos!$A:$A,Base_Enderecos!$C:$C,""),"")</f>
        <v/>
      </c>
      <c r="R1874">
        <f>IF(OR(ISNUMBER(SEARCH("HDD",$F1874)),ISNUMBER(SEARCH("MND",$F1874)),ISNUMBER(SEARCH("PEAD",$F1874)),ISNUMBER(SEARCH("Puxe",$J1874)),ISNUMBER(SEARCH("Apoio HDD",$F1874))),"MND",IF(OR(ISNUMBER(SEARCH("VCA",$F1874)),ISNUMBER(SEARCH("PVC",$F1874)),ISNUMBER(SEARCH("vca",$J1874)),ISNUMBER(SEARCH("Transformação",$J1874))),"VCA",IF(OR(ISNUMBER(SEARCH("crava",$F1874)),ISNUMBER(SEARCH("tubo cravado",$F1874)),ISNUMBER(SEARCH("shaft",$J1874)),ISNUMBER(SEARCH("concreto",$F1874))),"TUBO CRAVADO","")))</f>
        <v/>
      </c>
      <c r="T1874">
        <f>IF($A1874="","",TEXT($A1874,"yyyymm")&amp;"|"&amp;$C1874&amp;"|"&amp;$F1874&amp;"|"&amp;$N1874&amp;"|"&amp;$R1874)</f>
        <v/>
      </c>
    </row>
    <row r="1875" ht="11.55" customHeight="1">
      <c r="A1875" s="10" t="n">
        <v>46128</v>
      </c>
      <c r="B1875" s="7" t="inlineStr">
        <is>
          <t>Quinta</t>
        </is>
      </c>
      <c r="C1875" s="7" t="inlineStr">
        <is>
          <t>CTS CONCEIÇÃO</t>
        </is>
      </c>
      <c r="D1875" s="7" t="inlineStr">
        <is>
          <t>LEANDRO</t>
        </is>
      </c>
      <c r="E1875" s="7" t="inlineStr">
        <is>
          <t>Carlos</t>
        </is>
      </c>
      <c r="F1875" s="13" t="inlineStr">
        <is>
          <t>Apoio HDD entre PV 10.1 ao 09</t>
        </is>
      </c>
      <c r="G1875" s="7" t="inlineStr">
        <is>
          <t>10.1</t>
        </is>
      </c>
      <c r="H1875" s="7" t="n"/>
      <c r="I1875" s="7" t="inlineStr">
        <is>
          <t>10.1</t>
        </is>
      </c>
      <c r="J1875" s="7" t="inlineStr">
        <is>
          <t>Apoio HDD</t>
        </is>
      </c>
      <c r="K1875" s="7" t="inlineStr">
        <is>
          <t>Planejamento</t>
        </is>
      </c>
      <c r="L1875" s="16" t="inlineStr">
        <is>
          <t>PDS-Abril(2).docx</t>
        </is>
      </c>
      <c r="M1875">
        <f>IF($A1875="","",TEXT($A1875,"mmmm/yyyy"))</f>
        <v/>
      </c>
      <c r="P1875">
        <f>IFERROR(_xludf.XLOOKUP($N1875,Base_Enderecos!$A:$A,Base_Enderecos!$B:$B,""),"")</f>
        <v/>
      </c>
      <c r="Q1875">
        <f>IFERROR(_xludf.XLOOKUP($N1875,Base_Enderecos!$A:$A,Base_Enderecos!$C:$C,""),"")</f>
        <v/>
      </c>
      <c r="R1875">
        <f>IF(OR(ISNUMBER(SEARCH("HDD",$F1875)),ISNUMBER(SEARCH("MND",$F1875)),ISNUMBER(SEARCH("PEAD",$F1875)),ISNUMBER(SEARCH("Puxe",$J1875)),ISNUMBER(SEARCH("Apoio HDD",$F1875))),"MND",IF(OR(ISNUMBER(SEARCH("VCA",$F1875)),ISNUMBER(SEARCH("PVC",$F1875)),ISNUMBER(SEARCH("vca",$J1875)),ISNUMBER(SEARCH("Transformação",$J1875))),"VCA",IF(OR(ISNUMBER(SEARCH("crava",$F1875)),ISNUMBER(SEARCH("tubo cravado",$F1875)),ISNUMBER(SEARCH("shaft",$J1875)),ISNUMBER(SEARCH("concreto",$F1875))),"TUBO CRAVADO","")))</f>
        <v/>
      </c>
      <c r="T1875">
        <f>IF($A1875="","",TEXT($A1875,"yyyymm")&amp;"|"&amp;$C1875&amp;"|"&amp;$F1875&amp;"|"&amp;$N1875&amp;"|"&amp;$R1875)</f>
        <v/>
      </c>
    </row>
    <row r="1876" ht="11.55" customHeight="1">
      <c r="A1876" s="10" t="n">
        <v>46128</v>
      </c>
      <c r="B1876" s="7" t="inlineStr">
        <is>
          <t>Quinta</t>
        </is>
      </c>
      <c r="C1876" s="7" t="inlineStr">
        <is>
          <t>CT ÁGUA VERMELHA M.D. e M.E</t>
        </is>
      </c>
      <c r="D1876" s="7" t="inlineStr">
        <is>
          <t>FABIO E SILVESTRE</t>
        </is>
      </c>
      <c r="E1876" s="7" t="inlineStr">
        <is>
          <t>Claudinei</t>
        </is>
      </c>
      <c r="F1876" s="13" t="inlineStr">
        <is>
          <t>Apoio casa (PVD 7)</t>
        </is>
      </c>
      <c r="G1876" s="7" t="inlineStr">
        <is>
          <t>7</t>
        </is>
      </c>
      <c r="H1876" s="7" t="n"/>
      <c r="I1876" s="7" t="inlineStr">
        <is>
          <t>7</t>
        </is>
      </c>
      <c r="J1876" s="7" t="n"/>
      <c r="K1876" s="7" t="inlineStr">
        <is>
          <t>Planejamento</t>
        </is>
      </c>
      <c r="L1876" s="16" t="inlineStr">
        <is>
          <t>PDS-Abril(2).docx</t>
        </is>
      </c>
      <c r="M1876">
        <f>IF($A1876="","",TEXT($A1876,"mmmm/yyyy"))</f>
        <v/>
      </c>
      <c r="P1876">
        <f>IFERROR(_xludf.XLOOKUP($N1876,Base_Enderecos!$A:$A,Base_Enderecos!$B:$B,""),"")</f>
        <v/>
      </c>
      <c r="Q1876">
        <f>IFERROR(_xludf.XLOOKUP($N1876,Base_Enderecos!$A:$A,Base_Enderecos!$C:$C,""),"")</f>
        <v/>
      </c>
      <c r="R1876">
        <f>IF(OR(ISNUMBER(SEARCH("HDD",$F1876)),ISNUMBER(SEARCH("MND",$F1876)),ISNUMBER(SEARCH("PEAD",$F1876)),ISNUMBER(SEARCH("Puxe",$J1876)),ISNUMBER(SEARCH("Apoio HDD",$F1876))),"MND",IF(OR(ISNUMBER(SEARCH("VCA",$F1876)),ISNUMBER(SEARCH("PVC",$F1876)),ISNUMBER(SEARCH("vca",$J1876)),ISNUMBER(SEARCH("Transformação",$J1876))),"VCA",IF(OR(ISNUMBER(SEARCH("crava",$F1876)),ISNUMBER(SEARCH("tubo cravado",$F1876)),ISNUMBER(SEARCH("shaft",$J1876)),ISNUMBER(SEARCH("concreto",$F1876))),"TUBO CRAVADO","")))</f>
        <v/>
      </c>
      <c r="T1876">
        <f>IF($A1876="","",TEXT($A1876,"yyyymm")&amp;"|"&amp;$C1876&amp;"|"&amp;$F1876&amp;"|"&amp;$N1876&amp;"|"&amp;$R1876)</f>
        <v/>
      </c>
    </row>
    <row r="1877" ht="11.55" customHeight="1">
      <c r="A1877" s="10" t="n">
        <v>46128</v>
      </c>
      <c r="B1877" s="7" t="inlineStr">
        <is>
          <t>Quinta</t>
        </is>
      </c>
      <c r="C1877" s="7" t="inlineStr">
        <is>
          <t>CT ÁGUA VERMELHA M.D. e M.E</t>
        </is>
      </c>
      <c r="D1877" s="7" t="inlineStr">
        <is>
          <t>FABIO E SILVESTRE</t>
        </is>
      </c>
      <c r="E1877" s="7" t="inlineStr">
        <is>
          <t>Marcelo</t>
        </is>
      </c>
      <c r="F1877" s="13" t="inlineStr">
        <is>
          <t>Transformação PVE 22</t>
        </is>
      </c>
      <c r="G1877" s="7" t="inlineStr">
        <is>
          <t>22</t>
        </is>
      </c>
      <c r="H1877" s="7" t="n"/>
      <c r="I1877" s="7" t="inlineStr">
        <is>
          <t>22</t>
        </is>
      </c>
      <c r="J1877" s="7" t="inlineStr">
        <is>
          <t>Transformação</t>
        </is>
      </c>
      <c r="K1877" s="7" t="inlineStr">
        <is>
          <t>Planejamento</t>
        </is>
      </c>
      <c r="L1877" s="16" t="inlineStr">
        <is>
          <t>PDS-Abril(2).docx</t>
        </is>
      </c>
      <c r="M1877">
        <f>IF($A1877="","",TEXT($A1877,"mmmm/yyyy"))</f>
        <v/>
      </c>
      <c r="P1877">
        <f>IFERROR(_xludf.XLOOKUP($N1877,Base_Enderecos!$A:$A,Base_Enderecos!$B:$B,""),"")</f>
        <v/>
      </c>
      <c r="Q1877">
        <f>IFERROR(_xludf.XLOOKUP($N1877,Base_Enderecos!$A:$A,Base_Enderecos!$C:$C,""),"")</f>
        <v/>
      </c>
      <c r="R1877">
        <f>IF(OR(ISNUMBER(SEARCH("HDD",$F1877)),ISNUMBER(SEARCH("MND",$F1877)),ISNUMBER(SEARCH("PEAD",$F1877)),ISNUMBER(SEARCH("Puxe",$J1877)),ISNUMBER(SEARCH("Apoio HDD",$F1877))),"MND",IF(OR(ISNUMBER(SEARCH("VCA",$F1877)),ISNUMBER(SEARCH("PVC",$F1877)),ISNUMBER(SEARCH("vca",$J1877)),ISNUMBER(SEARCH("Transformação",$J1877))),"VCA",IF(OR(ISNUMBER(SEARCH("crava",$F1877)),ISNUMBER(SEARCH("tubo cravado",$F1877)),ISNUMBER(SEARCH("shaft",$J1877)),ISNUMBER(SEARCH("concreto",$F1877))),"TUBO CRAVADO","")))</f>
        <v/>
      </c>
      <c r="T1877">
        <f>IF($A1877="","",TEXT($A1877,"yyyymm")&amp;"|"&amp;$C1877&amp;"|"&amp;$F1877&amp;"|"&amp;$N1877&amp;"|"&amp;$R1877)</f>
        <v/>
      </c>
    </row>
    <row r="1878" ht="11.55" customHeight="1">
      <c r="A1878" s="10" t="n">
        <v>46128</v>
      </c>
      <c r="B1878" s="7" t="inlineStr">
        <is>
          <t>Quinta</t>
        </is>
      </c>
      <c r="C1878" s="7" t="inlineStr">
        <is>
          <t>CT ÁGUA VERMELHA M.D. e M.E</t>
        </is>
      </c>
      <c r="D1878" s="7" t="inlineStr">
        <is>
          <t>FABIO E SILVESTRE</t>
        </is>
      </c>
      <c r="E1878" s="7" t="inlineStr">
        <is>
          <t>Sergio</t>
        </is>
      </c>
      <c r="F1878" s="13" t="inlineStr">
        <is>
          <t>Acabamento PIE 16.2</t>
        </is>
      </c>
      <c r="G1878" s="7" t="n"/>
      <c r="H1878" s="7" t="n"/>
      <c r="I1878" s="7" t="n"/>
      <c r="J1878" s="7" t="inlineStr">
        <is>
          <t>Acabamento</t>
        </is>
      </c>
      <c r="K1878" s="7" t="inlineStr">
        <is>
          <t>Planejamento</t>
        </is>
      </c>
      <c r="L1878" s="16" t="inlineStr">
        <is>
          <t>PDS-Abril(2).docx</t>
        </is>
      </c>
      <c r="M1878">
        <f>IF($A1878="","",TEXT($A1878,"mmmm/yyyy"))</f>
        <v/>
      </c>
      <c r="P1878">
        <f>IFERROR(_xludf.XLOOKUP($N1878,Base_Enderecos!$A:$A,Base_Enderecos!$B:$B,""),"")</f>
        <v/>
      </c>
      <c r="Q1878">
        <f>IFERROR(_xludf.XLOOKUP($N1878,Base_Enderecos!$A:$A,Base_Enderecos!$C:$C,""),"")</f>
        <v/>
      </c>
      <c r="R1878">
        <f>IF(OR(ISNUMBER(SEARCH("HDD",$F1878)),ISNUMBER(SEARCH("MND",$F1878)),ISNUMBER(SEARCH("PEAD",$F1878)),ISNUMBER(SEARCH("Puxe",$J1878)),ISNUMBER(SEARCH("Apoio HDD",$F1878))),"MND",IF(OR(ISNUMBER(SEARCH("VCA",$F1878)),ISNUMBER(SEARCH("PVC",$F1878)),ISNUMBER(SEARCH("vca",$J1878)),ISNUMBER(SEARCH("Transformação",$J1878))),"VCA",IF(OR(ISNUMBER(SEARCH("crava",$F1878)),ISNUMBER(SEARCH("tubo cravado",$F1878)),ISNUMBER(SEARCH("shaft",$J1878)),ISNUMBER(SEARCH("concreto",$F1878))),"TUBO CRAVADO","")))</f>
        <v/>
      </c>
      <c r="T1878">
        <f>IF($A1878="","",TEXT($A1878,"yyyymm")&amp;"|"&amp;$C1878&amp;"|"&amp;$F1878&amp;"|"&amp;$N1878&amp;"|"&amp;$R1878)</f>
        <v/>
      </c>
    </row>
    <row r="1879" ht="11.55" customHeight="1">
      <c r="A1879" s="10" t="n">
        <v>46128</v>
      </c>
      <c r="B1879" s="7" t="inlineStr">
        <is>
          <t>Quinta</t>
        </is>
      </c>
      <c r="C1879" s="7" t="inlineStr">
        <is>
          <t>CT ÁGUA VERMELHA M.D. e M.E</t>
        </is>
      </c>
      <c r="D1879" s="7" t="inlineStr">
        <is>
          <t>FABIO E SILVESTRE</t>
        </is>
      </c>
      <c r="E1879" s="7" t="inlineStr">
        <is>
          <t>Antônio</t>
        </is>
      </c>
      <c r="F1879" s="13" t="inlineStr">
        <is>
          <t>Acabamento PVE 1.1</t>
        </is>
      </c>
      <c r="G1879" s="7" t="inlineStr">
        <is>
          <t>1.1</t>
        </is>
      </c>
      <c r="H1879" s="7" t="n"/>
      <c r="I1879" s="7" t="inlineStr">
        <is>
          <t>1.1</t>
        </is>
      </c>
      <c r="J1879" s="7" t="inlineStr">
        <is>
          <t>Acabamento</t>
        </is>
      </c>
      <c r="K1879" s="7" t="inlineStr">
        <is>
          <t>Planejamento</t>
        </is>
      </c>
      <c r="L1879" s="16" t="inlineStr">
        <is>
          <t>PDS-Abril(2).docx</t>
        </is>
      </c>
      <c r="M1879">
        <f>IF($A1879="","",TEXT($A1879,"mmmm/yyyy"))</f>
        <v/>
      </c>
      <c r="P1879">
        <f>IFERROR(_xludf.XLOOKUP($N1879,Base_Enderecos!$A:$A,Base_Enderecos!$B:$B,""),"")</f>
        <v/>
      </c>
      <c r="Q1879">
        <f>IFERROR(_xludf.XLOOKUP($N1879,Base_Enderecos!$A:$A,Base_Enderecos!$C:$C,""),"")</f>
        <v/>
      </c>
      <c r="R1879">
        <f>IF(OR(ISNUMBER(SEARCH("HDD",$F1879)),ISNUMBER(SEARCH("MND",$F1879)),ISNUMBER(SEARCH("PEAD",$F1879)),ISNUMBER(SEARCH("Puxe",$J1879)),ISNUMBER(SEARCH("Apoio HDD",$F1879))),"MND",IF(OR(ISNUMBER(SEARCH("VCA",$F1879)),ISNUMBER(SEARCH("PVC",$F1879)),ISNUMBER(SEARCH("vca",$J1879)),ISNUMBER(SEARCH("Transformação",$J1879))),"VCA",IF(OR(ISNUMBER(SEARCH("crava",$F1879)),ISNUMBER(SEARCH("tubo cravado",$F1879)),ISNUMBER(SEARCH("shaft",$J1879)),ISNUMBER(SEARCH("concreto",$F1879))),"TUBO CRAVADO","")))</f>
        <v/>
      </c>
      <c r="T1879">
        <f>IF($A1879="","",TEXT($A1879,"yyyymm")&amp;"|"&amp;$C1879&amp;"|"&amp;$F1879&amp;"|"&amp;$N1879&amp;"|"&amp;$R1879)</f>
        <v/>
      </c>
    </row>
    <row r="1880" ht="11.55" customHeight="1">
      <c r="A1880" s="10" t="n">
        <v>46128</v>
      </c>
      <c r="B1880" s="7" t="inlineStr">
        <is>
          <t>Quinta</t>
        </is>
      </c>
      <c r="C1880" s="7" t="inlineStr">
        <is>
          <t>CT ÁGUA BOA</t>
        </is>
      </c>
      <c r="D1880" s="7" t="inlineStr">
        <is>
          <t>FABIO E SILVESTRE</t>
        </is>
      </c>
      <c r="E1880" s="7" t="inlineStr">
        <is>
          <t>Edivando</t>
        </is>
      </c>
      <c r="F1880" s="13" t="inlineStr">
        <is>
          <t>PI 05</t>
        </is>
      </c>
      <c r="G1880" s="7" t="n"/>
      <c r="H1880" s="7" t="n"/>
      <c r="I1880" s="7" t="n"/>
      <c r="J1880" s="7" t="n"/>
      <c r="K1880" s="7" t="inlineStr">
        <is>
          <t>Planejamento</t>
        </is>
      </c>
      <c r="L1880" s="16" t="inlineStr">
        <is>
          <t>PDS-Abril(2).docx</t>
        </is>
      </c>
      <c r="M1880">
        <f>IF($A1880="","",TEXT($A1880,"mmmm/yyyy"))</f>
        <v/>
      </c>
      <c r="P1880">
        <f>IFERROR(_xludf.XLOOKUP($N1880,Base_Enderecos!$A:$A,Base_Enderecos!$B:$B,""),"")</f>
        <v/>
      </c>
      <c r="Q1880">
        <f>IFERROR(_xludf.XLOOKUP($N1880,Base_Enderecos!$A:$A,Base_Enderecos!$C:$C,""),"")</f>
        <v/>
      </c>
      <c r="R1880">
        <f>IF(OR(ISNUMBER(SEARCH("HDD",$F1880)),ISNUMBER(SEARCH("MND",$F1880)),ISNUMBER(SEARCH("PEAD",$F1880)),ISNUMBER(SEARCH("Puxe",$J1880)),ISNUMBER(SEARCH("Apoio HDD",$F1880))),"MND",IF(OR(ISNUMBER(SEARCH("VCA",$F1880)),ISNUMBER(SEARCH("PVC",$F1880)),ISNUMBER(SEARCH("vca",$J1880)),ISNUMBER(SEARCH("Transformação",$J1880))),"VCA",IF(OR(ISNUMBER(SEARCH("crava",$F1880)),ISNUMBER(SEARCH("tubo cravado",$F1880)),ISNUMBER(SEARCH("shaft",$J1880)),ISNUMBER(SEARCH("concreto",$F1880))),"TUBO CRAVADO","")))</f>
        <v/>
      </c>
      <c r="T1880">
        <f>IF($A1880="","",TEXT($A1880,"yyyymm")&amp;"|"&amp;$C1880&amp;"|"&amp;$F1880&amp;"|"&amp;$N1880&amp;"|"&amp;$R1880)</f>
        <v/>
      </c>
    </row>
    <row r="1881" ht="11.55" customHeight="1">
      <c r="A1881" s="10" t="n">
        <v>46128</v>
      </c>
      <c r="B1881" s="7" t="inlineStr">
        <is>
          <t>Quinta</t>
        </is>
      </c>
      <c r="C1881" s="7" t="inlineStr">
        <is>
          <t>CT ÁGUA BOA</t>
        </is>
      </c>
      <c r="D1881" s="7" t="inlineStr">
        <is>
          <t>FABIO E SILVESTRE</t>
        </is>
      </c>
      <c r="E1881" s="7" t="inlineStr">
        <is>
          <t>Cidão</t>
        </is>
      </c>
      <c r="F1881" s="13" t="inlineStr">
        <is>
          <t>Transformação PI 04</t>
        </is>
      </c>
      <c r="G1881" s="7" t="n"/>
      <c r="H1881" s="7" t="n"/>
      <c r="I1881" s="7" t="n"/>
      <c r="J1881" s="7" t="inlineStr">
        <is>
          <t>Transformação</t>
        </is>
      </c>
      <c r="K1881" s="7" t="inlineStr">
        <is>
          <t>Planejamento</t>
        </is>
      </c>
      <c r="L1881" s="16" t="inlineStr">
        <is>
          <t>PDS-Abril(2).docx</t>
        </is>
      </c>
      <c r="M1881">
        <f>IF($A1881="","",TEXT($A1881,"mmmm/yyyy"))</f>
        <v/>
      </c>
      <c r="P1881">
        <f>IFERROR(_xludf.XLOOKUP($N1881,Base_Enderecos!$A:$A,Base_Enderecos!$B:$B,""),"")</f>
        <v/>
      </c>
      <c r="Q1881">
        <f>IFERROR(_xludf.XLOOKUP($N1881,Base_Enderecos!$A:$A,Base_Enderecos!$C:$C,""),"")</f>
        <v/>
      </c>
      <c r="R1881">
        <f>IF(OR(ISNUMBER(SEARCH("HDD",$F1881)),ISNUMBER(SEARCH("MND",$F1881)),ISNUMBER(SEARCH("PEAD",$F1881)),ISNUMBER(SEARCH("Puxe",$J1881)),ISNUMBER(SEARCH("Apoio HDD",$F1881))),"MND",IF(OR(ISNUMBER(SEARCH("VCA",$F1881)),ISNUMBER(SEARCH("PVC",$F1881)),ISNUMBER(SEARCH("vca",$J1881)),ISNUMBER(SEARCH("Transformação",$J1881))),"VCA",IF(OR(ISNUMBER(SEARCH("crava",$F1881)),ISNUMBER(SEARCH("tubo cravado",$F1881)),ISNUMBER(SEARCH("shaft",$J1881)),ISNUMBER(SEARCH("concreto",$F1881))),"TUBO CRAVADO","")))</f>
        <v/>
      </c>
      <c r="T1881">
        <f>IF($A1881="","",TEXT($A1881,"yyyymm")&amp;"|"&amp;$C1881&amp;"|"&amp;$F1881&amp;"|"&amp;$N1881&amp;"|"&amp;$R1881)</f>
        <v/>
      </c>
    </row>
    <row r="1882" ht="11.55" customHeight="1">
      <c r="A1882" s="10" t="n">
        <v>46128</v>
      </c>
      <c r="B1882" s="7" t="inlineStr">
        <is>
          <t>Quinta</t>
        </is>
      </c>
      <c r="C1882" s="7" t="inlineStr">
        <is>
          <t>INT FERNANDO PACHECO JORDÃO</t>
        </is>
      </c>
      <c r="D1882" s="7" t="inlineStr">
        <is>
          <t>VALMIR</t>
        </is>
      </c>
      <c r="E1882" s="7" t="inlineStr">
        <is>
          <t>WJ</t>
        </is>
      </c>
      <c r="F1882" s="13" t="inlineStr">
        <is>
          <t>Furo piloto e Puxe PV 04 ao PV 02</t>
        </is>
      </c>
      <c r="G1882" s="7" t="inlineStr">
        <is>
          <t>04</t>
        </is>
      </c>
      <c r="H1882" s="7" t="inlineStr">
        <is>
          <t>02</t>
        </is>
      </c>
      <c r="I1882" s="7" t="inlineStr">
        <is>
          <t>04, 02</t>
        </is>
      </c>
      <c r="J1882" s="7" t="inlineStr">
        <is>
          <t>Furo piloto</t>
        </is>
      </c>
      <c r="K1882" s="7" t="inlineStr">
        <is>
          <t>Planejamento</t>
        </is>
      </c>
      <c r="L1882" s="16" t="inlineStr">
        <is>
          <t>PDS-Abril(2).docx</t>
        </is>
      </c>
      <c r="M1882">
        <f>IF($A1882="","",TEXT($A1882,"mmmm/yyyy"))</f>
        <v/>
      </c>
      <c r="P1882">
        <f>IFERROR(_xludf.XLOOKUP($N1882,Base_Enderecos!$A:$A,Base_Enderecos!$B:$B,""),"")</f>
        <v/>
      </c>
      <c r="Q1882">
        <f>IFERROR(_xludf.XLOOKUP($N1882,Base_Enderecos!$A:$A,Base_Enderecos!$C:$C,""),"")</f>
        <v/>
      </c>
      <c r="R1882">
        <f>IF(OR(ISNUMBER(SEARCH("HDD",$F1882)),ISNUMBER(SEARCH("MND",$F1882)),ISNUMBER(SEARCH("PEAD",$F1882)),ISNUMBER(SEARCH("Puxe",$J1882)),ISNUMBER(SEARCH("Apoio HDD",$F1882))),"MND",IF(OR(ISNUMBER(SEARCH("VCA",$F1882)),ISNUMBER(SEARCH("PVC",$F1882)),ISNUMBER(SEARCH("vca",$J1882)),ISNUMBER(SEARCH("Transformação",$J1882))),"VCA",IF(OR(ISNUMBER(SEARCH("crava",$F1882)),ISNUMBER(SEARCH("tubo cravado",$F1882)),ISNUMBER(SEARCH("shaft",$J1882)),ISNUMBER(SEARCH("concreto",$F1882))),"TUBO CRAVADO","")))</f>
        <v/>
      </c>
      <c r="T1882">
        <f>IF($A1882="","",TEXT($A1882,"yyyymm")&amp;"|"&amp;$C1882&amp;"|"&amp;$F1882&amp;"|"&amp;$N1882&amp;"|"&amp;$R1882)</f>
        <v/>
      </c>
    </row>
    <row r="1883" ht="11.55" customHeight="1">
      <c r="A1883" s="10" t="n">
        <v>46128</v>
      </c>
      <c r="B1883" s="7" t="inlineStr">
        <is>
          <t>Quinta</t>
        </is>
      </c>
      <c r="C1883" s="7" t="inlineStr">
        <is>
          <t>INT FERNANDO PACHECO JORDÃO</t>
        </is>
      </c>
      <c r="D1883" s="7" t="inlineStr">
        <is>
          <t>VALMIR</t>
        </is>
      </c>
      <c r="E1883" s="7" t="inlineStr">
        <is>
          <t>Valter</t>
        </is>
      </c>
      <c r="F1883" s="13" t="inlineStr">
        <is>
          <t>Shaft PV 04 e Apoio HDD</t>
        </is>
      </c>
      <c r="G1883" s="7" t="inlineStr">
        <is>
          <t>04</t>
        </is>
      </c>
      <c r="H1883" s="7" t="n"/>
      <c r="I1883" s="7" t="inlineStr">
        <is>
          <t>04</t>
        </is>
      </c>
      <c r="J1883" s="7" t="inlineStr">
        <is>
          <t>Apoio HDD</t>
        </is>
      </c>
      <c r="K1883" s="7" t="inlineStr">
        <is>
          <t>Planejamento</t>
        </is>
      </c>
      <c r="L1883" s="16" t="inlineStr">
        <is>
          <t>PDS-Abril(2).docx</t>
        </is>
      </c>
      <c r="M1883">
        <f>IF($A1883="","",TEXT($A1883,"mmmm/yyyy"))</f>
        <v/>
      </c>
      <c r="P1883">
        <f>IFERROR(_xludf.XLOOKUP($N1883,Base_Enderecos!$A:$A,Base_Enderecos!$B:$B,""),"")</f>
        <v/>
      </c>
      <c r="Q1883">
        <f>IFERROR(_xludf.XLOOKUP($N1883,Base_Enderecos!$A:$A,Base_Enderecos!$C:$C,""),"")</f>
        <v/>
      </c>
      <c r="R1883">
        <f>IF(OR(ISNUMBER(SEARCH("HDD",$F1883)),ISNUMBER(SEARCH("MND",$F1883)),ISNUMBER(SEARCH("PEAD",$F1883)),ISNUMBER(SEARCH("Puxe",$J1883)),ISNUMBER(SEARCH("Apoio HDD",$F1883))),"MND",IF(OR(ISNUMBER(SEARCH("VCA",$F1883)),ISNUMBER(SEARCH("PVC",$F1883)),ISNUMBER(SEARCH("vca",$J1883)),ISNUMBER(SEARCH("Transformação",$J1883))),"VCA",IF(OR(ISNUMBER(SEARCH("crava",$F1883)),ISNUMBER(SEARCH("tubo cravado",$F1883)),ISNUMBER(SEARCH("shaft",$J1883)),ISNUMBER(SEARCH("concreto",$F1883))),"TUBO CRAVADO","")))</f>
        <v/>
      </c>
      <c r="T1883">
        <f>IF($A1883="","",TEXT($A1883,"yyyymm")&amp;"|"&amp;$C1883&amp;"|"&amp;$F1883&amp;"|"&amp;$N1883&amp;"|"&amp;$R1883)</f>
        <v/>
      </c>
    </row>
    <row r="1884" ht="11.55" customHeight="1">
      <c r="A1884" s="10" t="n">
        <v>46128</v>
      </c>
      <c r="B1884" s="7" t="inlineStr">
        <is>
          <t>Quinta</t>
        </is>
      </c>
      <c r="C1884" s="7" t="inlineStr">
        <is>
          <t>INT FERNANDO PACHECO JORDÃO</t>
        </is>
      </c>
      <c r="D1884" s="7" t="inlineStr">
        <is>
          <t>VALMIR</t>
        </is>
      </c>
      <c r="E1884" s="7" t="inlineStr">
        <is>
          <t>Cesar</t>
        </is>
      </c>
      <c r="F1884" s="13" t="inlineStr">
        <is>
          <t>Shaft PV 02</t>
        </is>
      </c>
      <c r="G1884" s="7" t="inlineStr">
        <is>
          <t>02</t>
        </is>
      </c>
      <c r="H1884" s="7" t="n"/>
      <c r="I1884" s="7" t="inlineStr">
        <is>
          <t>02</t>
        </is>
      </c>
      <c r="J1884" s="7" t="inlineStr">
        <is>
          <t>Shaft</t>
        </is>
      </c>
      <c r="K1884" s="7" t="inlineStr">
        <is>
          <t>Planejamento</t>
        </is>
      </c>
      <c r="L1884" s="16" t="inlineStr">
        <is>
          <t>PDS-Abril(2).docx</t>
        </is>
      </c>
      <c r="M1884">
        <f>IF($A1884="","",TEXT($A1884,"mmmm/yyyy"))</f>
        <v/>
      </c>
      <c r="P1884">
        <f>IFERROR(_xludf.XLOOKUP($N1884,Base_Enderecos!$A:$A,Base_Enderecos!$B:$B,""),"")</f>
        <v/>
      </c>
      <c r="Q1884">
        <f>IFERROR(_xludf.XLOOKUP($N1884,Base_Enderecos!$A:$A,Base_Enderecos!$C:$C,""),"")</f>
        <v/>
      </c>
      <c r="R1884">
        <f>IF(OR(ISNUMBER(SEARCH("HDD",$F1884)),ISNUMBER(SEARCH("MND",$F1884)),ISNUMBER(SEARCH("PEAD",$F1884)),ISNUMBER(SEARCH("Puxe",$J1884)),ISNUMBER(SEARCH("Apoio HDD",$F1884))),"MND",IF(OR(ISNUMBER(SEARCH("VCA",$F1884)),ISNUMBER(SEARCH("PVC",$F1884)),ISNUMBER(SEARCH("vca",$J1884)),ISNUMBER(SEARCH("Transformação",$J1884))),"VCA",IF(OR(ISNUMBER(SEARCH("crava",$F1884)),ISNUMBER(SEARCH("tubo cravado",$F1884)),ISNUMBER(SEARCH("shaft",$J1884)),ISNUMBER(SEARCH("concreto",$F1884))),"TUBO CRAVADO","")))</f>
        <v/>
      </c>
      <c r="T1884">
        <f>IF($A1884="","",TEXT($A1884,"yyyymm")&amp;"|"&amp;$C1884&amp;"|"&amp;$F1884&amp;"|"&amp;$N1884&amp;"|"&amp;$R1884)</f>
        <v/>
      </c>
    </row>
    <row r="1885" ht="11.55" customHeight="1">
      <c r="A1885" s="10" t="n">
        <v>46128</v>
      </c>
      <c r="B1885" s="7" t="inlineStr">
        <is>
          <t>Quinta</t>
        </is>
      </c>
      <c r="C1885" s="7" t="inlineStr">
        <is>
          <t>CTS LUIS BOTELHO MOURÃO</t>
        </is>
      </c>
      <c r="D1885" s="7" t="inlineStr">
        <is>
          <t>ROBSON</t>
        </is>
      </c>
      <c r="E1885" s="7" t="inlineStr">
        <is>
          <t>Bruno</t>
        </is>
      </c>
      <c r="F1885" s="13" t="inlineStr">
        <is>
          <t>Corte cabeça Puxe PV 06</t>
        </is>
      </c>
      <c r="G1885" s="7" t="inlineStr">
        <is>
          <t>06</t>
        </is>
      </c>
      <c r="H1885" s="7" t="n"/>
      <c r="I1885" s="7" t="inlineStr">
        <is>
          <t>06</t>
        </is>
      </c>
      <c r="J1885" s="7" t="inlineStr">
        <is>
          <t>Puxe</t>
        </is>
      </c>
      <c r="K1885" s="7" t="inlineStr">
        <is>
          <t>Planejamento</t>
        </is>
      </c>
      <c r="L1885" s="16" t="inlineStr">
        <is>
          <t>PDS-Abril(2).docx</t>
        </is>
      </c>
      <c r="M1885">
        <f>IF($A1885="","",TEXT($A1885,"mmmm/yyyy"))</f>
        <v/>
      </c>
      <c r="P1885">
        <f>IFERROR(_xludf.XLOOKUP($N1885,Base_Enderecos!$A:$A,Base_Enderecos!$B:$B,""),"")</f>
        <v/>
      </c>
      <c r="Q1885">
        <f>IFERROR(_xludf.XLOOKUP($N1885,Base_Enderecos!$A:$A,Base_Enderecos!$C:$C,""),"")</f>
        <v/>
      </c>
      <c r="R1885">
        <f>IF(OR(ISNUMBER(SEARCH("HDD",$F1885)),ISNUMBER(SEARCH("MND",$F1885)),ISNUMBER(SEARCH("PEAD",$F1885)),ISNUMBER(SEARCH("Puxe",$J1885)),ISNUMBER(SEARCH("Apoio HDD",$F1885))),"MND",IF(OR(ISNUMBER(SEARCH("VCA",$F1885)),ISNUMBER(SEARCH("PVC",$F1885)),ISNUMBER(SEARCH("vca",$J1885)),ISNUMBER(SEARCH("Transformação",$J1885))),"VCA",IF(OR(ISNUMBER(SEARCH("crava",$F1885)),ISNUMBER(SEARCH("tubo cravado",$F1885)),ISNUMBER(SEARCH("shaft",$J1885)),ISNUMBER(SEARCH("concreto",$F1885))),"TUBO CRAVADO","")))</f>
        <v/>
      </c>
      <c r="T1885">
        <f>IF($A1885="","",TEXT($A1885,"yyyymm")&amp;"|"&amp;$C1885&amp;"|"&amp;$F1885&amp;"|"&amp;$N1885&amp;"|"&amp;$R1885)</f>
        <v/>
      </c>
    </row>
    <row r="1886" ht="11.55" customHeight="1">
      <c r="A1886" s="10" t="n">
        <v>46128</v>
      </c>
      <c r="B1886" s="7" t="inlineStr">
        <is>
          <t>Quinta</t>
        </is>
      </c>
      <c r="C1886" s="7" t="inlineStr">
        <is>
          <t>CTS LUIS BOTELHO MOURÃO</t>
        </is>
      </c>
      <c r="D1886" s="7" t="inlineStr">
        <is>
          <t>ROBSON</t>
        </is>
      </c>
      <c r="E1886" s="7" t="inlineStr">
        <is>
          <t>Ricardo</t>
        </is>
      </c>
      <c r="F1886" s="13" t="inlineStr">
        <is>
          <t>Corte cabeça Puxe PV 06</t>
        </is>
      </c>
      <c r="G1886" s="7" t="inlineStr">
        <is>
          <t>06</t>
        </is>
      </c>
      <c r="H1886" s="7" t="n"/>
      <c r="I1886" s="7" t="inlineStr">
        <is>
          <t>06</t>
        </is>
      </c>
      <c r="J1886" s="7" t="inlineStr">
        <is>
          <t>Puxe</t>
        </is>
      </c>
      <c r="K1886" s="7" t="inlineStr">
        <is>
          <t>Planejamento</t>
        </is>
      </c>
      <c r="L1886" s="16" t="inlineStr">
        <is>
          <t>PDS-Abril(2).docx</t>
        </is>
      </c>
      <c r="M1886">
        <f>IF($A1886="","",TEXT($A1886,"mmmm/yyyy"))</f>
        <v/>
      </c>
      <c r="P1886">
        <f>IFERROR(_xludf.XLOOKUP($N1886,Base_Enderecos!$A:$A,Base_Enderecos!$B:$B,""),"")</f>
        <v/>
      </c>
      <c r="Q1886">
        <f>IFERROR(_xludf.XLOOKUP($N1886,Base_Enderecos!$A:$A,Base_Enderecos!$C:$C,""),"")</f>
        <v/>
      </c>
      <c r="R1886">
        <f>IF(OR(ISNUMBER(SEARCH("HDD",$F1886)),ISNUMBER(SEARCH("MND",$F1886)),ISNUMBER(SEARCH("PEAD",$F1886)),ISNUMBER(SEARCH("Puxe",$J1886)),ISNUMBER(SEARCH("Apoio HDD",$F1886))),"MND",IF(OR(ISNUMBER(SEARCH("VCA",$F1886)),ISNUMBER(SEARCH("PVC",$F1886)),ISNUMBER(SEARCH("vca",$J1886)),ISNUMBER(SEARCH("Transformação",$J1886))),"VCA",IF(OR(ISNUMBER(SEARCH("crava",$F1886)),ISNUMBER(SEARCH("tubo cravado",$F1886)),ISNUMBER(SEARCH("shaft",$J1886)),ISNUMBER(SEARCH("concreto",$F1886))),"TUBO CRAVADO","")))</f>
        <v/>
      </c>
      <c r="T1886">
        <f>IF($A1886="","",TEXT($A1886,"yyyymm")&amp;"|"&amp;$C1886&amp;"|"&amp;$F1886&amp;"|"&amp;$N1886&amp;"|"&amp;$R1886)</f>
        <v/>
      </c>
    </row>
    <row r="1887" ht="11.55" customHeight="1">
      <c r="A1887" s="10" t="n">
        <v>46128</v>
      </c>
      <c r="B1887" s="7" t="inlineStr">
        <is>
          <t>Quinta</t>
        </is>
      </c>
      <c r="C1887" s="7" t="inlineStr">
        <is>
          <t>CTS LUIS BOTELHO MOURÃO</t>
        </is>
      </c>
      <c r="D1887" s="7" t="inlineStr">
        <is>
          <t>ROBSON</t>
        </is>
      </c>
      <c r="E1887" s="7" t="inlineStr">
        <is>
          <t>Marcio</t>
        </is>
      </c>
      <c r="F1887" s="13" t="inlineStr">
        <is>
          <t>Transformação + Interlig. PV 02</t>
        </is>
      </c>
      <c r="G1887" s="7" t="inlineStr">
        <is>
          <t>02</t>
        </is>
      </c>
      <c r="H1887" s="7" t="n"/>
      <c r="I1887" s="7" t="inlineStr">
        <is>
          <t>02</t>
        </is>
      </c>
      <c r="J1887" s="7" t="inlineStr">
        <is>
          <t>Transformação</t>
        </is>
      </c>
      <c r="K1887" s="7" t="inlineStr">
        <is>
          <t>Planejamento</t>
        </is>
      </c>
      <c r="L1887" s="16" t="inlineStr">
        <is>
          <t>PDS-Abril(2).docx</t>
        </is>
      </c>
      <c r="M1887">
        <f>IF($A1887="","",TEXT($A1887,"mmmm/yyyy"))</f>
        <v/>
      </c>
      <c r="P1887">
        <f>IFERROR(_xludf.XLOOKUP($N1887,Base_Enderecos!$A:$A,Base_Enderecos!$B:$B,""),"")</f>
        <v/>
      </c>
      <c r="Q1887">
        <f>IFERROR(_xludf.XLOOKUP($N1887,Base_Enderecos!$A:$A,Base_Enderecos!$C:$C,""),"")</f>
        <v/>
      </c>
      <c r="R1887">
        <f>IF(OR(ISNUMBER(SEARCH("HDD",$F1887)),ISNUMBER(SEARCH("MND",$F1887)),ISNUMBER(SEARCH("PEAD",$F1887)),ISNUMBER(SEARCH("Puxe",$J1887)),ISNUMBER(SEARCH("Apoio HDD",$F1887))),"MND",IF(OR(ISNUMBER(SEARCH("VCA",$F1887)),ISNUMBER(SEARCH("PVC",$F1887)),ISNUMBER(SEARCH("vca",$J1887)),ISNUMBER(SEARCH("Transformação",$J1887))),"VCA",IF(OR(ISNUMBER(SEARCH("crava",$F1887)),ISNUMBER(SEARCH("tubo cravado",$F1887)),ISNUMBER(SEARCH("shaft",$J1887)),ISNUMBER(SEARCH("concreto",$F1887))),"TUBO CRAVADO","")))</f>
        <v/>
      </c>
      <c r="T1887">
        <f>IF($A1887="","",TEXT($A1887,"yyyymm")&amp;"|"&amp;$C1887&amp;"|"&amp;$F1887&amp;"|"&amp;$N1887&amp;"|"&amp;$R1887)</f>
        <v/>
      </c>
    </row>
    <row r="1888" ht="11.55" customHeight="1">
      <c r="A1888" s="10" t="n">
        <v>46128</v>
      </c>
      <c r="B1888" s="7" t="inlineStr">
        <is>
          <t>Quinta</t>
        </is>
      </c>
      <c r="C1888" s="7" t="inlineStr">
        <is>
          <t>CTS LUIS BOTELHO MOURÃO</t>
        </is>
      </c>
      <c r="D1888" s="7" t="inlineStr">
        <is>
          <t>ROBSON</t>
        </is>
      </c>
      <c r="E1888" s="7" t="inlineStr">
        <is>
          <t>Higor</t>
        </is>
      </c>
      <c r="F1888" s="13" t="inlineStr">
        <is>
          <t>Transformação PV 08</t>
        </is>
      </c>
      <c r="G1888" s="7" t="inlineStr">
        <is>
          <t>08</t>
        </is>
      </c>
      <c r="H1888" s="7" t="n"/>
      <c r="I1888" s="7" t="inlineStr">
        <is>
          <t>08</t>
        </is>
      </c>
      <c r="J1888" s="7" t="inlineStr">
        <is>
          <t>Transformação</t>
        </is>
      </c>
      <c r="K1888" s="7" t="inlineStr">
        <is>
          <t>Planejamento</t>
        </is>
      </c>
      <c r="L1888" s="16" t="inlineStr">
        <is>
          <t>PDS-Abril(2).docx</t>
        </is>
      </c>
      <c r="M1888">
        <f>IF($A1888="","",TEXT($A1888,"mmmm/yyyy"))</f>
        <v/>
      </c>
      <c r="P1888">
        <f>IFERROR(_xludf.XLOOKUP($N1888,Base_Enderecos!$A:$A,Base_Enderecos!$B:$B,""),"")</f>
        <v/>
      </c>
      <c r="Q1888">
        <f>IFERROR(_xludf.XLOOKUP($N1888,Base_Enderecos!$A:$A,Base_Enderecos!$C:$C,""),"")</f>
        <v/>
      </c>
      <c r="R1888">
        <f>IF(OR(ISNUMBER(SEARCH("HDD",$F1888)),ISNUMBER(SEARCH("MND",$F1888)),ISNUMBER(SEARCH("PEAD",$F1888)),ISNUMBER(SEARCH("Puxe",$J1888)),ISNUMBER(SEARCH("Apoio HDD",$F1888))),"MND",IF(OR(ISNUMBER(SEARCH("VCA",$F1888)),ISNUMBER(SEARCH("PVC",$F1888)),ISNUMBER(SEARCH("vca",$J1888)),ISNUMBER(SEARCH("Transformação",$J1888))),"VCA",IF(OR(ISNUMBER(SEARCH("crava",$F1888)),ISNUMBER(SEARCH("tubo cravado",$F1888)),ISNUMBER(SEARCH("shaft",$J1888)),ISNUMBER(SEARCH("concreto",$F1888))),"TUBO CRAVADO","")))</f>
        <v/>
      </c>
      <c r="T1888">
        <f>IF($A1888="","",TEXT($A1888,"yyyymm")&amp;"|"&amp;$C1888&amp;"|"&amp;$F1888&amp;"|"&amp;$N1888&amp;"|"&amp;$R1888)</f>
        <v/>
      </c>
    </row>
    <row r="1889" ht="11.55" customHeight="1">
      <c r="A1889" s="10" t="n">
        <v>46128</v>
      </c>
      <c r="B1889" s="7" t="inlineStr">
        <is>
          <t>Quinta</t>
        </is>
      </c>
      <c r="C1889" s="7" t="inlineStr">
        <is>
          <t>CTS LUIS BOTELHO MOURÃO</t>
        </is>
      </c>
      <c r="D1889" s="7" t="inlineStr">
        <is>
          <t>ROBSON</t>
        </is>
      </c>
      <c r="E1889" s="7" t="inlineStr">
        <is>
          <t>Jhonatan</t>
        </is>
      </c>
      <c r="F1889" s="13" t="inlineStr">
        <is>
          <t>Transformação PV 07</t>
        </is>
      </c>
      <c r="G1889" s="7" t="inlineStr">
        <is>
          <t>07</t>
        </is>
      </c>
      <c r="H1889" s="7" t="n"/>
      <c r="I1889" s="7" t="inlineStr">
        <is>
          <t>07</t>
        </is>
      </c>
      <c r="J1889" s="7" t="inlineStr">
        <is>
          <t>Transformação</t>
        </is>
      </c>
      <c r="K1889" s="7" t="inlineStr">
        <is>
          <t>Planejamento</t>
        </is>
      </c>
      <c r="L1889" s="16" t="inlineStr">
        <is>
          <t>PDS-Abril(2).docx</t>
        </is>
      </c>
      <c r="M1889">
        <f>IF($A1889="","",TEXT($A1889,"mmmm/yyyy"))</f>
        <v/>
      </c>
      <c r="P1889">
        <f>IFERROR(_xludf.XLOOKUP($N1889,Base_Enderecos!$A:$A,Base_Enderecos!$B:$B,""),"")</f>
        <v/>
      </c>
      <c r="Q1889">
        <f>IFERROR(_xludf.XLOOKUP($N1889,Base_Enderecos!$A:$A,Base_Enderecos!$C:$C,""),"")</f>
        <v/>
      </c>
      <c r="R1889">
        <f>IF(OR(ISNUMBER(SEARCH("HDD",$F1889)),ISNUMBER(SEARCH("MND",$F1889)),ISNUMBER(SEARCH("PEAD",$F1889)),ISNUMBER(SEARCH("Puxe",$J1889)),ISNUMBER(SEARCH("Apoio HDD",$F1889))),"MND",IF(OR(ISNUMBER(SEARCH("VCA",$F1889)),ISNUMBER(SEARCH("PVC",$F1889)),ISNUMBER(SEARCH("vca",$J1889)),ISNUMBER(SEARCH("Transformação",$J1889))),"VCA",IF(OR(ISNUMBER(SEARCH("crava",$F1889)),ISNUMBER(SEARCH("tubo cravado",$F1889)),ISNUMBER(SEARCH("shaft",$J1889)),ISNUMBER(SEARCH("concreto",$F1889))),"TUBO CRAVADO","")))</f>
        <v/>
      </c>
      <c r="T1889">
        <f>IF($A1889="","",TEXT($A1889,"yyyymm")&amp;"|"&amp;$C1889&amp;"|"&amp;$F1889&amp;"|"&amp;$N1889&amp;"|"&amp;$R1889)</f>
        <v/>
      </c>
    </row>
    <row r="1890" ht="11.55" customHeight="1">
      <c r="A1890" s="10" t="n">
        <v>46128</v>
      </c>
      <c r="B1890" s="7" t="inlineStr">
        <is>
          <t>Quinta</t>
        </is>
      </c>
      <c r="C1890" s="7" t="inlineStr">
        <is>
          <t>Vacal</t>
        </is>
      </c>
      <c r="D1890" s="7" t="n"/>
      <c r="E1890" s="7" t="inlineStr">
        <is>
          <t>Botelho Mourão – Renasce</t>
        </is>
      </c>
      <c r="F1890" s="13" t="inlineStr">
        <is>
          <t>Apoio Vacal</t>
        </is>
      </c>
      <c r="G1890" s="7" t="n"/>
      <c r="H1890" s="7" t="n"/>
      <c r="I1890" s="7" t="n"/>
      <c r="J1890" s="7" t="inlineStr">
        <is>
          <t>Vacal</t>
        </is>
      </c>
      <c r="K1890" s="7" t="inlineStr">
        <is>
          <t>Apoio</t>
        </is>
      </c>
      <c r="L1890" s="16" t="inlineStr">
        <is>
          <t>PDS-Abril(2).docx</t>
        </is>
      </c>
      <c r="M1890">
        <f>IF($A1890="","",TEXT($A1890,"mmmm/yyyy"))</f>
        <v/>
      </c>
      <c r="P1890">
        <f>IFERROR(_xludf.XLOOKUP($N1890,Base_Enderecos!$A:$A,Base_Enderecos!$B:$B,""),"")</f>
        <v/>
      </c>
      <c r="Q1890">
        <f>IFERROR(_xludf.XLOOKUP($N1890,Base_Enderecos!$A:$A,Base_Enderecos!$C:$C,""),"")</f>
        <v/>
      </c>
      <c r="R1890">
        <f>IF(OR(ISNUMBER(SEARCH("HDD",$F1890)),ISNUMBER(SEARCH("MND",$F1890)),ISNUMBER(SEARCH("PEAD",$F1890)),ISNUMBER(SEARCH("Puxe",$J1890)),ISNUMBER(SEARCH("Apoio HDD",$F1890))),"MND",IF(OR(ISNUMBER(SEARCH("VCA",$F1890)),ISNUMBER(SEARCH("PVC",$F1890)),ISNUMBER(SEARCH("vca",$J1890)),ISNUMBER(SEARCH("Transformação",$J1890))),"VCA",IF(OR(ISNUMBER(SEARCH("crava",$F1890)),ISNUMBER(SEARCH("tubo cravado",$F1890)),ISNUMBER(SEARCH("shaft",$J1890)),ISNUMBER(SEARCH("concreto",$F1890))),"TUBO CRAVADO","")))</f>
        <v/>
      </c>
      <c r="T1890">
        <f>IF($A1890="","",TEXT($A1890,"yyyymm")&amp;"|"&amp;$C1890&amp;"|"&amp;$F1890&amp;"|"&amp;$N1890&amp;"|"&amp;$R1890)</f>
        <v/>
      </c>
    </row>
    <row r="1891" ht="11.55" customHeight="1">
      <c r="A1891" s="10" t="n">
        <v>46128</v>
      </c>
      <c r="B1891" s="7" t="inlineStr">
        <is>
          <t>Quinta</t>
        </is>
      </c>
      <c r="C1891" s="7" t="inlineStr">
        <is>
          <t>Vacal</t>
        </is>
      </c>
      <c r="D1891" s="7" t="n"/>
      <c r="E1891" s="7" t="inlineStr">
        <is>
          <t>Botelho Mourão – Hidrosol</t>
        </is>
      </c>
      <c r="F1891" s="13" t="inlineStr">
        <is>
          <t>Apoio Vacal</t>
        </is>
      </c>
      <c r="G1891" s="7" t="n"/>
      <c r="H1891" s="7" t="n"/>
      <c r="I1891" s="7" t="n"/>
      <c r="J1891" s="7" t="inlineStr">
        <is>
          <t>Vacal</t>
        </is>
      </c>
      <c r="K1891" s="7" t="inlineStr">
        <is>
          <t>Apoio</t>
        </is>
      </c>
      <c r="L1891" s="16" t="inlineStr">
        <is>
          <t>PDS-Abril(2).docx</t>
        </is>
      </c>
      <c r="M1891">
        <f>IF($A1891="","",TEXT($A1891,"mmmm/yyyy"))</f>
        <v/>
      </c>
      <c r="P1891">
        <f>IFERROR(_xludf.XLOOKUP($N1891,Base_Enderecos!$A:$A,Base_Enderecos!$B:$B,""),"")</f>
        <v/>
      </c>
      <c r="Q1891">
        <f>IFERROR(_xludf.XLOOKUP($N1891,Base_Enderecos!$A:$A,Base_Enderecos!$C:$C,""),"")</f>
        <v/>
      </c>
      <c r="R1891">
        <f>IF(OR(ISNUMBER(SEARCH("HDD",$F1891)),ISNUMBER(SEARCH("MND",$F1891)),ISNUMBER(SEARCH("PEAD",$F1891)),ISNUMBER(SEARCH("Puxe",$J1891)),ISNUMBER(SEARCH("Apoio HDD",$F1891))),"MND",IF(OR(ISNUMBER(SEARCH("VCA",$F1891)),ISNUMBER(SEARCH("PVC",$F1891)),ISNUMBER(SEARCH("vca",$J1891)),ISNUMBER(SEARCH("Transformação",$J1891))),"VCA",IF(OR(ISNUMBER(SEARCH("crava",$F1891)),ISNUMBER(SEARCH("tubo cravado",$F1891)),ISNUMBER(SEARCH("shaft",$J1891)),ISNUMBER(SEARCH("concreto",$F1891))),"TUBO CRAVADO","")))</f>
        <v/>
      </c>
      <c r="T1891">
        <f>IF($A1891="","",TEXT($A1891,"yyyymm")&amp;"|"&amp;$C1891&amp;"|"&amp;$F1891&amp;"|"&amp;$N1891&amp;"|"&amp;$R1891)</f>
        <v/>
      </c>
    </row>
    <row r="1892" ht="11.55" customHeight="1">
      <c r="A1892" s="10" t="n">
        <v>46128</v>
      </c>
      <c r="B1892" s="7" t="inlineStr">
        <is>
          <t>Quinta</t>
        </is>
      </c>
      <c r="C1892" s="7" t="inlineStr">
        <is>
          <t>Vacal</t>
        </is>
      </c>
      <c r="D1892" s="7" t="n"/>
      <c r="E1892" s="7" t="inlineStr">
        <is>
          <t>Botelho Mourão –Henko</t>
        </is>
      </c>
      <c r="F1892" s="13" t="inlineStr">
        <is>
          <t>Apoio Vacal</t>
        </is>
      </c>
      <c r="G1892" s="7" t="n"/>
      <c r="H1892" s="7" t="n"/>
      <c r="I1892" s="7" t="n"/>
      <c r="J1892" s="7" t="inlineStr">
        <is>
          <t>Vacal</t>
        </is>
      </c>
      <c r="K1892" s="7" t="inlineStr">
        <is>
          <t>Apoio</t>
        </is>
      </c>
      <c r="L1892" s="16" t="inlineStr">
        <is>
          <t>PDS-Abril(2).docx</t>
        </is>
      </c>
      <c r="M1892">
        <f>IF($A1892="","",TEXT($A1892,"mmmm/yyyy"))</f>
        <v/>
      </c>
      <c r="P1892">
        <f>IFERROR(_xludf.XLOOKUP($N1892,Base_Enderecos!$A:$A,Base_Enderecos!$B:$B,""),"")</f>
        <v/>
      </c>
      <c r="Q1892">
        <f>IFERROR(_xludf.XLOOKUP($N1892,Base_Enderecos!$A:$A,Base_Enderecos!$C:$C,""),"")</f>
        <v/>
      </c>
      <c r="R1892">
        <f>IF(OR(ISNUMBER(SEARCH("HDD",$F1892)),ISNUMBER(SEARCH("MND",$F1892)),ISNUMBER(SEARCH("PEAD",$F1892)),ISNUMBER(SEARCH("Puxe",$J1892)),ISNUMBER(SEARCH("Apoio HDD",$F1892))),"MND",IF(OR(ISNUMBER(SEARCH("VCA",$F1892)),ISNUMBER(SEARCH("PVC",$F1892)),ISNUMBER(SEARCH("vca",$J1892)),ISNUMBER(SEARCH("Transformação",$J1892))),"VCA",IF(OR(ISNUMBER(SEARCH("crava",$F1892)),ISNUMBER(SEARCH("tubo cravado",$F1892)),ISNUMBER(SEARCH("shaft",$J1892)),ISNUMBER(SEARCH("concreto",$F1892))),"TUBO CRAVADO","")))</f>
        <v/>
      </c>
      <c r="T1892">
        <f>IF($A1892="","",TEXT($A1892,"yyyymm")&amp;"|"&amp;$C1892&amp;"|"&amp;$F1892&amp;"|"&amp;$N1892&amp;"|"&amp;$R1892)</f>
        <v/>
      </c>
    </row>
    <row r="1893" ht="11.55" customHeight="1">
      <c r="A1893" s="10" t="n">
        <v>46128</v>
      </c>
      <c r="B1893" s="7" t="inlineStr">
        <is>
          <t>Quinta</t>
        </is>
      </c>
      <c r="C1893" s="7" t="inlineStr">
        <is>
          <t>Vacal</t>
        </is>
      </c>
      <c r="D1893" s="7" t="n"/>
      <c r="E1893" s="7" t="inlineStr">
        <is>
          <t>Botelho Mourão –Henko</t>
        </is>
      </c>
      <c r="F1893" s="13" t="inlineStr">
        <is>
          <t>Apoio Vacal</t>
        </is>
      </c>
      <c r="G1893" s="7" t="n"/>
      <c r="H1893" s="7" t="n"/>
      <c r="I1893" s="7" t="n"/>
      <c r="J1893" s="7" t="inlineStr">
        <is>
          <t>Vacal</t>
        </is>
      </c>
      <c r="K1893" s="7" t="inlineStr">
        <is>
          <t>Apoio</t>
        </is>
      </c>
      <c r="L1893" s="16" t="inlineStr">
        <is>
          <t>PDS-Abril(2).docx</t>
        </is>
      </c>
      <c r="M1893">
        <f>IF($A1893="","",TEXT($A1893,"mmmm/yyyy"))</f>
        <v/>
      </c>
      <c r="P1893">
        <f>IFERROR(_xludf.XLOOKUP($N1893,Base_Enderecos!$A:$A,Base_Enderecos!$B:$B,""),"")</f>
        <v/>
      </c>
      <c r="Q1893">
        <f>IFERROR(_xludf.XLOOKUP($N1893,Base_Enderecos!$A:$A,Base_Enderecos!$C:$C,""),"")</f>
        <v/>
      </c>
      <c r="R1893">
        <f>IF(OR(ISNUMBER(SEARCH("HDD",$F1893)),ISNUMBER(SEARCH("MND",$F1893)),ISNUMBER(SEARCH("PEAD",$F1893)),ISNUMBER(SEARCH("Puxe",$J1893)),ISNUMBER(SEARCH("Apoio HDD",$F1893))),"MND",IF(OR(ISNUMBER(SEARCH("VCA",$F1893)),ISNUMBER(SEARCH("PVC",$F1893)),ISNUMBER(SEARCH("vca",$J1893)),ISNUMBER(SEARCH("Transformação",$J1893))),"VCA",IF(OR(ISNUMBER(SEARCH("crava",$F1893)),ISNUMBER(SEARCH("tubo cravado",$F1893)),ISNUMBER(SEARCH("shaft",$J1893)),ISNUMBER(SEARCH("concreto",$F1893))),"TUBO CRAVADO","")))</f>
        <v/>
      </c>
      <c r="T1893">
        <f>IF($A1893="","",TEXT($A1893,"yyyymm")&amp;"|"&amp;$C1893&amp;"|"&amp;$F1893&amp;"|"&amp;$N1893&amp;"|"&amp;$R1893)</f>
        <v/>
      </c>
    </row>
    <row r="1894" ht="11.55" customHeight="1">
      <c r="A1894" s="10" t="n">
        <v>46128</v>
      </c>
      <c r="B1894" s="7" t="inlineStr">
        <is>
          <t>Quinta</t>
        </is>
      </c>
      <c r="C1894" s="7" t="inlineStr">
        <is>
          <t>Vacal</t>
        </is>
      </c>
      <c r="D1894" s="7" t="n"/>
      <c r="E1894" s="7" t="inlineStr">
        <is>
          <t>Conceição – Renasce</t>
        </is>
      </c>
      <c r="F1894" s="13" t="inlineStr">
        <is>
          <t>Apoio Vacal</t>
        </is>
      </c>
      <c r="G1894" s="7" t="n"/>
      <c r="H1894" s="7" t="n"/>
      <c r="I1894" s="7" t="n"/>
      <c r="J1894" s="7" t="inlineStr">
        <is>
          <t>Vacal</t>
        </is>
      </c>
      <c r="K1894" s="7" t="inlineStr">
        <is>
          <t>Apoio</t>
        </is>
      </c>
      <c r="L1894" s="16" t="inlineStr">
        <is>
          <t>PDS-Abril(2).docx</t>
        </is>
      </c>
      <c r="M1894">
        <f>IF($A1894="","",TEXT($A1894,"mmmm/yyyy"))</f>
        <v/>
      </c>
      <c r="P1894">
        <f>IFERROR(_xludf.XLOOKUP($N1894,Base_Enderecos!$A:$A,Base_Enderecos!$B:$B,""),"")</f>
        <v/>
      </c>
      <c r="Q1894">
        <f>IFERROR(_xludf.XLOOKUP($N1894,Base_Enderecos!$A:$A,Base_Enderecos!$C:$C,""),"")</f>
        <v/>
      </c>
      <c r="R1894">
        <f>IF(OR(ISNUMBER(SEARCH("HDD",$F1894)),ISNUMBER(SEARCH("MND",$F1894)),ISNUMBER(SEARCH("PEAD",$F1894)),ISNUMBER(SEARCH("Puxe",$J1894)),ISNUMBER(SEARCH("Apoio HDD",$F1894))),"MND",IF(OR(ISNUMBER(SEARCH("VCA",$F1894)),ISNUMBER(SEARCH("PVC",$F1894)),ISNUMBER(SEARCH("vca",$J1894)),ISNUMBER(SEARCH("Transformação",$J1894))),"VCA",IF(OR(ISNUMBER(SEARCH("crava",$F1894)),ISNUMBER(SEARCH("tubo cravado",$F1894)),ISNUMBER(SEARCH("shaft",$J1894)),ISNUMBER(SEARCH("concreto",$F1894))),"TUBO CRAVADO","")))</f>
        <v/>
      </c>
      <c r="T1894">
        <f>IF($A1894="","",TEXT($A1894,"yyyymm")&amp;"|"&amp;$C1894&amp;"|"&amp;$F1894&amp;"|"&amp;$N1894&amp;"|"&amp;$R1894)</f>
        <v/>
      </c>
    </row>
    <row r="1895" ht="11.55" customHeight="1">
      <c r="A1895" s="10" t="n">
        <v>46128</v>
      </c>
      <c r="B1895" s="7" t="inlineStr">
        <is>
          <t>Quinta</t>
        </is>
      </c>
      <c r="C1895" s="7" t="inlineStr">
        <is>
          <t>Vacal</t>
        </is>
      </c>
      <c r="D1895" s="7" t="n"/>
      <c r="E1895" s="7" t="inlineStr">
        <is>
          <t>Conceição - Renasce</t>
        </is>
      </c>
      <c r="F1895" s="13" t="inlineStr">
        <is>
          <t>Apoio Vacal</t>
        </is>
      </c>
      <c r="G1895" s="7" t="n"/>
      <c r="H1895" s="7" t="n"/>
      <c r="I1895" s="7" t="n"/>
      <c r="J1895" s="7" t="inlineStr">
        <is>
          <t>Vacal</t>
        </is>
      </c>
      <c r="K1895" s="7" t="inlineStr">
        <is>
          <t>Apoio</t>
        </is>
      </c>
      <c r="L1895" s="16" t="inlineStr">
        <is>
          <t>PDS-Abril(2).docx</t>
        </is>
      </c>
      <c r="M1895">
        <f>IF($A1895="","",TEXT($A1895,"mmmm/yyyy"))</f>
        <v/>
      </c>
      <c r="P1895">
        <f>IFERROR(_xludf.XLOOKUP($N1895,Base_Enderecos!$A:$A,Base_Enderecos!$B:$B,""),"")</f>
        <v/>
      </c>
      <c r="Q1895">
        <f>IFERROR(_xludf.XLOOKUP($N1895,Base_Enderecos!$A:$A,Base_Enderecos!$C:$C,""),"")</f>
        <v/>
      </c>
      <c r="R1895">
        <f>IF(OR(ISNUMBER(SEARCH("HDD",$F1895)),ISNUMBER(SEARCH("MND",$F1895)),ISNUMBER(SEARCH("PEAD",$F1895)),ISNUMBER(SEARCH("Puxe",$J1895)),ISNUMBER(SEARCH("Apoio HDD",$F1895))),"MND",IF(OR(ISNUMBER(SEARCH("VCA",$F1895)),ISNUMBER(SEARCH("PVC",$F1895)),ISNUMBER(SEARCH("vca",$J1895)),ISNUMBER(SEARCH("Transformação",$J1895))),"VCA",IF(OR(ISNUMBER(SEARCH("crava",$F1895)),ISNUMBER(SEARCH("tubo cravado",$F1895)),ISNUMBER(SEARCH("shaft",$J1895)),ISNUMBER(SEARCH("concreto",$F1895))),"TUBO CRAVADO","")))</f>
        <v/>
      </c>
      <c r="T1895">
        <f>IF($A1895="","",TEXT($A1895,"yyyymm")&amp;"|"&amp;$C1895&amp;"|"&amp;$F1895&amp;"|"&amp;$N1895&amp;"|"&amp;$R1895)</f>
        <v/>
      </c>
    </row>
    <row r="1896" ht="11.55" customHeight="1">
      <c r="A1896" s="10" t="n">
        <v>46128</v>
      </c>
      <c r="B1896" s="7" t="inlineStr">
        <is>
          <t>Quinta</t>
        </is>
      </c>
      <c r="C1896" s="7" t="inlineStr">
        <is>
          <t>Vacal</t>
        </is>
      </c>
      <c r="D1896" s="7" t="n"/>
      <c r="E1896" s="7" t="inlineStr">
        <is>
          <t>Água Vermelha – Renasce</t>
        </is>
      </c>
      <c r="F1896" s="13" t="inlineStr">
        <is>
          <t>Apoio Vacal</t>
        </is>
      </c>
      <c r="G1896" s="7" t="n"/>
      <c r="H1896" s="7" t="n"/>
      <c r="I1896" s="7" t="n"/>
      <c r="J1896" s="7" t="inlineStr">
        <is>
          <t>Vacal</t>
        </is>
      </c>
      <c r="K1896" s="7" t="inlineStr">
        <is>
          <t>Apoio</t>
        </is>
      </c>
      <c r="L1896" s="16" t="inlineStr">
        <is>
          <t>PDS-Abril(2).docx</t>
        </is>
      </c>
      <c r="M1896">
        <f>IF($A1896="","",TEXT($A1896,"mmmm/yyyy"))</f>
        <v/>
      </c>
      <c r="P1896">
        <f>IFERROR(_xludf.XLOOKUP($N1896,Base_Enderecos!$A:$A,Base_Enderecos!$B:$B,""),"")</f>
        <v/>
      </c>
      <c r="Q1896">
        <f>IFERROR(_xludf.XLOOKUP($N1896,Base_Enderecos!$A:$A,Base_Enderecos!$C:$C,""),"")</f>
        <v/>
      </c>
      <c r="R1896">
        <f>IF(OR(ISNUMBER(SEARCH("HDD",$F1896)),ISNUMBER(SEARCH("MND",$F1896)),ISNUMBER(SEARCH("PEAD",$F1896)),ISNUMBER(SEARCH("Puxe",$J1896)),ISNUMBER(SEARCH("Apoio HDD",$F1896))),"MND",IF(OR(ISNUMBER(SEARCH("VCA",$F1896)),ISNUMBER(SEARCH("PVC",$F1896)),ISNUMBER(SEARCH("vca",$J1896)),ISNUMBER(SEARCH("Transformação",$J1896))),"VCA",IF(OR(ISNUMBER(SEARCH("crava",$F1896)),ISNUMBER(SEARCH("tubo cravado",$F1896)),ISNUMBER(SEARCH("shaft",$J1896)),ISNUMBER(SEARCH("concreto",$F1896))),"TUBO CRAVADO","")))</f>
        <v/>
      </c>
      <c r="T1896">
        <f>IF($A1896="","",TEXT($A1896,"yyyymm")&amp;"|"&amp;$C1896&amp;"|"&amp;$F1896&amp;"|"&amp;$N1896&amp;"|"&amp;$R1896)</f>
        <v/>
      </c>
    </row>
    <row r="1897" ht="11.55" customHeight="1">
      <c r="A1897" s="10" t="n">
        <v>46128</v>
      </c>
      <c r="B1897" s="7" t="inlineStr">
        <is>
          <t>Quinta</t>
        </is>
      </c>
      <c r="C1897" s="7" t="inlineStr">
        <is>
          <t>Guindauto</t>
        </is>
      </c>
      <c r="D1897" s="7" t="n"/>
      <c r="E1897" s="7" t="inlineStr">
        <is>
          <t>Marcio</t>
        </is>
      </c>
      <c r="F1897" s="13" t="inlineStr">
        <is>
          <t>Marcio - Apoio as equipes</t>
        </is>
      </c>
      <c r="G1897" s="7" t="n"/>
      <c r="H1897" s="7" t="n"/>
      <c r="I1897" s="7" t="n"/>
      <c r="J1897" s="7" t="inlineStr">
        <is>
          <t>Guindauto</t>
        </is>
      </c>
      <c r="K1897" s="7" t="inlineStr">
        <is>
          <t>Apoio</t>
        </is>
      </c>
      <c r="L1897" s="16" t="inlineStr">
        <is>
          <t>PDS-Abril(2).docx</t>
        </is>
      </c>
      <c r="M1897">
        <f>IF($A1897="","",TEXT($A1897,"mmmm/yyyy"))</f>
        <v/>
      </c>
      <c r="P1897">
        <f>IFERROR(_xludf.XLOOKUP($N1897,Base_Enderecos!$A:$A,Base_Enderecos!$B:$B,""),"")</f>
        <v/>
      </c>
      <c r="Q1897">
        <f>IFERROR(_xludf.XLOOKUP($N1897,Base_Enderecos!$A:$A,Base_Enderecos!$C:$C,""),"")</f>
        <v/>
      </c>
      <c r="R1897">
        <f>IF(OR(ISNUMBER(SEARCH("HDD",$F1897)),ISNUMBER(SEARCH("MND",$F1897)),ISNUMBER(SEARCH("PEAD",$F1897)),ISNUMBER(SEARCH("Puxe",$J1897)),ISNUMBER(SEARCH("Apoio HDD",$F1897))),"MND",IF(OR(ISNUMBER(SEARCH("VCA",$F1897)),ISNUMBER(SEARCH("PVC",$F1897)),ISNUMBER(SEARCH("vca",$J1897)),ISNUMBER(SEARCH("Transformação",$J1897))),"VCA",IF(OR(ISNUMBER(SEARCH("crava",$F1897)),ISNUMBER(SEARCH("tubo cravado",$F1897)),ISNUMBER(SEARCH("shaft",$J1897)),ISNUMBER(SEARCH("concreto",$F1897))),"TUBO CRAVADO","")))</f>
        <v/>
      </c>
      <c r="T1897">
        <f>IF($A1897="","",TEXT($A1897,"yyyymm")&amp;"|"&amp;$C1897&amp;"|"&amp;$F1897&amp;"|"&amp;$N1897&amp;"|"&amp;$R1897)</f>
        <v/>
      </c>
    </row>
    <row r="1898" ht="11.55" customHeight="1">
      <c r="A1898" s="10" t="n">
        <v>46129</v>
      </c>
      <c r="B1898" s="7" t="inlineStr">
        <is>
          <t>Sexta</t>
        </is>
      </c>
      <c r="C1898" s="7" t="inlineStr">
        <is>
          <t>CTS CONCEIÇÃO</t>
        </is>
      </c>
      <c r="D1898" s="7" t="inlineStr">
        <is>
          <t>LEANDRO</t>
        </is>
      </c>
      <c r="E1898" s="7" t="inlineStr">
        <is>
          <t>WJ 01</t>
        </is>
      </c>
      <c r="F1898" s="13" t="inlineStr">
        <is>
          <t>Piloto e puxe entre PV 10.1 ao 10.2</t>
        </is>
      </c>
      <c r="G1898" s="7" t="inlineStr">
        <is>
          <t>10.1</t>
        </is>
      </c>
      <c r="H1898" s="7" t="n"/>
      <c r="I1898" s="7" t="inlineStr">
        <is>
          <t>10.1</t>
        </is>
      </c>
      <c r="J1898" s="7" t="inlineStr">
        <is>
          <t>Piloto e puxe</t>
        </is>
      </c>
      <c r="K1898" s="7" t="inlineStr">
        <is>
          <t>Planejamento</t>
        </is>
      </c>
      <c r="L1898" s="16" t="inlineStr">
        <is>
          <t>PDS-Abril(2).docx</t>
        </is>
      </c>
      <c r="M1898">
        <f>IF($A1898="","",TEXT($A1898,"mmmm/yyyy"))</f>
        <v/>
      </c>
      <c r="P1898">
        <f>IFERROR(_xludf.XLOOKUP($N1898,Base_Enderecos!$A:$A,Base_Enderecos!$B:$B,""),"")</f>
        <v/>
      </c>
      <c r="Q1898">
        <f>IFERROR(_xludf.XLOOKUP($N1898,Base_Enderecos!$A:$A,Base_Enderecos!$C:$C,""),"")</f>
        <v/>
      </c>
      <c r="R1898">
        <f>IF(OR(ISNUMBER(SEARCH("HDD",$F1898)),ISNUMBER(SEARCH("MND",$F1898)),ISNUMBER(SEARCH("PEAD",$F1898)),ISNUMBER(SEARCH("Puxe",$J1898)),ISNUMBER(SEARCH("Apoio HDD",$F1898))),"MND",IF(OR(ISNUMBER(SEARCH("VCA",$F1898)),ISNUMBER(SEARCH("PVC",$F1898)),ISNUMBER(SEARCH("vca",$J1898)),ISNUMBER(SEARCH("Transformação",$J1898))),"VCA",IF(OR(ISNUMBER(SEARCH("crava",$F1898)),ISNUMBER(SEARCH("tubo cravado",$F1898)),ISNUMBER(SEARCH("shaft",$J1898)),ISNUMBER(SEARCH("concreto",$F1898))),"TUBO CRAVADO","")))</f>
        <v/>
      </c>
      <c r="T1898">
        <f>IF($A1898="","",TEXT($A1898,"yyyymm")&amp;"|"&amp;$C1898&amp;"|"&amp;$F1898&amp;"|"&amp;$N1898&amp;"|"&amp;$R1898)</f>
        <v/>
      </c>
    </row>
    <row r="1899" ht="11.55" customHeight="1">
      <c r="A1899" s="10" t="n">
        <v>46129</v>
      </c>
      <c r="B1899" s="7" t="inlineStr">
        <is>
          <t>Sexta</t>
        </is>
      </c>
      <c r="C1899" s="7" t="inlineStr">
        <is>
          <t>CTS CONCEIÇÃO</t>
        </is>
      </c>
      <c r="D1899" s="7" t="inlineStr">
        <is>
          <t>LEANDRO</t>
        </is>
      </c>
      <c r="E1899" s="7" t="inlineStr">
        <is>
          <t>Medeiros</t>
        </is>
      </c>
      <c r="F1899" s="13" t="inlineStr">
        <is>
          <t>Apoio HDD PV 10.1 ao 10.2</t>
        </is>
      </c>
      <c r="G1899" s="7" t="inlineStr">
        <is>
          <t>10.1</t>
        </is>
      </c>
      <c r="H1899" s="7" t="n"/>
      <c r="I1899" s="7" t="inlineStr">
        <is>
          <t>10.1</t>
        </is>
      </c>
      <c r="J1899" s="7" t="inlineStr">
        <is>
          <t>Apoio HDD</t>
        </is>
      </c>
      <c r="K1899" s="7" t="inlineStr">
        <is>
          <t>Planejamento</t>
        </is>
      </c>
      <c r="L1899" s="16" t="inlineStr">
        <is>
          <t>PDS-Abril(2).docx</t>
        </is>
      </c>
      <c r="M1899">
        <f>IF($A1899="","",TEXT($A1899,"mmmm/yyyy"))</f>
        <v/>
      </c>
      <c r="P1899">
        <f>IFERROR(_xludf.XLOOKUP($N1899,Base_Enderecos!$A:$A,Base_Enderecos!$B:$B,""),"")</f>
        <v/>
      </c>
      <c r="Q1899">
        <f>IFERROR(_xludf.XLOOKUP($N1899,Base_Enderecos!$A:$A,Base_Enderecos!$C:$C,""),"")</f>
        <v/>
      </c>
      <c r="R1899">
        <f>IF(OR(ISNUMBER(SEARCH("HDD",$F1899)),ISNUMBER(SEARCH("MND",$F1899)),ISNUMBER(SEARCH("PEAD",$F1899)),ISNUMBER(SEARCH("Puxe",$J1899)),ISNUMBER(SEARCH("Apoio HDD",$F1899))),"MND",IF(OR(ISNUMBER(SEARCH("VCA",$F1899)),ISNUMBER(SEARCH("PVC",$F1899)),ISNUMBER(SEARCH("vca",$J1899)),ISNUMBER(SEARCH("Transformação",$J1899))),"VCA",IF(OR(ISNUMBER(SEARCH("crava",$F1899)),ISNUMBER(SEARCH("tubo cravado",$F1899)),ISNUMBER(SEARCH("shaft",$J1899)),ISNUMBER(SEARCH("concreto",$F1899))),"TUBO CRAVADO","")))</f>
        <v/>
      </c>
      <c r="T1899">
        <f>IF($A1899="","",TEXT($A1899,"yyyymm")&amp;"|"&amp;$C1899&amp;"|"&amp;$F1899&amp;"|"&amp;$N1899&amp;"|"&amp;$R1899)</f>
        <v/>
      </c>
    </row>
    <row r="1900" ht="11.55" customHeight="1">
      <c r="A1900" s="10" t="n">
        <v>46129</v>
      </c>
      <c r="B1900" s="7" t="inlineStr">
        <is>
          <t>Sexta</t>
        </is>
      </c>
      <c r="C1900" s="7" t="inlineStr">
        <is>
          <t>CTS CONCEIÇÃO</t>
        </is>
      </c>
      <c r="D1900" s="7" t="inlineStr">
        <is>
          <t>LEANDRO</t>
        </is>
      </c>
      <c r="E1900" s="7" t="inlineStr">
        <is>
          <t>GR DRILL</t>
        </is>
      </c>
      <c r="F1900" s="13" t="inlineStr">
        <is>
          <t>Apoio HDD entre PV 10.1 ao 09</t>
        </is>
      </c>
      <c r="G1900" s="7" t="inlineStr">
        <is>
          <t>10.1</t>
        </is>
      </c>
      <c r="H1900" s="7" t="n"/>
      <c r="I1900" s="7" t="inlineStr">
        <is>
          <t>10.1</t>
        </is>
      </c>
      <c r="J1900" s="7" t="inlineStr">
        <is>
          <t>Apoio HDD</t>
        </is>
      </c>
      <c r="K1900" s="7" t="inlineStr">
        <is>
          <t>Planejamento</t>
        </is>
      </c>
      <c r="L1900" s="16" t="inlineStr">
        <is>
          <t>PDS-Abril(2).docx</t>
        </is>
      </c>
      <c r="M1900">
        <f>IF($A1900="","",TEXT($A1900,"mmmm/yyyy"))</f>
        <v/>
      </c>
      <c r="P1900">
        <f>IFERROR(_xludf.XLOOKUP($N1900,Base_Enderecos!$A:$A,Base_Enderecos!$B:$B,""),"")</f>
        <v/>
      </c>
      <c r="Q1900">
        <f>IFERROR(_xludf.XLOOKUP($N1900,Base_Enderecos!$A:$A,Base_Enderecos!$C:$C,""),"")</f>
        <v/>
      </c>
      <c r="R1900">
        <f>IF(OR(ISNUMBER(SEARCH("HDD",$F1900)),ISNUMBER(SEARCH("MND",$F1900)),ISNUMBER(SEARCH("PEAD",$F1900)),ISNUMBER(SEARCH("Puxe",$J1900)),ISNUMBER(SEARCH("Apoio HDD",$F1900))),"MND",IF(OR(ISNUMBER(SEARCH("VCA",$F1900)),ISNUMBER(SEARCH("PVC",$F1900)),ISNUMBER(SEARCH("vca",$J1900)),ISNUMBER(SEARCH("Transformação",$J1900))),"VCA",IF(OR(ISNUMBER(SEARCH("crava",$F1900)),ISNUMBER(SEARCH("tubo cravado",$F1900)),ISNUMBER(SEARCH("shaft",$J1900)),ISNUMBER(SEARCH("concreto",$F1900))),"TUBO CRAVADO","")))</f>
        <v/>
      </c>
      <c r="T1900">
        <f>IF($A1900="","",TEXT($A1900,"yyyymm")&amp;"|"&amp;$C1900&amp;"|"&amp;$F1900&amp;"|"&amp;$N1900&amp;"|"&amp;$R1900)</f>
        <v/>
      </c>
    </row>
    <row r="1901" ht="11.55" customHeight="1">
      <c r="A1901" s="10" t="n">
        <v>46129</v>
      </c>
      <c r="B1901" s="7" t="inlineStr">
        <is>
          <t>Sexta</t>
        </is>
      </c>
      <c r="C1901" s="7" t="inlineStr">
        <is>
          <t>CTS CONCEIÇÃO</t>
        </is>
      </c>
      <c r="D1901" s="7" t="inlineStr">
        <is>
          <t>LEANDRO</t>
        </is>
      </c>
      <c r="E1901" s="7" t="inlineStr">
        <is>
          <t>Carlos</t>
        </is>
      </c>
      <c r="F1901" s="13" t="inlineStr">
        <is>
          <t>Apoio HDD entre PV 10.1 ao 09</t>
        </is>
      </c>
      <c r="G1901" s="7" t="inlineStr">
        <is>
          <t>10.1</t>
        </is>
      </c>
      <c r="H1901" s="7" t="n"/>
      <c r="I1901" s="7" t="inlineStr">
        <is>
          <t>10.1</t>
        </is>
      </c>
      <c r="J1901" s="7" t="inlineStr">
        <is>
          <t>Apoio HDD</t>
        </is>
      </c>
      <c r="K1901" s="7" t="inlineStr">
        <is>
          <t>Planejamento</t>
        </is>
      </c>
      <c r="L1901" s="16" t="inlineStr">
        <is>
          <t>PDS-Abril(2).docx</t>
        </is>
      </c>
      <c r="M1901">
        <f>IF($A1901="","",TEXT($A1901,"mmmm/yyyy"))</f>
        <v/>
      </c>
      <c r="P1901">
        <f>IFERROR(_xludf.XLOOKUP($N1901,Base_Enderecos!$A:$A,Base_Enderecos!$B:$B,""),"")</f>
        <v/>
      </c>
      <c r="Q1901">
        <f>IFERROR(_xludf.XLOOKUP($N1901,Base_Enderecos!$A:$A,Base_Enderecos!$C:$C,""),"")</f>
        <v/>
      </c>
      <c r="R1901">
        <f>IF(OR(ISNUMBER(SEARCH("HDD",$F1901)),ISNUMBER(SEARCH("MND",$F1901)),ISNUMBER(SEARCH("PEAD",$F1901)),ISNUMBER(SEARCH("Puxe",$J1901)),ISNUMBER(SEARCH("Apoio HDD",$F1901))),"MND",IF(OR(ISNUMBER(SEARCH("VCA",$F1901)),ISNUMBER(SEARCH("PVC",$F1901)),ISNUMBER(SEARCH("vca",$J1901)),ISNUMBER(SEARCH("Transformação",$J1901))),"VCA",IF(OR(ISNUMBER(SEARCH("crava",$F1901)),ISNUMBER(SEARCH("tubo cravado",$F1901)),ISNUMBER(SEARCH("shaft",$J1901)),ISNUMBER(SEARCH("concreto",$F1901))),"TUBO CRAVADO","")))</f>
        <v/>
      </c>
      <c r="T1901">
        <f>IF($A1901="","",TEXT($A1901,"yyyymm")&amp;"|"&amp;$C1901&amp;"|"&amp;$F1901&amp;"|"&amp;$N1901&amp;"|"&amp;$R1901)</f>
        <v/>
      </c>
    </row>
    <row r="1902" ht="11.55" customHeight="1">
      <c r="A1902" s="10" t="n">
        <v>46129</v>
      </c>
      <c r="B1902" s="7" t="inlineStr">
        <is>
          <t>Sexta</t>
        </is>
      </c>
      <c r="C1902" s="7" t="inlineStr">
        <is>
          <t>CT ÁGUA VERMELHA M.D. e M.E</t>
        </is>
      </c>
      <c r="D1902" s="7" t="inlineStr">
        <is>
          <t>FABIO</t>
        </is>
      </c>
      <c r="E1902" s="7" t="inlineStr">
        <is>
          <t>Claudinei</t>
        </is>
      </c>
      <c r="F1902" s="13" t="inlineStr">
        <is>
          <t>Apoio casa (PVD 7)</t>
        </is>
      </c>
      <c r="G1902" s="7" t="inlineStr">
        <is>
          <t>7</t>
        </is>
      </c>
      <c r="H1902" s="7" t="n"/>
      <c r="I1902" s="7" t="inlineStr">
        <is>
          <t>7</t>
        </is>
      </c>
      <c r="J1902" s="7" t="n"/>
      <c r="K1902" s="7" t="inlineStr">
        <is>
          <t>Planejamento</t>
        </is>
      </c>
      <c r="L1902" s="16" t="inlineStr">
        <is>
          <t>PDS-Abril(2).docx</t>
        </is>
      </c>
      <c r="M1902">
        <f>IF($A1902="","",TEXT($A1902,"mmmm/yyyy"))</f>
        <v/>
      </c>
      <c r="P1902">
        <f>IFERROR(_xludf.XLOOKUP($N1902,Base_Enderecos!$A:$A,Base_Enderecos!$B:$B,""),"")</f>
        <v/>
      </c>
      <c r="Q1902">
        <f>IFERROR(_xludf.XLOOKUP($N1902,Base_Enderecos!$A:$A,Base_Enderecos!$C:$C,""),"")</f>
        <v/>
      </c>
      <c r="R1902">
        <f>IF(OR(ISNUMBER(SEARCH("HDD",$F1902)),ISNUMBER(SEARCH("MND",$F1902)),ISNUMBER(SEARCH("PEAD",$F1902)),ISNUMBER(SEARCH("Puxe",$J1902)),ISNUMBER(SEARCH("Apoio HDD",$F1902))),"MND",IF(OR(ISNUMBER(SEARCH("VCA",$F1902)),ISNUMBER(SEARCH("PVC",$F1902)),ISNUMBER(SEARCH("vca",$J1902)),ISNUMBER(SEARCH("Transformação",$J1902))),"VCA",IF(OR(ISNUMBER(SEARCH("crava",$F1902)),ISNUMBER(SEARCH("tubo cravado",$F1902)),ISNUMBER(SEARCH("shaft",$J1902)),ISNUMBER(SEARCH("concreto",$F1902))),"TUBO CRAVADO","")))</f>
        <v/>
      </c>
      <c r="T1902">
        <f>IF($A1902="","",TEXT($A1902,"yyyymm")&amp;"|"&amp;$C1902&amp;"|"&amp;$F1902&amp;"|"&amp;$N1902&amp;"|"&amp;$R1902)</f>
        <v/>
      </c>
    </row>
    <row r="1903" ht="11.55" customHeight="1">
      <c r="A1903" s="10" t="n">
        <v>46129</v>
      </c>
      <c r="B1903" s="7" t="inlineStr">
        <is>
          <t>Sexta</t>
        </is>
      </c>
      <c r="C1903" s="7" t="inlineStr">
        <is>
          <t>CT ÁGUA VERMELHA M.D. e M.E</t>
        </is>
      </c>
      <c r="D1903" s="7" t="inlineStr">
        <is>
          <t>FABIO</t>
        </is>
      </c>
      <c r="E1903" s="7" t="inlineStr">
        <is>
          <t>Antônio</t>
        </is>
      </c>
      <c r="F1903" s="13" t="inlineStr">
        <is>
          <t>Transformação PID 10.2</t>
        </is>
      </c>
      <c r="G1903" s="7" t="n"/>
      <c r="H1903" s="7" t="n"/>
      <c r="I1903" s="7" t="n"/>
      <c r="J1903" s="7" t="inlineStr">
        <is>
          <t>Transformação</t>
        </is>
      </c>
      <c r="K1903" s="7" t="inlineStr">
        <is>
          <t>Planejamento</t>
        </is>
      </c>
      <c r="L1903" s="16" t="inlineStr">
        <is>
          <t>PDS-Abril(2).docx</t>
        </is>
      </c>
      <c r="M1903">
        <f>IF($A1903="","",TEXT($A1903,"mmmm/yyyy"))</f>
        <v/>
      </c>
      <c r="P1903">
        <f>IFERROR(_xludf.XLOOKUP($N1903,Base_Enderecos!$A:$A,Base_Enderecos!$B:$B,""),"")</f>
        <v/>
      </c>
      <c r="Q1903">
        <f>IFERROR(_xludf.XLOOKUP($N1903,Base_Enderecos!$A:$A,Base_Enderecos!$C:$C,""),"")</f>
        <v/>
      </c>
      <c r="R1903">
        <f>IF(OR(ISNUMBER(SEARCH("HDD",$F1903)),ISNUMBER(SEARCH("MND",$F1903)),ISNUMBER(SEARCH("PEAD",$F1903)),ISNUMBER(SEARCH("Puxe",$J1903)),ISNUMBER(SEARCH("Apoio HDD",$F1903))),"MND",IF(OR(ISNUMBER(SEARCH("VCA",$F1903)),ISNUMBER(SEARCH("PVC",$F1903)),ISNUMBER(SEARCH("vca",$J1903)),ISNUMBER(SEARCH("Transformação",$J1903))),"VCA",IF(OR(ISNUMBER(SEARCH("crava",$F1903)),ISNUMBER(SEARCH("tubo cravado",$F1903)),ISNUMBER(SEARCH("shaft",$J1903)),ISNUMBER(SEARCH("concreto",$F1903))),"TUBO CRAVADO","")))</f>
        <v/>
      </c>
      <c r="T1903">
        <f>IF($A1903="","",TEXT($A1903,"yyyymm")&amp;"|"&amp;$C1903&amp;"|"&amp;$F1903&amp;"|"&amp;$N1903&amp;"|"&amp;$R1903)</f>
        <v/>
      </c>
    </row>
    <row r="1904" ht="11.55" customHeight="1">
      <c r="A1904" s="10" t="n">
        <v>46129</v>
      </c>
      <c r="B1904" s="7" t="inlineStr">
        <is>
          <t>Sexta</t>
        </is>
      </c>
      <c r="C1904" s="7" t="inlineStr">
        <is>
          <t>CT ÁGUA VERMELHA M.D. e M.E</t>
        </is>
      </c>
      <c r="D1904" s="7" t="inlineStr">
        <is>
          <t>FABIO</t>
        </is>
      </c>
      <c r="E1904" s="7" t="inlineStr">
        <is>
          <t>Marcelo</t>
        </is>
      </c>
      <c r="F1904" s="13" t="inlineStr">
        <is>
          <t>Transformação PVE 22</t>
        </is>
      </c>
      <c r="G1904" s="7" t="inlineStr">
        <is>
          <t>22</t>
        </is>
      </c>
      <c r="H1904" s="7" t="n"/>
      <c r="I1904" s="7" t="inlineStr">
        <is>
          <t>22</t>
        </is>
      </c>
      <c r="J1904" s="7" t="inlineStr">
        <is>
          <t>Transformação</t>
        </is>
      </c>
      <c r="K1904" s="7" t="inlineStr">
        <is>
          <t>Planejamento</t>
        </is>
      </c>
      <c r="L1904" s="16" t="inlineStr">
        <is>
          <t>PDS-Abril(2).docx</t>
        </is>
      </c>
      <c r="M1904">
        <f>IF($A1904="","",TEXT($A1904,"mmmm/yyyy"))</f>
        <v/>
      </c>
      <c r="P1904">
        <f>IFERROR(_xludf.XLOOKUP($N1904,Base_Enderecos!$A:$A,Base_Enderecos!$B:$B,""),"")</f>
        <v/>
      </c>
      <c r="Q1904">
        <f>IFERROR(_xludf.XLOOKUP($N1904,Base_Enderecos!$A:$A,Base_Enderecos!$C:$C,""),"")</f>
        <v/>
      </c>
      <c r="R1904">
        <f>IF(OR(ISNUMBER(SEARCH("HDD",$F1904)),ISNUMBER(SEARCH("MND",$F1904)),ISNUMBER(SEARCH("PEAD",$F1904)),ISNUMBER(SEARCH("Puxe",$J1904)),ISNUMBER(SEARCH("Apoio HDD",$F1904))),"MND",IF(OR(ISNUMBER(SEARCH("VCA",$F1904)),ISNUMBER(SEARCH("PVC",$F1904)),ISNUMBER(SEARCH("vca",$J1904)),ISNUMBER(SEARCH("Transformação",$J1904))),"VCA",IF(OR(ISNUMBER(SEARCH("crava",$F1904)),ISNUMBER(SEARCH("tubo cravado",$F1904)),ISNUMBER(SEARCH("shaft",$J1904)),ISNUMBER(SEARCH("concreto",$F1904))),"TUBO CRAVADO","")))</f>
        <v/>
      </c>
      <c r="T1904">
        <f>IF($A1904="","",TEXT($A1904,"yyyymm")&amp;"|"&amp;$C1904&amp;"|"&amp;$F1904&amp;"|"&amp;$N1904&amp;"|"&amp;$R1904)</f>
        <v/>
      </c>
    </row>
    <row r="1905" ht="11.55" customHeight="1">
      <c r="A1905" s="10" t="n">
        <v>46129</v>
      </c>
      <c r="B1905" s="7" t="inlineStr">
        <is>
          <t>Sexta</t>
        </is>
      </c>
      <c r="C1905" s="7" t="inlineStr">
        <is>
          <t>CT ÁGUA BOA</t>
        </is>
      </c>
      <c r="D1905" s="7" t="inlineStr">
        <is>
          <t>FABIO</t>
        </is>
      </c>
      <c r="E1905" s="7" t="inlineStr">
        <is>
          <t>Edivando</t>
        </is>
      </c>
      <c r="F1905" s="13" t="inlineStr">
        <is>
          <t>Transformação PV 02.1</t>
        </is>
      </c>
      <c r="G1905" s="7" t="inlineStr">
        <is>
          <t>02.1</t>
        </is>
      </c>
      <c r="H1905" s="7" t="n"/>
      <c r="I1905" s="7" t="inlineStr">
        <is>
          <t>02.1</t>
        </is>
      </c>
      <c r="J1905" s="7" t="inlineStr">
        <is>
          <t>Transformação</t>
        </is>
      </c>
      <c r="K1905" s="7" t="inlineStr">
        <is>
          <t>Planejamento</t>
        </is>
      </c>
      <c r="L1905" s="16" t="inlineStr">
        <is>
          <t>PDS-Abril(2).docx</t>
        </is>
      </c>
      <c r="M1905">
        <f>IF($A1905="","",TEXT($A1905,"mmmm/yyyy"))</f>
        <v/>
      </c>
      <c r="P1905">
        <f>IFERROR(_xludf.XLOOKUP($N1905,Base_Enderecos!$A:$A,Base_Enderecos!$B:$B,""),"")</f>
        <v/>
      </c>
      <c r="Q1905">
        <f>IFERROR(_xludf.XLOOKUP($N1905,Base_Enderecos!$A:$A,Base_Enderecos!$C:$C,""),"")</f>
        <v/>
      </c>
      <c r="R1905">
        <f>IF(OR(ISNUMBER(SEARCH("HDD",$F1905)),ISNUMBER(SEARCH("MND",$F1905)),ISNUMBER(SEARCH("PEAD",$F1905)),ISNUMBER(SEARCH("Puxe",$J1905)),ISNUMBER(SEARCH("Apoio HDD",$F1905))),"MND",IF(OR(ISNUMBER(SEARCH("VCA",$F1905)),ISNUMBER(SEARCH("PVC",$F1905)),ISNUMBER(SEARCH("vca",$J1905)),ISNUMBER(SEARCH("Transformação",$J1905))),"VCA",IF(OR(ISNUMBER(SEARCH("crava",$F1905)),ISNUMBER(SEARCH("tubo cravado",$F1905)),ISNUMBER(SEARCH("shaft",$J1905)),ISNUMBER(SEARCH("concreto",$F1905))),"TUBO CRAVADO","")))</f>
        <v/>
      </c>
      <c r="T1905">
        <f>IF($A1905="","",TEXT($A1905,"yyyymm")&amp;"|"&amp;$C1905&amp;"|"&amp;$F1905&amp;"|"&amp;$N1905&amp;"|"&amp;$R1905)</f>
        <v/>
      </c>
    </row>
    <row r="1906" ht="11.55" customHeight="1">
      <c r="A1906" s="10" t="n">
        <v>46129</v>
      </c>
      <c r="B1906" s="7" t="inlineStr">
        <is>
          <t>Sexta</t>
        </is>
      </c>
      <c r="C1906" s="7" t="inlineStr">
        <is>
          <t>INT FERNANDO PACHECO JORDÃO</t>
        </is>
      </c>
      <c r="D1906" s="7" t="inlineStr">
        <is>
          <t>VALMIR</t>
        </is>
      </c>
      <c r="E1906" s="7" t="inlineStr">
        <is>
          <t>WJ</t>
        </is>
      </c>
      <c r="F1906" s="13" t="inlineStr">
        <is>
          <t>Furo piloto e Puxe PV 04 ao PV 02</t>
        </is>
      </c>
      <c r="G1906" s="7" t="inlineStr">
        <is>
          <t>04</t>
        </is>
      </c>
      <c r="H1906" s="7" t="inlineStr">
        <is>
          <t>02</t>
        </is>
      </c>
      <c r="I1906" s="7" t="inlineStr">
        <is>
          <t>04, 02</t>
        </is>
      </c>
      <c r="J1906" s="7" t="inlineStr">
        <is>
          <t>Furo piloto</t>
        </is>
      </c>
      <c r="K1906" s="7" t="inlineStr">
        <is>
          <t>Planejamento</t>
        </is>
      </c>
      <c r="L1906" s="16" t="inlineStr">
        <is>
          <t>PDS-Abril(2).docx</t>
        </is>
      </c>
      <c r="M1906">
        <f>IF($A1906="","",TEXT($A1906,"mmmm/yyyy"))</f>
        <v/>
      </c>
      <c r="P1906">
        <f>IFERROR(_xludf.XLOOKUP($N1906,Base_Enderecos!$A:$A,Base_Enderecos!$B:$B,""),"")</f>
        <v/>
      </c>
      <c r="Q1906">
        <f>IFERROR(_xludf.XLOOKUP($N1906,Base_Enderecos!$A:$A,Base_Enderecos!$C:$C,""),"")</f>
        <v/>
      </c>
      <c r="R1906">
        <f>IF(OR(ISNUMBER(SEARCH("HDD",$F1906)),ISNUMBER(SEARCH("MND",$F1906)),ISNUMBER(SEARCH("PEAD",$F1906)),ISNUMBER(SEARCH("Puxe",$J1906)),ISNUMBER(SEARCH("Apoio HDD",$F1906))),"MND",IF(OR(ISNUMBER(SEARCH("VCA",$F1906)),ISNUMBER(SEARCH("PVC",$F1906)),ISNUMBER(SEARCH("vca",$J1906)),ISNUMBER(SEARCH("Transformação",$J1906))),"VCA",IF(OR(ISNUMBER(SEARCH("crava",$F1906)),ISNUMBER(SEARCH("tubo cravado",$F1906)),ISNUMBER(SEARCH("shaft",$J1906)),ISNUMBER(SEARCH("concreto",$F1906))),"TUBO CRAVADO","")))</f>
        <v/>
      </c>
      <c r="T1906">
        <f>IF($A1906="","",TEXT($A1906,"yyyymm")&amp;"|"&amp;$C1906&amp;"|"&amp;$F1906&amp;"|"&amp;$N1906&amp;"|"&amp;$R1906)</f>
        <v/>
      </c>
    </row>
    <row r="1907" ht="11.55" customHeight="1">
      <c r="A1907" s="10" t="n">
        <v>46129</v>
      </c>
      <c r="B1907" s="7" t="inlineStr">
        <is>
          <t>Sexta</t>
        </is>
      </c>
      <c r="C1907" s="7" t="inlineStr">
        <is>
          <t>INT FERNANDO PACHECO JORDÃO</t>
        </is>
      </c>
      <c r="D1907" s="7" t="inlineStr">
        <is>
          <t>VALMIR</t>
        </is>
      </c>
      <c r="E1907" s="7" t="inlineStr">
        <is>
          <t>Ricardo</t>
        </is>
      </c>
      <c r="F1907" s="13" t="inlineStr">
        <is>
          <t>Apoio ao HDD</t>
        </is>
      </c>
      <c r="G1907" s="7" t="n"/>
      <c r="H1907" s="7" t="n"/>
      <c r="I1907" s="7" t="n"/>
      <c r="J1907" s="7" t="inlineStr">
        <is>
          <t>HDD</t>
        </is>
      </c>
      <c r="K1907" s="7" t="inlineStr">
        <is>
          <t>Planejamento</t>
        </is>
      </c>
      <c r="L1907" s="16" t="inlineStr">
        <is>
          <t>PDS-Abril(2).docx</t>
        </is>
      </c>
      <c r="M1907">
        <f>IF($A1907="","",TEXT($A1907,"mmmm/yyyy"))</f>
        <v/>
      </c>
      <c r="P1907">
        <f>IFERROR(_xludf.XLOOKUP($N1907,Base_Enderecos!$A:$A,Base_Enderecos!$B:$B,""),"")</f>
        <v/>
      </c>
      <c r="Q1907">
        <f>IFERROR(_xludf.XLOOKUP($N1907,Base_Enderecos!$A:$A,Base_Enderecos!$C:$C,""),"")</f>
        <v/>
      </c>
      <c r="R1907">
        <f>IF(OR(ISNUMBER(SEARCH("HDD",$F1907)),ISNUMBER(SEARCH("MND",$F1907)),ISNUMBER(SEARCH("PEAD",$F1907)),ISNUMBER(SEARCH("Puxe",$J1907)),ISNUMBER(SEARCH("Apoio HDD",$F1907))),"MND",IF(OR(ISNUMBER(SEARCH("VCA",$F1907)),ISNUMBER(SEARCH("PVC",$F1907)),ISNUMBER(SEARCH("vca",$J1907)),ISNUMBER(SEARCH("Transformação",$J1907))),"VCA",IF(OR(ISNUMBER(SEARCH("crava",$F1907)),ISNUMBER(SEARCH("tubo cravado",$F1907)),ISNUMBER(SEARCH("shaft",$J1907)),ISNUMBER(SEARCH("concreto",$F1907))),"TUBO CRAVADO","")))</f>
        <v/>
      </c>
      <c r="T1907">
        <f>IF($A1907="","",TEXT($A1907,"yyyymm")&amp;"|"&amp;$C1907&amp;"|"&amp;$F1907&amp;"|"&amp;$N1907&amp;"|"&amp;$R1907)</f>
        <v/>
      </c>
    </row>
    <row r="1908" ht="11.55" customHeight="1">
      <c r="A1908" s="10" t="n">
        <v>46129</v>
      </c>
      <c r="B1908" s="7" t="inlineStr">
        <is>
          <t>Sexta</t>
        </is>
      </c>
      <c r="C1908" s="7" t="inlineStr">
        <is>
          <t>INT FERNANDO PACHECO JORDÃO</t>
        </is>
      </c>
      <c r="D1908" s="7" t="inlineStr">
        <is>
          <t>VALMIR</t>
        </is>
      </c>
      <c r="E1908" s="7" t="inlineStr">
        <is>
          <t>Valter</t>
        </is>
      </c>
      <c r="F1908" s="13" t="inlineStr">
        <is>
          <t>Shaft PV 03</t>
        </is>
      </c>
      <c r="G1908" s="7" t="inlineStr">
        <is>
          <t>03</t>
        </is>
      </c>
      <c r="H1908" s="7" t="n"/>
      <c r="I1908" s="7" t="inlineStr">
        <is>
          <t>03</t>
        </is>
      </c>
      <c r="J1908" s="7" t="inlineStr">
        <is>
          <t>Shaft</t>
        </is>
      </c>
      <c r="K1908" s="7" t="inlineStr">
        <is>
          <t>Planejamento</t>
        </is>
      </c>
      <c r="L1908" s="16" t="inlineStr">
        <is>
          <t>PDS-Abril(2).docx</t>
        </is>
      </c>
      <c r="M1908">
        <f>IF($A1908="","",TEXT($A1908,"mmmm/yyyy"))</f>
        <v/>
      </c>
      <c r="P1908">
        <f>IFERROR(_xludf.XLOOKUP($N1908,Base_Enderecos!$A:$A,Base_Enderecos!$B:$B,""),"")</f>
        <v/>
      </c>
      <c r="Q1908">
        <f>IFERROR(_xludf.XLOOKUP($N1908,Base_Enderecos!$A:$A,Base_Enderecos!$C:$C,""),"")</f>
        <v/>
      </c>
      <c r="R1908">
        <f>IF(OR(ISNUMBER(SEARCH("HDD",$F1908)),ISNUMBER(SEARCH("MND",$F1908)),ISNUMBER(SEARCH("PEAD",$F1908)),ISNUMBER(SEARCH("Puxe",$J1908)),ISNUMBER(SEARCH("Apoio HDD",$F1908))),"MND",IF(OR(ISNUMBER(SEARCH("VCA",$F1908)),ISNUMBER(SEARCH("PVC",$F1908)),ISNUMBER(SEARCH("vca",$J1908)),ISNUMBER(SEARCH("Transformação",$J1908))),"VCA",IF(OR(ISNUMBER(SEARCH("crava",$F1908)),ISNUMBER(SEARCH("tubo cravado",$F1908)),ISNUMBER(SEARCH("shaft",$J1908)),ISNUMBER(SEARCH("concreto",$F1908))),"TUBO CRAVADO","")))</f>
        <v/>
      </c>
      <c r="T1908">
        <f>IF($A1908="","",TEXT($A1908,"yyyymm")&amp;"|"&amp;$C1908&amp;"|"&amp;$F1908&amp;"|"&amp;$N1908&amp;"|"&amp;$R1908)</f>
        <v/>
      </c>
    </row>
    <row r="1909" ht="11.55" customHeight="1">
      <c r="A1909" s="10" t="n">
        <v>46129</v>
      </c>
      <c r="B1909" s="7" t="inlineStr">
        <is>
          <t>Sexta</t>
        </is>
      </c>
      <c r="C1909" s="7" t="inlineStr">
        <is>
          <t>INT FERNANDO PACHECO JORDÃO</t>
        </is>
      </c>
      <c r="D1909" s="7" t="inlineStr">
        <is>
          <t>VALMIR</t>
        </is>
      </c>
      <c r="E1909" s="7" t="inlineStr">
        <is>
          <t>Cesar</t>
        </is>
      </c>
      <c r="F1909" s="13" t="inlineStr">
        <is>
          <t>Shaft PV 02</t>
        </is>
      </c>
      <c r="G1909" s="7" t="inlineStr">
        <is>
          <t>02</t>
        </is>
      </c>
      <c r="H1909" s="7" t="n"/>
      <c r="I1909" s="7" t="inlineStr">
        <is>
          <t>02</t>
        </is>
      </c>
      <c r="J1909" s="7" t="inlineStr">
        <is>
          <t>Shaft</t>
        </is>
      </c>
      <c r="K1909" s="7" t="inlineStr">
        <is>
          <t>Planejamento</t>
        </is>
      </c>
      <c r="L1909" s="16" t="inlineStr">
        <is>
          <t>PDS-Abril(2).docx</t>
        </is>
      </c>
      <c r="M1909">
        <f>IF($A1909="","",TEXT($A1909,"mmmm/yyyy"))</f>
        <v/>
      </c>
      <c r="P1909">
        <f>IFERROR(_xludf.XLOOKUP($N1909,Base_Enderecos!$A:$A,Base_Enderecos!$B:$B,""),"")</f>
        <v/>
      </c>
      <c r="Q1909">
        <f>IFERROR(_xludf.XLOOKUP($N1909,Base_Enderecos!$A:$A,Base_Enderecos!$C:$C,""),"")</f>
        <v/>
      </c>
      <c r="R1909">
        <f>IF(OR(ISNUMBER(SEARCH("HDD",$F1909)),ISNUMBER(SEARCH("MND",$F1909)),ISNUMBER(SEARCH("PEAD",$F1909)),ISNUMBER(SEARCH("Puxe",$J1909)),ISNUMBER(SEARCH("Apoio HDD",$F1909))),"MND",IF(OR(ISNUMBER(SEARCH("VCA",$F1909)),ISNUMBER(SEARCH("PVC",$F1909)),ISNUMBER(SEARCH("vca",$J1909)),ISNUMBER(SEARCH("Transformação",$J1909))),"VCA",IF(OR(ISNUMBER(SEARCH("crava",$F1909)),ISNUMBER(SEARCH("tubo cravado",$F1909)),ISNUMBER(SEARCH("shaft",$J1909)),ISNUMBER(SEARCH("concreto",$F1909))),"TUBO CRAVADO","")))</f>
        <v/>
      </c>
      <c r="T1909">
        <f>IF($A1909="","",TEXT($A1909,"yyyymm")&amp;"|"&amp;$C1909&amp;"|"&amp;$F1909&amp;"|"&amp;$N1909&amp;"|"&amp;$R1909)</f>
        <v/>
      </c>
    </row>
    <row r="1910" ht="11.55" customHeight="1">
      <c r="A1910" s="10" t="n">
        <v>46129</v>
      </c>
      <c r="B1910" s="7" t="inlineStr">
        <is>
          <t>Sexta</t>
        </is>
      </c>
      <c r="C1910" s="7" t="inlineStr">
        <is>
          <t>CTS LUIS BOTELHO MOURÃO</t>
        </is>
      </c>
      <c r="D1910" s="7" t="inlineStr">
        <is>
          <t>ROBSON</t>
        </is>
      </c>
      <c r="E1910" s="7" t="inlineStr">
        <is>
          <t>GOIÂNIA DRILL</t>
        </is>
      </c>
      <c r="F1910" s="13" t="inlineStr">
        <is>
          <t>Piloto e puxe entre PV 05 ao 06</t>
        </is>
      </c>
      <c r="G1910" s="7" t="inlineStr">
        <is>
          <t>05</t>
        </is>
      </c>
      <c r="H1910" s="7" t="n"/>
      <c r="I1910" s="7" t="inlineStr">
        <is>
          <t>05</t>
        </is>
      </c>
      <c r="J1910" s="7" t="inlineStr">
        <is>
          <t>Piloto e puxe</t>
        </is>
      </c>
      <c r="K1910" s="7" t="inlineStr">
        <is>
          <t>Planejamento</t>
        </is>
      </c>
      <c r="L1910" s="16" t="inlineStr">
        <is>
          <t>PDS-Abril(2).docx</t>
        </is>
      </c>
      <c r="M1910">
        <f>IF($A1910="","",TEXT($A1910,"mmmm/yyyy"))</f>
        <v/>
      </c>
      <c r="P1910">
        <f>IFERROR(_xludf.XLOOKUP($N1910,Base_Enderecos!$A:$A,Base_Enderecos!$B:$B,""),"")</f>
        <v/>
      </c>
      <c r="Q1910">
        <f>IFERROR(_xludf.XLOOKUP($N1910,Base_Enderecos!$A:$A,Base_Enderecos!$C:$C,""),"")</f>
        <v/>
      </c>
      <c r="R1910">
        <f>IF(OR(ISNUMBER(SEARCH("HDD",$F1910)),ISNUMBER(SEARCH("MND",$F1910)),ISNUMBER(SEARCH("PEAD",$F1910)),ISNUMBER(SEARCH("Puxe",$J1910)),ISNUMBER(SEARCH("Apoio HDD",$F1910))),"MND",IF(OR(ISNUMBER(SEARCH("VCA",$F1910)),ISNUMBER(SEARCH("PVC",$F1910)),ISNUMBER(SEARCH("vca",$J1910)),ISNUMBER(SEARCH("Transformação",$J1910))),"VCA",IF(OR(ISNUMBER(SEARCH("crava",$F1910)),ISNUMBER(SEARCH("tubo cravado",$F1910)),ISNUMBER(SEARCH("shaft",$J1910)),ISNUMBER(SEARCH("concreto",$F1910))),"TUBO CRAVADO","")))</f>
        <v/>
      </c>
      <c r="T1910">
        <f>IF($A1910="","",TEXT($A1910,"yyyymm")&amp;"|"&amp;$C1910&amp;"|"&amp;$F1910&amp;"|"&amp;$N1910&amp;"|"&amp;$R1910)</f>
        <v/>
      </c>
    </row>
    <row r="1911" ht="11.55" customHeight="1">
      <c r="A1911" s="10" t="n">
        <v>46129</v>
      </c>
      <c r="B1911" s="7" t="inlineStr">
        <is>
          <t>Sexta</t>
        </is>
      </c>
      <c r="C1911" s="7" t="inlineStr">
        <is>
          <t>CTS LUIS BOTELHO MOURÃO</t>
        </is>
      </c>
      <c r="D1911" s="7" t="inlineStr">
        <is>
          <t>ROBSON</t>
        </is>
      </c>
      <c r="E1911" s="7" t="inlineStr">
        <is>
          <t>Bruno</t>
        </is>
      </c>
      <c r="F1911" s="13" t="inlineStr">
        <is>
          <t>Apoio ao HDD</t>
        </is>
      </c>
      <c r="G1911" s="7" t="n"/>
      <c r="H1911" s="7" t="n"/>
      <c r="I1911" s="7" t="n"/>
      <c r="J1911" s="7" t="inlineStr">
        <is>
          <t>HDD</t>
        </is>
      </c>
      <c r="K1911" s="7" t="inlineStr">
        <is>
          <t>Planejamento</t>
        </is>
      </c>
      <c r="L1911" s="16" t="inlineStr">
        <is>
          <t>PDS-Abril(2).docx</t>
        </is>
      </c>
      <c r="M1911">
        <f>IF($A1911="","",TEXT($A1911,"mmmm/yyyy"))</f>
        <v/>
      </c>
      <c r="P1911">
        <f>IFERROR(_xludf.XLOOKUP($N1911,Base_Enderecos!$A:$A,Base_Enderecos!$B:$B,""),"")</f>
        <v/>
      </c>
      <c r="Q1911">
        <f>IFERROR(_xludf.XLOOKUP($N1911,Base_Enderecos!$A:$A,Base_Enderecos!$C:$C,""),"")</f>
        <v/>
      </c>
      <c r="R1911">
        <f>IF(OR(ISNUMBER(SEARCH("HDD",$F1911)),ISNUMBER(SEARCH("MND",$F1911)),ISNUMBER(SEARCH("PEAD",$F1911)),ISNUMBER(SEARCH("Puxe",$J1911)),ISNUMBER(SEARCH("Apoio HDD",$F1911))),"MND",IF(OR(ISNUMBER(SEARCH("VCA",$F1911)),ISNUMBER(SEARCH("PVC",$F1911)),ISNUMBER(SEARCH("vca",$J1911)),ISNUMBER(SEARCH("Transformação",$J1911))),"VCA",IF(OR(ISNUMBER(SEARCH("crava",$F1911)),ISNUMBER(SEARCH("tubo cravado",$F1911)),ISNUMBER(SEARCH("shaft",$J1911)),ISNUMBER(SEARCH("concreto",$F1911))),"TUBO CRAVADO","")))</f>
        <v/>
      </c>
      <c r="T1911">
        <f>IF($A1911="","",TEXT($A1911,"yyyymm")&amp;"|"&amp;$C1911&amp;"|"&amp;$F1911&amp;"|"&amp;$N1911&amp;"|"&amp;$R1911)</f>
        <v/>
      </c>
    </row>
    <row r="1912" ht="11.55" customHeight="1">
      <c r="A1912" s="10" t="n">
        <v>46129</v>
      </c>
      <c r="B1912" s="7" t="inlineStr">
        <is>
          <t>Sexta</t>
        </is>
      </c>
      <c r="C1912" s="7" t="inlineStr">
        <is>
          <t>CTS LUIS BOTELHO MOURÃO</t>
        </is>
      </c>
      <c r="D1912" s="7" t="inlineStr">
        <is>
          <t>ROBSON</t>
        </is>
      </c>
      <c r="E1912" s="7" t="inlineStr">
        <is>
          <t>Marcio</t>
        </is>
      </c>
      <c r="F1912" s="13" t="inlineStr">
        <is>
          <t>Transformação + Interlig. PV 02</t>
        </is>
      </c>
      <c r="G1912" s="7" t="inlineStr">
        <is>
          <t>02</t>
        </is>
      </c>
      <c r="H1912" s="7" t="n"/>
      <c r="I1912" s="7" t="inlineStr">
        <is>
          <t>02</t>
        </is>
      </c>
      <c r="J1912" s="7" t="inlineStr">
        <is>
          <t>Transformação</t>
        </is>
      </c>
      <c r="K1912" s="7" t="inlineStr">
        <is>
          <t>Planejamento</t>
        </is>
      </c>
      <c r="L1912" s="16" t="inlineStr">
        <is>
          <t>PDS-Abril(2).docx</t>
        </is>
      </c>
      <c r="M1912">
        <f>IF($A1912="","",TEXT($A1912,"mmmm/yyyy"))</f>
        <v/>
      </c>
      <c r="P1912">
        <f>IFERROR(_xludf.XLOOKUP($N1912,Base_Enderecos!$A:$A,Base_Enderecos!$B:$B,""),"")</f>
        <v/>
      </c>
      <c r="Q1912">
        <f>IFERROR(_xludf.XLOOKUP($N1912,Base_Enderecos!$A:$A,Base_Enderecos!$C:$C,""),"")</f>
        <v/>
      </c>
      <c r="R1912">
        <f>IF(OR(ISNUMBER(SEARCH("HDD",$F1912)),ISNUMBER(SEARCH("MND",$F1912)),ISNUMBER(SEARCH("PEAD",$F1912)),ISNUMBER(SEARCH("Puxe",$J1912)),ISNUMBER(SEARCH("Apoio HDD",$F1912))),"MND",IF(OR(ISNUMBER(SEARCH("VCA",$F1912)),ISNUMBER(SEARCH("PVC",$F1912)),ISNUMBER(SEARCH("vca",$J1912)),ISNUMBER(SEARCH("Transformação",$J1912))),"VCA",IF(OR(ISNUMBER(SEARCH("crava",$F1912)),ISNUMBER(SEARCH("tubo cravado",$F1912)),ISNUMBER(SEARCH("shaft",$J1912)),ISNUMBER(SEARCH("concreto",$F1912))),"TUBO CRAVADO","")))</f>
        <v/>
      </c>
      <c r="T1912">
        <f>IF($A1912="","",TEXT($A1912,"yyyymm")&amp;"|"&amp;$C1912&amp;"|"&amp;$F1912&amp;"|"&amp;$N1912&amp;"|"&amp;$R1912)</f>
        <v/>
      </c>
    </row>
    <row r="1913" ht="11.55" customHeight="1">
      <c r="A1913" s="10" t="n">
        <v>46129</v>
      </c>
      <c r="B1913" s="7" t="inlineStr">
        <is>
          <t>Sexta</t>
        </is>
      </c>
      <c r="C1913" s="7" t="inlineStr">
        <is>
          <t>CTS LUIS BOTELHO MOURÃO</t>
        </is>
      </c>
      <c r="D1913" s="7" t="inlineStr">
        <is>
          <t>ROBSON</t>
        </is>
      </c>
      <c r="E1913" s="7" t="inlineStr">
        <is>
          <t>Jhonatan</t>
        </is>
      </c>
      <c r="F1913" s="13" t="inlineStr">
        <is>
          <t>Transformação PV 07</t>
        </is>
      </c>
      <c r="G1913" s="7" t="inlineStr">
        <is>
          <t>07</t>
        </is>
      </c>
      <c r="H1913" s="7" t="n"/>
      <c r="I1913" s="7" t="inlineStr">
        <is>
          <t>07</t>
        </is>
      </c>
      <c r="J1913" s="7" t="inlineStr">
        <is>
          <t>Transformação</t>
        </is>
      </c>
      <c r="K1913" s="7" t="inlineStr">
        <is>
          <t>Planejamento</t>
        </is>
      </c>
      <c r="L1913" s="16" t="inlineStr">
        <is>
          <t>PDS-Abril(2).docx</t>
        </is>
      </c>
      <c r="M1913">
        <f>IF($A1913="","",TEXT($A1913,"mmmm/yyyy"))</f>
        <v/>
      </c>
      <c r="P1913">
        <f>IFERROR(_xludf.XLOOKUP($N1913,Base_Enderecos!$A:$A,Base_Enderecos!$B:$B,""),"")</f>
        <v/>
      </c>
      <c r="Q1913">
        <f>IFERROR(_xludf.XLOOKUP($N1913,Base_Enderecos!$A:$A,Base_Enderecos!$C:$C,""),"")</f>
        <v/>
      </c>
      <c r="R1913">
        <f>IF(OR(ISNUMBER(SEARCH("HDD",$F1913)),ISNUMBER(SEARCH("MND",$F1913)),ISNUMBER(SEARCH("PEAD",$F1913)),ISNUMBER(SEARCH("Puxe",$J1913)),ISNUMBER(SEARCH("Apoio HDD",$F1913))),"MND",IF(OR(ISNUMBER(SEARCH("VCA",$F1913)),ISNUMBER(SEARCH("PVC",$F1913)),ISNUMBER(SEARCH("vca",$J1913)),ISNUMBER(SEARCH("Transformação",$J1913))),"VCA",IF(OR(ISNUMBER(SEARCH("crava",$F1913)),ISNUMBER(SEARCH("tubo cravado",$F1913)),ISNUMBER(SEARCH("shaft",$J1913)),ISNUMBER(SEARCH("concreto",$F1913))),"TUBO CRAVADO","")))</f>
        <v/>
      </c>
      <c r="T1913">
        <f>IF($A1913="","",TEXT($A1913,"yyyymm")&amp;"|"&amp;$C1913&amp;"|"&amp;$F1913&amp;"|"&amp;$N1913&amp;"|"&amp;$R1913)</f>
        <v/>
      </c>
    </row>
    <row r="1914" ht="11.55" customHeight="1">
      <c r="A1914" s="10" t="n">
        <v>46129</v>
      </c>
      <c r="B1914" s="7" t="inlineStr">
        <is>
          <t>Sexta</t>
        </is>
      </c>
      <c r="C1914" s="7" t="inlineStr">
        <is>
          <t>CTS MAR DE CORAL</t>
        </is>
      </c>
      <c r="D1914" s="7" t="inlineStr">
        <is>
          <t>SILVESTRE</t>
        </is>
      </c>
      <c r="E1914" s="7" t="inlineStr">
        <is>
          <t>Cidão</t>
        </is>
      </c>
      <c r="F1914" s="13" t="inlineStr">
        <is>
          <t>Shaft PV 5.8</t>
        </is>
      </c>
      <c r="G1914" s="7" t="inlineStr">
        <is>
          <t>5.8</t>
        </is>
      </c>
      <c r="H1914" s="7" t="n"/>
      <c r="I1914" s="7" t="inlineStr">
        <is>
          <t>5.8</t>
        </is>
      </c>
      <c r="J1914" s="7" t="inlineStr">
        <is>
          <t>Shaft</t>
        </is>
      </c>
      <c r="K1914" s="7" t="inlineStr">
        <is>
          <t>Planejamento</t>
        </is>
      </c>
      <c r="L1914" s="16" t="inlineStr">
        <is>
          <t>PDS-Abril(2).docx</t>
        </is>
      </c>
      <c r="M1914">
        <f>IF($A1914="","",TEXT($A1914,"mmmm/yyyy"))</f>
        <v/>
      </c>
      <c r="P1914">
        <f>IFERROR(_xludf.XLOOKUP($N1914,Base_Enderecos!$A:$A,Base_Enderecos!$B:$B,""),"")</f>
        <v/>
      </c>
      <c r="Q1914">
        <f>IFERROR(_xludf.XLOOKUP($N1914,Base_Enderecos!$A:$A,Base_Enderecos!$C:$C,""),"")</f>
        <v/>
      </c>
      <c r="R1914">
        <f>IF(OR(ISNUMBER(SEARCH("HDD",$F1914)),ISNUMBER(SEARCH("MND",$F1914)),ISNUMBER(SEARCH("PEAD",$F1914)),ISNUMBER(SEARCH("Puxe",$J1914)),ISNUMBER(SEARCH("Apoio HDD",$F1914))),"MND",IF(OR(ISNUMBER(SEARCH("VCA",$F1914)),ISNUMBER(SEARCH("PVC",$F1914)),ISNUMBER(SEARCH("vca",$J1914)),ISNUMBER(SEARCH("Transformação",$J1914))),"VCA",IF(OR(ISNUMBER(SEARCH("crava",$F1914)),ISNUMBER(SEARCH("tubo cravado",$F1914)),ISNUMBER(SEARCH("shaft",$J1914)),ISNUMBER(SEARCH("concreto",$F1914))),"TUBO CRAVADO","")))</f>
        <v/>
      </c>
      <c r="T1914">
        <f>IF($A1914="","",TEXT($A1914,"yyyymm")&amp;"|"&amp;$C1914&amp;"|"&amp;$F1914&amp;"|"&amp;$N1914&amp;"|"&amp;$R1914)</f>
        <v/>
      </c>
    </row>
    <row r="1915" ht="11.55" customHeight="1">
      <c r="A1915" s="10" t="n">
        <v>46129</v>
      </c>
      <c r="B1915" s="7" t="inlineStr">
        <is>
          <t>Sexta</t>
        </is>
      </c>
      <c r="C1915" s="7" t="inlineStr">
        <is>
          <t>CTS MAR DE CORAL</t>
        </is>
      </c>
      <c r="D1915" s="7" t="inlineStr">
        <is>
          <t>SILVESTRE</t>
        </is>
      </c>
      <c r="E1915" s="7" t="inlineStr">
        <is>
          <t>Sergio</t>
        </is>
      </c>
      <c r="F1915" s="13" t="inlineStr">
        <is>
          <t>Shaft PV 5.9</t>
        </is>
      </c>
      <c r="G1915" s="7" t="inlineStr">
        <is>
          <t>5.9</t>
        </is>
      </c>
      <c r="H1915" s="7" t="n"/>
      <c r="I1915" s="7" t="inlineStr">
        <is>
          <t>5.9</t>
        </is>
      </c>
      <c r="J1915" s="7" t="inlineStr">
        <is>
          <t>Shaft</t>
        </is>
      </c>
      <c r="K1915" s="7" t="inlineStr">
        <is>
          <t>Planejamento</t>
        </is>
      </c>
      <c r="L1915" s="16" t="inlineStr">
        <is>
          <t>PDS-Abril(2).docx</t>
        </is>
      </c>
      <c r="M1915">
        <f>IF($A1915="","",TEXT($A1915,"mmmm/yyyy"))</f>
        <v/>
      </c>
      <c r="P1915">
        <f>IFERROR(_xludf.XLOOKUP($N1915,Base_Enderecos!$A:$A,Base_Enderecos!$B:$B,""),"")</f>
        <v/>
      </c>
      <c r="Q1915">
        <f>IFERROR(_xludf.XLOOKUP($N1915,Base_Enderecos!$A:$A,Base_Enderecos!$C:$C,""),"")</f>
        <v/>
      </c>
      <c r="R1915">
        <f>IF(OR(ISNUMBER(SEARCH("HDD",$F1915)),ISNUMBER(SEARCH("MND",$F1915)),ISNUMBER(SEARCH("PEAD",$F1915)),ISNUMBER(SEARCH("Puxe",$J1915)),ISNUMBER(SEARCH("Apoio HDD",$F1915))),"MND",IF(OR(ISNUMBER(SEARCH("VCA",$F1915)),ISNUMBER(SEARCH("PVC",$F1915)),ISNUMBER(SEARCH("vca",$J1915)),ISNUMBER(SEARCH("Transformação",$J1915))),"VCA",IF(OR(ISNUMBER(SEARCH("crava",$F1915)),ISNUMBER(SEARCH("tubo cravado",$F1915)),ISNUMBER(SEARCH("shaft",$J1915)),ISNUMBER(SEARCH("concreto",$F1915))),"TUBO CRAVADO","")))</f>
        <v/>
      </c>
      <c r="T1915">
        <f>IF($A1915="","",TEXT($A1915,"yyyymm")&amp;"|"&amp;$C1915&amp;"|"&amp;$F1915&amp;"|"&amp;$N1915&amp;"|"&amp;$R1915)</f>
        <v/>
      </c>
    </row>
    <row r="1916" ht="11.55" customHeight="1">
      <c r="A1916" s="10" t="n">
        <v>46129</v>
      </c>
      <c r="B1916" s="7" t="inlineStr">
        <is>
          <t>Sexta</t>
        </is>
      </c>
      <c r="C1916" s="7" t="inlineStr">
        <is>
          <t>CTS MAR DE CORAL</t>
        </is>
      </c>
      <c r="D1916" s="7" t="inlineStr">
        <is>
          <t>SILVESTRE</t>
        </is>
      </c>
      <c r="E1916" s="7" t="inlineStr">
        <is>
          <t>Higor</t>
        </is>
      </c>
      <c r="F1916" s="13" t="inlineStr">
        <is>
          <t>Interligação PV 12</t>
        </is>
      </c>
      <c r="G1916" s="7" t="inlineStr">
        <is>
          <t>12</t>
        </is>
      </c>
      <c r="H1916" s="7" t="n"/>
      <c r="I1916" s="7" t="inlineStr">
        <is>
          <t>12</t>
        </is>
      </c>
      <c r="J1916" s="7" t="inlineStr">
        <is>
          <t>Interligação</t>
        </is>
      </c>
      <c r="K1916" s="7" t="inlineStr">
        <is>
          <t>Planejamento</t>
        </is>
      </c>
      <c r="L1916" s="16" t="inlineStr">
        <is>
          <t>PDS-Abril(2).docx</t>
        </is>
      </c>
      <c r="M1916">
        <f>IF($A1916="","",TEXT($A1916,"mmmm/yyyy"))</f>
        <v/>
      </c>
      <c r="P1916">
        <f>IFERROR(_xludf.XLOOKUP($N1916,Base_Enderecos!$A:$A,Base_Enderecos!$B:$B,""),"")</f>
        <v/>
      </c>
      <c r="Q1916">
        <f>IFERROR(_xludf.XLOOKUP($N1916,Base_Enderecos!$A:$A,Base_Enderecos!$C:$C,""),"")</f>
        <v/>
      </c>
      <c r="R1916">
        <f>IF(OR(ISNUMBER(SEARCH("HDD",$F1916)),ISNUMBER(SEARCH("MND",$F1916)),ISNUMBER(SEARCH("PEAD",$F1916)),ISNUMBER(SEARCH("Puxe",$J1916)),ISNUMBER(SEARCH("Apoio HDD",$F1916))),"MND",IF(OR(ISNUMBER(SEARCH("VCA",$F1916)),ISNUMBER(SEARCH("PVC",$F1916)),ISNUMBER(SEARCH("vca",$J1916)),ISNUMBER(SEARCH("Transformação",$J1916))),"VCA",IF(OR(ISNUMBER(SEARCH("crava",$F1916)),ISNUMBER(SEARCH("tubo cravado",$F1916)),ISNUMBER(SEARCH("shaft",$J1916)),ISNUMBER(SEARCH("concreto",$F1916))),"TUBO CRAVADO","")))</f>
        <v/>
      </c>
      <c r="T1916">
        <f>IF($A1916="","",TEXT($A1916,"yyyymm")&amp;"|"&amp;$C1916&amp;"|"&amp;$F1916&amp;"|"&amp;$N1916&amp;"|"&amp;$R1916)</f>
        <v/>
      </c>
    </row>
    <row r="1917" ht="11.55" customHeight="1">
      <c r="A1917" s="10" t="n">
        <v>46129</v>
      </c>
      <c r="B1917" s="7" t="inlineStr">
        <is>
          <t>Sexta</t>
        </is>
      </c>
      <c r="C1917" s="7" t="inlineStr">
        <is>
          <t>Vacal</t>
        </is>
      </c>
      <c r="D1917" s="7" t="n"/>
      <c r="E1917" s="7" t="inlineStr">
        <is>
          <t>Botelho Mourão – Renasce</t>
        </is>
      </c>
      <c r="F1917" s="13" t="inlineStr">
        <is>
          <t>Apoio Vacal</t>
        </is>
      </c>
      <c r="G1917" s="7" t="n"/>
      <c r="H1917" s="7" t="n"/>
      <c r="I1917" s="7" t="n"/>
      <c r="J1917" s="7" t="inlineStr">
        <is>
          <t>Vacal</t>
        </is>
      </c>
      <c r="K1917" s="7" t="inlineStr">
        <is>
          <t>Apoio</t>
        </is>
      </c>
      <c r="L1917" s="16" t="inlineStr">
        <is>
          <t>PDS-Abril(2).docx</t>
        </is>
      </c>
      <c r="M1917">
        <f>IF($A1917="","",TEXT($A1917,"mmmm/yyyy"))</f>
        <v/>
      </c>
      <c r="P1917">
        <f>IFERROR(_xludf.XLOOKUP($N1917,Base_Enderecos!$A:$A,Base_Enderecos!$B:$B,""),"")</f>
        <v/>
      </c>
      <c r="Q1917">
        <f>IFERROR(_xludf.XLOOKUP($N1917,Base_Enderecos!$A:$A,Base_Enderecos!$C:$C,""),"")</f>
        <v/>
      </c>
      <c r="R1917">
        <f>IF(OR(ISNUMBER(SEARCH("HDD",$F1917)),ISNUMBER(SEARCH("MND",$F1917)),ISNUMBER(SEARCH("PEAD",$F1917)),ISNUMBER(SEARCH("Puxe",$J1917)),ISNUMBER(SEARCH("Apoio HDD",$F1917))),"MND",IF(OR(ISNUMBER(SEARCH("VCA",$F1917)),ISNUMBER(SEARCH("PVC",$F1917)),ISNUMBER(SEARCH("vca",$J1917)),ISNUMBER(SEARCH("Transformação",$J1917))),"VCA",IF(OR(ISNUMBER(SEARCH("crava",$F1917)),ISNUMBER(SEARCH("tubo cravado",$F1917)),ISNUMBER(SEARCH("shaft",$J1917)),ISNUMBER(SEARCH("concreto",$F1917))),"TUBO CRAVADO","")))</f>
        <v/>
      </c>
      <c r="T1917">
        <f>IF($A1917="","",TEXT($A1917,"yyyymm")&amp;"|"&amp;$C1917&amp;"|"&amp;$F1917&amp;"|"&amp;$N1917&amp;"|"&amp;$R1917)</f>
        <v/>
      </c>
    </row>
    <row r="1918" ht="11.55" customHeight="1">
      <c r="A1918" s="10" t="n">
        <v>46129</v>
      </c>
      <c r="B1918" s="7" t="inlineStr">
        <is>
          <t>Sexta</t>
        </is>
      </c>
      <c r="C1918" s="7" t="inlineStr">
        <is>
          <t>Vacal</t>
        </is>
      </c>
      <c r="D1918" s="7" t="n"/>
      <c r="E1918" s="7" t="inlineStr">
        <is>
          <t>Botelho Mourão – Hidrosol</t>
        </is>
      </c>
      <c r="F1918" s="13" t="inlineStr">
        <is>
          <t>Apoio Vacal</t>
        </is>
      </c>
      <c r="G1918" s="7" t="n"/>
      <c r="H1918" s="7" t="n"/>
      <c r="I1918" s="7" t="n"/>
      <c r="J1918" s="7" t="inlineStr">
        <is>
          <t>Vacal</t>
        </is>
      </c>
      <c r="K1918" s="7" t="inlineStr">
        <is>
          <t>Apoio</t>
        </is>
      </c>
      <c r="L1918" s="16" t="inlineStr">
        <is>
          <t>PDS-Abril(2).docx</t>
        </is>
      </c>
      <c r="M1918">
        <f>IF($A1918="","",TEXT($A1918,"mmmm/yyyy"))</f>
        <v/>
      </c>
      <c r="P1918">
        <f>IFERROR(_xludf.XLOOKUP($N1918,Base_Enderecos!$A:$A,Base_Enderecos!$B:$B,""),"")</f>
        <v/>
      </c>
      <c r="Q1918">
        <f>IFERROR(_xludf.XLOOKUP($N1918,Base_Enderecos!$A:$A,Base_Enderecos!$C:$C,""),"")</f>
        <v/>
      </c>
      <c r="R1918">
        <f>IF(OR(ISNUMBER(SEARCH("HDD",$F1918)),ISNUMBER(SEARCH("MND",$F1918)),ISNUMBER(SEARCH("PEAD",$F1918)),ISNUMBER(SEARCH("Puxe",$J1918)),ISNUMBER(SEARCH("Apoio HDD",$F1918))),"MND",IF(OR(ISNUMBER(SEARCH("VCA",$F1918)),ISNUMBER(SEARCH("PVC",$F1918)),ISNUMBER(SEARCH("vca",$J1918)),ISNUMBER(SEARCH("Transformação",$J1918))),"VCA",IF(OR(ISNUMBER(SEARCH("crava",$F1918)),ISNUMBER(SEARCH("tubo cravado",$F1918)),ISNUMBER(SEARCH("shaft",$J1918)),ISNUMBER(SEARCH("concreto",$F1918))),"TUBO CRAVADO","")))</f>
        <v/>
      </c>
      <c r="T1918">
        <f>IF($A1918="","",TEXT($A1918,"yyyymm")&amp;"|"&amp;$C1918&amp;"|"&amp;$F1918&amp;"|"&amp;$N1918&amp;"|"&amp;$R1918)</f>
        <v/>
      </c>
    </row>
    <row r="1919" ht="11.55" customHeight="1">
      <c r="A1919" s="10" t="n">
        <v>46129</v>
      </c>
      <c r="B1919" s="7" t="inlineStr">
        <is>
          <t>Sexta</t>
        </is>
      </c>
      <c r="C1919" s="7" t="inlineStr">
        <is>
          <t>Vacal</t>
        </is>
      </c>
      <c r="D1919" s="7" t="n"/>
      <c r="E1919" s="7" t="inlineStr">
        <is>
          <t>Botelho Mourão – Henko</t>
        </is>
      </c>
      <c r="F1919" s="13" t="inlineStr">
        <is>
          <t>Apoio Vacal</t>
        </is>
      </c>
      <c r="G1919" s="7" t="n"/>
      <c r="H1919" s="7" t="n"/>
      <c r="I1919" s="7" t="n"/>
      <c r="J1919" s="7" t="inlineStr">
        <is>
          <t>Vacal</t>
        </is>
      </c>
      <c r="K1919" s="7" t="inlineStr">
        <is>
          <t>Apoio</t>
        </is>
      </c>
      <c r="L1919" s="16" t="inlineStr">
        <is>
          <t>PDS-Abril(2).docx</t>
        </is>
      </c>
      <c r="M1919">
        <f>IF($A1919="","",TEXT($A1919,"mmmm/yyyy"))</f>
        <v/>
      </c>
      <c r="P1919">
        <f>IFERROR(_xludf.XLOOKUP($N1919,Base_Enderecos!$A:$A,Base_Enderecos!$B:$B,""),"")</f>
        <v/>
      </c>
      <c r="Q1919">
        <f>IFERROR(_xludf.XLOOKUP($N1919,Base_Enderecos!$A:$A,Base_Enderecos!$C:$C,""),"")</f>
        <v/>
      </c>
      <c r="R1919">
        <f>IF(OR(ISNUMBER(SEARCH("HDD",$F1919)),ISNUMBER(SEARCH("MND",$F1919)),ISNUMBER(SEARCH("PEAD",$F1919)),ISNUMBER(SEARCH("Puxe",$J1919)),ISNUMBER(SEARCH("Apoio HDD",$F1919))),"MND",IF(OR(ISNUMBER(SEARCH("VCA",$F1919)),ISNUMBER(SEARCH("PVC",$F1919)),ISNUMBER(SEARCH("vca",$J1919)),ISNUMBER(SEARCH("Transformação",$J1919))),"VCA",IF(OR(ISNUMBER(SEARCH("crava",$F1919)),ISNUMBER(SEARCH("tubo cravado",$F1919)),ISNUMBER(SEARCH("shaft",$J1919)),ISNUMBER(SEARCH("concreto",$F1919))),"TUBO CRAVADO","")))</f>
        <v/>
      </c>
      <c r="T1919">
        <f>IF($A1919="","",TEXT($A1919,"yyyymm")&amp;"|"&amp;$C1919&amp;"|"&amp;$F1919&amp;"|"&amp;$N1919&amp;"|"&amp;$R1919)</f>
        <v/>
      </c>
    </row>
    <row r="1920" ht="11.55" customHeight="1">
      <c r="A1920" s="10" t="n">
        <v>46129</v>
      </c>
      <c r="B1920" s="7" t="inlineStr">
        <is>
          <t>Sexta</t>
        </is>
      </c>
      <c r="C1920" s="7" t="inlineStr">
        <is>
          <t>Vacal</t>
        </is>
      </c>
      <c r="D1920" s="7" t="n"/>
      <c r="E1920" s="7" t="inlineStr">
        <is>
          <t>Botelho Mourão – Henko</t>
        </is>
      </c>
      <c r="F1920" s="13" t="inlineStr">
        <is>
          <t>Apoio Vacal</t>
        </is>
      </c>
      <c r="G1920" s="7" t="n"/>
      <c r="H1920" s="7" t="n"/>
      <c r="I1920" s="7" t="n"/>
      <c r="J1920" s="7" t="inlineStr">
        <is>
          <t>Vacal</t>
        </is>
      </c>
      <c r="K1920" s="7" t="inlineStr">
        <is>
          <t>Apoio</t>
        </is>
      </c>
      <c r="L1920" s="16" t="inlineStr">
        <is>
          <t>PDS-Abril(2).docx</t>
        </is>
      </c>
      <c r="M1920">
        <f>IF($A1920="","",TEXT($A1920,"mmmm/yyyy"))</f>
        <v/>
      </c>
      <c r="P1920">
        <f>IFERROR(_xludf.XLOOKUP($N1920,Base_Enderecos!$A:$A,Base_Enderecos!$B:$B,""),"")</f>
        <v/>
      </c>
      <c r="Q1920">
        <f>IFERROR(_xludf.XLOOKUP($N1920,Base_Enderecos!$A:$A,Base_Enderecos!$C:$C,""),"")</f>
        <v/>
      </c>
      <c r="R1920">
        <f>IF(OR(ISNUMBER(SEARCH("HDD",$F1920)),ISNUMBER(SEARCH("MND",$F1920)),ISNUMBER(SEARCH("PEAD",$F1920)),ISNUMBER(SEARCH("Puxe",$J1920)),ISNUMBER(SEARCH("Apoio HDD",$F1920))),"MND",IF(OR(ISNUMBER(SEARCH("VCA",$F1920)),ISNUMBER(SEARCH("PVC",$F1920)),ISNUMBER(SEARCH("vca",$J1920)),ISNUMBER(SEARCH("Transformação",$J1920))),"VCA",IF(OR(ISNUMBER(SEARCH("crava",$F1920)),ISNUMBER(SEARCH("tubo cravado",$F1920)),ISNUMBER(SEARCH("shaft",$J1920)),ISNUMBER(SEARCH("concreto",$F1920))),"TUBO CRAVADO","")))</f>
        <v/>
      </c>
      <c r="T1920">
        <f>IF($A1920="","",TEXT($A1920,"yyyymm")&amp;"|"&amp;$C1920&amp;"|"&amp;$F1920&amp;"|"&amp;$N1920&amp;"|"&amp;$R1920)</f>
        <v/>
      </c>
    </row>
    <row r="1921" ht="11.55" customHeight="1">
      <c r="A1921" s="10" t="n">
        <v>46129</v>
      </c>
      <c r="B1921" s="7" t="inlineStr">
        <is>
          <t>Sexta</t>
        </is>
      </c>
      <c r="C1921" s="7" t="inlineStr">
        <is>
          <t>Vacal</t>
        </is>
      </c>
      <c r="D1921" s="7" t="n"/>
      <c r="E1921" s="7" t="inlineStr">
        <is>
          <t>Conceição – Renasce</t>
        </is>
      </c>
      <c r="F1921" s="13" t="inlineStr">
        <is>
          <t>Apoio Vacal</t>
        </is>
      </c>
      <c r="G1921" s="7" t="n"/>
      <c r="H1921" s="7" t="n"/>
      <c r="I1921" s="7" t="n"/>
      <c r="J1921" s="7" t="inlineStr">
        <is>
          <t>Vacal</t>
        </is>
      </c>
      <c r="K1921" s="7" t="inlineStr">
        <is>
          <t>Apoio</t>
        </is>
      </c>
      <c r="L1921" s="16" t="inlineStr">
        <is>
          <t>PDS-Abril(2).docx</t>
        </is>
      </c>
      <c r="M1921">
        <f>IF($A1921="","",TEXT($A1921,"mmmm/yyyy"))</f>
        <v/>
      </c>
      <c r="P1921">
        <f>IFERROR(_xludf.XLOOKUP($N1921,Base_Enderecos!$A:$A,Base_Enderecos!$B:$B,""),"")</f>
        <v/>
      </c>
      <c r="Q1921">
        <f>IFERROR(_xludf.XLOOKUP($N1921,Base_Enderecos!$A:$A,Base_Enderecos!$C:$C,""),"")</f>
        <v/>
      </c>
      <c r="R1921">
        <f>IF(OR(ISNUMBER(SEARCH("HDD",$F1921)),ISNUMBER(SEARCH("MND",$F1921)),ISNUMBER(SEARCH("PEAD",$F1921)),ISNUMBER(SEARCH("Puxe",$J1921)),ISNUMBER(SEARCH("Apoio HDD",$F1921))),"MND",IF(OR(ISNUMBER(SEARCH("VCA",$F1921)),ISNUMBER(SEARCH("PVC",$F1921)),ISNUMBER(SEARCH("vca",$J1921)),ISNUMBER(SEARCH("Transformação",$J1921))),"VCA",IF(OR(ISNUMBER(SEARCH("crava",$F1921)),ISNUMBER(SEARCH("tubo cravado",$F1921)),ISNUMBER(SEARCH("shaft",$J1921)),ISNUMBER(SEARCH("concreto",$F1921))),"TUBO CRAVADO","")))</f>
        <v/>
      </c>
      <c r="T1921">
        <f>IF($A1921="","",TEXT($A1921,"yyyymm")&amp;"|"&amp;$C1921&amp;"|"&amp;$F1921&amp;"|"&amp;$N1921&amp;"|"&amp;$R1921)</f>
        <v/>
      </c>
    </row>
    <row r="1922" ht="11.55" customHeight="1">
      <c r="A1922" s="10" t="n">
        <v>46129</v>
      </c>
      <c r="B1922" s="7" t="inlineStr">
        <is>
          <t>Sexta</t>
        </is>
      </c>
      <c r="C1922" s="7" t="inlineStr">
        <is>
          <t>Vacal</t>
        </is>
      </c>
      <c r="D1922" s="7" t="n"/>
      <c r="E1922" s="7" t="inlineStr">
        <is>
          <t>Conceição - Renasce</t>
        </is>
      </c>
      <c r="F1922" s="13" t="inlineStr">
        <is>
          <t>Apoio Vacal</t>
        </is>
      </c>
      <c r="G1922" s="7" t="n"/>
      <c r="H1922" s="7" t="n"/>
      <c r="I1922" s="7" t="n"/>
      <c r="J1922" s="7" t="inlineStr">
        <is>
          <t>Vacal</t>
        </is>
      </c>
      <c r="K1922" s="7" t="inlineStr">
        <is>
          <t>Apoio</t>
        </is>
      </c>
      <c r="L1922" s="16" t="inlineStr">
        <is>
          <t>PDS-Abril(2).docx</t>
        </is>
      </c>
      <c r="M1922">
        <f>IF($A1922="","",TEXT($A1922,"mmmm/yyyy"))</f>
        <v/>
      </c>
      <c r="P1922">
        <f>IFERROR(_xludf.XLOOKUP($N1922,Base_Enderecos!$A:$A,Base_Enderecos!$B:$B,""),"")</f>
        <v/>
      </c>
      <c r="Q1922">
        <f>IFERROR(_xludf.XLOOKUP($N1922,Base_Enderecos!$A:$A,Base_Enderecos!$C:$C,""),"")</f>
        <v/>
      </c>
      <c r="R1922">
        <f>IF(OR(ISNUMBER(SEARCH("HDD",$F1922)),ISNUMBER(SEARCH("MND",$F1922)),ISNUMBER(SEARCH("PEAD",$F1922)),ISNUMBER(SEARCH("Puxe",$J1922)),ISNUMBER(SEARCH("Apoio HDD",$F1922))),"MND",IF(OR(ISNUMBER(SEARCH("VCA",$F1922)),ISNUMBER(SEARCH("PVC",$F1922)),ISNUMBER(SEARCH("vca",$J1922)),ISNUMBER(SEARCH("Transformação",$J1922))),"VCA",IF(OR(ISNUMBER(SEARCH("crava",$F1922)),ISNUMBER(SEARCH("tubo cravado",$F1922)),ISNUMBER(SEARCH("shaft",$J1922)),ISNUMBER(SEARCH("concreto",$F1922))),"TUBO CRAVADO","")))</f>
        <v/>
      </c>
      <c r="T1922">
        <f>IF($A1922="","",TEXT($A1922,"yyyymm")&amp;"|"&amp;$C1922&amp;"|"&amp;$F1922&amp;"|"&amp;$N1922&amp;"|"&amp;$R1922)</f>
        <v/>
      </c>
    </row>
    <row r="1923" ht="11.55" customHeight="1">
      <c r="A1923" s="10" t="n">
        <v>46129</v>
      </c>
      <c r="B1923" s="7" t="inlineStr">
        <is>
          <t>Sexta</t>
        </is>
      </c>
      <c r="C1923" s="7" t="inlineStr">
        <is>
          <t>Vacal</t>
        </is>
      </c>
      <c r="D1923" s="7" t="n"/>
      <c r="E1923" s="7" t="inlineStr">
        <is>
          <t>Água Vermelha – Renasce</t>
        </is>
      </c>
      <c r="F1923" s="13" t="inlineStr">
        <is>
          <t>Apoio Vacal</t>
        </is>
      </c>
      <c r="G1923" s="7" t="n"/>
      <c r="H1923" s="7" t="n"/>
      <c r="I1923" s="7" t="n"/>
      <c r="J1923" s="7" t="inlineStr">
        <is>
          <t>Vacal</t>
        </is>
      </c>
      <c r="K1923" s="7" t="inlineStr">
        <is>
          <t>Apoio</t>
        </is>
      </c>
      <c r="L1923" s="16" t="inlineStr">
        <is>
          <t>PDS-Abril(2).docx</t>
        </is>
      </c>
      <c r="M1923">
        <f>IF($A1923="","",TEXT($A1923,"mmmm/yyyy"))</f>
        <v/>
      </c>
      <c r="P1923">
        <f>IFERROR(_xludf.XLOOKUP($N1923,Base_Enderecos!$A:$A,Base_Enderecos!$B:$B,""),"")</f>
        <v/>
      </c>
      <c r="Q1923">
        <f>IFERROR(_xludf.XLOOKUP($N1923,Base_Enderecos!$A:$A,Base_Enderecos!$C:$C,""),"")</f>
        <v/>
      </c>
      <c r="R1923">
        <f>IF(OR(ISNUMBER(SEARCH("HDD",$F1923)),ISNUMBER(SEARCH("MND",$F1923)),ISNUMBER(SEARCH("PEAD",$F1923)),ISNUMBER(SEARCH("Puxe",$J1923)),ISNUMBER(SEARCH("Apoio HDD",$F1923))),"MND",IF(OR(ISNUMBER(SEARCH("VCA",$F1923)),ISNUMBER(SEARCH("PVC",$F1923)),ISNUMBER(SEARCH("vca",$J1923)),ISNUMBER(SEARCH("Transformação",$J1923))),"VCA",IF(OR(ISNUMBER(SEARCH("crava",$F1923)),ISNUMBER(SEARCH("tubo cravado",$F1923)),ISNUMBER(SEARCH("shaft",$J1923)),ISNUMBER(SEARCH("concreto",$F1923))),"TUBO CRAVADO","")))</f>
        <v/>
      </c>
      <c r="T1923">
        <f>IF($A1923="","",TEXT($A1923,"yyyymm")&amp;"|"&amp;$C1923&amp;"|"&amp;$F1923&amp;"|"&amp;$N1923&amp;"|"&amp;$R1923)</f>
        <v/>
      </c>
    </row>
    <row r="1924" ht="11.55" customHeight="1">
      <c r="A1924" s="10" t="n">
        <v>46129</v>
      </c>
      <c r="B1924" s="7" t="inlineStr">
        <is>
          <t>Sexta</t>
        </is>
      </c>
      <c r="C1924" s="7" t="inlineStr">
        <is>
          <t>Guindauto</t>
        </is>
      </c>
      <c r="D1924" s="7" t="n"/>
      <c r="E1924" s="7" t="inlineStr">
        <is>
          <t>Marcio</t>
        </is>
      </c>
      <c r="F1924" s="13" t="inlineStr">
        <is>
          <t>Marcio - Apoio as equipes</t>
        </is>
      </c>
      <c r="G1924" s="7" t="n"/>
      <c r="H1924" s="7" t="n"/>
      <c r="I1924" s="7" t="n"/>
      <c r="J1924" s="7" t="inlineStr">
        <is>
          <t>Guindauto</t>
        </is>
      </c>
      <c r="K1924" s="7" t="inlineStr">
        <is>
          <t>Apoio</t>
        </is>
      </c>
      <c r="L1924" s="16" t="inlineStr">
        <is>
          <t>PDS-Abril(2).docx</t>
        </is>
      </c>
      <c r="M1924">
        <f>IF($A1924="","",TEXT($A1924,"mmmm/yyyy"))</f>
        <v/>
      </c>
      <c r="P1924">
        <f>IFERROR(_xludf.XLOOKUP($N1924,Base_Enderecos!$A:$A,Base_Enderecos!$B:$B,""),"")</f>
        <v/>
      </c>
      <c r="Q1924">
        <f>IFERROR(_xludf.XLOOKUP($N1924,Base_Enderecos!$A:$A,Base_Enderecos!$C:$C,""),"")</f>
        <v/>
      </c>
      <c r="R1924">
        <f>IF(OR(ISNUMBER(SEARCH("HDD",$F1924)),ISNUMBER(SEARCH("MND",$F1924)),ISNUMBER(SEARCH("PEAD",$F1924)),ISNUMBER(SEARCH("Puxe",$J1924)),ISNUMBER(SEARCH("Apoio HDD",$F1924))),"MND",IF(OR(ISNUMBER(SEARCH("VCA",$F1924)),ISNUMBER(SEARCH("PVC",$F1924)),ISNUMBER(SEARCH("vca",$J1924)),ISNUMBER(SEARCH("Transformação",$J1924))),"VCA",IF(OR(ISNUMBER(SEARCH("crava",$F1924)),ISNUMBER(SEARCH("tubo cravado",$F1924)),ISNUMBER(SEARCH("shaft",$J1924)),ISNUMBER(SEARCH("concreto",$F1924))),"TUBO CRAVADO","")))</f>
        <v/>
      </c>
      <c r="T1924">
        <f>IF($A1924="","",TEXT($A1924,"yyyymm")&amp;"|"&amp;$C1924&amp;"|"&amp;$F1924&amp;"|"&amp;$N1924&amp;"|"&amp;$R1924)</f>
        <v/>
      </c>
    </row>
    <row r="1925" ht="11.55" customHeight="1">
      <c r="A1925" s="10" t="n">
        <v>46130</v>
      </c>
      <c r="B1925" s="7" t="n"/>
      <c r="C1925" s="7" t="inlineStr">
        <is>
          <t>CTS CONCEIÇÃO</t>
        </is>
      </c>
      <c r="D1925" s="7" t="inlineStr">
        <is>
          <t>LEANDRO</t>
        </is>
      </c>
      <c r="E1925" s="7" t="inlineStr">
        <is>
          <t>GR DRILL</t>
        </is>
      </c>
      <c r="F1925" s="13" t="inlineStr">
        <is>
          <t>Apoio HDD entre PV 10.1 ao 09</t>
        </is>
      </c>
      <c r="G1925" s="7" t="inlineStr">
        <is>
          <t>10.1</t>
        </is>
      </c>
      <c r="H1925" s="7" t="n"/>
      <c r="I1925" s="7" t="inlineStr">
        <is>
          <t>10.1</t>
        </is>
      </c>
      <c r="J1925" s="7" t="inlineStr">
        <is>
          <t>Apoio HDD</t>
        </is>
      </c>
      <c r="K1925" s="7" t="inlineStr">
        <is>
          <t>Planejamento</t>
        </is>
      </c>
      <c r="L1925" s="16" t="inlineStr">
        <is>
          <t>PDS-Abril(2).docx</t>
        </is>
      </c>
      <c r="M1925">
        <f>IF($A1925="","",TEXT($A1925,"mmmm/yyyy"))</f>
        <v/>
      </c>
      <c r="P1925">
        <f>IFERROR(_xludf.XLOOKUP($N1925,Base_Enderecos!$A:$A,Base_Enderecos!$B:$B,""),"")</f>
        <v/>
      </c>
      <c r="Q1925">
        <f>IFERROR(_xludf.XLOOKUP($N1925,Base_Enderecos!$A:$A,Base_Enderecos!$C:$C,""),"")</f>
        <v/>
      </c>
      <c r="R1925">
        <f>IF(OR(ISNUMBER(SEARCH("HDD",$F1925)),ISNUMBER(SEARCH("MND",$F1925)),ISNUMBER(SEARCH("PEAD",$F1925)),ISNUMBER(SEARCH("Puxe",$J1925)),ISNUMBER(SEARCH("Apoio HDD",$F1925))),"MND",IF(OR(ISNUMBER(SEARCH("VCA",$F1925)),ISNUMBER(SEARCH("PVC",$F1925)),ISNUMBER(SEARCH("vca",$J1925)),ISNUMBER(SEARCH("Transformação",$J1925))),"VCA",IF(OR(ISNUMBER(SEARCH("crava",$F1925)),ISNUMBER(SEARCH("tubo cravado",$F1925)),ISNUMBER(SEARCH("shaft",$J1925)),ISNUMBER(SEARCH("concreto",$F1925))),"TUBO CRAVADO","")))</f>
        <v/>
      </c>
      <c r="T1925">
        <f>IF($A1925="","",TEXT($A1925,"yyyymm")&amp;"|"&amp;$C1925&amp;"|"&amp;$F1925&amp;"|"&amp;$N1925&amp;"|"&amp;$R1925)</f>
        <v/>
      </c>
    </row>
    <row r="1926" ht="11.55" customHeight="1">
      <c r="A1926" s="10" t="n">
        <v>46130</v>
      </c>
      <c r="B1926" s="7" t="n"/>
      <c r="C1926" s="7" t="inlineStr">
        <is>
          <t>CTS CONCEIÇÃO</t>
        </is>
      </c>
      <c r="D1926" s="7" t="inlineStr">
        <is>
          <t>LEANDRO</t>
        </is>
      </c>
      <c r="E1926" s="7" t="inlineStr">
        <is>
          <t>Medeiros</t>
        </is>
      </c>
      <c r="F1926" s="13" t="inlineStr">
        <is>
          <t>Apoio HDD</t>
        </is>
      </c>
      <c r="G1926" s="7" t="n"/>
      <c r="H1926" s="7" t="n"/>
      <c r="I1926" s="7" t="n"/>
      <c r="J1926" s="7" t="inlineStr">
        <is>
          <t>Apoio HDD</t>
        </is>
      </c>
      <c r="K1926" s="7" t="inlineStr">
        <is>
          <t>Planejamento</t>
        </is>
      </c>
      <c r="L1926" s="16" t="inlineStr">
        <is>
          <t>PDS-Abril(2).docx</t>
        </is>
      </c>
      <c r="M1926">
        <f>IF($A1926="","",TEXT($A1926,"mmmm/yyyy"))</f>
        <v/>
      </c>
      <c r="P1926">
        <f>IFERROR(_xludf.XLOOKUP($N1926,Base_Enderecos!$A:$A,Base_Enderecos!$B:$B,""),"")</f>
        <v/>
      </c>
      <c r="Q1926">
        <f>IFERROR(_xludf.XLOOKUP($N1926,Base_Enderecos!$A:$A,Base_Enderecos!$C:$C,""),"")</f>
        <v/>
      </c>
      <c r="R1926">
        <f>IF(OR(ISNUMBER(SEARCH("HDD",$F1926)),ISNUMBER(SEARCH("MND",$F1926)),ISNUMBER(SEARCH("PEAD",$F1926)),ISNUMBER(SEARCH("Puxe",$J1926)),ISNUMBER(SEARCH("Apoio HDD",$F1926))),"MND",IF(OR(ISNUMBER(SEARCH("VCA",$F1926)),ISNUMBER(SEARCH("PVC",$F1926)),ISNUMBER(SEARCH("vca",$J1926)),ISNUMBER(SEARCH("Transformação",$J1926))),"VCA",IF(OR(ISNUMBER(SEARCH("crava",$F1926)),ISNUMBER(SEARCH("tubo cravado",$F1926)),ISNUMBER(SEARCH("shaft",$J1926)),ISNUMBER(SEARCH("concreto",$F1926))),"TUBO CRAVADO","")))</f>
        <v/>
      </c>
      <c r="T1926">
        <f>IF($A1926="","",TEXT($A1926,"yyyymm")&amp;"|"&amp;$C1926&amp;"|"&amp;$F1926&amp;"|"&amp;$N1926&amp;"|"&amp;$R1926)</f>
        <v/>
      </c>
    </row>
    <row r="1927" ht="11.55" customHeight="1">
      <c r="A1927" s="10" t="n">
        <v>46130</v>
      </c>
      <c r="B1927" s="7" t="n"/>
      <c r="C1927" s="7" t="inlineStr">
        <is>
          <t>CT ÁGUA VERMELHA M.D. e M.E</t>
        </is>
      </c>
      <c r="D1927" s="7" t="inlineStr">
        <is>
          <t>ANTONIO</t>
        </is>
      </c>
      <c r="E1927" s="7" t="inlineStr">
        <is>
          <t>Claudinei</t>
        </is>
      </c>
      <c r="F1927" s="13" t="inlineStr">
        <is>
          <t>Apoio casa (PVD 7)</t>
        </is>
      </c>
      <c r="G1927" s="7" t="inlineStr">
        <is>
          <t>7</t>
        </is>
      </c>
      <c r="H1927" s="7" t="n"/>
      <c r="I1927" s="7" t="inlineStr">
        <is>
          <t>7</t>
        </is>
      </c>
      <c r="J1927" s="7" t="n"/>
      <c r="K1927" s="7" t="inlineStr">
        <is>
          <t>Planejamento</t>
        </is>
      </c>
      <c r="L1927" s="16" t="inlineStr">
        <is>
          <t>PDS-Abril(2).docx</t>
        </is>
      </c>
      <c r="M1927">
        <f>IF($A1927="","",TEXT($A1927,"mmmm/yyyy"))</f>
        <v/>
      </c>
      <c r="P1927">
        <f>IFERROR(_xludf.XLOOKUP($N1927,Base_Enderecos!$A:$A,Base_Enderecos!$B:$B,""),"")</f>
        <v/>
      </c>
      <c r="Q1927">
        <f>IFERROR(_xludf.XLOOKUP($N1927,Base_Enderecos!$A:$A,Base_Enderecos!$C:$C,""),"")</f>
        <v/>
      </c>
      <c r="R1927">
        <f>IF(OR(ISNUMBER(SEARCH("HDD",$F1927)),ISNUMBER(SEARCH("MND",$F1927)),ISNUMBER(SEARCH("PEAD",$F1927)),ISNUMBER(SEARCH("Puxe",$J1927)),ISNUMBER(SEARCH("Apoio HDD",$F1927))),"MND",IF(OR(ISNUMBER(SEARCH("VCA",$F1927)),ISNUMBER(SEARCH("PVC",$F1927)),ISNUMBER(SEARCH("vca",$J1927)),ISNUMBER(SEARCH("Transformação",$J1927))),"VCA",IF(OR(ISNUMBER(SEARCH("crava",$F1927)),ISNUMBER(SEARCH("tubo cravado",$F1927)),ISNUMBER(SEARCH("shaft",$J1927)),ISNUMBER(SEARCH("concreto",$F1927))),"TUBO CRAVADO","")))</f>
        <v/>
      </c>
      <c r="T1927">
        <f>IF($A1927="","",TEXT($A1927,"yyyymm")&amp;"|"&amp;$C1927&amp;"|"&amp;$F1927&amp;"|"&amp;$N1927&amp;"|"&amp;$R1927)</f>
        <v/>
      </c>
    </row>
    <row r="1928" ht="11.55" customHeight="1">
      <c r="A1928" s="10" t="n">
        <v>46130</v>
      </c>
      <c r="B1928" s="7" t="n"/>
      <c r="C1928" s="7" t="inlineStr">
        <is>
          <t>CT ÁGUA VERMELHA M.D. e M.E</t>
        </is>
      </c>
      <c r="D1928" s="7" t="inlineStr">
        <is>
          <t>ANTONIO</t>
        </is>
      </c>
      <c r="E1928" s="7" t="inlineStr">
        <is>
          <t>Cesar e Higor</t>
        </is>
      </c>
      <c r="F1928" s="13" t="inlineStr">
        <is>
          <t>Adequação PVE 06</t>
        </is>
      </c>
      <c r="G1928" s="7" t="inlineStr">
        <is>
          <t>06</t>
        </is>
      </c>
      <c r="H1928" s="7" t="n"/>
      <c r="I1928" s="7" t="inlineStr">
        <is>
          <t>06</t>
        </is>
      </c>
      <c r="J1928" s="7" t="inlineStr">
        <is>
          <t>Adequação</t>
        </is>
      </c>
      <c r="K1928" s="7" t="inlineStr">
        <is>
          <t>Planejamento</t>
        </is>
      </c>
      <c r="L1928" s="16" t="inlineStr">
        <is>
          <t>PDS-Abril(2).docx</t>
        </is>
      </c>
      <c r="M1928">
        <f>IF($A1928="","",TEXT($A1928,"mmmm/yyyy"))</f>
        <v/>
      </c>
      <c r="P1928">
        <f>IFERROR(_xludf.XLOOKUP($N1928,Base_Enderecos!$A:$A,Base_Enderecos!$B:$B,""),"")</f>
        <v/>
      </c>
      <c r="Q1928">
        <f>IFERROR(_xludf.XLOOKUP($N1928,Base_Enderecos!$A:$A,Base_Enderecos!$C:$C,""),"")</f>
        <v/>
      </c>
      <c r="R1928">
        <f>IF(OR(ISNUMBER(SEARCH("HDD",$F1928)),ISNUMBER(SEARCH("MND",$F1928)),ISNUMBER(SEARCH("PEAD",$F1928)),ISNUMBER(SEARCH("Puxe",$J1928)),ISNUMBER(SEARCH("Apoio HDD",$F1928))),"MND",IF(OR(ISNUMBER(SEARCH("VCA",$F1928)),ISNUMBER(SEARCH("PVC",$F1928)),ISNUMBER(SEARCH("vca",$J1928)),ISNUMBER(SEARCH("Transformação",$J1928))),"VCA",IF(OR(ISNUMBER(SEARCH("crava",$F1928)),ISNUMBER(SEARCH("tubo cravado",$F1928)),ISNUMBER(SEARCH("shaft",$J1928)),ISNUMBER(SEARCH("concreto",$F1928))),"TUBO CRAVADO","")))</f>
        <v/>
      </c>
      <c r="T1928">
        <f>IF($A1928="","",TEXT($A1928,"yyyymm")&amp;"|"&amp;$C1928&amp;"|"&amp;$F1928&amp;"|"&amp;$N1928&amp;"|"&amp;$R1928)</f>
        <v/>
      </c>
    </row>
    <row r="1929" ht="11.55" customHeight="1">
      <c r="A1929" s="10" t="n">
        <v>46130</v>
      </c>
      <c r="B1929" s="7" t="n"/>
      <c r="C1929" s="7" t="inlineStr">
        <is>
          <t>INT FERNANDO PACHECO JORDÃO</t>
        </is>
      </c>
      <c r="D1929" s="7" t="inlineStr">
        <is>
          <t>VALMIR</t>
        </is>
      </c>
      <c r="E1929" s="7" t="inlineStr">
        <is>
          <t>WJ-01</t>
        </is>
      </c>
      <c r="F1929" s="13" t="inlineStr">
        <is>
          <t>Furo piloto e Puxe PV 04 ao PV 02</t>
        </is>
      </c>
      <c r="G1929" s="7" t="inlineStr">
        <is>
          <t>04</t>
        </is>
      </c>
      <c r="H1929" s="7" t="inlineStr">
        <is>
          <t>02</t>
        </is>
      </c>
      <c r="I1929" s="7" t="inlineStr">
        <is>
          <t>04, 02</t>
        </is>
      </c>
      <c r="J1929" s="7" t="inlineStr">
        <is>
          <t>Furo piloto</t>
        </is>
      </c>
      <c r="K1929" s="7" t="inlineStr">
        <is>
          <t>Planejamento</t>
        </is>
      </c>
      <c r="L1929" s="16" t="inlineStr">
        <is>
          <t>PDS-Abril(2).docx</t>
        </is>
      </c>
      <c r="M1929">
        <f>IF($A1929="","",TEXT($A1929,"mmmm/yyyy"))</f>
        <v/>
      </c>
      <c r="P1929">
        <f>IFERROR(_xludf.XLOOKUP($N1929,Base_Enderecos!$A:$A,Base_Enderecos!$B:$B,""),"")</f>
        <v/>
      </c>
      <c r="Q1929">
        <f>IFERROR(_xludf.XLOOKUP($N1929,Base_Enderecos!$A:$A,Base_Enderecos!$C:$C,""),"")</f>
        <v/>
      </c>
      <c r="R1929">
        <f>IF(OR(ISNUMBER(SEARCH("HDD",$F1929)),ISNUMBER(SEARCH("MND",$F1929)),ISNUMBER(SEARCH("PEAD",$F1929)),ISNUMBER(SEARCH("Puxe",$J1929)),ISNUMBER(SEARCH("Apoio HDD",$F1929))),"MND",IF(OR(ISNUMBER(SEARCH("VCA",$F1929)),ISNUMBER(SEARCH("PVC",$F1929)),ISNUMBER(SEARCH("vca",$J1929)),ISNUMBER(SEARCH("Transformação",$J1929))),"VCA",IF(OR(ISNUMBER(SEARCH("crava",$F1929)),ISNUMBER(SEARCH("tubo cravado",$F1929)),ISNUMBER(SEARCH("shaft",$J1929)),ISNUMBER(SEARCH("concreto",$F1929))),"TUBO CRAVADO","")))</f>
        <v/>
      </c>
      <c r="T1929">
        <f>IF($A1929="","",TEXT($A1929,"yyyymm")&amp;"|"&amp;$C1929&amp;"|"&amp;$F1929&amp;"|"&amp;$N1929&amp;"|"&amp;$R1929)</f>
        <v/>
      </c>
    </row>
    <row r="1930" ht="11.55" customHeight="1">
      <c r="A1930" s="10" t="n">
        <v>46130</v>
      </c>
      <c r="B1930" s="7" t="n"/>
      <c r="C1930" s="7" t="inlineStr">
        <is>
          <t>INT FERNANDO PACHECO JORDÃO</t>
        </is>
      </c>
      <c r="D1930" s="7" t="inlineStr">
        <is>
          <t>VALMIR</t>
        </is>
      </c>
      <c r="E1930" s="7" t="inlineStr">
        <is>
          <t>Ricardo</t>
        </is>
      </c>
      <c r="F1930" s="13" t="inlineStr">
        <is>
          <t>Apoio ao HDD</t>
        </is>
      </c>
      <c r="G1930" s="7" t="n"/>
      <c r="H1930" s="7" t="n"/>
      <c r="I1930" s="7" t="n"/>
      <c r="J1930" s="7" t="inlineStr">
        <is>
          <t>HDD</t>
        </is>
      </c>
      <c r="K1930" s="7" t="inlineStr">
        <is>
          <t>Planejamento</t>
        </is>
      </c>
      <c r="L1930" s="16" t="inlineStr">
        <is>
          <t>PDS-Abril(2).docx</t>
        </is>
      </c>
      <c r="M1930">
        <f>IF($A1930="","",TEXT($A1930,"mmmm/yyyy"))</f>
        <v/>
      </c>
      <c r="P1930">
        <f>IFERROR(_xludf.XLOOKUP($N1930,Base_Enderecos!$A:$A,Base_Enderecos!$B:$B,""),"")</f>
        <v/>
      </c>
      <c r="Q1930">
        <f>IFERROR(_xludf.XLOOKUP($N1930,Base_Enderecos!$A:$A,Base_Enderecos!$C:$C,""),"")</f>
        <v/>
      </c>
      <c r="R1930">
        <f>IF(OR(ISNUMBER(SEARCH("HDD",$F1930)),ISNUMBER(SEARCH("MND",$F1930)),ISNUMBER(SEARCH("PEAD",$F1930)),ISNUMBER(SEARCH("Puxe",$J1930)),ISNUMBER(SEARCH("Apoio HDD",$F1930))),"MND",IF(OR(ISNUMBER(SEARCH("VCA",$F1930)),ISNUMBER(SEARCH("PVC",$F1930)),ISNUMBER(SEARCH("vca",$J1930)),ISNUMBER(SEARCH("Transformação",$J1930))),"VCA",IF(OR(ISNUMBER(SEARCH("crava",$F1930)),ISNUMBER(SEARCH("tubo cravado",$F1930)),ISNUMBER(SEARCH("shaft",$J1930)),ISNUMBER(SEARCH("concreto",$F1930))),"TUBO CRAVADO","")))</f>
        <v/>
      </c>
      <c r="T1930">
        <f>IF($A1930="","",TEXT($A1930,"yyyymm")&amp;"|"&amp;$C1930&amp;"|"&amp;$F1930&amp;"|"&amp;$N1930&amp;"|"&amp;$R1930)</f>
        <v/>
      </c>
    </row>
    <row r="1931" ht="11.55" customHeight="1">
      <c r="A1931" s="10" t="n">
        <v>46130</v>
      </c>
      <c r="B1931" s="7" t="n"/>
      <c r="C1931" s="7" t="inlineStr">
        <is>
          <t>INT FERNANDO PACHECO JORDÃO</t>
        </is>
      </c>
      <c r="D1931" s="7" t="inlineStr">
        <is>
          <t>VALMIR</t>
        </is>
      </c>
      <c r="E1931" s="7" t="inlineStr">
        <is>
          <t>WJ-02</t>
        </is>
      </c>
      <c r="F1931" s="13" t="inlineStr">
        <is>
          <t>Furo piloto e Puxe PV 02 ao PV 01</t>
        </is>
      </c>
      <c r="G1931" s="7" t="inlineStr">
        <is>
          <t>02</t>
        </is>
      </c>
      <c r="H1931" s="7" t="inlineStr">
        <is>
          <t>01</t>
        </is>
      </c>
      <c r="I1931" s="7" t="inlineStr">
        <is>
          <t>02, 01</t>
        </is>
      </c>
      <c r="J1931" s="7" t="inlineStr">
        <is>
          <t>Furo piloto</t>
        </is>
      </c>
      <c r="K1931" s="7" t="inlineStr">
        <is>
          <t>Planejamento</t>
        </is>
      </c>
      <c r="L1931" s="16" t="inlineStr">
        <is>
          <t>PDS-Abril(2).docx</t>
        </is>
      </c>
      <c r="M1931">
        <f>IF($A1931="","",TEXT($A1931,"mmmm/yyyy"))</f>
        <v/>
      </c>
      <c r="P1931">
        <f>IFERROR(_xludf.XLOOKUP($N1931,Base_Enderecos!$A:$A,Base_Enderecos!$B:$B,""),"")</f>
        <v/>
      </c>
      <c r="Q1931">
        <f>IFERROR(_xludf.XLOOKUP($N1931,Base_Enderecos!$A:$A,Base_Enderecos!$C:$C,""),"")</f>
        <v/>
      </c>
      <c r="R1931">
        <f>IF(OR(ISNUMBER(SEARCH("HDD",$F1931)),ISNUMBER(SEARCH("MND",$F1931)),ISNUMBER(SEARCH("PEAD",$F1931)),ISNUMBER(SEARCH("Puxe",$J1931)),ISNUMBER(SEARCH("Apoio HDD",$F1931))),"MND",IF(OR(ISNUMBER(SEARCH("VCA",$F1931)),ISNUMBER(SEARCH("PVC",$F1931)),ISNUMBER(SEARCH("vca",$J1931)),ISNUMBER(SEARCH("Transformação",$J1931))),"VCA",IF(OR(ISNUMBER(SEARCH("crava",$F1931)),ISNUMBER(SEARCH("tubo cravado",$F1931)),ISNUMBER(SEARCH("shaft",$J1931)),ISNUMBER(SEARCH("concreto",$F1931))),"TUBO CRAVADO","")))</f>
        <v/>
      </c>
      <c r="T1931">
        <f>IF($A1931="","",TEXT($A1931,"yyyymm")&amp;"|"&amp;$C1931&amp;"|"&amp;$F1931&amp;"|"&amp;$N1931&amp;"|"&amp;$R1931)</f>
        <v/>
      </c>
    </row>
    <row r="1932" ht="11.55" customHeight="1">
      <c r="A1932" s="10" t="n">
        <v>46130</v>
      </c>
      <c r="B1932" s="7" t="n"/>
      <c r="C1932" s="7" t="inlineStr">
        <is>
          <t>INT FERNANDO PACHECO JORDÃO</t>
        </is>
      </c>
      <c r="D1932" s="7" t="inlineStr">
        <is>
          <t>VALMIR</t>
        </is>
      </c>
      <c r="E1932" s="7" t="inlineStr">
        <is>
          <t>Carlos</t>
        </is>
      </c>
      <c r="F1932" s="13" t="inlineStr">
        <is>
          <t>Apoio ao HDD</t>
        </is>
      </c>
      <c r="G1932" s="7" t="n"/>
      <c r="H1932" s="7" t="n"/>
      <c r="I1932" s="7" t="n"/>
      <c r="J1932" s="7" t="inlineStr">
        <is>
          <t>HDD</t>
        </is>
      </c>
      <c r="K1932" s="7" t="inlineStr">
        <is>
          <t>Planejamento</t>
        </is>
      </c>
      <c r="L1932" s="16" t="inlineStr">
        <is>
          <t>PDS-Abril(2).docx</t>
        </is>
      </c>
      <c r="M1932">
        <f>IF($A1932="","",TEXT($A1932,"mmmm/yyyy"))</f>
        <v/>
      </c>
      <c r="P1932">
        <f>IFERROR(_xludf.XLOOKUP($N1932,Base_Enderecos!$A:$A,Base_Enderecos!$B:$B,""),"")</f>
        <v/>
      </c>
      <c r="Q1932">
        <f>IFERROR(_xludf.XLOOKUP($N1932,Base_Enderecos!$A:$A,Base_Enderecos!$C:$C,""),"")</f>
        <v/>
      </c>
      <c r="R1932">
        <f>IF(OR(ISNUMBER(SEARCH("HDD",$F1932)),ISNUMBER(SEARCH("MND",$F1932)),ISNUMBER(SEARCH("PEAD",$F1932)),ISNUMBER(SEARCH("Puxe",$J1932)),ISNUMBER(SEARCH("Apoio HDD",$F1932))),"MND",IF(OR(ISNUMBER(SEARCH("VCA",$F1932)),ISNUMBER(SEARCH("PVC",$F1932)),ISNUMBER(SEARCH("vca",$J1932)),ISNUMBER(SEARCH("Transformação",$J1932))),"VCA",IF(OR(ISNUMBER(SEARCH("crava",$F1932)),ISNUMBER(SEARCH("tubo cravado",$F1932)),ISNUMBER(SEARCH("shaft",$J1932)),ISNUMBER(SEARCH("concreto",$F1932))),"TUBO CRAVADO","")))</f>
        <v/>
      </c>
      <c r="T1932">
        <f>IF($A1932="","",TEXT($A1932,"yyyymm")&amp;"|"&amp;$C1932&amp;"|"&amp;$F1932&amp;"|"&amp;$N1932&amp;"|"&amp;$R1932)</f>
        <v/>
      </c>
    </row>
    <row r="1933" ht="11.55" customHeight="1">
      <c r="A1933" s="10" t="n">
        <v>46130</v>
      </c>
      <c r="B1933" s="7" t="n"/>
      <c r="C1933" s="7" t="inlineStr">
        <is>
          <t>CTS LUIS BOTELHO MOURÃO</t>
        </is>
      </c>
      <c r="D1933" s="7" t="inlineStr">
        <is>
          <t>ELOIZIO</t>
        </is>
      </c>
      <c r="E1933" s="7" t="inlineStr">
        <is>
          <t>GOIÂNIA DRILL</t>
        </is>
      </c>
      <c r="F1933" s="13" t="inlineStr">
        <is>
          <t>Piloto e puxe entre PV 05 ao 06</t>
        </is>
      </c>
      <c r="G1933" s="7" t="inlineStr">
        <is>
          <t>05</t>
        </is>
      </c>
      <c r="H1933" s="7" t="n"/>
      <c r="I1933" s="7" t="inlineStr">
        <is>
          <t>05</t>
        </is>
      </c>
      <c r="J1933" s="7" t="inlineStr">
        <is>
          <t>Piloto e puxe</t>
        </is>
      </c>
      <c r="K1933" s="7" t="inlineStr">
        <is>
          <t>Planejamento</t>
        </is>
      </c>
      <c r="L1933" s="16" t="inlineStr">
        <is>
          <t>PDS-Abril(2).docx</t>
        </is>
      </c>
      <c r="M1933">
        <f>IF($A1933="","",TEXT($A1933,"mmmm/yyyy"))</f>
        <v/>
      </c>
      <c r="P1933">
        <f>IFERROR(_xludf.XLOOKUP($N1933,Base_Enderecos!$A:$A,Base_Enderecos!$B:$B,""),"")</f>
        <v/>
      </c>
      <c r="Q1933">
        <f>IFERROR(_xludf.XLOOKUP($N1933,Base_Enderecos!$A:$A,Base_Enderecos!$C:$C,""),"")</f>
        <v/>
      </c>
      <c r="R1933">
        <f>IF(OR(ISNUMBER(SEARCH("HDD",$F1933)),ISNUMBER(SEARCH("MND",$F1933)),ISNUMBER(SEARCH("PEAD",$F1933)),ISNUMBER(SEARCH("Puxe",$J1933)),ISNUMBER(SEARCH("Apoio HDD",$F1933))),"MND",IF(OR(ISNUMBER(SEARCH("VCA",$F1933)),ISNUMBER(SEARCH("PVC",$F1933)),ISNUMBER(SEARCH("vca",$J1933)),ISNUMBER(SEARCH("Transformação",$J1933))),"VCA",IF(OR(ISNUMBER(SEARCH("crava",$F1933)),ISNUMBER(SEARCH("tubo cravado",$F1933)),ISNUMBER(SEARCH("shaft",$J1933)),ISNUMBER(SEARCH("concreto",$F1933))),"TUBO CRAVADO","")))</f>
        <v/>
      </c>
      <c r="T1933">
        <f>IF($A1933="","",TEXT($A1933,"yyyymm")&amp;"|"&amp;$C1933&amp;"|"&amp;$F1933&amp;"|"&amp;$N1933&amp;"|"&amp;$R1933)</f>
        <v/>
      </c>
    </row>
    <row r="1934" ht="11.55" customHeight="1">
      <c r="A1934" s="10" t="n">
        <v>46130</v>
      </c>
      <c r="B1934" s="7" t="n"/>
      <c r="C1934" s="7" t="inlineStr">
        <is>
          <t>CTS LUIS BOTELHO MOURÃO</t>
        </is>
      </c>
      <c r="D1934" s="7" t="inlineStr">
        <is>
          <t>ELOIZIO</t>
        </is>
      </c>
      <c r="E1934" s="7" t="inlineStr">
        <is>
          <t>Bruno</t>
        </is>
      </c>
      <c r="F1934" s="13" t="inlineStr">
        <is>
          <t>Apoio ao HDD</t>
        </is>
      </c>
      <c r="G1934" s="7" t="n"/>
      <c r="H1934" s="7" t="n"/>
      <c r="I1934" s="7" t="n"/>
      <c r="J1934" s="7" t="inlineStr">
        <is>
          <t>HDD</t>
        </is>
      </c>
      <c r="K1934" s="7" t="inlineStr">
        <is>
          <t>Planejamento</t>
        </is>
      </c>
      <c r="L1934" s="16" t="inlineStr">
        <is>
          <t>PDS-Abril(2).docx</t>
        </is>
      </c>
      <c r="M1934">
        <f>IF($A1934="","",TEXT($A1934,"mmmm/yyyy"))</f>
        <v/>
      </c>
      <c r="P1934">
        <f>IFERROR(_xludf.XLOOKUP($N1934,Base_Enderecos!$A:$A,Base_Enderecos!$B:$B,""),"")</f>
        <v/>
      </c>
      <c r="Q1934">
        <f>IFERROR(_xludf.XLOOKUP($N1934,Base_Enderecos!$A:$A,Base_Enderecos!$C:$C,""),"")</f>
        <v/>
      </c>
      <c r="R1934">
        <f>IF(OR(ISNUMBER(SEARCH("HDD",$F1934)),ISNUMBER(SEARCH("MND",$F1934)),ISNUMBER(SEARCH("PEAD",$F1934)),ISNUMBER(SEARCH("Puxe",$J1934)),ISNUMBER(SEARCH("Apoio HDD",$F1934))),"MND",IF(OR(ISNUMBER(SEARCH("VCA",$F1934)),ISNUMBER(SEARCH("PVC",$F1934)),ISNUMBER(SEARCH("vca",$J1934)),ISNUMBER(SEARCH("Transformação",$J1934))),"VCA",IF(OR(ISNUMBER(SEARCH("crava",$F1934)),ISNUMBER(SEARCH("tubo cravado",$F1934)),ISNUMBER(SEARCH("shaft",$J1934)),ISNUMBER(SEARCH("concreto",$F1934))),"TUBO CRAVADO","")))</f>
        <v/>
      </c>
      <c r="T1934">
        <f>IF($A1934="","",TEXT($A1934,"yyyymm")&amp;"|"&amp;$C1934&amp;"|"&amp;$F1934&amp;"|"&amp;$N1934&amp;"|"&amp;$R1934)</f>
        <v/>
      </c>
    </row>
    <row r="1935" ht="11.55" customHeight="1">
      <c r="A1935" s="10" t="n">
        <v>46130</v>
      </c>
      <c r="B1935" s="7" t="n"/>
      <c r="C1935" s="7" t="inlineStr">
        <is>
          <t>CTS LUIS BOTELHO MOURÃO</t>
        </is>
      </c>
      <c r="D1935" s="7" t="inlineStr">
        <is>
          <t>ELOIZIO</t>
        </is>
      </c>
      <c r="E1935" s="7" t="inlineStr">
        <is>
          <t>Cidão</t>
        </is>
      </c>
      <c r="F1935" s="13" t="inlineStr">
        <is>
          <t>Transformação PV 07</t>
        </is>
      </c>
      <c r="G1935" s="7" t="inlineStr">
        <is>
          <t>07</t>
        </is>
      </c>
      <c r="H1935" s="7" t="n"/>
      <c r="I1935" s="7" t="inlineStr">
        <is>
          <t>07</t>
        </is>
      </c>
      <c r="J1935" s="7" t="inlineStr">
        <is>
          <t>Transformação</t>
        </is>
      </c>
      <c r="K1935" s="7" t="inlineStr">
        <is>
          <t>Planejamento</t>
        </is>
      </c>
      <c r="L1935" s="16" t="inlineStr">
        <is>
          <t>PDS-Abril(2).docx</t>
        </is>
      </c>
      <c r="M1935">
        <f>IF($A1935="","",TEXT($A1935,"mmmm/yyyy"))</f>
        <v/>
      </c>
      <c r="P1935">
        <f>IFERROR(_xludf.XLOOKUP($N1935,Base_Enderecos!$A:$A,Base_Enderecos!$B:$B,""),"")</f>
        <v/>
      </c>
      <c r="Q1935">
        <f>IFERROR(_xludf.XLOOKUP($N1935,Base_Enderecos!$A:$A,Base_Enderecos!$C:$C,""),"")</f>
        <v/>
      </c>
      <c r="R1935">
        <f>IF(OR(ISNUMBER(SEARCH("HDD",$F1935)),ISNUMBER(SEARCH("MND",$F1935)),ISNUMBER(SEARCH("PEAD",$F1935)),ISNUMBER(SEARCH("Puxe",$J1935)),ISNUMBER(SEARCH("Apoio HDD",$F1935))),"MND",IF(OR(ISNUMBER(SEARCH("VCA",$F1935)),ISNUMBER(SEARCH("PVC",$F1935)),ISNUMBER(SEARCH("vca",$J1935)),ISNUMBER(SEARCH("Transformação",$J1935))),"VCA",IF(OR(ISNUMBER(SEARCH("crava",$F1935)),ISNUMBER(SEARCH("tubo cravado",$F1935)),ISNUMBER(SEARCH("shaft",$J1935)),ISNUMBER(SEARCH("concreto",$F1935))),"TUBO CRAVADO","")))</f>
        <v/>
      </c>
      <c r="T1935">
        <f>IF($A1935="","",TEXT($A1935,"yyyymm")&amp;"|"&amp;$C1935&amp;"|"&amp;$F1935&amp;"|"&amp;$N1935&amp;"|"&amp;$R1935)</f>
        <v/>
      </c>
    </row>
    <row r="1936" ht="11.55" customHeight="1">
      <c r="A1936" s="10" t="n">
        <v>46132</v>
      </c>
      <c r="B1936" s="7" t="inlineStr">
        <is>
          <t>Segunda</t>
        </is>
      </c>
      <c r="C1936" s="7" t="inlineStr">
        <is>
          <t>CTS CONCEIÇÃO</t>
        </is>
      </c>
      <c r="D1936" s="7" t="inlineStr">
        <is>
          <t>LEANDRO</t>
        </is>
      </c>
      <c r="E1936" s="7" t="inlineStr">
        <is>
          <t>Goiania Drill</t>
        </is>
      </c>
      <c r="F1936" s="13" t="inlineStr">
        <is>
          <t>Puxe entre PV 10.1 ao 10.2</t>
        </is>
      </c>
      <c r="G1936" s="7" t="inlineStr">
        <is>
          <t>10.1</t>
        </is>
      </c>
      <c r="H1936" s="7" t="n"/>
      <c r="I1936" s="7" t="inlineStr">
        <is>
          <t>10.1</t>
        </is>
      </c>
      <c r="J1936" s="7" t="inlineStr">
        <is>
          <t>Puxe</t>
        </is>
      </c>
      <c r="K1936" s="7" t="inlineStr">
        <is>
          <t>Planejamento</t>
        </is>
      </c>
      <c r="L1936" s="16" t="inlineStr">
        <is>
          <t>PDS-Abril(2).docx</t>
        </is>
      </c>
      <c r="M1936">
        <f>IF($A1936="","",TEXT($A1936,"mmmm/yyyy"))</f>
        <v/>
      </c>
      <c r="P1936">
        <f>IFERROR(_xludf.XLOOKUP($N1936,Base_Enderecos!$A:$A,Base_Enderecos!$B:$B,""),"")</f>
        <v/>
      </c>
      <c r="Q1936">
        <f>IFERROR(_xludf.XLOOKUP($N1936,Base_Enderecos!$A:$A,Base_Enderecos!$C:$C,""),"")</f>
        <v/>
      </c>
      <c r="R1936">
        <f>IF(OR(ISNUMBER(SEARCH("HDD",$F1936)),ISNUMBER(SEARCH("MND",$F1936)),ISNUMBER(SEARCH("PEAD",$F1936)),ISNUMBER(SEARCH("Puxe",$J1936)),ISNUMBER(SEARCH("Apoio HDD",$F1936))),"MND",IF(OR(ISNUMBER(SEARCH("VCA",$F1936)),ISNUMBER(SEARCH("PVC",$F1936)),ISNUMBER(SEARCH("vca",$J1936)),ISNUMBER(SEARCH("Transformação",$J1936))),"VCA",IF(OR(ISNUMBER(SEARCH("crava",$F1936)),ISNUMBER(SEARCH("tubo cravado",$F1936)),ISNUMBER(SEARCH("shaft",$J1936)),ISNUMBER(SEARCH("concreto",$F1936))),"TUBO CRAVADO","")))</f>
        <v/>
      </c>
      <c r="T1936">
        <f>IF($A1936="","",TEXT($A1936,"yyyymm")&amp;"|"&amp;$C1936&amp;"|"&amp;$F1936&amp;"|"&amp;$N1936&amp;"|"&amp;$R1936)</f>
        <v/>
      </c>
    </row>
    <row r="1937" ht="11.55" customHeight="1">
      <c r="A1937" s="10" t="n">
        <v>46132</v>
      </c>
      <c r="B1937" s="7" t="inlineStr">
        <is>
          <t>Segunda</t>
        </is>
      </c>
      <c r="C1937" s="7" t="inlineStr">
        <is>
          <t>CTS CONCEIÇÃO</t>
        </is>
      </c>
      <c r="D1937" s="7" t="inlineStr">
        <is>
          <t>LEANDRO</t>
        </is>
      </c>
      <c r="E1937" s="7" t="inlineStr">
        <is>
          <t>Bruno</t>
        </is>
      </c>
      <c r="F1937" s="13" t="inlineStr">
        <is>
          <t>Apoio HDD PV 10.1 ao 10.2</t>
        </is>
      </c>
      <c r="G1937" s="7" t="inlineStr">
        <is>
          <t>10.1</t>
        </is>
      </c>
      <c r="H1937" s="7" t="n"/>
      <c r="I1937" s="7" t="inlineStr">
        <is>
          <t>10.1</t>
        </is>
      </c>
      <c r="J1937" s="7" t="inlineStr">
        <is>
          <t>Apoio HDD</t>
        </is>
      </c>
      <c r="K1937" s="7" t="inlineStr">
        <is>
          <t>Planejamento</t>
        </is>
      </c>
      <c r="L1937" s="16" t="inlineStr">
        <is>
          <t>PDS-Abril(2).docx</t>
        </is>
      </c>
      <c r="M1937">
        <f>IF($A1937="","",TEXT($A1937,"mmmm/yyyy"))</f>
        <v/>
      </c>
      <c r="P1937">
        <f>IFERROR(_xludf.XLOOKUP($N1937,Base_Enderecos!$A:$A,Base_Enderecos!$B:$B,""),"")</f>
        <v/>
      </c>
      <c r="Q1937">
        <f>IFERROR(_xludf.XLOOKUP($N1937,Base_Enderecos!$A:$A,Base_Enderecos!$C:$C,""),"")</f>
        <v/>
      </c>
      <c r="R1937">
        <f>IF(OR(ISNUMBER(SEARCH("HDD",$F1937)),ISNUMBER(SEARCH("MND",$F1937)),ISNUMBER(SEARCH("PEAD",$F1937)),ISNUMBER(SEARCH("Puxe",$J1937)),ISNUMBER(SEARCH("Apoio HDD",$F1937))),"MND",IF(OR(ISNUMBER(SEARCH("VCA",$F1937)),ISNUMBER(SEARCH("PVC",$F1937)),ISNUMBER(SEARCH("vca",$J1937)),ISNUMBER(SEARCH("Transformação",$J1937))),"VCA",IF(OR(ISNUMBER(SEARCH("crava",$F1937)),ISNUMBER(SEARCH("tubo cravado",$F1937)),ISNUMBER(SEARCH("shaft",$J1937)),ISNUMBER(SEARCH("concreto",$F1937))),"TUBO CRAVADO","")))</f>
        <v/>
      </c>
      <c r="T1937">
        <f>IF($A1937="","",TEXT($A1937,"yyyymm")&amp;"|"&amp;$C1937&amp;"|"&amp;$F1937&amp;"|"&amp;$N1937&amp;"|"&amp;$R1937)</f>
        <v/>
      </c>
    </row>
    <row r="1938" ht="11.55" customHeight="1">
      <c r="A1938" s="10" t="n">
        <v>46132</v>
      </c>
      <c r="B1938" s="7" t="inlineStr">
        <is>
          <t>Segunda</t>
        </is>
      </c>
      <c r="C1938" s="7" t="inlineStr">
        <is>
          <t>CTS CONCEIÇÃO</t>
        </is>
      </c>
      <c r="D1938" s="7" t="inlineStr">
        <is>
          <t>LEANDRO</t>
        </is>
      </c>
      <c r="E1938" s="7" t="inlineStr">
        <is>
          <t>Carlos</t>
        </is>
      </c>
      <c r="F1938" s="13" t="inlineStr">
        <is>
          <t>Luva PV 9.1</t>
        </is>
      </c>
      <c r="G1938" s="7" t="inlineStr">
        <is>
          <t>9.1</t>
        </is>
      </c>
      <c r="H1938" s="7" t="n"/>
      <c r="I1938" s="7" t="inlineStr">
        <is>
          <t>9.1</t>
        </is>
      </c>
      <c r="J1938" s="7" t="inlineStr">
        <is>
          <t>Luva</t>
        </is>
      </c>
      <c r="K1938" s="7" t="inlineStr">
        <is>
          <t>Planejamento</t>
        </is>
      </c>
      <c r="L1938" s="16" t="inlineStr">
        <is>
          <t>PDS-Abril(2).docx</t>
        </is>
      </c>
      <c r="M1938">
        <f>IF($A1938="","",TEXT($A1938,"mmmm/yyyy"))</f>
        <v/>
      </c>
      <c r="P1938">
        <f>IFERROR(_xludf.XLOOKUP($N1938,Base_Enderecos!$A:$A,Base_Enderecos!$B:$B,""),"")</f>
        <v/>
      </c>
      <c r="Q1938">
        <f>IFERROR(_xludf.XLOOKUP($N1938,Base_Enderecos!$A:$A,Base_Enderecos!$C:$C,""),"")</f>
        <v/>
      </c>
      <c r="R1938">
        <f>IF(OR(ISNUMBER(SEARCH("HDD",$F1938)),ISNUMBER(SEARCH("MND",$F1938)),ISNUMBER(SEARCH("PEAD",$F1938)),ISNUMBER(SEARCH("Puxe",$J1938)),ISNUMBER(SEARCH("Apoio HDD",$F1938))),"MND",IF(OR(ISNUMBER(SEARCH("VCA",$F1938)),ISNUMBER(SEARCH("PVC",$F1938)),ISNUMBER(SEARCH("vca",$J1938)),ISNUMBER(SEARCH("Transformação",$J1938))),"VCA",IF(OR(ISNUMBER(SEARCH("crava",$F1938)),ISNUMBER(SEARCH("tubo cravado",$F1938)),ISNUMBER(SEARCH("shaft",$J1938)),ISNUMBER(SEARCH("concreto",$F1938))),"TUBO CRAVADO","")))</f>
        <v/>
      </c>
      <c r="T1938">
        <f>IF($A1938="","",TEXT($A1938,"yyyymm")&amp;"|"&amp;$C1938&amp;"|"&amp;$F1938&amp;"|"&amp;$N1938&amp;"|"&amp;$R1938)</f>
        <v/>
      </c>
    </row>
    <row r="1939" ht="11.55" customHeight="1">
      <c r="A1939" s="10" t="n">
        <v>46132</v>
      </c>
      <c r="B1939" s="7" t="inlineStr">
        <is>
          <t>Segunda</t>
        </is>
      </c>
      <c r="C1939" s="7" t="inlineStr">
        <is>
          <t>CT ÁGUA VERMELHA M.D. e M.E</t>
        </is>
      </c>
      <c r="D1939" s="7" t="inlineStr">
        <is>
          <t>FABIO</t>
        </is>
      </c>
      <c r="E1939" s="7" t="inlineStr">
        <is>
          <t>Claudinei</t>
        </is>
      </c>
      <c r="F1939" s="13" t="inlineStr">
        <is>
          <t>Apoio casa (PVD 7)</t>
        </is>
      </c>
      <c r="G1939" s="7" t="inlineStr">
        <is>
          <t>7</t>
        </is>
      </c>
      <c r="H1939" s="7" t="n"/>
      <c r="I1939" s="7" t="inlineStr">
        <is>
          <t>7</t>
        </is>
      </c>
      <c r="J1939" s="7" t="n"/>
      <c r="K1939" s="7" t="inlineStr">
        <is>
          <t>Planejamento</t>
        </is>
      </c>
      <c r="L1939" s="16" t="inlineStr">
        <is>
          <t>PDS-Abril(2).docx</t>
        </is>
      </c>
      <c r="M1939">
        <f>IF($A1939="","",TEXT($A1939,"mmmm/yyyy"))</f>
        <v/>
      </c>
      <c r="P1939">
        <f>IFERROR(_xludf.XLOOKUP($N1939,Base_Enderecos!$A:$A,Base_Enderecos!$B:$B,""),"")</f>
        <v/>
      </c>
      <c r="Q1939">
        <f>IFERROR(_xludf.XLOOKUP($N1939,Base_Enderecos!$A:$A,Base_Enderecos!$C:$C,""),"")</f>
        <v/>
      </c>
      <c r="R1939">
        <f>IF(OR(ISNUMBER(SEARCH("HDD",$F1939)),ISNUMBER(SEARCH("MND",$F1939)),ISNUMBER(SEARCH("PEAD",$F1939)),ISNUMBER(SEARCH("Puxe",$J1939)),ISNUMBER(SEARCH("Apoio HDD",$F1939))),"MND",IF(OR(ISNUMBER(SEARCH("VCA",$F1939)),ISNUMBER(SEARCH("PVC",$F1939)),ISNUMBER(SEARCH("vca",$J1939)),ISNUMBER(SEARCH("Transformação",$J1939))),"VCA",IF(OR(ISNUMBER(SEARCH("crava",$F1939)),ISNUMBER(SEARCH("tubo cravado",$F1939)),ISNUMBER(SEARCH("shaft",$J1939)),ISNUMBER(SEARCH("concreto",$F1939))),"TUBO CRAVADO","")))</f>
        <v/>
      </c>
      <c r="T1939">
        <f>IF($A1939="","",TEXT($A1939,"yyyymm")&amp;"|"&amp;$C1939&amp;"|"&amp;$F1939&amp;"|"&amp;$N1939&amp;"|"&amp;$R1939)</f>
        <v/>
      </c>
    </row>
    <row r="1940" ht="11.55" customHeight="1">
      <c r="A1940" s="10" t="n">
        <v>46132</v>
      </c>
      <c r="B1940" s="7" t="inlineStr">
        <is>
          <t>Segunda</t>
        </is>
      </c>
      <c r="C1940" s="7" t="inlineStr">
        <is>
          <t>CT ÁGUA VERMELHA M.D. e M.E</t>
        </is>
      </c>
      <c r="D1940" s="7" t="inlineStr">
        <is>
          <t>FABIO</t>
        </is>
      </c>
      <c r="E1940" s="7" t="inlineStr">
        <is>
          <t>Marcelo</t>
        </is>
      </c>
      <c r="F1940" s="13" t="inlineStr">
        <is>
          <t>Interligação PVD 2</t>
        </is>
      </c>
      <c r="G1940" s="7" t="inlineStr">
        <is>
          <t>2</t>
        </is>
      </c>
      <c r="H1940" s="7" t="n"/>
      <c r="I1940" s="7" t="inlineStr">
        <is>
          <t>2</t>
        </is>
      </c>
      <c r="J1940" s="7" t="inlineStr">
        <is>
          <t>Interligação</t>
        </is>
      </c>
      <c r="K1940" s="7" t="inlineStr">
        <is>
          <t>Planejamento</t>
        </is>
      </c>
      <c r="L1940" s="16" t="inlineStr">
        <is>
          <t>PDS-Abril(2).docx</t>
        </is>
      </c>
      <c r="M1940">
        <f>IF($A1940="","",TEXT($A1940,"mmmm/yyyy"))</f>
        <v/>
      </c>
      <c r="P1940">
        <f>IFERROR(_xludf.XLOOKUP($N1940,Base_Enderecos!$A:$A,Base_Enderecos!$B:$B,""),"")</f>
        <v/>
      </c>
      <c r="Q1940">
        <f>IFERROR(_xludf.XLOOKUP($N1940,Base_Enderecos!$A:$A,Base_Enderecos!$C:$C,""),"")</f>
        <v/>
      </c>
      <c r="R1940">
        <f>IF(OR(ISNUMBER(SEARCH("HDD",$F1940)),ISNUMBER(SEARCH("MND",$F1940)),ISNUMBER(SEARCH("PEAD",$F1940)),ISNUMBER(SEARCH("Puxe",$J1940)),ISNUMBER(SEARCH("Apoio HDD",$F1940))),"MND",IF(OR(ISNUMBER(SEARCH("VCA",$F1940)),ISNUMBER(SEARCH("PVC",$F1940)),ISNUMBER(SEARCH("vca",$J1940)),ISNUMBER(SEARCH("Transformação",$J1940))),"VCA",IF(OR(ISNUMBER(SEARCH("crava",$F1940)),ISNUMBER(SEARCH("tubo cravado",$F1940)),ISNUMBER(SEARCH("shaft",$J1940)),ISNUMBER(SEARCH("concreto",$F1940))),"TUBO CRAVADO","")))</f>
        <v/>
      </c>
      <c r="T1940">
        <f>IF($A1940="","",TEXT($A1940,"yyyymm")&amp;"|"&amp;$C1940&amp;"|"&amp;$F1940&amp;"|"&amp;$N1940&amp;"|"&amp;$R1940)</f>
        <v/>
      </c>
    </row>
    <row r="1941" ht="11.55" customHeight="1">
      <c r="A1941" s="10" t="n">
        <v>46132</v>
      </c>
      <c r="B1941" s="7" t="inlineStr">
        <is>
          <t>Segunda</t>
        </is>
      </c>
      <c r="C1941" s="7" t="inlineStr">
        <is>
          <t>CT ÁGUA VERMELHA M.D. e M.E</t>
        </is>
      </c>
      <c r="D1941" s="7" t="inlineStr">
        <is>
          <t>FABIO</t>
        </is>
      </c>
      <c r="E1941" s="7" t="inlineStr">
        <is>
          <t>Johnatham</t>
        </is>
      </c>
      <c r="F1941" s="13" t="inlineStr">
        <is>
          <t>Shaft PVD 14</t>
        </is>
      </c>
      <c r="G1941" s="7" t="inlineStr">
        <is>
          <t>14</t>
        </is>
      </c>
      <c r="H1941" s="7" t="n"/>
      <c r="I1941" s="7" t="inlineStr">
        <is>
          <t>14</t>
        </is>
      </c>
      <c r="J1941" s="7" t="inlineStr">
        <is>
          <t>Shaft</t>
        </is>
      </c>
      <c r="K1941" s="7" t="inlineStr">
        <is>
          <t>Planejamento</t>
        </is>
      </c>
      <c r="L1941" s="16" t="inlineStr">
        <is>
          <t>PDS-Abril(2).docx</t>
        </is>
      </c>
      <c r="M1941">
        <f>IF($A1941="","",TEXT($A1941,"mmmm/yyyy"))</f>
        <v/>
      </c>
      <c r="P1941">
        <f>IFERROR(_xludf.XLOOKUP($N1941,Base_Enderecos!$A:$A,Base_Enderecos!$B:$B,""),"")</f>
        <v/>
      </c>
      <c r="Q1941">
        <f>IFERROR(_xludf.XLOOKUP($N1941,Base_Enderecos!$A:$A,Base_Enderecos!$C:$C,""),"")</f>
        <v/>
      </c>
      <c r="R1941">
        <f>IF(OR(ISNUMBER(SEARCH("HDD",$F1941)),ISNUMBER(SEARCH("MND",$F1941)),ISNUMBER(SEARCH("PEAD",$F1941)),ISNUMBER(SEARCH("Puxe",$J1941)),ISNUMBER(SEARCH("Apoio HDD",$F1941))),"MND",IF(OR(ISNUMBER(SEARCH("VCA",$F1941)),ISNUMBER(SEARCH("PVC",$F1941)),ISNUMBER(SEARCH("vca",$J1941)),ISNUMBER(SEARCH("Transformação",$J1941))),"VCA",IF(OR(ISNUMBER(SEARCH("crava",$F1941)),ISNUMBER(SEARCH("tubo cravado",$F1941)),ISNUMBER(SEARCH("shaft",$J1941)),ISNUMBER(SEARCH("concreto",$F1941))),"TUBO CRAVADO","")))</f>
        <v/>
      </c>
      <c r="T1941">
        <f>IF($A1941="","",TEXT($A1941,"yyyymm")&amp;"|"&amp;$C1941&amp;"|"&amp;$F1941&amp;"|"&amp;$N1941&amp;"|"&amp;$R1941)</f>
        <v/>
      </c>
    </row>
    <row r="1942" ht="11.55" customHeight="1">
      <c r="A1942" s="10" t="n">
        <v>46132</v>
      </c>
      <c r="B1942" s="7" t="inlineStr">
        <is>
          <t>Segunda</t>
        </is>
      </c>
      <c r="C1942" s="7" t="inlineStr">
        <is>
          <t>CT ÁGUA VERMELHA M.D. e M.E</t>
        </is>
      </c>
      <c r="D1942" s="7" t="inlineStr">
        <is>
          <t>FABIO</t>
        </is>
      </c>
      <c r="E1942" s="7" t="inlineStr">
        <is>
          <t>Antônio</t>
        </is>
      </c>
      <c r="F1942" s="13" t="inlineStr">
        <is>
          <t>Transformação PIE 10.2</t>
        </is>
      </c>
      <c r="G1942" s="7" t="n"/>
      <c r="H1942" s="7" t="n"/>
      <c r="I1942" s="7" t="n"/>
      <c r="J1942" s="7" t="inlineStr">
        <is>
          <t>Transformação</t>
        </is>
      </c>
      <c r="K1942" s="7" t="inlineStr">
        <is>
          <t>Planejamento</t>
        </is>
      </c>
      <c r="L1942" s="16" t="inlineStr">
        <is>
          <t>PDS-Abril(2).docx</t>
        </is>
      </c>
      <c r="M1942">
        <f>IF($A1942="","",TEXT($A1942,"mmmm/yyyy"))</f>
        <v/>
      </c>
      <c r="P1942">
        <f>IFERROR(_xludf.XLOOKUP($N1942,Base_Enderecos!$A:$A,Base_Enderecos!$B:$B,""),"")</f>
        <v/>
      </c>
      <c r="Q1942">
        <f>IFERROR(_xludf.XLOOKUP($N1942,Base_Enderecos!$A:$A,Base_Enderecos!$C:$C,""),"")</f>
        <v/>
      </c>
      <c r="R1942">
        <f>IF(OR(ISNUMBER(SEARCH("HDD",$F1942)),ISNUMBER(SEARCH("MND",$F1942)),ISNUMBER(SEARCH("PEAD",$F1942)),ISNUMBER(SEARCH("Puxe",$J1942)),ISNUMBER(SEARCH("Apoio HDD",$F1942))),"MND",IF(OR(ISNUMBER(SEARCH("VCA",$F1942)),ISNUMBER(SEARCH("PVC",$F1942)),ISNUMBER(SEARCH("vca",$J1942)),ISNUMBER(SEARCH("Transformação",$J1942))),"VCA",IF(OR(ISNUMBER(SEARCH("crava",$F1942)),ISNUMBER(SEARCH("tubo cravado",$F1942)),ISNUMBER(SEARCH("shaft",$J1942)),ISNUMBER(SEARCH("concreto",$F1942))),"TUBO CRAVADO","")))</f>
        <v/>
      </c>
      <c r="T1942">
        <f>IF($A1942="","",TEXT($A1942,"yyyymm")&amp;"|"&amp;$C1942&amp;"|"&amp;$F1942&amp;"|"&amp;$N1942&amp;"|"&amp;$R1942)</f>
        <v/>
      </c>
    </row>
    <row r="1943" ht="11.55" customHeight="1">
      <c r="A1943" s="10" t="n">
        <v>46132</v>
      </c>
      <c r="B1943" s="7" t="inlineStr">
        <is>
          <t>Segunda</t>
        </is>
      </c>
      <c r="C1943" s="7" t="inlineStr">
        <is>
          <t>CT ÁGUA VERMELHA M.D. e M.E</t>
        </is>
      </c>
      <c r="D1943" s="7" t="inlineStr">
        <is>
          <t>FABIO</t>
        </is>
      </c>
      <c r="E1943" s="7" t="inlineStr">
        <is>
          <t>Cesar</t>
        </is>
      </c>
      <c r="F1943" s="13" t="inlineStr">
        <is>
          <t>Shaft PVD 17</t>
        </is>
      </c>
      <c r="G1943" s="7" t="inlineStr">
        <is>
          <t>17</t>
        </is>
      </c>
      <c r="H1943" s="7" t="n"/>
      <c r="I1943" s="7" t="inlineStr">
        <is>
          <t>17</t>
        </is>
      </c>
      <c r="J1943" s="7" t="inlineStr">
        <is>
          <t>Shaft</t>
        </is>
      </c>
      <c r="K1943" s="7" t="inlineStr">
        <is>
          <t>Planejamento</t>
        </is>
      </c>
      <c r="L1943" s="16" t="inlineStr">
        <is>
          <t>PDS-Abril(2).docx</t>
        </is>
      </c>
      <c r="M1943">
        <f>IF($A1943="","",TEXT($A1943,"mmmm/yyyy"))</f>
        <v/>
      </c>
      <c r="P1943">
        <f>IFERROR(_xludf.XLOOKUP($N1943,Base_Enderecos!$A:$A,Base_Enderecos!$B:$B,""),"")</f>
        <v/>
      </c>
      <c r="Q1943">
        <f>IFERROR(_xludf.XLOOKUP($N1943,Base_Enderecos!$A:$A,Base_Enderecos!$C:$C,""),"")</f>
        <v/>
      </c>
      <c r="R1943">
        <f>IF(OR(ISNUMBER(SEARCH("HDD",$F1943)),ISNUMBER(SEARCH("MND",$F1943)),ISNUMBER(SEARCH("PEAD",$F1943)),ISNUMBER(SEARCH("Puxe",$J1943)),ISNUMBER(SEARCH("Apoio HDD",$F1943))),"MND",IF(OR(ISNUMBER(SEARCH("VCA",$F1943)),ISNUMBER(SEARCH("PVC",$F1943)),ISNUMBER(SEARCH("vca",$J1943)),ISNUMBER(SEARCH("Transformação",$J1943))),"VCA",IF(OR(ISNUMBER(SEARCH("crava",$F1943)),ISNUMBER(SEARCH("tubo cravado",$F1943)),ISNUMBER(SEARCH("shaft",$J1943)),ISNUMBER(SEARCH("concreto",$F1943))),"TUBO CRAVADO","")))</f>
        <v/>
      </c>
      <c r="T1943">
        <f>IF($A1943="","",TEXT($A1943,"yyyymm")&amp;"|"&amp;$C1943&amp;"|"&amp;$F1943&amp;"|"&amp;$N1943&amp;"|"&amp;$R1943)</f>
        <v/>
      </c>
    </row>
    <row r="1944" ht="11.55" customHeight="1">
      <c r="A1944" s="10" t="n">
        <v>46132</v>
      </c>
      <c r="B1944" s="7" t="inlineStr">
        <is>
          <t>Segunda</t>
        </is>
      </c>
      <c r="C1944" s="7" t="inlineStr">
        <is>
          <t>INT FERNANDO PACHECO JORDÃO</t>
        </is>
      </c>
      <c r="D1944" s="7" t="inlineStr">
        <is>
          <t>VALMIR</t>
        </is>
      </c>
      <c r="E1944" s="7" t="inlineStr">
        <is>
          <t>WJ 02</t>
        </is>
      </c>
      <c r="F1944" s="13" t="inlineStr">
        <is>
          <t>Furo piloto e Puxe PV 02 ao PV 01</t>
        </is>
      </c>
      <c r="G1944" s="7" t="inlineStr">
        <is>
          <t>02</t>
        </is>
      </c>
      <c r="H1944" s="7" t="inlineStr">
        <is>
          <t>01</t>
        </is>
      </c>
      <c r="I1944" s="7" t="inlineStr">
        <is>
          <t>02, 01</t>
        </is>
      </c>
      <c r="J1944" s="7" t="inlineStr">
        <is>
          <t>Furo piloto</t>
        </is>
      </c>
      <c r="K1944" s="7" t="inlineStr">
        <is>
          <t>Planejamento</t>
        </is>
      </c>
      <c r="L1944" s="16" t="inlineStr">
        <is>
          <t>PDS-Abril(2).docx</t>
        </is>
      </c>
      <c r="M1944">
        <f>IF($A1944="","",TEXT($A1944,"mmmm/yyyy"))</f>
        <v/>
      </c>
      <c r="P1944">
        <f>IFERROR(_xludf.XLOOKUP($N1944,Base_Enderecos!$A:$A,Base_Enderecos!$B:$B,""),"")</f>
        <v/>
      </c>
      <c r="Q1944">
        <f>IFERROR(_xludf.XLOOKUP($N1944,Base_Enderecos!$A:$A,Base_Enderecos!$C:$C,""),"")</f>
        <v/>
      </c>
      <c r="R1944">
        <f>IF(OR(ISNUMBER(SEARCH("HDD",$F1944)),ISNUMBER(SEARCH("MND",$F1944)),ISNUMBER(SEARCH("PEAD",$F1944)),ISNUMBER(SEARCH("Puxe",$J1944)),ISNUMBER(SEARCH("Apoio HDD",$F1944))),"MND",IF(OR(ISNUMBER(SEARCH("VCA",$F1944)),ISNUMBER(SEARCH("PVC",$F1944)),ISNUMBER(SEARCH("vca",$J1944)),ISNUMBER(SEARCH("Transformação",$J1944))),"VCA",IF(OR(ISNUMBER(SEARCH("crava",$F1944)),ISNUMBER(SEARCH("tubo cravado",$F1944)),ISNUMBER(SEARCH("shaft",$J1944)),ISNUMBER(SEARCH("concreto",$F1944))),"TUBO CRAVADO","")))</f>
        <v/>
      </c>
      <c r="T1944">
        <f>IF($A1944="","",TEXT($A1944,"yyyymm")&amp;"|"&amp;$C1944&amp;"|"&amp;$F1944&amp;"|"&amp;$N1944&amp;"|"&amp;$R1944)</f>
        <v/>
      </c>
    </row>
    <row r="1945" ht="11.55" customHeight="1">
      <c r="A1945" s="10" t="n">
        <v>46132</v>
      </c>
      <c r="B1945" s="7" t="inlineStr">
        <is>
          <t>Segunda</t>
        </is>
      </c>
      <c r="C1945" s="7" t="inlineStr">
        <is>
          <t>INT FERNANDO PACHECO JORDÃO</t>
        </is>
      </c>
      <c r="D1945" s="7" t="inlineStr">
        <is>
          <t>VALMIR</t>
        </is>
      </c>
      <c r="E1945" s="7" t="inlineStr">
        <is>
          <t>Ricardo</t>
        </is>
      </c>
      <c r="F1945" s="13" t="inlineStr">
        <is>
          <t>Apoio HDD PV 02 ao PV 01</t>
        </is>
      </c>
      <c r="G1945" s="7" t="inlineStr">
        <is>
          <t>02</t>
        </is>
      </c>
      <c r="H1945" s="7" t="inlineStr">
        <is>
          <t>01</t>
        </is>
      </c>
      <c r="I1945" s="7" t="inlineStr">
        <is>
          <t>02, 01</t>
        </is>
      </c>
      <c r="J1945" s="7" t="inlineStr">
        <is>
          <t>Apoio HDD</t>
        </is>
      </c>
      <c r="K1945" s="7" t="inlineStr">
        <is>
          <t>Planejamento</t>
        </is>
      </c>
      <c r="L1945" s="16" t="inlineStr">
        <is>
          <t>PDS-Abril(2).docx</t>
        </is>
      </c>
      <c r="M1945">
        <f>IF($A1945="","",TEXT($A1945,"mmmm/yyyy"))</f>
        <v/>
      </c>
      <c r="P1945">
        <f>IFERROR(_xludf.XLOOKUP($N1945,Base_Enderecos!$A:$A,Base_Enderecos!$B:$B,""),"")</f>
        <v/>
      </c>
      <c r="Q1945">
        <f>IFERROR(_xludf.XLOOKUP($N1945,Base_Enderecos!$A:$A,Base_Enderecos!$C:$C,""),"")</f>
        <v/>
      </c>
      <c r="R1945">
        <f>IF(OR(ISNUMBER(SEARCH("HDD",$F1945)),ISNUMBER(SEARCH("MND",$F1945)),ISNUMBER(SEARCH("PEAD",$F1945)),ISNUMBER(SEARCH("Puxe",$J1945)),ISNUMBER(SEARCH("Apoio HDD",$F1945))),"MND",IF(OR(ISNUMBER(SEARCH("VCA",$F1945)),ISNUMBER(SEARCH("PVC",$F1945)),ISNUMBER(SEARCH("vca",$J1945)),ISNUMBER(SEARCH("Transformação",$J1945))),"VCA",IF(OR(ISNUMBER(SEARCH("crava",$F1945)),ISNUMBER(SEARCH("tubo cravado",$F1945)),ISNUMBER(SEARCH("shaft",$J1945)),ISNUMBER(SEARCH("concreto",$F1945))),"TUBO CRAVADO","")))</f>
        <v/>
      </c>
      <c r="T1945">
        <f>IF($A1945="","",TEXT($A1945,"yyyymm")&amp;"|"&amp;$C1945&amp;"|"&amp;$F1945&amp;"|"&amp;$N1945&amp;"|"&amp;$R1945)</f>
        <v/>
      </c>
    </row>
    <row r="1946" ht="11.55" customHeight="1">
      <c r="A1946" s="10" t="n">
        <v>46132</v>
      </c>
      <c r="B1946" s="7" t="inlineStr">
        <is>
          <t>Segunda</t>
        </is>
      </c>
      <c r="C1946" s="7" t="inlineStr">
        <is>
          <t>INT FERNANDO PACHECO JORDÃO</t>
        </is>
      </c>
      <c r="D1946" s="7" t="inlineStr">
        <is>
          <t>VALMIR</t>
        </is>
      </c>
      <c r="E1946" s="7" t="inlineStr">
        <is>
          <t>Edivando</t>
        </is>
      </c>
      <c r="F1946" s="13" t="inlineStr">
        <is>
          <t>Transformação PV 03</t>
        </is>
      </c>
      <c r="G1946" s="7" t="inlineStr">
        <is>
          <t>03</t>
        </is>
      </c>
      <c r="H1946" s="7" t="n"/>
      <c r="I1946" s="7" t="inlineStr">
        <is>
          <t>03</t>
        </is>
      </c>
      <c r="J1946" s="7" t="inlineStr">
        <is>
          <t>Transformação</t>
        </is>
      </c>
      <c r="K1946" s="7" t="inlineStr">
        <is>
          <t>Planejamento</t>
        </is>
      </c>
      <c r="L1946" s="16" t="inlineStr">
        <is>
          <t>PDS-Abril(2).docx</t>
        </is>
      </c>
      <c r="M1946">
        <f>IF($A1946="","",TEXT($A1946,"mmmm/yyyy"))</f>
        <v/>
      </c>
      <c r="P1946">
        <f>IFERROR(_xludf.XLOOKUP($N1946,Base_Enderecos!$A:$A,Base_Enderecos!$B:$B,""),"")</f>
        <v/>
      </c>
      <c r="Q1946">
        <f>IFERROR(_xludf.XLOOKUP($N1946,Base_Enderecos!$A:$A,Base_Enderecos!$C:$C,""),"")</f>
        <v/>
      </c>
      <c r="R1946">
        <f>IF(OR(ISNUMBER(SEARCH("HDD",$F1946)),ISNUMBER(SEARCH("MND",$F1946)),ISNUMBER(SEARCH("PEAD",$F1946)),ISNUMBER(SEARCH("Puxe",$J1946)),ISNUMBER(SEARCH("Apoio HDD",$F1946))),"MND",IF(OR(ISNUMBER(SEARCH("VCA",$F1946)),ISNUMBER(SEARCH("PVC",$F1946)),ISNUMBER(SEARCH("vca",$J1946)),ISNUMBER(SEARCH("Transformação",$J1946))),"VCA",IF(OR(ISNUMBER(SEARCH("crava",$F1946)),ISNUMBER(SEARCH("tubo cravado",$F1946)),ISNUMBER(SEARCH("shaft",$J1946)),ISNUMBER(SEARCH("concreto",$F1946))),"TUBO CRAVADO","")))</f>
        <v/>
      </c>
      <c r="T1946">
        <f>IF($A1946="","",TEXT($A1946,"yyyymm")&amp;"|"&amp;$C1946&amp;"|"&amp;$F1946&amp;"|"&amp;$N1946&amp;"|"&amp;$R1946)</f>
        <v/>
      </c>
    </row>
    <row r="1947" ht="11.55" customHeight="1">
      <c r="A1947" s="10" t="n">
        <v>46132</v>
      </c>
      <c r="B1947" s="7" t="inlineStr">
        <is>
          <t>Segunda</t>
        </is>
      </c>
      <c r="C1947" s="7" t="inlineStr">
        <is>
          <t>INT FERNANDO PACHECO JORDÃO</t>
        </is>
      </c>
      <c r="D1947" s="7" t="inlineStr">
        <is>
          <t>VALMIR</t>
        </is>
      </c>
      <c r="E1947" s="7" t="inlineStr">
        <is>
          <t>Valter</t>
        </is>
      </c>
      <c r="F1947" s="13" t="inlineStr">
        <is>
          <t>Transformação PV 04</t>
        </is>
      </c>
      <c r="G1947" s="7" t="inlineStr">
        <is>
          <t>04</t>
        </is>
      </c>
      <c r="H1947" s="7" t="n"/>
      <c r="I1947" s="7" t="inlineStr">
        <is>
          <t>04</t>
        </is>
      </c>
      <c r="J1947" s="7" t="inlineStr">
        <is>
          <t>Transformação</t>
        </is>
      </c>
      <c r="K1947" s="7" t="inlineStr">
        <is>
          <t>Planejamento</t>
        </is>
      </c>
      <c r="L1947" s="16" t="inlineStr">
        <is>
          <t>PDS-Abril(2).docx</t>
        </is>
      </c>
      <c r="M1947">
        <f>IF($A1947="","",TEXT($A1947,"mmmm/yyyy"))</f>
        <v/>
      </c>
      <c r="P1947">
        <f>IFERROR(_xludf.XLOOKUP($N1947,Base_Enderecos!$A:$A,Base_Enderecos!$B:$B,""),"")</f>
        <v/>
      </c>
      <c r="Q1947">
        <f>IFERROR(_xludf.XLOOKUP($N1947,Base_Enderecos!$A:$A,Base_Enderecos!$C:$C,""),"")</f>
        <v/>
      </c>
      <c r="R1947">
        <f>IF(OR(ISNUMBER(SEARCH("HDD",$F1947)),ISNUMBER(SEARCH("MND",$F1947)),ISNUMBER(SEARCH("PEAD",$F1947)),ISNUMBER(SEARCH("Puxe",$J1947)),ISNUMBER(SEARCH("Apoio HDD",$F1947))),"MND",IF(OR(ISNUMBER(SEARCH("VCA",$F1947)),ISNUMBER(SEARCH("PVC",$F1947)),ISNUMBER(SEARCH("vca",$J1947)),ISNUMBER(SEARCH("Transformação",$J1947))),"VCA",IF(OR(ISNUMBER(SEARCH("crava",$F1947)),ISNUMBER(SEARCH("tubo cravado",$F1947)),ISNUMBER(SEARCH("shaft",$J1947)),ISNUMBER(SEARCH("concreto",$F1947))),"TUBO CRAVADO","")))</f>
        <v/>
      </c>
      <c r="T1947">
        <f>IF($A1947="","",TEXT($A1947,"yyyymm")&amp;"|"&amp;$C1947&amp;"|"&amp;$F1947&amp;"|"&amp;$N1947&amp;"|"&amp;$R1947)</f>
        <v/>
      </c>
    </row>
    <row r="1948" ht="11.55" customHeight="1">
      <c r="A1948" s="10" t="n">
        <v>46132</v>
      </c>
      <c r="B1948" s="7" t="inlineStr">
        <is>
          <t>Segunda</t>
        </is>
      </c>
      <c r="C1948" s="7" t="inlineStr">
        <is>
          <t>CTS MAR DE CORAL</t>
        </is>
      </c>
      <c r="D1948" s="7" t="inlineStr">
        <is>
          <t>SILVESTRE</t>
        </is>
      </c>
      <c r="E1948" s="7" t="inlineStr">
        <is>
          <t>Sergio</t>
        </is>
      </c>
      <c r="F1948" s="13" t="inlineStr">
        <is>
          <t>Shaft PV 5.9</t>
        </is>
      </c>
      <c r="G1948" s="7" t="inlineStr">
        <is>
          <t>5.9</t>
        </is>
      </c>
      <c r="H1948" s="7" t="n"/>
      <c r="I1948" s="7" t="inlineStr">
        <is>
          <t>5.9</t>
        </is>
      </c>
      <c r="J1948" s="7" t="inlineStr">
        <is>
          <t>Shaft</t>
        </is>
      </c>
      <c r="K1948" s="7" t="inlineStr">
        <is>
          <t>Planejamento</t>
        </is>
      </c>
      <c r="L1948" s="16" t="inlineStr">
        <is>
          <t>PDS-Abril(2).docx</t>
        </is>
      </c>
      <c r="M1948">
        <f>IF($A1948="","",TEXT($A1948,"mmmm/yyyy"))</f>
        <v/>
      </c>
      <c r="P1948">
        <f>IFERROR(_xludf.XLOOKUP($N1948,Base_Enderecos!$A:$A,Base_Enderecos!$B:$B,""),"")</f>
        <v/>
      </c>
      <c r="Q1948">
        <f>IFERROR(_xludf.XLOOKUP($N1948,Base_Enderecos!$A:$A,Base_Enderecos!$C:$C,""),"")</f>
        <v/>
      </c>
      <c r="R1948">
        <f>IF(OR(ISNUMBER(SEARCH("HDD",$F1948)),ISNUMBER(SEARCH("MND",$F1948)),ISNUMBER(SEARCH("PEAD",$F1948)),ISNUMBER(SEARCH("Puxe",$J1948)),ISNUMBER(SEARCH("Apoio HDD",$F1948))),"MND",IF(OR(ISNUMBER(SEARCH("VCA",$F1948)),ISNUMBER(SEARCH("PVC",$F1948)),ISNUMBER(SEARCH("vca",$J1948)),ISNUMBER(SEARCH("Transformação",$J1948))),"VCA",IF(OR(ISNUMBER(SEARCH("crava",$F1948)),ISNUMBER(SEARCH("tubo cravado",$F1948)),ISNUMBER(SEARCH("shaft",$J1948)),ISNUMBER(SEARCH("concreto",$F1948))),"TUBO CRAVADO","")))</f>
        <v/>
      </c>
      <c r="T1948">
        <f>IF($A1948="","",TEXT($A1948,"yyyymm")&amp;"|"&amp;$C1948&amp;"|"&amp;$F1948&amp;"|"&amp;$N1948&amp;"|"&amp;$R1948)</f>
        <v/>
      </c>
    </row>
    <row r="1949" ht="11.55" customHeight="1">
      <c r="A1949" s="10" t="n">
        <v>46132</v>
      </c>
      <c r="B1949" s="7" t="inlineStr">
        <is>
          <t>Segunda</t>
        </is>
      </c>
      <c r="C1949" s="7" t="inlineStr">
        <is>
          <t>CTS LUIS BOTELHO MOURÃO</t>
        </is>
      </c>
      <c r="D1949" s="7" t="inlineStr">
        <is>
          <t>ELOÍZIO</t>
        </is>
      </c>
      <c r="E1949" s="7" t="inlineStr">
        <is>
          <t>Marcio</t>
        </is>
      </c>
      <c r="F1949" s="13" t="inlineStr">
        <is>
          <t>Transformação</t>
        </is>
      </c>
      <c r="G1949" s="7" t="n"/>
      <c r="H1949" s="7" t="n"/>
      <c r="I1949" s="7" t="n"/>
      <c r="J1949" s="7" t="inlineStr">
        <is>
          <t>Transformação</t>
        </is>
      </c>
      <c r="K1949" s="7" t="inlineStr">
        <is>
          <t>Planejamento</t>
        </is>
      </c>
      <c r="L1949" s="16" t="inlineStr">
        <is>
          <t>PDS-Abril(2).docx</t>
        </is>
      </c>
      <c r="M1949">
        <f>IF($A1949="","",TEXT($A1949,"mmmm/yyyy"))</f>
        <v/>
      </c>
      <c r="P1949">
        <f>IFERROR(_xludf.XLOOKUP($N1949,Base_Enderecos!$A:$A,Base_Enderecos!$B:$B,""),"")</f>
        <v/>
      </c>
      <c r="Q1949">
        <f>IFERROR(_xludf.XLOOKUP($N1949,Base_Enderecos!$A:$A,Base_Enderecos!$C:$C,""),"")</f>
        <v/>
      </c>
      <c r="R1949">
        <f>IF(OR(ISNUMBER(SEARCH("HDD",$F1949)),ISNUMBER(SEARCH("MND",$F1949)),ISNUMBER(SEARCH("PEAD",$F1949)),ISNUMBER(SEARCH("Puxe",$J1949)),ISNUMBER(SEARCH("Apoio HDD",$F1949))),"MND",IF(OR(ISNUMBER(SEARCH("VCA",$F1949)),ISNUMBER(SEARCH("PVC",$F1949)),ISNUMBER(SEARCH("vca",$J1949)),ISNUMBER(SEARCH("Transformação",$J1949))),"VCA",IF(OR(ISNUMBER(SEARCH("crava",$F1949)),ISNUMBER(SEARCH("tubo cravado",$F1949)),ISNUMBER(SEARCH("shaft",$J1949)),ISNUMBER(SEARCH("concreto",$F1949))),"TUBO CRAVADO","")))</f>
        <v/>
      </c>
      <c r="T1949">
        <f>IF($A1949="","",TEXT($A1949,"yyyymm")&amp;"|"&amp;$C1949&amp;"|"&amp;$F1949&amp;"|"&amp;$N1949&amp;"|"&amp;$R1949)</f>
        <v/>
      </c>
    </row>
    <row r="1950" ht="11.55" customHeight="1">
      <c r="A1950" s="10" t="n">
        <v>46132</v>
      </c>
      <c r="B1950" s="7" t="inlineStr">
        <is>
          <t>Segunda</t>
        </is>
      </c>
      <c r="C1950" s="7" t="inlineStr">
        <is>
          <t>CTS LUIS BOTELHO MOURÃO</t>
        </is>
      </c>
      <c r="D1950" s="7" t="inlineStr">
        <is>
          <t>ELOÍZIO</t>
        </is>
      </c>
      <c r="E1950" s="7" t="inlineStr">
        <is>
          <t>Higor</t>
        </is>
      </c>
      <c r="F1950" s="13" t="inlineStr">
        <is>
          <t>Transformação PV 06</t>
        </is>
      </c>
      <c r="G1950" s="7" t="inlineStr">
        <is>
          <t>06</t>
        </is>
      </c>
      <c r="H1950" s="7" t="n"/>
      <c r="I1950" s="7" t="inlineStr">
        <is>
          <t>06</t>
        </is>
      </c>
      <c r="J1950" s="7" t="inlineStr">
        <is>
          <t>Transformação</t>
        </is>
      </c>
      <c r="K1950" s="7" t="inlineStr">
        <is>
          <t>Planejamento</t>
        </is>
      </c>
      <c r="L1950" s="16" t="inlineStr">
        <is>
          <t>PDS-Abril(2).docx</t>
        </is>
      </c>
      <c r="M1950">
        <f>IF($A1950="","",TEXT($A1950,"mmmm/yyyy"))</f>
        <v/>
      </c>
      <c r="P1950">
        <f>IFERROR(_xludf.XLOOKUP($N1950,Base_Enderecos!$A:$A,Base_Enderecos!$B:$B,""),"")</f>
        <v/>
      </c>
      <c r="Q1950">
        <f>IFERROR(_xludf.XLOOKUP($N1950,Base_Enderecos!$A:$A,Base_Enderecos!$C:$C,""),"")</f>
        <v/>
      </c>
      <c r="R1950">
        <f>IF(OR(ISNUMBER(SEARCH("HDD",$F1950)),ISNUMBER(SEARCH("MND",$F1950)),ISNUMBER(SEARCH("PEAD",$F1950)),ISNUMBER(SEARCH("Puxe",$J1950)),ISNUMBER(SEARCH("Apoio HDD",$F1950))),"MND",IF(OR(ISNUMBER(SEARCH("VCA",$F1950)),ISNUMBER(SEARCH("PVC",$F1950)),ISNUMBER(SEARCH("vca",$J1950)),ISNUMBER(SEARCH("Transformação",$J1950))),"VCA",IF(OR(ISNUMBER(SEARCH("crava",$F1950)),ISNUMBER(SEARCH("tubo cravado",$F1950)),ISNUMBER(SEARCH("shaft",$J1950)),ISNUMBER(SEARCH("concreto",$F1950))),"TUBO CRAVADO","")))</f>
        <v/>
      </c>
      <c r="T1950">
        <f>IF($A1950="","",TEXT($A1950,"yyyymm")&amp;"|"&amp;$C1950&amp;"|"&amp;$F1950&amp;"|"&amp;$N1950&amp;"|"&amp;$R1950)</f>
        <v/>
      </c>
    </row>
    <row r="1951" ht="11.55" customHeight="1">
      <c r="A1951" s="10" t="n">
        <v>46132</v>
      </c>
      <c r="B1951" s="7" t="inlineStr">
        <is>
          <t>Segunda</t>
        </is>
      </c>
      <c r="C1951" s="7" t="inlineStr">
        <is>
          <t>CTS LUIS BOTELHO MOURÃO</t>
        </is>
      </c>
      <c r="D1951" s="7" t="inlineStr">
        <is>
          <t>ELOÍZIO</t>
        </is>
      </c>
      <c r="E1951" s="7" t="inlineStr">
        <is>
          <t>Cidão</t>
        </is>
      </c>
      <c r="F1951" s="13" t="inlineStr">
        <is>
          <t>Transformação PV 07</t>
        </is>
      </c>
      <c r="G1951" s="7" t="inlineStr">
        <is>
          <t>07</t>
        </is>
      </c>
      <c r="H1951" s="7" t="n"/>
      <c r="I1951" s="7" t="inlineStr">
        <is>
          <t>07</t>
        </is>
      </c>
      <c r="J1951" s="7" t="inlineStr">
        <is>
          <t>Transformação</t>
        </is>
      </c>
      <c r="K1951" s="7" t="inlineStr">
        <is>
          <t>Planejamento</t>
        </is>
      </c>
      <c r="L1951" s="16" t="inlineStr">
        <is>
          <t>PDS-Abril(2).docx</t>
        </is>
      </c>
      <c r="M1951">
        <f>IF($A1951="","",TEXT($A1951,"mmmm/yyyy"))</f>
        <v/>
      </c>
      <c r="P1951">
        <f>IFERROR(_xludf.XLOOKUP($N1951,Base_Enderecos!$A:$A,Base_Enderecos!$B:$B,""),"")</f>
        <v/>
      </c>
      <c r="Q1951">
        <f>IFERROR(_xludf.XLOOKUP($N1951,Base_Enderecos!$A:$A,Base_Enderecos!$C:$C,""),"")</f>
        <v/>
      </c>
      <c r="R1951">
        <f>IF(OR(ISNUMBER(SEARCH("HDD",$F1951)),ISNUMBER(SEARCH("MND",$F1951)),ISNUMBER(SEARCH("PEAD",$F1951)),ISNUMBER(SEARCH("Puxe",$J1951)),ISNUMBER(SEARCH("Apoio HDD",$F1951))),"MND",IF(OR(ISNUMBER(SEARCH("VCA",$F1951)),ISNUMBER(SEARCH("PVC",$F1951)),ISNUMBER(SEARCH("vca",$J1951)),ISNUMBER(SEARCH("Transformação",$J1951))),"VCA",IF(OR(ISNUMBER(SEARCH("crava",$F1951)),ISNUMBER(SEARCH("tubo cravado",$F1951)),ISNUMBER(SEARCH("shaft",$J1951)),ISNUMBER(SEARCH("concreto",$F1951))),"TUBO CRAVADO","")))</f>
        <v/>
      </c>
      <c r="T1951">
        <f>IF($A1951="","",TEXT($A1951,"yyyymm")&amp;"|"&amp;$C1951&amp;"|"&amp;$F1951&amp;"|"&amp;$N1951&amp;"|"&amp;$R1951)</f>
        <v/>
      </c>
    </row>
    <row r="1952" ht="11.55" customHeight="1">
      <c r="A1952" s="10" t="n">
        <v>46132</v>
      </c>
      <c r="B1952" s="7" t="inlineStr">
        <is>
          <t>Segunda</t>
        </is>
      </c>
      <c r="C1952" s="7" t="inlineStr">
        <is>
          <t>Vacal</t>
        </is>
      </c>
      <c r="D1952" s="7" t="n"/>
      <c r="E1952" s="7" t="inlineStr">
        <is>
          <t>Botelho Mourão – Renasce</t>
        </is>
      </c>
      <c r="F1952" s="13" t="inlineStr">
        <is>
          <t>Apoio Vacal</t>
        </is>
      </c>
      <c r="G1952" s="7" t="n"/>
      <c r="H1952" s="7" t="n"/>
      <c r="I1952" s="7" t="n"/>
      <c r="J1952" s="7" t="inlineStr">
        <is>
          <t>Vacal</t>
        </is>
      </c>
      <c r="K1952" s="7" t="inlineStr">
        <is>
          <t>Apoio</t>
        </is>
      </c>
      <c r="L1952" s="16" t="inlineStr">
        <is>
          <t>PDS-Abril(2).docx</t>
        </is>
      </c>
      <c r="M1952">
        <f>IF($A1952="","",TEXT($A1952,"mmmm/yyyy"))</f>
        <v/>
      </c>
      <c r="P1952">
        <f>IFERROR(_xludf.XLOOKUP($N1952,Base_Enderecos!$A:$A,Base_Enderecos!$B:$B,""),"")</f>
        <v/>
      </c>
      <c r="Q1952">
        <f>IFERROR(_xludf.XLOOKUP($N1952,Base_Enderecos!$A:$A,Base_Enderecos!$C:$C,""),"")</f>
        <v/>
      </c>
      <c r="R1952">
        <f>IF(OR(ISNUMBER(SEARCH("HDD",$F1952)),ISNUMBER(SEARCH("MND",$F1952)),ISNUMBER(SEARCH("PEAD",$F1952)),ISNUMBER(SEARCH("Puxe",$J1952)),ISNUMBER(SEARCH("Apoio HDD",$F1952))),"MND",IF(OR(ISNUMBER(SEARCH("VCA",$F1952)),ISNUMBER(SEARCH("PVC",$F1952)),ISNUMBER(SEARCH("vca",$J1952)),ISNUMBER(SEARCH("Transformação",$J1952))),"VCA",IF(OR(ISNUMBER(SEARCH("crava",$F1952)),ISNUMBER(SEARCH("tubo cravado",$F1952)),ISNUMBER(SEARCH("shaft",$J1952)),ISNUMBER(SEARCH("concreto",$F1952))),"TUBO CRAVADO","")))</f>
        <v/>
      </c>
      <c r="T1952">
        <f>IF($A1952="","",TEXT($A1952,"yyyymm")&amp;"|"&amp;$C1952&amp;"|"&amp;$F1952&amp;"|"&amp;$N1952&amp;"|"&amp;$R1952)</f>
        <v/>
      </c>
    </row>
    <row r="1953" ht="11.55" customHeight="1">
      <c r="A1953" s="10" t="n">
        <v>46132</v>
      </c>
      <c r="B1953" s="7" t="inlineStr">
        <is>
          <t>Segunda</t>
        </is>
      </c>
      <c r="C1953" s="7" t="inlineStr">
        <is>
          <t>Vacal</t>
        </is>
      </c>
      <c r="D1953" s="7" t="n"/>
      <c r="E1953" s="7" t="inlineStr">
        <is>
          <t>Botelho Mourão – Hidrosol</t>
        </is>
      </c>
      <c r="F1953" s="13" t="inlineStr">
        <is>
          <t>Apoio Vacal</t>
        </is>
      </c>
      <c r="G1953" s="7" t="n"/>
      <c r="H1953" s="7" t="n"/>
      <c r="I1953" s="7" t="n"/>
      <c r="J1953" s="7" t="inlineStr">
        <is>
          <t>Vacal</t>
        </is>
      </c>
      <c r="K1953" s="7" t="inlineStr">
        <is>
          <t>Apoio</t>
        </is>
      </c>
      <c r="L1953" s="16" t="inlineStr">
        <is>
          <t>PDS-Abril(2).docx</t>
        </is>
      </c>
      <c r="M1953">
        <f>IF($A1953="","",TEXT($A1953,"mmmm/yyyy"))</f>
        <v/>
      </c>
      <c r="P1953">
        <f>IFERROR(_xludf.XLOOKUP($N1953,Base_Enderecos!$A:$A,Base_Enderecos!$B:$B,""),"")</f>
        <v/>
      </c>
      <c r="Q1953">
        <f>IFERROR(_xludf.XLOOKUP($N1953,Base_Enderecos!$A:$A,Base_Enderecos!$C:$C,""),"")</f>
        <v/>
      </c>
      <c r="R1953">
        <f>IF(OR(ISNUMBER(SEARCH("HDD",$F1953)),ISNUMBER(SEARCH("MND",$F1953)),ISNUMBER(SEARCH("PEAD",$F1953)),ISNUMBER(SEARCH("Puxe",$J1953)),ISNUMBER(SEARCH("Apoio HDD",$F1953))),"MND",IF(OR(ISNUMBER(SEARCH("VCA",$F1953)),ISNUMBER(SEARCH("PVC",$F1953)),ISNUMBER(SEARCH("vca",$J1953)),ISNUMBER(SEARCH("Transformação",$J1953))),"VCA",IF(OR(ISNUMBER(SEARCH("crava",$F1953)),ISNUMBER(SEARCH("tubo cravado",$F1953)),ISNUMBER(SEARCH("shaft",$J1953)),ISNUMBER(SEARCH("concreto",$F1953))),"TUBO CRAVADO","")))</f>
        <v/>
      </c>
      <c r="T1953">
        <f>IF($A1953="","",TEXT($A1953,"yyyymm")&amp;"|"&amp;$C1953&amp;"|"&amp;$F1953&amp;"|"&amp;$N1953&amp;"|"&amp;$R1953)</f>
        <v/>
      </c>
    </row>
    <row r="1954" ht="11.55" customHeight="1">
      <c r="A1954" s="10" t="n">
        <v>46132</v>
      </c>
      <c r="B1954" s="7" t="inlineStr">
        <is>
          <t>Segunda</t>
        </is>
      </c>
      <c r="C1954" s="7" t="inlineStr">
        <is>
          <t>Vacal</t>
        </is>
      </c>
      <c r="D1954" s="7" t="n"/>
      <c r="E1954" s="7" t="inlineStr">
        <is>
          <t>Botelho Mourão –Henko</t>
        </is>
      </c>
      <c r="F1954" s="13" t="inlineStr">
        <is>
          <t>Apoio Vacal</t>
        </is>
      </c>
      <c r="G1954" s="7" t="n"/>
      <c r="H1954" s="7" t="n"/>
      <c r="I1954" s="7" t="n"/>
      <c r="J1954" s="7" t="inlineStr">
        <is>
          <t>Vacal</t>
        </is>
      </c>
      <c r="K1954" s="7" t="inlineStr">
        <is>
          <t>Apoio</t>
        </is>
      </c>
      <c r="L1954" s="16" t="inlineStr">
        <is>
          <t>PDS-Abril(2).docx</t>
        </is>
      </c>
      <c r="M1954">
        <f>IF($A1954="","",TEXT($A1954,"mmmm/yyyy"))</f>
        <v/>
      </c>
      <c r="P1954">
        <f>IFERROR(_xludf.XLOOKUP($N1954,Base_Enderecos!$A:$A,Base_Enderecos!$B:$B,""),"")</f>
        <v/>
      </c>
      <c r="Q1954">
        <f>IFERROR(_xludf.XLOOKUP($N1954,Base_Enderecos!$A:$A,Base_Enderecos!$C:$C,""),"")</f>
        <v/>
      </c>
      <c r="R1954">
        <f>IF(OR(ISNUMBER(SEARCH("HDD",$F1954)),ISNUMBER(SEARCH("MND",$F1954)),ISNUMBER(SEARCH("PEAD",$F1954)),ISNUMBER(SEARCH("Puxe",$J1954)),ISNUMBER(SEARCH("Apoio HDD",$F1954))),"MND",IF(OR(ISNUMBER(SEARCH("VCA",$F1954)),ISNUMBER(SEARCH("PVC",$F1954)),ISNUMBER(SEARCH("vca",$J1954)),ISNUMBER(SEARCH("Transformação",$J1954))),"VCA",IF(OR(ISNUMBER(SEARCH("crava",$F1954)),ISNUMBER(SEARCH("tubo cravado",$F1954)),ISNUMBER(SEARCH("shaft",$J1954)),ISNUMBER(SEARCH("concreto",$F1954))),"TUBO CRAVADO","")))</f>
        <v/>
      </c>
      <c r="T1954">
        <f>IF($A1954="","",TEXT($A1954,"yyyymm")&amp;"|"&amp;$C1954&amp;"|"&amp;$F1954&amp;"|"&amp;$N1954&amp;"|"&amp;$R1954)</f>
        <v/>
      </c>
    </row>
    <row r="1955" ht="11.55" customHeight="1">
      <c r="A1955" s="10" t="n">
        <v>46132</v>
      </c>
      <c r="B1955" s="7" t="inlineStr">
        <is>
          <t>Segunda</t>
        </is>
      </c>
      <c r="C1955" s="7" t="inlineStr">
        <is>
          <t>Vacal</t>
        </is>
      </c>
      <c r="D1955" s="7" t="n"/>
      <c r="E1955" s="7" t="inlineStr">
        <is>
          <t>Botelho Mourão –Henko</t>
        </is>
      </c>
      <c r="F1955" s="13" t="inlineStr">
        <is>
          <t>Apoio Vacal</t>
        </is>
      </c>
      <c r="G1955" s="7" t="n"/>
      <c r="H1955" s="7" t="n"/>
      <c r="I1955" s="7" t="n"/>
      <c r="J1955" s="7" t="inlineStr">
        <is>
          <t>Vacal</t>
        </is>
      </c>
      <c r="K1955" s="7" t="inlineStr">
        <is>
          <t>Apoio</t>
        </is>
      </c>
      <c r="L1955" s="16" t="inlineStr">
        <is>
          <t>PDS-Abril(2).docx</t>
        </is>
      </c>
      <c r="M1955">
        <f>IF($A1955="","",TEXT($A1955,"mmmm/yyyy"))</f>
        <v/>
      </c>
      <c r="P1955">
        <f>IFERROR(_xludf.XLOOKUP($N1955,Base_Enderecos!$A:$A,Base_Enderecos!$B:$B,""),"")</f>
        <v/>
      </c>
      <c r="Q1955">
        <f>IFERROR(_xludf.XLOOKUP($N1955,Base_Enderecos!$A:$A,Base_Enderecos!$C:$C,""),"")</f>
        <v/>
      </c>
      <c r="R1955">
        <f>IF(OR(ISNUMBER(SEARCH("HDD",$F1955)),ISNUMBER(SEARCH("MND",$F1955)),ISNUMBER(SEARCH("PEAD",$F1955)),ISNUMBER(SEARCH("Puxe",$J1955)),ISNUMBER(SEARCH("Apoio HDD",$F1955))),"MND",IF(OR(ISNUMBER(SEARCH("VCA",$F1955)),ISNUMBER(SEARCH("PVC",$F1955)),ISNUMBER(SEARCH("vca",$J1955)),ISNUMBER(SEARCH("Transformação",$J1955))),"VCA",IF(OR(ISNUMBER(SEARCH("crava",$F1955)),ISNUMBER(SEARCH("tubo cravado",$F1955)),ISNUMBER(SEARCH("shaft",$J1955)),ISNUMBER(SEARCH("concreto",$F1955))),"TUBO CRAVADO","")))</f>
        <v/>
      </c>
      <c r="T1955">
        <f>IF($A1955="","",TEXT($A1955,"yyyymm")&amp;"|"&amp;$C1955&amp;"|"&amp;$F1955&amp;"|"&amp;$N1955&amp;"|"&amp;$R1955)</f>
        <v/>
      </c>
    </row>
    <row r="1956" ht="11.55" customHeight="1">
      <c r="A1956" s="10" t="n">
        <v>46132</v>
      </c>
      <c r="B1956" s="7" t="inlineStr">
        <is>
          <t>Segunda</t>
        </is>
      </c>
      <c r="C1956" s="7" t="inlineStr">
        <is>
          <t>Vacal</t>
        </is>
      </c>
      <c r="D1956" s="7" t="n"/>
      <c r="E1956" s="7" t="inlineStr">
        <is>
          <t>Conceição – Renasce</t>
        </is>
      </c>
      <c r="F1956" s="13" t="inlineStr">
        <is>
          <t>Apoio Vacal</t>
        </is>
      </c>
      <c r="G1956" s="7" t="n"/>
      <c r="H1956" s="7" t="n"/>
      <c r="I1956" s="7" t="n"/>
      <c r="J1956" s="7" t="inlineStr">
        <is>
          <t>Vacal</t>
        </is>
      </c>
      <c r="K1956" s="7" t="inlineStr">
        <is>
          <t>Apoio</t>
        </is>
      </c>
      <c r="L1956" s="16" t="inlineStr">
        <is>
          <t>PDS-Abril(2).docx</t>
        </is>
      </c>
      <c r="M1956">
        <f>IF($A1956="","",TEXT($A1956,"mmmm/yyyy"))</f>
        <v/>
      </c>
      <c r="P1956">
        <f>IFERROR(_xludf.XLOOKUP($N1956,Base_Enderecos!$A:$A,Base_Enderecos!$B:$B,""),"")</f>
        <v/>
      </c>
      <c r="Q1956">
        <f>IFERROR(_xludf.XLOOKUP($N1956,Base_Enderecos!$A:$A,Base_Enderecos!$C:$C,""),"")</f>
        <v/>
      </c>
      <c r="R1956">
        <f>IF(OR(ISNUMBER(SEARCH("HDD",$F1956)),ISNUMBER(SEARCH("MND",$F1956)),ISNUMBER(SEARCH("PEAD",$F1956)),ISNUMBER(SEARCH("Puxe",$J1956)),ISNUMBER(SEARCH("Apoio HDD",$F1956))),"MND",IF(OR(ISNUMBER(SEARCH("VCA",$F1956)),ISNUMBER(SEARCH("PVC",$F1956)),ISNUMBER(SEARCH("vca",$J1956)),ISNUMBER(SEARCH("Transformação",$J1956))),"VCA",IF(OR(ISNUMBER(SEARCH("crava",$F1956)),ISNUMBER(SEARCH("tubo cravado",$F1956)),ISNUMBER(SEARCH("shaft",$J1956)),ISNUMBER(SEARCH("concreto",$F1956))),"TUBO CRAVADO","")))</f>
        <v/>
      </c>
      <c r="T1956">
        <f>IF($A1956="","",TEXT($A1956,"yyyymm")&amp;"|"&amp;$C1956&amp;"|"&amp;$F1956&amp;"|"&amp;$N1956&amp;"|"&amp;$R1956)</f>
        <v/>
      </c>
    </row>
    <row r="1957" ht="11.55" customHeight="1">
      <c r="A1957" s="10" t="n">
        <v>46132</v>
      </c>
      <c r="B1957" s="7" t="inlineStr">
        <is>
          <t>Segunda</t>
        </is>
      </c>
      <c r="C1957" s="7" t="inlineStr">
        <is>
          <t>Vacal</t>
        </is>
      </c>
      <c r="D1957" s="7" t="n"/>
      <c r="E1957" s="7" t="inlineStr">
        <is>
          <t>Pacheco Jordão - Renasce</t>
        </is>
      </c>
      <c r="F1957" s="13" t="inlineStr">
        <is>
          <t>Apoio Vacal</t>
        </is>
      </c>
      <c r="G1957" s="7" t="n"/>
      <c r="H1957" s="7" t="n"/>
      <c r="I1957" s="7" t="n"/>
      <c r="J1957" s="7" t="inlineStr">
        <is>
          <t>Vacal</t>
        </is>
      </c>
      <c r="K1957" s="7" t="inlineStr">
        <is>
          <t>Apoio</t>
        </is>
      </c>
      <c r="L1957" s="16" t="inlineStr">
        <is>
          <t>PDS-Abril(2).docx</t>
        </is>
      </c>
      <c r="M1957">
        <f>IF($A1957="","",TEXT($A1957,"mmmm/yyyy"))</f>
        <v/>
      </c>
      <c r="P1957">
        <f>IFERROR(_xludf.XLOOKUP($N1957,Base_Enderecos!$A:$A,Base_Enderecos!$B:$B,""),"")</f>
        <v/>
      </c>
      <c r="Q1957">
        <f>IFERROR(_xludf.XLOOKUP($N1957,Base_Enderecos!$A:$A,Base_Enderecos!$C:$C,""),"")</f>
        <v/>
      </c>
      <c r="R1957">
        <f>IF(OR(ISNUMBER(SEARCH("HDD",$F1957)),ISNUMBER(SEARCH("MND",$F1957)),ISNUMBER(SEARCH("PEAD",$F1957)),ISNUMBER(SEARCH("Puxe",$J1957)),ISNUMBER(SEARCH("Apoio HDD",$F1957))),"MND",IF(OR(ISNUMBER(SEARCH("VCA",$F1957)),ISNUMBER(SEARCH("PVC",$F1957)),ISNUMBER(SEARCH("vca",$J1957)),ISNUMBER(SEARCH("Transformação",$J1957))),"VCA",IF(OR(ISNUMBER(SEARCH("crava",$F1957)),ISNUMBER(SEARCH("tubo cravado",$F1957)),ISNUMBER(SEARCH("shaft",$J1957)),ISNUMBER(SEARCH("concreto",$F1957))),"TUBO CRAVADO","")))</f>
        <v/>
      </c>
      <c r="T1957">
        <f>IF($A1957="","",TEXT($A1957,"yyyymm")&amp;"|"&amp;$C1957&amp;"|"&amp;$F1957&amp;"|"&amp;$N1957&amp;"|"&amp;$R1957)</f>
        <v/>
      </c>
    </row>
    <row r="1958" ht="11.55" customHeight="1">
      <c r="A1958" s="10" t="n">
        <v>46132</v>
      </c>
      <c r="B1958" s="7" t="inlineStr">
        <is>
          <t>Segunda</t>
        </is>
      </c>
      <c r="C1958" s="7" t="inlineStr">
        <is>
          <t>Vacal</t>
        </is>
      </c>
      <c r="D1958" s="7" t="n"/>
      <c r="E1958" s="7" t="inlineStr">
        <is>
          <t>Pacheco Jordão – Renasce</t>
        </is>
      </c>
      <c r="F1958" s="13" t="inlineStr">
        <is>
          <t>Apoio Vacal</t>
        </is>
      </c>
      <c r="G1958" s="7" t="n"/>
      <c r="H1958" s="7" t="n"/>
      <c r="I1958" s="7" t="n"/>
      <c r="J1958" s="7" t="inlineStr">
        <is>
          <t>Vacal</t>
        </is>
      </c>
      <c r="K1958" s="7" t="inlineStr">
        <is>
          <t>Apoio</t>
        </is>
      </c>
      <c r="L1958" s="16" t="inlineStr">
        <is>
          <t>PDS-Abril(2).docx</t>
        </is>
      </c>
      <c r="M1958">
        <f>IF($A1958="","",TEXT($A1958,"mmmm/yyyy"))</f>
        <v/>
      </c>
      <c r="P1958">
        <f>IFERROR(_xludf.XLOOKUP($N1958,Base_Enderecos!$A:$A,Base_Enderecos!$B:$B,""),"")</f>
        <v/>
      </c>
      <c r="Q1958">
        <f>IFERROR(_xludf.XLOOKUP($N1958,Base_Enderecos!$A:$A,Base_Enderecos!$C:$C,""),"")</f>
        <v/>
      </c>
      <c r="R1958">
        <f>IF(OR(ISNUMBER(SEARCH("HDD",$F1958)),ISNUMBER(SEARCH("MND",$F1958)),ISNUMBER(SEARCH("PEAD",$F1958)),ISNUMBER(SEARCH("Puxe",$J1958)),ISNUMBER(SEARCH("Apoio HDD",$F1958))),"MND",IF(OR(ISNUMBER(SEARCH("VCA",$F1958)),ISNUMBER(SEARCH("PVC",$F1958)),ISNUMBER(SEARCH("vca",$J1958)),ISNUMBER(SEARCH("Transformação",$J1958))),"VCA",IF(OR(ISNUMBER(SEARCH("crava",$F1958)),ISNUMBER(SEARCH("tubo cravado",$F1958)),ISNUMBER(SEARCH("shaft",$J1958)),ISNUMBER(SEARCH("concreto",$F1958))),"TUBO CRAVADO","")))</f>
        <v/>
      </c>
      <c r="T1958">
        <f>IF($A1958="","",TEXT($A1958,"yyyymm")&amp;"|"&amp;$C1958&amp;"|"&amp;$F1958&amp;"|"&amp;$N1958&amp;"|"&amp;$R1958)</f>
        <v/>
      </c>
    </row>
    <row r="1959" ht="11.55" customHeight="1">
      <c r="A1959" s="10" t="n">
        <v>46132</v>
      </c>
      <c r="B1959" s="7" t="inlineStr">
        <is>
          <t>Segunda</t>
        </is>
      </c>
      <c r="C1959" s="7" t="inlineStr">
        <is>
          <t>Guindauto</t>
        </is>
      </c>
      <c r="D1959" s="7" t="n"/>
      <c r="E1959" s="7" t="inlineStr">
        <is>
          <t>Marcio</t>
        </is>
      </c>
      <c r="F1959" s="13" t="inlineStr">
        <is>
          <t>Marcio - Apoio as equipes</t>
        </is>
      </c>
      <c r="G1959" s="7" t="n"/>
      <c r="H1959" s="7" t="n"/>
      <c r="I1959" s="7" t="n"/>
      <c r="J1959" s="7" t="inlineStr">
        <is>
          <t>Guindauto</t>
        </is>
      </c>
      <c r="K1959" s="7" t="inlineStr">
        <is>
          <t>Apoio</t>
        </is>
      </c>
      <c r="L1959" s="16" t="inlineStr">
        <is>
          <t>PDS-Abril(2).docx</t>
        </is>
      </c>
      <c r="M1959">
        <f>IF($A1959="","",TEXT($A1959,"mmmm/yyyy"))</f>
        <v/>
      </c>
      <c r="P1959">
        <f>IFERROR(_xludf.XLOOKUP($N1959,Base_Enderecos!$A:$A,Base_Enderecos!$B:$B,""),"")</f>
        <v/>
      </c>
      <c r="Q1959">
        <f>IFERROR(_xludf.XLOOKUP($N1959,Base_Enderecos!$A:$A,Base_Enderecos!$C:$C,""),"")</f>
        <v/>
      </c>
      <c r="R1959">
        <f>IF(OR(ISNUMBER(SEARCH("HDD",$F1959)),ISNUMBER(SEARCH("MND",$F1959)),ISNUMBER(SEARCH("PEAD",$F1959)),ISNUMBER(SEARCH("Puxe",$J1959)),ISNUMBER(SEARCH("Apoio HDD",$F1959))),"MND",IF(OR(ISNUMBER(SEARCH("VCA",$F1959)),ISNUMBER(SEARCH("PVC",$F1959)),ISNUMBER(SEARCH("vca",$J1959)),ISNUMBER(SEARCH("Transformação",$J1959))),"VCA",IF(OR(ISNUMBER(SEARCH("crava",$F1959)),ISNUMBER(SEARCH("tubo cravado",$F1959)),ISNUMBER(SEARCH("shaft",$J1959)),ISNUMBER(SEARCH("concreto",$F1959))),"TUBO CRAVADO","")))</f>
        <v/>
      </c>
      <c r="T1959">
        <f>IF($A1959="","",TEXT($A1959,"yyyymm")&amp;"|"&amp;$C1959&amp;"|"&amp;$F1959&amp;"|"&amp;$N1959&amp;"|"&amp;$R1959)</f>
        <v/>
      </c>
    </row>
    <row r="1960" ht="11.55" customHeight="1">
      <c r="A1960" s="10" t="n">
        <v>46133</v>
      </c>
      <c r="B1960" s="7" t="inlineStr">
        <is>
          <t>Terça</t>
        </is>
      </c>
      <c r="C1960" s="7" t="inlineStr">
        <is>
          <t>CTS CONCEIÇÃO</t>
        </is>
      </c>
      <c r="D1960" s="7" t="inlineStr">
        <is>
          <t>LEANDRO</t>
        </is>
      </c>
      <c r="E1960" s="7" t="inlineStr">
        <is>
          <t>Goiania Drill</t>
        </is>
      </c>
      <c r="F1960" s="13" t="inlineStr">
        <is>
          <t>Piloto e Puxe entre PV 10 ao 11</t>
        </is>
      </c>
      <c r="G1960" s="7" t="inlineStr">
        <is>
          <t>10</t>
        </is>
      </c>
      <c r="H1960" s="7" t="n"/>
      <c r="I1960" s="7" t="inlineStr">
        <is>
          <t>10</t>
        </is>
      </c>
      <c r="J1960" s="7" t="inlineStr">
        <is>
          <t>Piloto e puxe</t>
        </is>
      </c>
      <c r="K1960" s="7" t="inlineStr">
        <is>
          <t>Planejamento</t>
        </is>
      </c>
      <c r="L1960" s="16" t="inlineStr">
        <is>
          <t>PDS-Abril(2).docx</t>
        </is>
      </c>
      <c r="M1960">
        <f>IF($A1960="","",TEXT($A1960,"mmmm/yyyy"))</f>
        <v/>
      </c>
      <c r="P1960">
        <f>IFERROR(_xludf.XLOOKUP($N1960,Base_Enderecos!$A:$A,Base_Enderecos!$B:$B,""),"")</f>
        <v/>
      </c>
      <c r="Q1960">
        <f>IFERROR(_xludf.XLOOKUP($N1960,Base_Enderecos!$A:$A,Base_Enderecos!$C:$C,""),"")</f>
        <v/>
      </c>
      <c r="R1960">
        <f>IF(OR(ISNUMBER(SEARCH("HDD",$F1960)),ISNUMBER(SEARCH("MND",$F1960)),ISNUMBER(SEARCH("PEAD",$F1960)),ISNUMBER(SEARCH("Puxe",$J1960)),ISNUMBER(SEARCH("Apoio HDD",$F1960))),"MND",IF(OR(ISNUMBER(SEARCH("VCA",$F1960)),ISNUMBER(SEARCH("PVC",$F1960)),ISNUMBER(SEARCH("vca",$J1960)),ISNUMBER(SEARCH("Transformação",$J1960))),"VCA",IF(OR(ISNUMBER(SEARCH("crava",$F1960)),ISNUMBER(SEARCH("tubo cravado",$F1960)),ISNUMBER(SEARCH("shaft",$J1960)),ISNUMBER(SEARCH("concreto",$F1960))),"TUBO CRAVADO","")))</f>
        <v/>
      </c>
      <c r="T1960">
        <f>IF($A1960="","",TEXT($A1960,"yyyymm")&amp;"|"&amp;$C1960&amp;"|"&amp;$F1960&amp;"|"&amp;$N1960&amp;"|"&amp;$R1960)</f>
        <v/>
      </c>
    </row>
    <row r="1961" ht="11.55" customHeight="1">
      <c r="A1961" s="10" t="n">
        <v>46133</v>
      </c>
      <c r="B1961" s="7" t="inlineStr">
        <is>
          <t>Terça</t>
        </is>
      </c>
      <c r="C1961" s="7" t="inlineStr">
        <is>
          <t>CTS CONCEIÇÃO</t>
        </is>
      </c>
      <c r="D1961" s="7" t="inlineStr">
        <is>
          <t>LEANDRO</t>
        </is>
      </c>
      <c r="E1961" s="7" t="inlineStr">
        <is>
          <t>Bruno</t>
        </is>
      </c>
      <c r="F1961" s="13" t="inlineStr">
        <is>
          <t>Apoio HDD PV 10 ao 11</t>
        </is>
      </c>
      <c r="G1961" s="7" t="inlineStr">
        <is>
          <t>10</t>
        </is>
      </c>
      <c r="H1961" s="7" t="n"/>
      <c r="I1961" s="7" t="inlineStr">
        <is>
          <t>10</t>
        </is>
      </c>
      <c r="J1961" s="7" t="inlineStr">
        <is>
          <t>Apoio HDD</t>
        </is>
      </c>
      <c r="K1961" s="7" t="inlineStr">
        <is>
          <t>Planejamento</t>
        </is>
      </c>
      <c r="L1961" s="16" t="inlineStr">
        <is>
          <t>PDS-Abril(2).docx</t>
        </is>
      </c>
      <c r="M1961">
        <f>IF($A1961="","",TEXT($A1961,"mmmm/yyyy"))</f>
        <v/>
      </c>
      <c r="P1961">
        <f>IFERROR(_xludf.XLOOKUP($N1961,Base_Enderecos!$A:$A,Base_Enderecos!$B:$B,""),"")</f>
        <v/>
      </c>
      <c r="Q1961">
        <f>IFERROR(_xludf.XLOOKUP($N1961,Base_Enderecos!$A:$A,Base_Enderecos!$C:$C,""),"")</f>
        <v/>
      </c>
      <c r="R1961">
        <f>IF(OR(ISNUMBER(SEARCH("HDD",$F1961)),ISNUMBER(SEARCH("MND",$F1961)),ISNUMBER(SEARCH("PEAD",$F1961)),ISNUMBER(SEARCH("Puxe",$J1961)),ISNUMBER(SEARCH("Apoio HDD",$F1961))),"MND",IF(OR(ISNUMBER(SEARCH("VCA",$F1961)),ISNUMBER(SEARCH("PVC",$F1961)),ISNUMBER(SEARCH("vca",$J1961)),ISNUMBER(SEARCH("Transformação",$J1961))),"VCA",IF(OR(ISNUMBER(SEARCH("crava",$F1961)),ISNUMBER(SEARCH("tubo cravado",$F1961)),ISNUMBER(SEARCH("shaft",$J1961)),ISNUMBER(SEARCH("concreto",$F1961))),"TUBO CRAVADO","")))</f>
        <v/>
      </c>
      <c r="T1961">
        <f>IF($A1961="","",TEXT($A1961,"yyyymm")&amp;"|"&amp;$C1961&amp;"|"&amp;$F1961&amp;"|"&amp;$N1961&amp;"|"&amp;$R1961)</f>
        <v/>
      </c>
    </row>
    <row r="1962" ht="11.55" customHeight="1">
      <c r="A1962" s="10" t="n">
        <v>46133</v>
      </c>
      <c r="B1962" s="7" t="inlineStr">
        <is>
          <t>Terça</t>
        </is>
      </c>
      <c r="C1962" s="7" t="inlineStr">
        <is>
          <t>CTS CONCEIÇÃO</t>
        </is>
      </c>
      <c r="D1962" s="7" t="inlineStr">
        <is>
          <t>LEANDRO</t>
        </is>
      </c>
      <c r="E1962" s="7" t="inlineStr">
        <is>
          <t>Carlos</t>
        </is>
      </c>
      <c r="F1962" s="13" t="inlineStr">
        <is>
          <t>Luva PV 9.1</t>
        </is>
      </c>
      <c r="G1962" s="7" t="inlineStr">
        <is>
          <t>9.1</t>
        </is>
      </c>
      <c r="H1962" s="7" t="n"/>
      <c r="I1962" s="7" t="inlineStr">
        <is>
          <t>9.1</t>
        </is>
      </c>
      <c r="J1962" s="7" t="inlineStr">
        <is>
          <t>Luva</t>
        </is>
      </c>
      <c r="K1962" s="7" t="inlineStr">
        <is>
          <t>Planejamento</t>
        </is>
      </c>
      <c r="L1962" s="16" t="inlineStr">
        <is>
          <t>PDS-Abril(2).docx</t>
        </is>
      </c>
      <c r="M1962">
        <f>IF($A1962="","",TEXT($A1962,"mmmm/yyyy"))</f>
        <v/>
      </c>
      <c r="P1962">
        <f>IFERROR(_xludf.XLOOKUP($N1962,Base_Enderecos!$A:$A,Base_Enderecos!$B:$B,""),"")</f>
        <v/>
      </c>
      <c r="Q1962">
        <f>IFERROR(_xludf.XLOOKUP($N1962,Base_Enderecos!$A:$A,Base_Enderecos!$C:$C,""),"")</f>
        <v/>
      </c>
      <c r="R1962">
        <f>IF(OR(ISNUMBER(SEARCH("HDD",$F1962)),ISNUMBER(SEARCH("MND",$F1962)),ISNUMBER(SEARCH("PEAD",$F1962)),ISNUMBER(SEARCH("Puxe",$J1962)),ISNUMBER(SEARCH("Apoio HDD",$F1962))),"MND",IF(OR(ISNUMBER(SEARCH("VCA",$F1962)),ISNUMBER(SEARCH("PVC",$F1962)),ISNUMBER(SEARCH("vca",$J1962)),ISNUMBER(SEARCH("Transformação",$J1962))),"VCA",IF(OR(ISNUMBER(SEARCH("crava",$F1962)),ISNUMBER(SEARCH("tubo cravado",$F1962)),ISNUMBER(SEARCH("shaft",$J1962)),ISNUMBER(SEARCH("concreto",$F1962))),"TUBO CRAVADO","")))</f>
        <v/>
      </c>
      <c r="T1962">
        <f>IF($A1962="","",TEXT($A1962,"yyyymm")&amp;"|"&amp;$C1962&amp;"|"&amp;$F1962&amp;"|"&amp;$N1962&amp;"|"&amp;$R1962)</f>
        <v/>
      </c>
    </row>
    <row r="1963" ht="11.55" customHeight="1">
      <c r="A1963" s="10" t="n">
        <v>46133</v>
      </c>
      <c r="B1963" s="7" t="inlineStr">
        <is>
          <t>Terça</t>
        </is>
      </c>
      <c r="C1963" s="7" t="inlineStr">
        <is>
          <t>CT ÁGUA VERMELHA M.D. e M.E</t>
        </is>
      </c>
      <c r="D1963" s="7" t="inlineStr">
        <is>
          <t>FABIO</t>
        </is>
      </c>
      <c r="E1963" s="7" t="inlineStr">
        <is>
          <t>Claudinei</t>
        </is>
      </c>
      <c r="F1963" s="13" t="inlineStr">
        <is>
          <t>Apoio casa (PVD 7)</t>
        </is>
      </c>
      <c r="G1963" s="7" t="inlineStr">
        <is>
          <t>7</t>
        </is>
      </c>
      <c r="H1963" s="7" t="n"/>
      <c r="I1963" s="7" t="inlineStr">
        <is>
          <t>7</t>
        </is>
      </c>
      <c r="J1963" s="7" t="n"/>
      <c r="K1963" s="7" t="inlineStr">
        <is>
          <t>Planejamento</t>
        </is>
      </c>
      <c r="L1963" s="16" t="inlineStr">
        <is>
          <t>PDS-Abril(2).docx</t>
        </is>
      </c>
      <c r="M1963">
        <f>IF($A1963="","",TEXT($A1963,"mmmm/yyyy"))</f>
        <v/>
      </c>
      <c r="P1963">
        <f>IFERROR(_xludf.XLOOKUP($N1963,Base_Enderecos!$A:$A,Base_Enderecos!$B:$B,""),"")</f>
        <v/>
      </c>
      <c r="Q1963">
        <f>IFERROR(_xludf.XLOOKUP($N1963,Base_Enderecos!$A:$A,Base_Enderecos!$C:$C,""),"")</f>
        <v/>
      </c>
      <c r="R1963">
        <f>IF(OR(ISNUMBER(SEARCH("HDD",$F1963)),ISNUMBER(SEARCH("MND",$F1963)),ISNUMBER(SEARCH("PEAD",$F1963)),ISNUMBER(SEARCH("Puxe",$J1963)),ISNUMBER(SEARCH("Apoio HDD",$F1963))),"MND",IF(OR(ISNUMBER(SEARCH("VCA",$F1963)),ISNUMBER(SEARCH("PVC",$F1963)),ISNUMBER(SEARCH("vca",$J1963)),ISNUMBER(SEARCH("Transformação",$J1963))),"VCA",IF(OR(ISNUMBER(SEARCH("crava",$F1963)),ISNUMBER(SEARCH("tubo cravado",$F1963)),ISNUMBER(SEARCH("shaft",$J1963)),ISNUMBER(SEARCH("concreto",$F1963))),"TUBO CRAVADO","")))</f>
        <v/>
      </c>
      <c r="T1963">
        <f>IF($A1963="","",TEXT($A1963,"yyyymm")&amp;"|"&amp;$C1963&amp;"|"&amp;$F1963&amp;"|"&amp;$N1963&amp;"|"&amp;$R1963)</f>
        <v/>
      </c>
    </row>
    <row r="1964" ht="11.55" customHeight="1">
      <c r="A1964" s="10" t="n">
        <v>46133</v>
      </c>
      <c r="B1964" s="7" t="inlineStr">
        <is>
          <t>Terça</t>
        </is>
      </c>
      <c r="C1964" s="7" t="inlineStr">
        <is>
          <t>CT ÁGUA VERMELHA M.D. e M.E</t>
        </is>
      </c>
      <c r="D1964" s="7" t="inlineStr">
        <is>
          <t>FABIO</t>
        </is>
      </c>
      <c r="E1964" s="7" t="inlineStr">
        <is>
          <t>Marcelo</t>
        </is>
      </c>
      <c r="F1964" s="13" t="inlineStr">
        <is>
          <t>Interligação PVD 2</t>
        </is>
      </c>
      <c r="G1964" s="7" t="inlineStr">
        <is>
          <t>2</t>
        </is>
      </c>
      <c r="H1964" s="7" t="n"/>
      <c r="I1964" s="7" t="inlineStr">
        <is>
          <t>2</t>
        </is>
      </c>
      <c r="J1964" s="7" t="inlineStr">
        <is>
          <t>Interligação</t>
        </is>
      </c>
      <c r="K1964" s="7" t="inlineStr">
        <is>
          <t>Planejamento</t>
        </is>
      </c>
      <c r="L1964" s="16" t="inlineStr">
        <is>
          <t>PDS-Abril(2).docx</t>
        </is>
      </c>
      <c r="M1964">
        <f>IF($A1964="","",TEXT($A1964,"mmmm/yyyy"))</f>
        <v/>
      </c>
      <c r="P1964">
        <f>IFERROR(_xludf.XLOOKUP($N1964,Base_Enderecos!$A:$A,Base_Enderecos!$B:$B,""),"")</f>
        <v/>
      </c>
      <c r="Q1964">
        <f>IFERROR(_xludf.XLOOKUP($N1964,Base_Enderecos!$A:$A,Base_Enderecos!$C:$C,""),"")</f>
        <v/>
      </c>
      <c r="R1964">
        <f>IF(OR(ISNUMBER(SEARCH("HDD",$F1964)),ISNUMBER(SEARCH("MND",$F1964)),ISNUMBER(SEARCH("PEAD",$F1964)),ISNUMBER(SEARCH("Puxe",$J1964)),ISNUMBER(SEARCH("Apoio HDD",$F1964))),"MND",IF(OR(ISNUMBER(SEARCH("VCA",$F1964)),ISNUMBER(SEARCH("PVC",$F1964)),ISNUMBER(SEARCH("vca",$J1964)),ISNUMBER(SEARCH("Transformação",$J1964))),"VCA",IF(OR(ISNUMBER(SEARCH("crava",$F1964)),ISNUMBER(SEARCH("tubo cravado",$F1964)),ISNUMBER(SEARCH("shaft",$J1964)),ISNUMBER(SEARCH("concreto",$F1964))),"TUBO CRAVADO","")))</f>
        <v/>
      </c>
      <c r="T1964">
        <f>IF($A1964="","",TEXT($A1964,"yyyymm")&amp;"|"&amp;$C1964&amp;"|"&amp;$F1964&amp;"|"&amp;$N1964&amp;"|"&amp;$R1964)</f>
        <v/>
      </c>
    </row>
    <row r="1965" ht="11.55" customHeight="1">
      <c r="A1965" s="10" t="n">
        <v>46133</v>
      </c>
      <c r="B1965" s="7" t="inlineStr">
        <is>
          <t>Terça</t>
        </is>
      </c>
      <c r="C1965" s="7" t="inlineStr">
        <is>
          <t>CT ÁGUA VERMELHA M.D. e M.E</t>
        </is>
      </c>
      <c r="D1965" s="7" t="inlineStr">
        <is>
          <t>FABIO</t>
        </is>
      </c>
      <c r="E1965" s="7" t="inlineStr">
        <is>
          <t>Johnatham</t>
        </is>
      </c>
      <c r="F1965" s="13" t="inlineStr">
        <is>
          <t>Shaft PVD 14</t>
        </is>
      </c>
      <c r="G1965" s="7" t="inlineStr">
        <is>
          <t>14</t>
        </is>
      </c>
      <c r="H1965" s="7" t="n"/>
      <c r="I1965" s="7" t="inlineStr">
        <is>
          <t>14</t>
        </is>
      </c>
      <c r="J1965" s="7" t="inlineStr">
        <is>
          <t>Shaft</t>
        </is>
      </c>
      <c r="K1965" s="7" t="inlineStr">
        <is>
          <t>Planejamento</t>
        </is>
      </c>
      <c r="L1965" s="16" t="inlineStr">
        <is>
          <t>PDS-Abril(2).docx</t>
        </is>
      </c>
      <c r="M1965">
        <f>IF($A1965="","",TEXT($A1965,"mmmm/yyyy"))</f>
        <v/>
      </c>
      <c r="P1965">
        <f>IFERROR(_xludf.XLOOKUP($N1965,Base_Enderecos!$A:$A,Base_Enderecos!$B:$B,""),"")</f>
        <v/>
      </c>
      <c r="Q1965">
        <f>IFERROR(_xludf.XLOOKUP($N1965,Base_Enderecos!$A:$A,Base_Enderecos!$C:$C,""),"")</f>
        <v/>
      </c>
      <c r="R1965">
        <f>IF(OR(ISNUMBER(SEARCH("HDD",$F1965)),ISNUMBER(SEARCH("MND",$F1965)),ISNUMBER(SEARCH("PEAD",$F1965)),ISNUMBER(SEARCH("Puxe",$J1965)),ISNUMBER(SEARCH("Apoio HDD",$F1965))),"MND",IF(OR(ISNUMBER(SEARCH("VCA",$F1965)),ISNUMBER(SEARCH("PVC",$F1965)),ISNUMBER(SEARCH("vca",$J1965)),ISNUMBER(SEARCH("Transformação",$J1965))),"VCA",IF(OR(ISNUMBER(SEARCH("crava",$F1965)),ISNUMBER(SEARCH("tubo cravado",$F1965)),ISNUMBER(SEARCH("shaft",$J1965)),ISNUMBER(SEARCH("concreto",$F1965))),"TUBO CRAVADO","")))</f>
        <v/>
      </c>
      <c r="T1965">
        <f>IF($A1965="","",TEXT($A1965,"yyyymm")&amp;"|"&amp;$C1965&amp;"|"&amp;$F1965&amp;"|"&amp;$N1965&amp;"|"&amp;$R1965)</f>
        <v/>
      </c>
    </row>
    <row r="1966" ht="11.55" customHeight="1">
      <c r="A1966" s="10" t="n">
        <v>46133</v>
      </c>
      <c r="B1966" s="7" t="inlineStr">
        <is>
          <t>Terça</t>
        </is>
      </c>
      <c r="C1966" s="7" t="inlineStr">
        <is>
          <t>CT ÁGUA VERMELHA M.D. e M.E</t>
        </is>
      </c>
      <c r="D1966" s="7" t="inlineStr">
        <is>
          <t>FABIO</t>
        </is>
      </c>
      <c r="E1966" s="7" t="inlineStr">
        <is>
          <t>Antônio</t>
        </is>
      </c>
      <c r="F1966" s="13" t="inlineStr">
        <is>
          <t>Transformação PIE 10.2</t>
        </is>
      </c>
      <c r="G1966" s="7" t="n"/>
      <c r="H1966" s="7" t="n"/>
      <c r="I1966" s="7" t="n"/>
      <c r="J1966" s="7" t="inlineStr">
        <is>
          <t>Transformação</t>
        </is>
      </c>
      <c r="K1966" s="7" t="inlineStr">
        <is>
          <t>Planejamento</t>
        </is>
      </c>
      <c r="L1966" s="16" t="inlineStr">
        <is>
          <t>PDS-Abril(2).docx</t>
        </is>
      </c>
      <c r="M1966">
        <f>IF($A1966="","",TEXT($A1966,"mmmm/yyyy"))</f>
        <v/>
      </c>
      <c r="P1966">
        <f>IFERROR(_xludf.XLOOKUP($N1966,Base_Enderecos!$A:$A,Base_Enderecos!$B:$B,""),"")</f>
        <v/>
      </c>
      <c r="Q1966">
        <f>IFERROR(_xludf.XLOOKUP($N1966,Base_Enderecos!$A:$A,Base_Enderecos!$C:$C,""),"")</f>
        <v/>
      </c>
      <c r="R1966">
        <f>IF(OR(ISNUMBER(SEARCH("HDD",$F1966)),ISNUMBER(SEARCH("MND",$F1966)),ISNUMBER(SEARCH("PEAD",$F1966)),ISNUMBER(SEARCH("Puxe",$J1966)),ISNUMBER(SEARCH("Apoio HDD",$F1966))),"MND",IF(OR(ISNUMBER(SEARCH("VCA",$F1966)),ISNUMBER(SEARCH("PVC",$F1966)),ISNUMBER(SEARCH("vca",$J1966)),ISNUMBER(SEARCH("Transformação",$J1966))),"VCA",IF(OR(ISNUMBER(SEARCH("crava",$F1966)),ISNUMBER(SEARCH("tubo cravado",$F1966)),ISNUMBER(SEARCH("shaft",$J1966)),ISNUMBER(SEARCH("concreto",$F1966))),"TUBO CRAVADO","")))</f>
        <v/>
      </c>
      <c r="T1966">
        <f>IF($A1966="","",TEXT($A1966,"yyyymm")&amp;"|"&amp;$C1966&amp;"|"&amp;$F1966&amp;"|"&amp;$N1966&amp;"|"&amp;$R1966)</f>
        <v/>
      </c>
    </row>
    <row r="1967" ht="11.55" customHeight="1">
      <c r="A1967" s="10" t="n">
        <v>46133</v>
      </c>
      <c r="B1967" s="7" t="inlineStr">
        <is>
          <t>Terça</t>
        </is>
      </c>
      <c r="C1967" s="7" t="inlineStr">
        <is>
          <t>CT ÁGUA VERMELHA M.D. e M.E</t>
        </is>
      </c>
      <c r="D1967" s="7" t="inlineStr">
        <is>
          <t>FABIO</t>
        </is>
      </c>
      <c r="E1967" s="7" t="inlineStr">
        <is>
          <t>Cesar</t>
        </is>
      </c>
      <c r="F1967" s="13" t="inlineStr">
        <is>
          <t>Transformação PVD 17</t>
        </is>
      </c>
      <c r="G1967" s="7" t="inlineStr">
        <is>
          <t>17</t>
        </is>
      </c>
      <c r="H1967" s="7" t="n"/>
      <c r="I1967" s="7" t="inlineStr">
        <is>
          <t>17</t>
        </is>
      </c>
      <c r="J1967" s="7" t="inlineStr">
        <is>
          <t>Transformação</t>
        </is>
      </c>
      <c r="K1967" s="7" t="inlineStr">
        <is>
          <t>Planejamento</t>
        </is>
      </c>
      <c r="L1967" s="16" t="inlineStr">
        <is>
          <t>PDS-Abril(2).docx</t>
        </is>
      </c>
      <c r="M1967">
        <f>IF($A1967="","",TEXT($A1967,"mmmm/yyyy"))</f>
        <v/>
      </c>
      <c r="P1967">
        <f>IFERROR(_xludf.XLOOKUP($N1967,Base_Enderecos!$A:$A,Base_Enderecos!$B:$B,""),"")</f>
        <v/>
      </c>
      <c r="Q1967">
        <f>IFERROR(_xludf.XLOOKUP($N1967,Base_Enderecos!$A:$A,Base_Enderecos!$C:$C,""),"")</f>
        <v/>
      </c>
      <c r="R1967">
        <f>IF(OR(ISNUMBER(SEARCH("HDD",$F1967)),ISNUMBER(SEARCH("MND",$F1967)),ISNUMBER(SEARCH("PEAD",$F1967)),ISNUMBER(SEARCH("Puxe",$J1967)),ISNUMBER(SEARCH("Apoio HDD",$F1967))),"MND",IF(OR(ISNUMBER(SEARCH("VCA",$F1967)),ISNUMBER(SEARCH("PVC",$F1967)),ISNUMBER(SEARCH("vca",$J1967)),ISNUMBER(SEARCH("Transformação",$J1967))),"VCA",IF(OR(ISNUMBER(SEARCH("crava",$F1967)),ISNUMBER(SEARCH("tubo cravado",$F1967)),ISNUMBER(SEARCH("shaft",$J1967)),ISNUMBER(SEARCH("concreto",$F1967))),"TUBO CRAVADO","")))</f>
        <v/>
      </c>
      <c r="T1967">
        <f>IF($A1967="","",TEXT($A1967,"yyyymm")&amp;"|"&amp;$C1967&amp;"|"&amp;$F1967&amp;"|"&amp;$N1967&amp;"|"&amp;$R1967)</f>
        <v/>
      </c>
    </row>
    <row r="1968" ht="11.55" customHeight="1">
      <c r="A1968" s="10" t="n">
        <v>46133</v>
      </c>
      <c r="B1968" s="7" t="inlineStr">
        <is>
          <t>Terça</t>
        </is>
      </c>
      <c r="C1968" s="7" t="inlineStr">
        <is>
          <t>INT FERNANDO PACHECO JORDÃO</t>
        </is>
      </c>
      <c r="D1968" s="7" t="inlineStr">
        <is>
          <t>VALMIR</t>
        </is>
      </c>
      <c r="E1968" s="7" t="inlineStr">
        <is>
          <t>WJ 02</t>
        </is>
      </c>
      <c r="F1968" s="13" t="inlineStr">
        <is>
          <t>Furo piloto e Puxe PV 02 ao PV 01</t>
        </is>
      </c>
      <c r="G1968" s="7" t="inlineStr">
        <is>
          <t>02</t>
        </is>
      </c>
      <c r="H1968" s="7" t="inlineStr">
        <is>
          <t>01</t>
        </is>
      </c>
      <c r="I1968" s="7" t="inlineStr">
        <is>
          <t>02, 01</t>
        </is>
      </c>
      <c r="J1968" s="7" t="inlineStr">
        <is>
          <t>Furo piloto</t>
        </is>
      </c>
      <c r="K1968" s="7" t="inlineStr">
        <is>
          <t>Planejamento</t>
        </is>
      </c>
      <c r="L1968" s="16" t="inlineStr">
        <is>
          <t>PDS-Abril(2).docx</t>
        </is>
      </c>
      <c r="M1968">
        <f>IF($A1968="","",TEXT($A1968,"mmmm/yyyy"))</f>
        <v/>
      </c>
      <c r="P1968">
        <f>IFERROR(_xludf.XLOOKUP($N1968,Base_Enderecos!$A:$A,Base_Enderecos!$B:$B,""),"")</f>
        <v/>
      </c>
      <c r="Q1968">
        <f>IFERROR(_xludf.XLOOKUP($N1968,Base_Enderecos!$A:$A,Base_Enderecos!$C:$C,""),"")</f>
        <v/>
      </c>
      <c r="R1968">
        <f>IF(OR(ISNUMBER(SEARCH("HDD",$F1968)),ISNUMBER(SEARCH("MND",$F1968)),ISNUMBER(SEARCH("PEAD",$F1968)),ISNUMBER(SEARCH("Puxe",$J1968)),ISNUMBER(SEARCH("Apoio HDD",$F1968))),"MND",IF(OR(ISNUMBER(SEARCH("VCA",$F1968)),ISNUMBER(SEARCH("PVC",$F1968)),ISNUMBER(SEARCH("vca",$J1968)),ISNUMBER(SEARCH("Transformação",$J1968))),"VCA",IF(OR(ISNUMBER(SEARCH("crava",$F1968)),ISNUMBER(SEARCH("tubo cravado",$F1968)),ISNUMBER(SEARCH("shaft",$J1968)),ISNUMBER(SEARCH("concreto",$F1968))),"TUBO CRAVADO","")))</f>
        <v/>
      </c>
      <c r="T1968">
        <f>IF($A1968="","",TEXT($A1968,"yyyymm")&amp;"|"&amp;$C1968&amp;"|"&amp;$F1968&amp;"|"&amp;$N1968&amp;"|"&amp;$R1968)</f>
        <v/>
      </c>
    </row>
    <row r="1969" ht="11.55" customHeight="1">
      <c r="A1969" s="10" t="n">
        <v>46133</v>
      </c>
      <c r="B1969" s="7" t="inlineStr">
        <is>
          <t>Terça</t>
        </is>
      </c>
      <c r="C1969" s="7" t="inlineStr">
        <is>
          <t>INT FERNANDO PACHECO JORDÃO</t>
        </is>
      </c>
      <c r="D1969" s="7" t="inlineStr">
        <is>
          <t>VALMIR</t>
        </is>
      </c>
      <c r="E1969" s="7" t="inlineStr">
        <is>
          <t>Ricardo</t>
        </is>
      </c>
      <c r="F1969" s="13" t="inlineStr">
        <is>
          <t>Apoio HDD PV 02 ao PV 01</t>
        </is>
      </c>
      <c r="G1969" s="7" t="inlineStr">
        <is>
          <t>02</t>
        </is>
      </c>
      <c r="H1969" s="7" t="inlineStr">
        <is>
          <t>01</t>
        </is>
      </c>
      <c r="I1969" s="7" t="inlineStr">
        <is>
          <t>02, 01</t>
        </is>
      </c>
      <c r="J1969" s="7" t="inlineStr">
        <is>
          <t>Apoio HDD</t>
        </is>
      </c>
      <c r="K1969" s="7" t="inlineStr">
        <is>
          <t>Planejamento</t>
        </is>
      </c>
      <c r="L1969" s="16" t="inlineStr">
        <is>
          <t>PDS-Abril(2).docx</t>
        </is>
      </c>
      <c r="M1969">
        <f>IF($A1969="","",TEXT($A1969,"mmmm/yyyy"))</f>
        <v/>
      </c>
      <c r="P1969">
        <f>IFERROR(_xludf.XLOOKUP($N1969,Base_Enderecos!$A:$A,Base_Enderecos!$B:$B,""),"")</f>
        <v/>
      </c>
      <c r="Q1969">
        <f>IFERROR(_xludf.XLOOKUP($N1969,Base_Enderecos!$A:$A,Base_Enderecos!$C:$C,""),"")</f>
        <v/>
      </c>
      <c r="R1969">
        <f>IF(OR(ISNUMBER(SEARCH("HDD",$F1969)),ISNUMBER(SEARCH("MND",$F1969)),ISNUMBER(SEARCH("PEAD",$F1969)),ISNUMBER(SEARCH("Puxe",$J1969)),ISNUMBER(SEARCH("Apoio HDD",$F1969))),"MND",IF(OR(ISNUMBER(SEARCH("VCA",$F1969)),ISNUMBER(SEARCH("PVC",$F1969)),ISNUMBER(SEARCH("vca",$J1969)),ISNUMBER(SEARCH("Transformação",$J1969))),"VCA",IF(OR(ISNUMBER(SEARCH("crava",$F1969)),ISNUMBER(SEARCH("tubo cravado",$F1969)),ISNUMBER(SEARCH("shaft",$J1969)),ISNUMBER(SEARCH("concreto",$F1969))),"TUBO CRAVADO","")))</f>
        <v/>
      </c>
      <c r="T1969">
        <f>IF($A1969="","",TEXT($A1969,"yyyymm")&amp;"|"&amp;$C1969&amp;"|"&amp;$F1969&amp;"|"&amp;$N1969&amp;"|"&amp;$R1969)</f>
        <v/>
      </c>
    </row>
    <row r="1970" ht="11.55" customHeight="1">
      <c r="A1970" s="10" t="n">
        <v>46133</v>
      </c>
      <c r="B1970" s="7" t="inlineStr">
        <is>
          <t>Terça</t>
        </is>
      </c>
      <c r="C1970" s="7" t="inlineStr">
        <is>
          <t>INT FERNANDO PACHECO JORDÃO</t>
        </is>
      </c>
      <c r="D1970" s="7" t="inlineStr">
        <is>
          <t>VALMIR</t>
        </is>
      </c>
      <c r="E1970" s="7" t="inlineStr">
        <is>
          <t>Edivando</t>
        </is>
      </c>
      <c r="F1970" s="13" t="inlineStr">
        <is>
          <t>Transformação PV 03</t>
        </is>
      </c>
      <c r="G1970" s="7" t="inlineStr">
        <is>
          <t>03</t>
        </is>
      </c>
      <c r="H1970" s="7" t="n"/>
      <c r="I1970" s="7" t="inlineStr">
        <is>
          <t>03</t>
        </is>
      </c>
      <c r="J1970" s="7" t="inlineStr">
        <is>
          <t>Transformação</t>
        </is>
      </c>
      <c r="K1970" s="7" t="inlineStr">
        <is>
          <t>Planejamento</t>
        </is>
      </c>
      <c r="L1970" s="16" t="inlineStr">
        <is>
          <t>PDS-Abril(2).docx</t>
        </is>
      </c>
      <c r="M1970">
        <f>IF($A1970="","",TEXT($A1970,"mmmm/yyyy"))</f>
        <v/>
      </c>
      <c r="P1970">
        <f>IFERROR(_xludf.XLOOKUP($N1970,Base_Enderecos!$A:$A,Base_Enderecos!$B:$B,""),"")</f>
        <v/>
      </c>
      <c r="Q1970">
        <f>IFERROR(_xludf.XLOOKUP($N1970,Base_Enderecos!$A:$A,Base_Enderecos!$C:$C,""),"")</f>
        <v/>
      </c>
      <c r="R1970">
        <f>IF(OR(ISNUMBER(SEARCH("HDD",$F1970)),ISNUMBER(SEARCH("MND",$F1970)),ISNUMBER(SEARCH("PEAD",$F1970)),ISNUMBER(SEARCH("Puxe",$J1970)),ISNUMBER(SEARCH("Apoio HDD",$F1970))),"MND",IF(OR(ISNUMBER(SEARCH("VCA",$F1970)),ISNUMBER(SEARCH("PVC",$F1970)),ISNUMBER(SEARCH("vca",$J1970)),ISNUMBER(SEARCH("Transformação",$J1970))),"VCA",IF(OR(ISNUMBER(SEARCH("crava",$F1970)),ISNUMBER(SEARCH("tubo cravado",$F1970)),ISNUMBER(SEARCH("shaft",$J1970)),ISNUMBER(SEARCH("concreto",$F1970))),"TUBO CRAVADO","")))</f>
        <v/>
      </c>
      <c r="T1970">
        <f>IF($A1970="","",TEXT($A1970,"yyyymm")&amp;"|"&amp;$C1970&amp;"|"&amp;$F1970&amp;"|"&amp;$N1970&amp;"|"&amp;$R1970)</f>
        <v/>
      </c>
    </row>
    <row r="1971" ht="11.55" customHeight="1">
      <c r="A1971" s="10" t="n">
        <v>46133</v>
      </c>
      <c r="B1971" s="7" t="inlineStr">
        <is>
          <t>Terça</t>
        </is>
      </c>
      <c r="C1971" s="7" t="inlineStr">
        <is>
          <t>INT FERNANDO PACHECO JORDÃO</t>
        </is>
      </c>
      <c r="D1971" s="7" t="inlineStr">
        <is>
          <t>VALMIR</t>
        </is>
      </c>
      <c r="E1971" s="7" t="inlineStr">
        <is>
          <t>Valter</t>
        </is>
      </c>
      <c r="F1971" s="13" t="inlineStr">
        <is>
          <t>Transformação PV 04</t>
        </is>
      </c>
      <c r="G1971" s="7" t="inlineStr">
        <is>
          <t>04</t>
        </is>
      </c>
      <c r="H1971" s="7" t="n"/>
      <c r="I1971" s="7" t="inlineStr">
        <is>
          <t>04</t>
        </is>
      </c>
      <c r="J1971" s="7" t="inlineStr">
        <is>
          <t>Transformação</t>
        </is>
      </c>
      <c r="K1971" s="7" t="inlineStr">
        <is>
          <t>Planejamento</t>
        </is>
      </c>
      <c r="L1971" s="16" t="inlineStr">
        <is>
          <t>PDS-Abril(2).docx</t>
        </is>
      </c>
      <c r="M1971">
        <f>IF($A1971="","",TEXT($A1971,"mmmm/yyyy"))</f>
        <v/>
      </c>
      <c r="P1971">
        <f>IFERROR(_xludf.XLOOKUP($N1971,Base_Enderecos!$A:$A,Base_Enderecos!$B:$B,""),"")</f>
        <v/>
      </c>
      <c r="Q1971">
        <f>IFERROR(_xludf.XLOOKUP($N1971,Base_Enderecos!$A:$A,Base_Enderecos!$C:$C,""),"")</f>
        <v/>
      </c>
      <c r="R1971">
        <f>IF(OR(ISNUMBER(SEARCH("HDD",$F1971)),ISNUMBER(SEARCH("MND",$F1971)),ISNUMBER(SEARCH("PEAD",$F1971)),ISNUMBER(SEARCH("Puxe",$J1971)),ISNUMBER(SEARCH("Apoio HDD",$F1971))),"MND",IF(OR(ISNUMBER(SEARCH("VCA",$F1971)),ISNUMBER(SEARCH("PVC",$F1971)),ISNUMBER(SEARCH("vca",$J1971)),ISNUMBER(SEARCH("Transformação",$J1971))),"VCA",IF(OR(ISNUMBER(SEARCH("crava",$F1971)),ISNUMBER(SEARCH("tubo cravado",$F1971)),ISNUMBER(SEARCH("shaft",$J1971)),ISNUMBER(SEARCH("concreto",$F1971))),"TUBO CRAVADO","")))</f>
        <v/>
      </c>
      <c r="T1971">
        <f>IF($A1971="","",TEXT($A1971,"yyyymm")&amp;"|"&amp;$C1971&amp;"|"&amp;$F1971&amp;"|"&amp;$N1971&amp;"|"&amp;$R1971)</f>
        <v/>
      </c>
    </row>
    <row r="1972" ht="11.55" customHeight="1">
      <c r="A1972" s="10" t="n">
        <v>46133</v>
      </c>
      <c r="B1972" s="7" t="inlineStr">
        <is>
          <t>Terça</t>
        </is>
      </c>
      <c r="C1972" s="7" t="inlineStr">
        <is>
          <t>CTS MAR DE CORAL</t>
        </is>
      </c>
      <c r="D1972" s="7" t="inlineStr">
        <is>
          <t>SILVESTRE</t>
        </is>
      </c>
      <c r="E1972" s="7" t="inlineStr">
        <is>
          <t>Sergio</t>
        </is>
      </c>
      <c r="F1972" s="13" t="inlineStr">
        <is>
          <t>Shaft PV 5.9</t>
        </is>
      </c>
      <c r="G1972" s="7" t="inlineStr">
        <is>
          <t>5.9</t>
        </is>
      </c>
      <c r="H1972" s="7" t="n"/>
      <c r="I1972" s="7" t="inlineStr">
        <is>
          <t>5.9</t>
        </is>
      </c>
      <c r="J1972" s="7" t="inlineStr">
        <is>
          <t>Shaft</t>
        </is>
      </c>
      <c r="K1972" s="7" t="inlineStr">
        <is>
          <t>Planejamento</t>
        </is>
      </c>
      <c r="L1972" s="16" t="inlineStr">
        <is>
          <t>PDS-Abril(2).docx</t>
        </is>
      </c>
      <c r="M1972">
        <f>IF($A1972="","",TEXT($A1972,"mmmm/yyyy"))</f>
        <v/>
      </c>
      <c r="P1972">
        <f>IFERROR(_xludf.XLOOKUP($N1972,Base_Enderecos!$A:$A,Base_Enderecos!$B:$B,""),"")</f>
        <v/>
      </c>
      <c r="Q1972">
        <f>IFERROR(_xludf.XLOOKUP($N1972,Base_Enderecos!$A:$A,Base_Enderecos!$C:$C,""),"")</f>
        <v/>
      </c>
      <c r="R1972">
        <f>IF(OR(ISNUMBER(SEARCH("HDD",$F1972)),ISNUMBER(SEARCH("MND",$F1972)),ISNUMBER(SEARCH("PEAD",$F1972)),ISNUMBER(SEARCH("Puxe",$J1972)),ISNUMBER(SEARCH("Apoio HDD",$F1972))),"MND",IF(OR(ISNUMBER(SEARCH("VCA",$F1972)),ISNUMBER(SEARCH("PVC",$F1972)),ISNUMBER(SEARCH("vca",$J1972)),ISNUMBER(SEARCH("Transformação",$J1972))),"VCA",IF(OR(ISNUMBER(SEARCH("crava",$F1972)),ISNUMBER(SEARCH("tubo cravado",$F1972)),ISNUMBER(SEARCH("shaft",$J1972)),ISNUMBER(SEARCH("concreto",$F1972))),"TUBO CRAVADO","")))</f>
        <v/>
      </c>
      <c r="T1972">
        <f>IF($A1972="","",TEXT($A1972,"yyyymm")&amp;"|"&amp;$C1972&amp;"|"&amp;$F1972&amp;"|"&amp;$N1972&amp;"|"&amp;$R1972)</f>
        <v/>
      </c>
    </row>
    <row r="1973" ht="11.55" customHeight="1">
      <c r="A1973" s="10" t="n">
        <v>46133</v>
      </c>
      <c r="B1973" s="7" t="inlineStr">
        <is>
          <t>Terça</t>
        </is>
      </c>
      <c r="C1973" s="7" t="inlineStr">
        <is>
          <t>CTS LUIS BOTELHO MOURÃO</t>
        </is>
      </c>
      <c r="D1973" s="7" t="inlineStr">
        <is>
          <t>ELOÍZIO</t>
        </is>
      </c>
      <c r="E1973" s="7" t="inlineStr">
        <is>
          <t>Marcio</t>
        </is>
      </c>
      <c r="F1973" s="13" t="inlineStr">
        <is>
          <t>Transformação PV 02</t>
        </is>
      </c>
      <c r="G1973" s="7" t="inlineStr">
        <is>
          <t>02</t>
        </is>
      </c>
      <c r="H1973" s="7" t="n"/>
      <c r="I1973" s="7" t="inlineStr">
        <is>
          <t>02</t>
        </is>
      </c>
      <c r="J1973" s="7" t="inlineStr">
        <is>
          <t>Transformação</t>
        </is>
      </c>
      <c r="K1973" s="7" t="inlineStr">
        <is>
          <t>Planejamento</t>
        </is>
      </c>
      <c r="L1973" s="16" t="inlineStr">
        <is>
          <t>PDS-Abril(2).docx</t>
        </is>
      </c>
      <c r="M1973">
        <f>IF($A1973="","",TEXT($A1973,"mmmm/yyyy"))</f>
        <v/>
      </c>
      <c r="P1973">
        <f>IFERROR(_xludf.XLOOKUP($N1973,Base_Enderecos!$A:$A,Base_Enderecos!$B:$B,""),"")</f>
        <v/>
      </c>
      <c r="Q1973">
        <f>IFERROR(_xludf.XLOOKUP($N1973,Base_Enderecos!$A:$A,Base_Enderecos!$C:$C,""),"")</f>
        <v/>
      </c>
      <c r="R1973">
        <f>IF(OR(ISNUMBER(SEARCH("HDD",$F1973)),ISNUMBER(SEARCH("MND",$F1973)),ISNUMBER(SEARCH("PEAD",$F1973)),ISNUMBER(SEARCH("Puxe",$J1973)),ISNUMBER(SEARCH("Apoio HDD",$F1973))),"MND",IF(OR(ISNUMBER(SEARCH("VCA",$F1973)),ISNUMBER(SEARCH("PVC",$F1973)),ISNUMBER(SEARCH("vca",$J1973)),ISNUMBER(SEARCH("Transformação",$J1973))),"VCA",IF(OR(ISNUMBER(SEARCH("crava",$F1973)),ISNUMBER(SEARCH("tubo cravado",$F1973)),ISNUMBER(SEARCH("shaft",$J1973)),ISNUMBER(SEARCH("concreto",$F1973))),"TUBO CRAVADO","")))</f>
        <v/>
      </c>
      <c r="T1973">
        <f>IF($A1973="","",TEXT($A1973,"yyyymm")&amp;"|"&amp;$C1973&amp;"|"&amp;$F1973&amp;"|"&amp;$N1973&amp;"|"&amp;$R1973)</f>
        <v/>
      </c>
    </row>
    <row r="1974" ht="11.55" customHeight="1">
      <c r="A1974" s="10" t="n">
        <v>46133</v>
      </c>
      <c r="B1974" s="7" t="inlineStr">
        <is>
          <t>Terça</t>
        </is>
      </c>
      <c r="C1974" s="7" t="inlineStr">
        <is>
          <t>CTS LUIS BOTELHO MOURÃO</t>
        </is>
      </c>
      <c r="D1974" s="7" t="inlineStr">
        <is>
          <t>ELOÍZIO</t>
        </is>
      </c>
      <c r="E1974" s="7" t="inlineStr">
        <is>
          <t>Higor</t>
        </is>
      </c>
      <c r="F1974" s="13" t="inlineStr">
        <is>
          <t>Transformação PV 06</t>
        </is>
      </c>
      <c r="G1974" s="7" t="inlineStr">
        <is>
          <t>06</t>
        </is>
      </c>
      <c r="H1974" s="7" t="n"/>
      <c r="I1974" s="7" t="inlineStr">
        <is>
          <t>06</t>
        </is>
      </c>
      <c r="J1974" s="7" t="inlineStr">
        <is>
          <t>Transformação</t>
        </is>
      </c>
      <c r="K1974" s="7" t="inlineStr">
        <is>
          <t>Planejamento</t>
        </is>
      </c>
      <c r="L1974" s="16" t="inlineStr">
        <is>
          <t>PDS-Abril(2).docx</t>
        </is>
      </c>
      <c r="M1974">
        <f>IF($A1974="","",TEXT($A1974,"mmmm/yyyy"))</f>
        <v/>
      </c>
      <c r="P1974">
        <f>IFERROR(_xludf.XLOOKUP($N1974,Base_Enderecos!$A:$A,Base_Enderecos!$B:$B,""),"")</f>
        <v/>
      </c>
      <c r="Q1974">
        <f>IFERROR(_xludf.XLOOKUP($N1974,Base_Enderecos!$A:$A,Base_Enderecos!$C:$C,""),"")</f>
        <v/>
      </c>
      <c r="R1974">
        <f>IF(OR(ISNUMBER(SEARCH("HDD",$F1974)),ISNUMBER(SEARCH("MND",$F1974)),ISNUMBER(SEARCH("PEAD",$F1974)),ISNUMBER(SEARCH("Puxe",$J1974)),ISNUMBER(SEARCH("Apoio HDD",$F1974))),"MND",IF(OR(ISNUMBER(SEARCH("VCA",$F1974)),ISNUMBER(SEARCH("PVC",$F1974)),ISNUMBER(SEARCH("vca",$J1974)),ISNUMBER(SEARCH("Transformação",$J1974))),"VCA",IF(OR(ISNUMBER(SEARCH("crava",$F1974)),ISNUMBER(SEARCH("tubo cravado",$F1974)),ISNUMBER(SEARCH("shaft",$J1974)),ISNUMBER(SEARCH("concreto",$F1974))),"TUBO CRAVADO","")))</f>
        <v/>
      </c>
      <c r="T1974">
        <f>IF($A1974="","",TEXT($A1974,"yyyymm")&amp;"|"&amp;$C1974&amp;"|"&amp;$F1974&amp;"|"&amp;$N1974&amp;"|"&amp;$R1974)</f>
        <v/>
      </c>
    </row>
    <row r="1975" ht="11.55" customHeight="1">
      <c r="A1975" s="10" t="n">
        <v>46133</v>
      </c>
      <c r="B1975" s="7" t="inlineStr">
        <is>
          <t>Terça</t>
        </is>
      </c>
      <c r="C1975" s="7" t="inlineStr">
        <is>
          <t>CTS LUIS BOTELHO MOURÃO</t>
        </is>
      </c>
      <c r="D1975" s="7" t="inlineStr">
        <is>
          <t>ELOÍZIO</t>
        </is>
      </c>
      <c r="E1975" s="7" t="inlineStr">
        <is>
          <t>Cidão</t>
        </is>
      </c>
      <c r="F1975" s="13" t="inlineStr">
        <is>
          <t>Transformação PV 07</t>
        </is>
      </c>
      <c r="G1975" s="7" t="inlineStr">
        <is>
          <t>07</t>
        </is>
      </c>
      <c r="H1975" s="7" t="n"/>
      <c r="I1975" s="7" t="inlineStr">
        <is>
          <t>07</t>
        </is>
      </c>
      <c r="J1975" s="7" t="inlineStr">
        <is>
          <t>Transformação</t>
        </is>
      </c>
      <c r="K1975" s="7" t="inlineStr">
        <is>
          <t>Planejamento</t>
        </is>
      </c>
      <c r="L1975" s="16" t="inlineStr">
        <is>
          <t>PDS-Abril(2).docx</t>
        </is>
      </c>
      <c r="M1975">
        <f>IF($A1975="","",TEXT($A1975,"mmmm/yyyy"))</f>
        <v/>
      </c>
      <c r="P1975">
        <f>IFERROR(_xludf.XLOOKUP($N1975,Base_Enderecos!$A:$A,Base_Enderecos!$B:$B,""),"")</f>
        <v/>
      </c>
      <c r="Q1975">
        <f>IFERROR(_xludf.XLOOKUP($N1975,Base_Enderecos!$A:$A,Base_Enderecos!$C:$C,""),"")</f>
        <v/>
      </c>
      <c r="R1975">
        <f>IF(OR(ISNUMBER(SEARCH("HDD",$F1975)),ISNUMBER(SEARCH("MND",$F1975)),ISNUMBER(SEARCH("PEAD",$F1975)),ISNUMBER(SEARCH("Puxe",$J1975)),ISNUMBER(SEARCH("Apoio HDD",$F1975))),"MND",IF(OR(ISNUMBER(SEARCH("VCA",$F1975)),ISNUMBER(SEARCH("PVC",$F1975)),ISNUMBER(SEARCH("vca",$J1975)),ISNUMBER(SEARCH("Transformação",$J1975))),"VCA",IF(OR(ISNUMBER(SEARCH("crava",$F1975)),ISNUMBER(SEARCH("tubo cravado",$F1975)),ISNUMBER(SEARCH("shaft",$J1975)),ISNUMBER(SEARCH("concreto",$F1975))),"TUBO CRAVADO","")))</f>
        <v/>
      </c>
      <c r="T1975">
        <f>IF($A1975="","",TEXT($A1975,"yyyymm")&amp;"|"&amp;$C1975&amp;"|"&amp;$F1975&amp;"|"&amp;$N1975&amp;"|"&amp;$R1975)</f>
        <v/>
      </c>
    </row>
    <row r="1976" ht="11.55" customHeight="1">
      <c r="A1976" s="10" t="n">
        <v>46133</v>
      </c>
      <c r="B1976" s="7" t="inlineStr">
        <is>
          <t>Terça</t>
        </is>
      </c>
      <c r="C1976" s="7" t="inlineStr">
        <is>
          <t>Vacal</t>
        </is>
      </c>
      <c r="D1976" s="7" t="n"/>
      <c r="E1976" s="7" t="inlineStr">
        <is>
          <t>Botelho Mourão – Renasce</t>
        </is>
      </c>
      <c r="F1976" s="13" t="inlineStr">
        <is>
          <t>Apoio Vacal</t>
        </is>
      </c>
      <c r="G1976" s="7" t="n"/>
      <c r="H1976" s="7" t="n"/>
      <c r="I1976" s="7" t="n"/>
      <c r="J1976" s="7" t="inlineStr">
        <is>
          <t>Vacal</t>
        </is>
      </c>
      <c r="K1976" s="7" t="inlineStr">
        <is>
          <t>Apoio</t>
        </is>
      </c>
      <c r="L1976" s="16" t="inlineStr">
        <is>
          <t>PDS-Abril(2).docx</t>
        </is>
      </c>
      <c r="M1976">
        <f>IF($A1976="","",TEXT($A1976,"mmmm/yyyy"))</f>
        <v/>
      </c>
      <c r="P1976">
        <f>IFERROR(_xludf.XLOOKUP($N1976,Base_Enderecos!$A:$A,Base_Enderecos!$B:$B,""),"")</f>
        <v/>
      </c>
      <c r="Q1976">
        <f>IFERROR(_xludf.XLOOKUP($N1976,Base_Enderecos!$A:$A,Base_Enderecos!$C:$C,""),"")</f>
        <v/>
      </c>
      <c r="R1976">
        <f>IF(OR(ISNUMBER(SEARCH("HDD",$F1976)),ISNUMBER(SEARCH("MND",$F1976)),ISNUMBER(SEARCH("PEAD",$F1976)),ISNUMBER(SEARCH("Puxe",$J1976)),ISNUMBER(SEARCH("Apoio HDD",$F1976))),"MND",IF(OR(ISNUMBER(SEARCH("VCA",$F1976)),ISNUMBER(SEARCH("PVC",$F1976)),ISNUMBER(SEARCH("vca",$J1976)),ISNUMBER(SEARCH("Transformação",$J1976))),"VCA",IF(OR(ISNUMBER(SEARCH("crava",$F1976)),ISNUMBER(SEARCH("tubo cravado",$F1976)),ISNUMBER(SEARCH("shaft",$J1976)),ISNUMBER(SEARCH("concreto",$F1976))),"TUBO CRAVADO","")))</f>
        <v/>
      </c>
      <c r="T1976">
        <f>IF($A1976="","",TEXT($A1976,"yyyymm")&amp;"|"&amp;$C1976&amp;"|"&amp;$F1976&amp;"|"&amp;$N1976&amp;"|"&amp;$R1976)</f>
        <v/>
      </c>
    </row>
    <row r="1977" ht="11.55" customHeight="1">
      <c r="A1977" s="10" t="n">
        <v>46133</v>
      </c>
      <c r="B1977" s="7" t="inlineStr">
        <is>
          <t>Terça</t>
        </is>
      </c>
      <c r="C1977" s="7" t="inlineStr">
        <is>
          <t>Vacal</t>
        </is>
      </c>
      <c r="D1977" s="7" t="n"/>
      <c r="E1977" s="7" t="inlineStr">
        <is>
          <t>Botelho Mourão – Hidrosol</t>
        </is>
      </c>
      <c r="F1977" s="13" t="inlineStr">
        <is>
          <t>Apoio Vacal</t>
        </is>
      </c>
      <c r="G1977" s="7" t="n"/>
      <c r="H1977" s="7" t="n"/>
      <c r="I1977" s="7" t="n"/>
      <c r="J1977" s="7" t="inlineStr">
        <is>
          <t>Vacal</t>
        </is>
      </c>
      <c r="K1977" s="7" t="inlineStr">
        <is>
          <t>Apoio</t>
        </is>
      </c>
      <c r="L1977" s="16" t="inlineStr">
        <is>
          <t>PDS-Abril(2).docx</t>
        </is>
      </c>
      <c r="M1977">
        <f>IF($A1977="","",TEXT($A1977,"mmmm/yyyy"))</f>
        <v/>
      </c>
      <c r="P1977">
        <f>IFERROR(_xludf.XLOOKUP($N1977,Base_Enderecos!$A:$A,Base_Enderecos!$B:$B,""),"")</f>
        <v/>
      </c>
      <c r="Q1977">
        <f>IFERROR(_xludf.XLOOKUP($N1977,Base_Enderecos!$A:$A,Base_Enderecos!$C:$C,""),"")</f>
        <v/>
      </c>
      <c r="R1977">
        <f>IF(OR(ISNUMBER(SEARCH("HDD",$F1977)),ISNUMBER(SEARCH("MND",$F1977)),ISNUMBER(SEARCH("PEAD",$F1977)),ISNUMBER(SEARCH("Puxe",$J1977)),ISNUMBER(SEARCH("Apoio HDD",$F1977))),"MND",IF(OR(ISNUMBER(SEARCH("VCA",$F1977)),ISNUMBER(SEARCH("PVC",$F1977)),ISNUMBER(SEARCH("vca",$J1977)),ISNUMBER(SEARCH("Transformação",$J1977))),"VCA",IF(OR(ISNUMBER(SEARCH("crava",$F1977)),ISNUMBER(SEARCH("tubo cravado",$F1977)),ISNUMBER(SEARCH("shaft",$J1977)),ISNUMBER(SEARCH("concreto",$F1977))),"TUBO CRAVADO","")))</f>
        <v/>
      </c>
      <c r="T1977">
        <f>IF($A1977="","",TEXT($A1977,"yyyymm")&amp;"|"&amp;$C1977&amp;"|"&amp;$F1977&amp;"|"&amp;$N1977&amp;"|"&amp;$R1977)</f>
        <v/>
      </c>
    </row>
    <row r="1978" ht="11.55" customHeight="1">
      <c r="A1978" s="10" t="n">
        <v>46133</v>
      </c>
      <c r="B1978" s="7" t="inlineStr">
        <is>
          <t>Terça</t>
        </is>
      </c>
      <c r="C1978" s="7" t="inlineStr">
        <is>
          <t>Vacal</t>
        </is>
      </c>
      <c r="D1978" s="7" t="n"/>
      <c r="E1978" s="7" t="inlineStr">
        <is>
          <t>Botelho Mourão – Henko</t>
        </is>
      </c>
      <c r="F1978" s="13" t="inlineStr">
        <is>
          <t>Apoio Vacal</t>
        </is>
      </c>
      <c r="G1978" s="7" t="n"/>
      <c r="H1978" s="7" t="n"/>
      <c r="I1978" s="7" t="n"/>
      <c r="J1978" s="7" t="inlineStr">
        <is>
          <t>Vacal</t>
        </is>
      </c>
      <c r="K1978" s="7" t="inlineStr">
        <is>
          <t>Apoio</t>
        </is>
      </c>
      <c r="L1978" s="16" t="inlineStr">
        <is>
          <t>PDS-Abril(2).docx</t>
        </is>
      </c>
      <c r="M1978">
        <f>IF($A1978="","",TEXT($A1978,"mmmm/yyyy"))</f>
        <v/>
      </c>
      <c r="P1978">
        <f>IFERROR(_xludf.XLOOKUP($N1978,Base_Enderecos!$A:$A,Base_Enderecos!$B:$B,""),"")</f>
        <v/>
      </c>
      <c r="Q1978">
        <f>IFERROR(_xludf.XLOOKUP($N1978,Base_Enderecos!$A:$A,Base_Enderecos!$C:$C,""),"")</f>
        <v/>
      </c>
      <c r="R1978">
        <f>IF(OR(ISNUMBER(SEARCH("HDD",$F1978)),ISNUMBER(SEARCH("MND",$F1978)),ISNUMBER(SEARCH("PEAD",$F1978)),ISNUMBER(SEARCH("Puxe",$J1978)),ISNUMBER(SEARCH("Apoio HDD",$F1978))),"MND",IF(OR(ISNUMBER(SEARCH("VCA",$F1978)),ISNUMBER(SEARCH("PVC",$F1978)),ISNUMBER(SEARCH("vca",$J1978)),ISNUMBER(SEARCH("Transformação",$J1978))),"VCA",IF(OR(ISNUMBER(SEARCH("crava",$F1978)),ISNUMBER(SEARCH("tubo cravado",$F1978)),ISNUMBER(SEARCH("shaft",$J1978)),ISNUMBER(SEARCH("concreto",$F1978))),"TUBO CRAVADO","")))</f>
        <v/>
      </c>
      <c r="T1978">
        <f>IF($A1978="","",TEXT($A1978,"yyyymm")&amp;"|"&amp;$C1978&amp;"|"&amp;$F1978&amp;"|"&amp;$N1978&amp;"|"&amp;$R1978)</f>
        <v/>
      </c>
    </row>
    <row r="1979" ht="11.55" customHeight="1">
      <c r="A1979" s="10" t="n">
        <v>46133</v>
      </c>
      <c r="B1979" s="7" t="inlineStr">
        <is>
          <t>Terça</t>
        </is>
      </c>
      <c r="C1979" s="7" t="inlineStr">
        <is>
          <t>Vacal</t>
        </is>
      </c>
      <c r="D1979" s="7" t="n"/>
      <c r="E1979" s="7" t="inlineStr">
        <is>
          <t>Conceição – Renasce</t>
        </is>
      </c>
      <c r="F1979" s="13" t="inlineStr">
        <is>
          <t>Apoio Vacal</t>
        </is>
      </c>
      <c r="G1979" s="7" t="n"/>
      <c r="H1979" s="7" t="n"/>
      <c r="I1979" s="7" t="n"/>
      <c r="J1979" s="7" t="inlineStr">
        <is>
          <t>Vacal</t>
        </is>
      </c>
      <c r="K1979" s="7" t="inlineStr">
        <is>
          <t>Apoio</t>
        </is>
      </c>
      <c r="L1979" s="16" t="inlineStr">
        <is>
          <t>PDS-Abril(2).docx</t>
        </is>
      </c>
      <c r="M1979">
        <f>IF($A1979="","",TEXT($A1979,"mmmm/yyyy"))</f>
        <v/>
      </c>
      <c r="P1979">
        <f>IFERROR(_xludf.XLOOKUP($N1979,Base_Enderecos!$A:$A,Base_Enderecos!$B:$B,""),"")</f>
        <v/>
      </c>
      <c r="Q1979">
        <f>IFERROR(_xludf.XLOOKUP($N1979,Base_Enderecos!$A:$A,Base_Enderecos!$C:$C,""),"")</f>
        <v/>
      </c>
      <c r="R1979">
        <f>IF(OR(ISNUMBER(SEARCH("HDD",$F1979)),ISNUMBER(SEARCH("MND",$F1979)),ISNUMBER(SEARCH("PEAD",$F1979)),ISNUMBER(SEARCH("Puxe",$J1979)),ISNUMBER(SEARCH("Apoio HDD",$F1979))),"MND",IF(OR(ISNUMBER(SEARCH("VCA",$F1979)),ISNUMBER(SEARCH("PVC",$F1979)),ISNUMBER(SEARCH("vca",$J1979)),ISNUMBER(SEARCH("Transformação",$J1979))),"VCA",IF(OR(ISNUMBER(SEARCH("crava",$F1979)),ISNUMBER(SEARCH("tubo cravado",$F1979)),ISNUMBER(SEARCH("shaft",$J1979)),ISNUMBER(SEARCH("concreto",$F1979))),"TUBO CRAVADO","")))</f>
        <v/>
      </c>
      <c r="T1979">
        <f>IF($A1979="","",TEXT($A1979,"yyyymm")&amp;"|"&amp;$C1979&amp;"|"&amp;$F1979&amp;"|"&amp;$N1979&amp;"|"&amp;$R1979)</f>
        <v/>
      </c>
    </row>
    <row r="1980" ht="11.55" customHeight="1">
      <c r="A1980" s="10" t="n">
        <v>46133</v>
      </c>
      <c r="B1980" s="7" t="inlineStr">
        <is>
          <t>Terça</t>
        </is>
      </c>
      <c r="C1980" s="7" t="inlineStr">
        <is>
          <t>Vacal</t>
        </is>
      </c>
      <c r="D1980" s="7" t="n"/>
      <c r="E1980" s="7" t="inlineStr">
        <is>
          <t>Água Vermelha – Renasce</t>
        </is>
      </c>
      <c r="F1980" s="13" t="inlineStr">
        <is>
          <t>Apoio Vacal</t>
        </is>
      </c>
      <c r="G1980" s="7" t="n"/>
      <c r="H1980" s="7" t="n"/>
      <c r="I1980" s="7" t="n"/>
      <c r="J1980" s="7" t="inlineStr">
        <is>
          <t>Vacal</t>
        </is>
      </c>
      <c r="K1980" s="7" t="inlineStr">
        <is>
          <t>Apoio</t>
        </is>
      </c>
      <c r="L1980" s="16" t="inlineStr">
        <is>
          <t>PDS-Abril(2).docx</t>
        </is>
      </c>
      <c r="M1980">
        <f>IF($A1980="","",TEXT($A1980,"mmmm/yyyy"))</f>
        <v/>
      </c>
      <c r="P1980">
        <f>IFERROR(_xludf.XLOOKUP($N1980,Base_Enderecos!$A:$A,Base_Enderecos!$B:$B,""),"")</f>
        <v/>
      </c>
      <c r="Q1980">
        <f>IFERROR(_xludf.XLOOKUP($N1980,Base_Enderecos!$A:$A,Base_Enderecos!$C:$C,""),"")</f>
        <v/>
      </c>
      <c r="R1980">
        <f>IF(OR(ISNUMBER(SEARCH("HDD",$F1980)),ISNUMBER(SEARCH("MND",$F1980)),ISNUMBER(SEARCH("PEAD",$F1980)),ISNUMBER(SEARCH("Puxe",$J1980)),ISNUMBER(SEARCH("Apoio HDD",$F1980))),"MND",IF(OR(ISNUMBER(SEARCH("VCA",$F1980)),ISNUMBER(SEARCH("PVC",$F1980)),ISNUMBER(SEARCH("vca",$J1980)),ISNUMBER(SEARCH("Transformação",$J1980))),"VCA",IF(OR(ISNUMBER(SEARCH("crava",$F1980)),ISNUMBER(SEARCH("tubo cravado",$F1980)),ISNUMBER(SEARCH("shaft",$J1980)),ISNUMBER(SEARCH("concreto",$F1980))),"TUBO CRAVADO","")))</f>
        <v/>
      </c>
      <c r="T1980">
        <f>IF($A1980="","",TEXT($A1980,"yyyymm")&amp;"|"&amp;$C1980&amp;"|"&amp;$F1980&amp;"|"&amp;$N1980&amp;"|"&amp;$R1980)</f>
        <v/>
      </c>
    </row>
    <row r="1981" ht="11.55" customHeight="1">
      <c r="A1981" s="10" t="n">
        <v>46133</v>
      </c>
      <c r="B1981" s="7" t="inlineStr">
        <is>
          <t>Terça</t>
        </is>
      </c>
      <c r="C1981" s="7" t="inlineStr">
        <is>
          <t>Vacal</t>
        </is>
      </c>
      <c r="D1981" s="7" t="n"/>
      <c r="E1981" s="7" t="inlineStr">
        <is>
          <t>Pacheco Jordão – Renasce</t>
        </is>
      </c>
      <c r="F1981" s="13" t="inlineStr">
        <is>
          <t>Apoio Vacal</t>
        </is>
      </c>
      <c r="G1981" s="7" t="n"/>
      <c r="H1981" s="7" t="n"/>
      <c r="I1981" s="7" t="n"/>
      <c r="J1981" s="7" t="inlineStr">
        <is>
          <t>Vacal</t>
        </is>
      </c>
      <c r="K1981" s="7" t="inlineStr">
        <is>
          <t>Apoio</t>
        </is>
      </c>
      <c r="L1981" s="16" t="inlineStr">
        <is>
          <t>PDS-Abril(2).docx</t>
        </is>
      </c>
      <c r="M1981">
        <f>IF($A1981="","",TEXT($A1981,"mmmm/yyyy"))</f>
        <v/>
      </c>
      <c r="P1981">
        <f>IFERROR(_xludf.XLOOKUP($N1981,Base_Enderecos!$A:$A,Base_Enderecos!$B:$B,""),"")</f>
        <v/>
      </c>
      <c r="Q1981">
        <f>IFERROR(_xludf.XLOOKUP($N1981,Base_Enderecos!$A:$A,Base_Enderecos!$C:$C,""),"")</f>
        <v/>
      </c>
      <c r="R1981">
        <f>IF(OR(ISNUMBER(SEARCH("HDD",$F1981)),ISNUMBER(SEARCH("MND",$F1981)),ISNUMBER(SEARCH("PEAD",$F1981)),ISNUMBER(SEARCH("Puxe",$J1981)),ISNUMBER(SEARCH("Apoio HDD",$F1981))),"MND",IF(OR(ISNUMBER(SEARCH("VCA",$F1981)),ISNUMBER(SEARCH("PVC",$F1981)),ISNUMBER(SEARCH("vca",$J1981)),ISNUMBER(SEARCH("Transformação",$J1981))),"VCA",IF(OR(ISNUMBER(SEARCH("crava",$F1981)),ISNUMBER(SEARCH("tubo cravado",$F1981)),ISNUMBER(SEARCH("shaft",$J1981)),ISNUMBER(SEARCH("concreto",$F1981))),"TUBO CRAVADO","")))</f>
        <v/>
      </c>
      <c r="T1981">
        <f>IF($A1981="","",TEXT($A1981,"yyyymm")&amp;"|"&amp;$C1981&amp;"|"&amp;$F1981&amp;"|"&amp;$N1981&amp;"|"&amp;$R1981)</f>
        <v/>
      </c>
    </row>
    <row r="1982" ht="11.55" customHeight="1">
      <c r="A1982" s="10" t="n">
        <v>46133</v>
      </c>
      <c r="B1982" s="7" t="inlineStr">
        <is>
          <t>Terça</t>
        </is>
      </c>
      <c r="C1982" s="7" t="inlineStr">
        <is>
          <t>Guindauto</t>
        </is>
      </c>
      <c r="D1982" s="7" t="n"/>
      <c r="E1982" s="7" t="inlineStr">
        <is>
          <t>Marcio</t>
        </is>
      </c>
      <c r="F1982" s="13" t="inlineStr">
        <is>
          <t>Marcio - Apoio as equipes</t>
        </is>
      </c>
      <c r="G1982" s="7" t="n"/>
      <c r="H1982" s="7" t="n"/>
      <c r="I1982" s="7" t="n"/>
      <c r="J1982" s="7" t="inlineStr">
        <is>
          <t>Guindauto</t>
        </is>
      </c>
      <c r="K1982" s="7" t="inlineStr">
        <is>
          <t>Apoio</t>
        </is>
      </c>
      <c r="L1982" s="16" t="inlineStr">
        <is>
          <t>PDS-Abril(2).docx</t>
        </is>
      </c>
      <c r="M1982">
        <f>IF($A1982="","",TEXT($A1982,"mmmm/yyyy"))</f>
        <v/>
      </c>
      <c r="P1982">
        <f>IFERROR(_xludf.XLOOKUP($N1982,Base_Enderecos!$A:$A,Base_Enderecos!$B:$B,""),"")</f>
        <v/>
      </c>
      <c r="Q1982">
        <f>IFERROR(_xludf.XLOOKUP($N1982,Base_Enderecos!$A:$A,Base_Enderecos!$C:$C,""),"")</f>
        <v/>
      </c>
      <c r="R1982">
        <f>IF(OR(ISNUMBER(SEARCH("HDD",$F1982)),ISNUMBER(SEARCH("MND",$F1982)),ISNUMBER(SEARCH("PEAD",$F1982)),ISNUMBER(SEARCH("Puxe",$J1982)),ISNUMBER(SEARCH("Apoio HDD",$F1982))),"MND",IF(OR(ISNUMBER(SEARCH("VCA",$F1982)),ISNUMBER(SEARCH("PVC",$F1982)),ISNUMBER(SEARCH("vca",$J1982)),ISNUMBER(SEARCH("Transformação",$J1982))),"VCA",IF(OR(ISNUMBER(SEARCH("crava",$F1982)),ISNUMBER(SEARCH("tubo cravado",$F1982)),ISNUMBER(SEARCH("shaft",$J1982)),ISNUMBER(SEARCH("concreto",$F1982))),"TUBO CRAVADO","")))</f>
        <v/>
      </c>
      <c r="T1982">
        <f>IF($A1982="","",TEXT($A1982,"yyyymm")&amp;"|"&amp;$C1982&amp;"|"&amp;$F1982&amp;"|"&amp;$N1982&amp;"|"&amp;$R1982)</f>
        <v/>
      </c>
    </row>
    <row r="1983" ht="11.55" customHeight="1">
      <c r="A1983" s="10" t="n">
        <v>46134</v>
      </c>
      <c r="B1983" s="7" t="inlineStr">
        <is>
          <t>Quarta</t>
        </is>
      </c>
      <c r="C1983" s="7" t="inlineStr">
        <is>
          <t>CTS CONCEIÇÃO</t>
        </is>
      </c>
      <c r="D1983" s="7" t="inlineStr">
        <is>
          <t>LEANDRO</t>
        </is>
      </c>
      <c r="E1983" s="7" t="inlineStr">
        <is>
          <t>Goiania Drill</t>
        </is>
      </c>
      <c r="F1983" s="13" t="inlineStr">
        <is>
          <t>Piloto e Puxe entre PV 10 ao 11</t>
        </is>
      </c>
      <c r="G1983" s="7" t="inlineStr">
        <is>
          <t>10</t>
        </is>
      </c>
      <c r="H1983" s="7" t="n"/>
      <c r="I1983" s="7" t="inlineStr">
        <is>
          <t>10</t>
        </is>
      </c>
      <c r="J1983" s="7" t="inlineStr">
        <is>
          <t>Piloto e puxe</t>
        </is>
      </c>
      <c r="K1983" s="7" t="inlineStr">
        <is>
          <t>Planejamento</t>
        </is>
      </c>
      <c r="L1983" s="16" t="inlineStr">
        <is>
          <t>PDS-Abril(2).docx</t>
        </is>
      </c>
      <c r="M1983">
        <f>IF($A1983="","",TEXT($A1983,"mmmm/yyyy"))</f>
        <v/>
      </c>
      <c r="P1983">
        <f>IFERROR(_xludf.XLOOKUP($N1983,Base_Enderecos!$A:$A,Base_Enderecos!$B:$B,""),"")</f>
        <v/>
      </c>
      <c r="Q1983">
        <f>IFERROR(_xludf.XLOOKUP($N1983,Base_Enderecos!$A:$A,Base_Enderecos!$C:$C,""),"")</f>
        <v/>
      </c>
      <c r="R1983">
        <f>IF(OR(ISNUMBER(SEARCH("HDD",$F1983)),ISNUMBER(SEARCH("MND",$F1983)),ISNUMBER(SEARCH("PEAD",$F1983)),ISNUMBER(SEARCH("Puxe",$J1983)),ISNUMBER(SEARCH("Apoio HDD",$F1983))),"MND",IF(OR(ISNUMBER(SEARCH("VCA",$F1983)),ISNUMBER(SEARCH("PVC",$F1983)),ISNUMBER(SEARCH("vca",$J1983)),ISNUMBER(SEARCH("Transformação",$J1983))),"VCA",IF(OR(ISNUMBER(SEARCH("crava",$F1983)),ISNUMBER(SEARCH("tubo cravado",$F1983)),ISNUMBER(SEARCH("shaft",$J1983)),ISNUMBER(SEARCH("concreto",$F1983))),"TUBO CRAVADO","")))</f>
        <v/>
      </c>
      <c r="T1983">
        <f>IF($A1983="","",TEXT($A1983,"yyyymm")&amp;"|"&amp;$C1983&amp;"|"&amp;$F1983&amp;"|"&amp;$N1983&amp;"|"&amp;$R1983)</f>
        <v/>
      </c>
    </row>
    <row r="1984" ht="11.55" customHeight="1">
      <c r="A1984" s="10" t="n">
        <v>46134</v>
      </c>
      <c r="B1984" s="7" t="inlineStr">
        <is>
          <t>Quarta</t>
        </is>
      </c>
      <c r="C1984" s="7" t="inlineStr">
        <is>
          <t>CTS CONCEIÇÃO</t>
        </is>
      </c>
      <c r="D1984" s="7" t="inlineStr">
        <is>
          <t>LEANDRO</t>
        </is>
      </c>
      <c r="E1984" s="7" t="inlineStr">
        <is>
          <t>Bruno</t>
        </is>
      </c>
      <c r="F1984" s="13" t="inlineStr">
        <is>
          <t>Apoio HDD PV 10 ao 11</t>
        </is>
      </c>
      <c r="G1984" s="7" t="inlineStr">
        <is>
          <t>10</t>
        </is>
      </c>
      <c r="H1984" s="7" t="n"/>
      <c r="I1984" s="7" t="inlineStr">
        <is>
          <t>10</t>
        </is>
      </c>
      <c r="J1984" s="7" t="inlineStr">
        <is>
          <t>Apoio HDD</t>
        </is>
      </c>
      <c r="K1984" s="7" t="inlineStr">
        <is>
          <t>Planejamento</t>
        </is>
      </c>
      <c r="L1984" s="16" t="inlineStr">
        <is>
          <t>PDS-Abril(2).docx</t>
        </is>
      </c>
      <c r="M1984">
        <f>IF($A1984="","",TEXT($A1984,"mmmm/yyyy"))</f>
        <v/>
      </c>
      <c r="P1984">
        <f>IFERROR(_xludf.XLOOKUP($N1984,Base_Enderecos!$A:$A,Base_Enderecos!$B:$B,""),"")</f>
        <v/>
      </c>
      <c r="Q1984">
        <f>IFERROR(_xludf.XLOOKUP($N1984,Base_Enderecos!$A:$A,Base_Enderecos!$C:$C,""),"")</f>
        <v/>
      </c>
      <c r="R1984">
        <f>IF(OR(ISNUMBER(SEARCH("HDD",$F1984)),ISNUMBER(SEARCH("MND",$F1984)),ISNUMBER(SEARCH("PEAD",$F1984)),ISNUMBER(SEARCH("Puxe",$J1984)),ISNUMBER(SEARCH("Apoio HDD",$F1984))),"MND",IF(OR(ISNUMBER(SEARCH("VCA",$F1984)),ISNUMBER(SEARCH("PVC",$F1984)),ISNUMBER(SEARCH("vca",$J1984)),ISNUMBER(SEARCH("Transformação",$J1984))),"VCA",IF(OR(ISNUMBER(SEARCH("crava",$F1984)),ISNUMBER(SEARCH("tubo cravado",$F1984)),ISNUMBER(SEARCH("shaft",$J1984)),ISNUMBER(SEARCH("concreto",$F1984))),"TUBO CRAVADO","")))</f>
        <v/>
      </c>
      <c r="T1984">
        <f>IF($A1984="","",TEXT($A1984,"yyyymm")&amp;"|"&amp;$C1984&amp;"|"&amp;$F1984&amp;"|"&amp;$N1984&amp;"|"&amp;$R1984)</f>
        <v/>
      </c>
    </row>
    <row r="1985" ht="11.55" customHeight="1">
      <c r="A1985" s="10" t="n">
        <v>46134</v>
      </c>
      <c r="B1985" s="7" t="inlineStr">
        <is>
          <t>Quarta</t>
        </is>
      </c>
      <c r="C1985" s="7" t="inlineStr">
        <is>
          <t>CTS CONCEIÇÃO</t>
        </is>
      </c>
      <c r="D1985" s="7" t="inlineStr">
        <is>
          <t>LEANDRO</t>
        </is>
      </c>
      <c r="E1985" s="7" t="inlineStr">
        <is>
          <t>Carlos</t>
        </is>
      </c>
      <c r="F1985" s="13" t="inlineStr">
        <is>
          <t>Reaterro shaft PV 09</t>
        </is>
      </c>
      <c r="G1985" s="7" t="inlineStr">
        <is>
          <t>09</t>
        </is>
      </c>
      <c r="H1985" s="7" t="n"/>
      <c r="I1985" s="7" t="inlineStr">
        <is>
          <t>09</t>
        </is>
      </c>
      <c r="J1985" s="7" t="inlineStr">
        <is>
          <t>Shaft</t>
        </is>
      </c>
      <c r="K1985" s="7" t="inlineStr">
        <is>
          <t>Planejamento</t>
        </is>
      </c>
      <c r="L1985" s="16" t="inlineStr">
        <is>
          <t>PDS-Abril(2).docx</t>
        </is>
      </c>
      <c r="M1985">
        <f>IF($A1985="","",TEXT($A1985,"mmmm/yyyy"))</f>
        <v/>
      </c>
      <c r="P1985">
        <f>IFERROR(_xludf.XLOOKUP($N1985,Base_Enderecos!$A:$A,Base_Enderecos!$B:$B,""),"")</f>
        <v/>
      </c>
      <c r="Q1985">
        <f>IFERROR(_xludf.XLOOKUP($N1985,Base_Enderecos!$A:$A,Base_Enderecos!$C:$C,""),"")</f>
        <v/>
      </c>
      <c r="R1985">
        <f>IF(OR(ISNUMBER(SEARCH("HDD",$F1985)),ISNUMBER(SEARCH("MND",$F1985)),ISNUMBER(SEARCH("PEAD",$F1985)),ISNUMBER(SEARCH("Puxe",$J1985)),ISNUMBER(SEARCH("Apoio HDD",$F1985))),"MND",IF(OR(ISNUMBER(SEARCH("VCA",$F1985)),ISNUMBER(SEARCH("PVC",$F1985)),ISNUMBER(SEARCH("vca",$J1985)),ISNUMBER(SEARCH("Transformação",$J1985))),"VCA",IF(OR(ISNUMBER(SEARCH("crava",$F1985)),ISNUMBER(SEARCH("tubo cravado",$F1985)),ISNUMBER(SEARCH("shaft",$J1985)),ISNUMBER(SEARCH("concreto",$F1985))),"TUBO CRAVADO","")))</f>
        <v/>
      </c>
      <c r="T1985">
        <f>IF($A1985="","",TEXT($A1985,"yyyymm")&amp;"|"&amp;$C1985&amp;"|"&amp;$F1985&amp;"|"&amp;$N1985&amp;"|"&amp;$R1985)</f>
        <v/>
      </c>
    </row>
    <row r="1986" ht="11.55" customHeight="1">
      <c r="A1986" s="10" t="n">
        <v>46134</v>
      </c>
      <c r="B1986" s="7" t="inlineStr">
        <is>
          <t>Quarta</t>
        </is>
      </c>
      <c r="C1986" s="7" t="inlineStr">
        <is>
          <t>CTS CONCEIÇÃO</t>
        </is>
      </c>
      <c r="D1986" s="7" t="inlineStr">
        <is>
          <t>LEANDRO</t>
        </is>
      </c>
      <c r="E1986" s="7" t="inlineStr">
        <is>
          <t>Cidão</t>
        </is>
      </c>
      <c r="F1986" s="13" t="inlineStr">
        <is>
          <t>Transformação PV 10.2</t>
        </is>
      </c>
      <c r="G1986" s="7" t="inlineStr">
        <is>
          <t>10.2</t>
        </is>
      </c>
      <c r="H1986" s="7" t="n"/>
      <c r="I1986" s="7" t="inlineStr">
        <is>
          <t>10.2</t>
        </is>
      </c>
      <c r="J1986" s="7" t="inlineStr">
        <is>
          <t>Transformação</t>
        </is>
      </c>
      <c r="K1986" s="7" t="inlineStr">
        <is>
          <t>Planejamento</t>
        </is>
      </c>
      <c r="L1986" s="16" t="inlineStr">
        <is>
          <t>PDS-Abril(2).docx</t>
        </is>
      </c>
      <c r="M1986">
        <f>IF($A1986="","",TEXT($A1986,"mmmm/yyyy"))</f>
        <v/>
      </c>
      <c r="P1986">
        <f>IFERROR(_xludf.XLOOKUP($N1986,Base_Enderecos!$A:$A,Base_Enderecos!$B:$B,""),"")</f>
        <v/>
      </c>
      <c r="Q1986">
        <f>IFERROR(_xludf.XLOOKUP($N1986,Base_Enderecos!$A:$A,Base_Enderecos!$C:$C,""),"")</f>
        <v/>
      </c>
      <c r="R1986">
        <f>IF(OR(ISNUMBER(SEARCH("HDD",$F1986)),ISNUMBER(SEARCH("MND",$F1986)),ISNUMBER(SEARCH("PEAD",$F1986)),ISNUMBER(SEARCH("Puxe",$J1986)),ISNUMBER(SEARCH("Apoio HDD",$F1986))),"MND",IF(OR(ISNUMBER(SEARCH("VCA",$F1986)),ISNUMBER(SEARCH("PVC",$F1986)),ISNUMBER(SEARCH("vca",$J1986)),ISNUMBER(SEARCH("Transformação",$J1986))),"VCA",IF(OR(ISNUMBER(SEARCH("crava",$F1986)),ISNUMBER(SEARCH("tubo cravado",$F1986)),ISNUMBER(SEARCH("shaft",$J1986)),ISNUMBER(SEARCH("concreto",$F1986))),"TUBO CRAVADO","")))</f>
        <v/>
      </c>
      <c r="T1986">
        <f>IF($A1986="","",TEXT($A1986,"yyyymm")&amp;"|"&amp;$C1986&amp;"|"&amp;$F1986&amp;"|"&amp;$N1986&amp;"|"&amp;$R1986)</f>
        <v/>
      </c>
    </row>
    <row r="1987" ht="11.55" customHeight="1">
      <c r="A1987" s="10" t="n">
        <v>46134</v>
      </c>
      <c r="B1987" s="7" t="inlineStr">
        <is>
          <t>Quarta</t>
        </is>
      </c>
      <c r="C1987" s="7" t="inlineStr">
        <is>
          <t>CT ÁGUA VERMELHA M.D. e M.E</t>
        </is>
      </c>
      <c r="D1987" s="7" t="inlineStr">
        <is>
          <t>FABIO</t>
        </is>
      </c>
      <c r="E1987" s="7" t="inlineStr">
        <is>
          <t>Claudinei</t>
        </is>
      </c>
      <c r="F1987" s="13" t="inlineStr">
        <is>
          <t>Apoio casa PVD 07</t>
        </is>
      </c>
      <c r="G1987" s="7" t="inlineStr">
        <is>
          <t>07</t>
        </is>
      </c>
      <c r="H1987" s="7" t="n"/>
      <c r="I1987" s="7" t="inlineStr">
        <is>
          <t>07</t>
        </is>
      </c>
      <c r="J1987" s="7" t="n"/>
      <c r="K1987" s="7" t="inlineStr">
        <is>
          <t>Planejamento</t>
        </is>
      </c>
      <c r="L1987" s="16" t="inlineStr">
        <is>
          <t>PDS-Abril(2).docx</t>
        </is>
      </c>
      <c r="M1987">
        <f>IF($A1987="","",TEXT($A1987,"mmmm/yyyy"))</f>
        <v/>
      </c>
      <c r="P1987">
        <f>IFERROR(_xludf.XLOOKUP($N1987,Base_Enderecos!$A:$A,Base_Enderecos!$B:$B,""),"")</f>
        <v/>
      </c>
      <c r="Q1987">
        <f>IFERROR(_xludf.XLOOKUP($N1987,Base_Enderecos!$A:$A,Base_Enderecos!$C:$C,""),"")</f>
        <v/>
      </c>
      <c r="R1987">
        <f>IF(OR(ISNUMBER(SEARCH("HDD",$F1987)),ISNUMBER(SEARCH("MND",$F1987)),ISNUMBER(SEARCH("PEAD",$F1987)),ISNUMBER(SEARCH("Puxe",$J1987)),ISNUMBER(SEARCH("Apoio HDD",$F1987))),"MND",IF(OR(ISNUMBER(SEARCH("VCA",$F1987)),ISNUMBER(SEARCH("PVC",$F1987)),ISNUMBER(SEARCH("vca",$J1987)),ISNUMBER(SEARCH("Transformação",$J1987))),"VCA",IF(OR(ISNUMBER(SEARCH("crava",$F1987)),ISNUMBER(SEARCH("tubo cravado",$F1987)),ISNUMBER(SEARCH("shaft",$J1987)),ISNUMBER(SEARCH("concreto",$F1987))),"TUBO CRAVADO","")))</f>
        <v/>
      </c>
      <c r="T1987">
        <f>IF($A1987="","",TEXT($A1987,"yyyymm")&amp;"|"&amp;$C1987&amp;"|"&amp;$F1987&amp;"|"&amp;$N1987&amp;"|"&amp;$R1987)</f>
        <v/>
      </c>
    </row>
    <row r="1988" ht="11.55" customHeight="1">
      <c r="A1988" s="10" t="n">
        <v>46134</v>
      </c>
      <c r="B1988" s="7" t="inlineStr">
        <is>
          <t>Quarta</t>
        </is>
      </c>
      <c r="C1988" s="7" t="inlineStr">
        <is>
          <t>CT ÁGUA VERMELHA M.D. e M.E</t>
        </is>
      </c>
      <c r="D1988" s="7" t="inlineStr">
        <is>
          <t>FABIO</t>
        </is>
      </c>
      <c r="E1988" s="7" t="inlineStr">
        <is>
          <t>Marcelo</t>
        </is>
      </c>
      <c r="F1988" s="13" t="inlineStr">
        <is>
          <t>Interligação PVD 2</t>
        </is>
      </c>
      <c r="G1988" s="7" t="inlineStr">
        <is>
          <t>2</t>
        </is>
      </c>
      <c r="H1988" s="7" t="n"/>
      <c r="I1988" s="7" t="inlineStr">
        <is>
          <t>2</t>
        </is>
      </c>
      <c r="J1988" s="7" t="inlineStr">
        <is>
          <t>Interligação</t>
        </is>
      </c>
      <c r="K1988" s="7" t="inlineStr">
        <is>
          <t>Planejamento</t>
        </is>
      </c>
      <c r="L1988" s="16" t="inlineStr">
        <is>
          <t>PDS-Abril(2).docx</t>
        </is>
      </c>
      <c r="M1988">
        <f>IF($A1988="","",TEXT($A1988,"mmmm/yyyy"))</f>
        <v/>
      </c>
      <c r="P1988">
        <f>IFERROR(_xludf.XLOOKUP($N1988,Base_Enderecos!$A:$A,Base_Enderecos!$B:$B,""),"")</f>
        <v/>
      </c>
      <c r="Q1988">
        <f>IFERROR(_xludf.XLOOKUP($N1988,Base_Enderecos!$A:$A,Base_Enderecos!$C:$C,""),"")</f>
        <v/>
      </c>
      <c r="R1988">
        <f>IF(OR(ISNUMBER(SEARCH("HDD",$F1988)),ISNUMBER(SEARCH("MND",$F1988)),ISNUMBER(SEARCH("PEAD",$F1988)),ISNUMBER(SEARCH("Puxe",$J1988)),ISNUMBER(SEARCH("Apoio HDD",$F1988))),"MND",IF(OR(ISNUMBER(SEARCH("VCA",$F1988)),ISNUMBER(SEARCH("PVC",$F1988)),ISNUMBER(SEARCH("vca",$J1988)),ISNUMBER(SEARCH("Transformação",$J1988))),"VCA",IF(OR(ISNUMBER(SEARCH("crava",$F1988)),ISNUMBER(SEARCH("tubo cravado",$F1988)),ISNUMBER(SEARCH("shaft",$J1988)),ISNUMBER(SEARCH("concreto",$F1988))),"TUBO CRAVADO","")))</f>
        <v/>
      </c>
      <c r="T1988">
        <f>IF($A1988="","",TEXT($A1988,"yyyymm")&amp;"|"&amp;$C1988&amp;"|"&amp;$F1988&amp;"|"&amp;$N1988&amp;"|"&amp;$R1988)</f>
        <v/>
      </c>
    </row>
    <row r="1989" ht="11.55" customHeight="1">
      <c r="A1989" s="10" t="n">
        <v>46134</v>
      </c>
      <c r="B1989" s="7" t="inlineStr">
        <is>
          <t>Quarta</t>
        </is>
      </c>
      <c r="C1989" s="7" t="inlineStr">
        <is>
          <t>CT ÁGUA VERMELHA M.D. e M.E</t>
        </is>
      </c>
      <c r="D1989" s="7" t="inlineStr">
        <is>
          <t>FABIO</t>
        </is>
      </c>
      <c r="E1989" s="7" t="inlineStr">
        <is>
          <t>Johnatham</t>
        </is>
      </c>
      <c r="F1989" s="13" t="inlineStr">
        <is>
          <t>Shaft PVD 14</t>
        </is>
      </c>
      <c r="G1989" s="7" t="inlineStr">
        <is>
          <t>14</t>
        </is>
      </c>
      <c r="H1989" s="7" t="n"/>
      <c r="I1989" s="7" t="inlineStr">
        <is>
          <t>14</t>
        </is>
      </c>
      <c r="J1989" s="7" t="inlineStr">
        <is>
          <t>Shaft</t>
        </is>
      </c>
      <c r="K1989" s="7" t="inlineStr">
        <is>
          <t>Planejamento</t>
        </is>
      </c>
      <c r="L1989" s="16" t="inlineStr">
        <is>
          <t>PDS-Abril(2).docx</t>
        </is>
      </c>
      <c r="M1989">
        <f>IF($A1989="","",TEXT($A1989,"mmmm/yyyy"))</f>
        <v/>
      </c>
      <c r="P1989">
        <f>IFERROR(_xludf.XLOOKUP($N1989,Base_Enderecos!$A:$A,Base_Enderecos!$B:$B,""),"")</f>
        <v/>
      </c>
      <c r="Q1989">
        <f>IFERROR(_xludf.XLOOKUP($N1989,Base_Enderecos!$A:$A,Base_Enderecos!$C:$C,""),"")</f>
        <v/>
      </c>
      <c r="R1989">
        <f>IF(OR(ISNUMBER(SEARCH("HDD",$F1989)),ISNUMBER(SEARCH("MND",$F1989)),ISNUMBER(SEARCH("PEAD",$F1989)),ISNUMBER(SEARCH("Puxe",$J1989)),ISNUMBER(SEARCH("Apoio HDD",$F1989))),"MND",IF(OR(ISNUMBER(SEARCH("VCA",$F1989)),ISNUMBER(SEARCH("PVC",$F1989)),ISNUMBER(SEARCH("vca",$J1989)),ISNUMBER(SEARCH("Transformação",$J1989))),"VCA",IF(OR(ISNUMBER(SEARCH("crava",$F1989)),ISNUMBER(SEARCH("tubo cravado",$F1989)),ISNUMBER(SEARCH("shaft",$J1989)),ISNUMBER(SEARCH("concreto",$F1989))),"TUBO CRAVADO","")))</f>
        <v/>
      </c>
      <c r="T1989">
        <f>IF($A1989="","",TEXT($A1989,"yyyymm")&amp;"|"&amp;$C1989&amp;"|"&amp;$F1989&amp;"|"&amp;$N1989&amp;"|"&amp;$R1989)</f>
        <v/>
      </c>
    </row>
    <row r="1990" ht="11.55" customHeight="1">
      <c r="A1990" s="10" t="n">
        <v>46134</v>
      </c>
      <c r="B1990" s="7" t="inlineStr">
        <is>
          <t>Quarta</t>
        </is>
      </c>
      <c r="C1990" s="7" t="inlineStr">
        <is>
          <t>CT ÁGUA VERMELHA M.D. e M.E</t>
        </is>
      </c>
      <c r="D1990" s="7" t="inlineStr">
        <is>
          <t>FABIO</t>
        </is>
      </c>
      <c r="E1990" s="7" t="inlineStr">
        <is>
          <t>Antônio</t>
        </is>
      </c>
      <c r="F1990" s="13" t="inlineStr">
        <is>
          <t>Shaft PVD 09</t>
        </is>
      </c>
      <c r="G1990" s="7" t="inlineStr">
        <is>
          <t>09</t>
        </is>
      </c>
      <c r="H1990" s="7" t="n"/>
      <c r="I1990" s="7" t="inlineStr">
        <is>
          <t>09</t>
        </is>
      </c>
      <c r="J1990" s="7" t="inlineStr">
        <is>
          <t>Shaft</t>
        </is>
      </c>
      <c r="K1990" s="7" t="inlineStr">
        <is>
          <t>Planejamento</t>
        </is>
      </c>
      <c r="L1990" s="16" t="inlineStr">
        <is>
          <t>PDS-Abril(2).docx</t>
        </is>
      </c>
      <c r="M1990">
        <f>IF($A1990="","",TEXT($A1990,"mmmm/yyyy"))</f>
        <v/>
      </c>
      <c r="P1990">
        <f>IFERROR(_xludf.XLOOKUP($N1990,Base_Enderecos!$A:$A,Base_Enderecos!$B:$B,""),"")</f>
        <v/>
      </c>
      <c r="Q1990">
        <f>IFERROR(_xludf.XLOOKUP($N1990,Base_Enderecos!$A:$A,Base_Enderecos!$C:$C,""),"")</f>
        <v/>
      </c>
      <c r="R1990">
        <f>IF(OR(ISNUMBER(SEARCH("HDD",$F1990)),ISNUMBER(SEARCH("MND",$F1990)),ISNUMBER(SEARCH("PEAD",$F1990)),ISNUMBER(SEARCH("Puxe",$J1990)),ISNUMBER(SEARCH("Apoio HDD",$F1990))),"MND",IF(OR(ISNUMBER(SEARCH("VCA",$F1990)),ISNUMBER(SEARCH("PVC",$F1990)),ISNUMBER(SEARCH("vca",$J1990)),ISNUMBER(SEARCH("Transformação",$J1990))),"VCA",IF(OR(ISNUMBER(SEARCH("crava",$F1990)),ISNUMBER(SEARCH("tubo cravado",$F1990)),ISNUMBER(SEARCH("shaft",$J1990)),ISNUMBER(SEARCH("concreto",$F1990))),"TUBO CRAVADO","")))</f>
        <v/>
      </c>
      <c r="T1990">
        <f>IF($A1990="","",TEXT($A1990,"yyyymm")&amp;"|"&amp;$C1990&amp;"|"&amp;$F1990&amp;"|"&amp;$N1990&amp;"|"&amp;$R1990)</f>
        <v/>
      </c>
    </row>
    <row r="1991" ht="11.55" customHeight="1">
      <c r="A1991" s="10" t="n">
        <v>46134</v>
      </c>
      <c r="B1991" s="7" t="inlineStr">
        <is>
          <t>Quarta</t>
        </is>
      </c>
      <c r="C1991" s="7" t="inlineStr">
        <is>
          <t>CT ÁGUA VERMELHA M.D. e M.E</t>
        </is>
      </c>
      <c r="D1991" s="7" t="inlineStr">
        <is>
          <t>FABIO</t>
        </is>
      </c>
      <c r="E1991" s="7" t="inlineStr">
        <is>
          <t>Cesar</t>
        </is>
      </c>
      <c r="F1991" s="13" t="inlineStr">
        <is>
          <t>Shaft PVD 17</t>
        </is>
      </c>
      <c r="G1991" s="7" t="inlineStr">
        <is>
          <t>17</t>
        </is>
      </c>
      <c r="H1991" s="7" t="n"/>
      <c r="I1991" s="7" t="inlineStr">
        <is>
          <t>17</t>
        </is>
      </c>
      <c r="J1991" s="7" t="inlineStr">
        <is>
          <t>Shaft</t>
        </is>
      </c>
      <c r="K1991" s="7" t="inlineStr">
        <is>
          <t>Planejamento</t>
        </is>
      </c>
      <c r="L1991" s="16" t="inlineStr">
        <is>
          <t>PDS-Abril(2).docx</t>
        </is>
      </c>
      <c r="M1991">
        <f>IF($A1991="","",TEXT($A1991,"mmmm/yyyy"))</f>
        <v/>
      </c>
      <c r="P1991">
        <f>IFERROR(_xludf.XLOOKUP($N1991,Base_Enderecos!$A:$A,Base_Enderecos!$B:$B,""),"")</f>
        <v/>
      </c>
      <c r="Q1991">
        <f>IFERROR(_xludf.XLOOKUP($N1991,Base_Enderecos!$A:$A,Base_Enderecos!$C:$C,""),"")</f>
        <v/>
      </c>
      <c r="R1991">
        <f>IF(OR(ISNUMBER(SEARCH("HDD",$F1991)),ISNUMBER(SEARCH("MND",$F1991)),ISNUMBER(SEARCH("PEAD",$F1991)),ISNUMBER(SEARCH("Puxe",$J1991)),ISNUMBER(SEARCH("Apoio HDD",$F1991))),"MND",IF(OR(ISNUMBER(SEARCH("VCA",$F1991)),ISNUMBER(SEARCH("PVC",$F1991)),ISNUMBER(SEARCH("vca",$J1991)),ISNUMBER(SEARCH("Transformação",$J1991))),"VCA",IF(OR(ISNUMBER(SEARCH("crava",$F1991)),ISNUMBER(SEARCH("tubo cravado",$F1991)),ISNUMBER(SEARCH("shaft",$J1991)),ISNUMBER(SEARCH("concreto",$F1991))),"TUBO CRAVADO","")))</f>
        <v/>
      </c>
      <c r="T1991">
        <f>IF($A1991="","",TEXT($A1991,"yyyymm")&amp;"|"&amp;$C1991&amp;"|"&amp;$F1991&amp;"|"&amp;$N1991&amp;"|"&amp;$R1991)</f>
        <v/>
      </c>
    </row>
    <row r="1992" ht="11.55" customHeight="1">
      <c r="A1992" s="10" t="n">
        <v>46134</v>
      </c>
      <c r="B1992" s="7" t="inlineStr">
        <is>
          <t>Quarta</t>
        </is>
      </c>
      <c r="C1992" s="7" t="inlineStr">
        <is>
          <t>INT FERNANDO PACHECO JORDÃO</t>
        </is>
      </c>
      <c r="D1992" s="7" t="inlineStr">
        <is>
          <t>VALMIR</t>
        </is>
      </c>
      <c r="E1992" s="7" t="inlineStr">
        <is>
          <t>Medeiros</t>
        </is>
      </c>
      <c r="F1992" s="13" t="inlineStr">
        <is>
          <t>Corte cabeça Puxe PV 02</t>
        </is>
      </c>
      <c r="G1992" s="7" t="inlineStr">
        <is>
          <t>02</t>
        </is>
      </c>
      <c r="H1992" s="7" t="n"/>
      <c r="I1992" s="7" t="inlineStr">
        <is>
          <t>02</t>
        </is>
      </c>
      <c r="J1992" s="7" t="inlineStr">
        <is>
          <t>Puxe</t>
        </is>
      </c>
      <c r="K1992" s="7" t="inlineStr">
        <is>
          <t>Planejamento</t>
        </is>
      </c>
      <c r="L1992" s="16" t="inlineStr">
        <is>
          <t>PDS-Abril(2).docx</t>
        </is>
      </c>
      <c r="M1992">
        <f>IF($A1992="","",TEXT($A1992,"mmmm/yyyy"))</f>
        <v/>
      </c>
      <c r="P1992">
        <f>IFERROR(_xludf.XLOOKUP($N1992,Base_Enderecos!$A:$A,Base_Enderecos!$B:$B,""),"")</f>
        <v/>
      </c>
      <c r="Q1992">
        <f>IFERROR(_xludf.XLOOKUP($N1992,Base_Enderecos!$A:$A,Base_Enderecos!$C:$C,""),"")</f>
        <v/>
      </c>
      <c r="R1992">
        <f>IF(OR(ISNUMBER(SEARCH("HDD",$F1992)),ISNUMBER(SEARCH("MND",$F1992)),ISNUMBER(SEARCH("PEAD",$F1992)),ISNUMBER(SEARCH("Puxe",$J1992)),ISNUMBER(SEARCH("Apoio HDD",$F1992))),"MND",IF(OR(ISNUMBER(SEARCH("VCA",$F1992)),ISNUMBER(SEARCH("PVC",$F1992)),ISNUMBER(SEARCH("vca",$J1992)),ISNUMBER(SEARCH("Transformação",$J1992))),"VCA",IF(OR(ISNUMBER(SEARCH("crava",$F1992)),ISNUMBER(SEARCH("tubo cravado",$F1992)),ISNUMBER(SEARCH("shaft",$J1992)),ISNUMBER(SEARCH("concreto",$F1992))),"TUBO CRAVADO","")))</f>
        <v/>
      </c>
      <c r="T1992">
        <f>IF($A1992="","",TEXT($A1992,"yyyymm")&amp;"|"&amp;$C1992&amp;"|"&amp;$F1992&amp;"|"&amp;$N1992&amp;"|"&amp;$R1992)</f>
        <v/>
      </c>
    </row>
    <row r="1993" ht="11.55" customHeight="1">
      <c r="A1993" s="10" t="n">
        <v>46134</v>
      </c>
      <c r="B1993" s="7" t="inlineStr">
        <is>
          <t>Quarta</t>
        </is>
      </c>
      <c r="C1993" s="7" t="inlineStr">
        <is>
          <t>INT FERNANDO PACHECO JORDÃO</t>
        </is>
      </c>
      <c r="D1993" s="7" t="inlineStr">
        <is>
          <t>VALMIR</t>
        </is>
      </c>
      <c r="E1993" s="7" t="inlineStr">
        <is>
          <t>Ricardo</t>
        </is>
      </c>
      <c r="F1993" s="13" t="inlineStr">
        <is>
          <t>Corte cabeça Puxe PV 02</t>
        </is>
      </c>
      <c r="G1993" s="7" t="inlineStr">
        <is>
          <t>02</t>
        </is>
      </c>
      <c r="H1993" s="7" t="n"/>
      <c r="I1993" s="7" t="inlineStr">
        <is>
          <t>02</t>
        </is>
      </c>
      <c r="J1993" s="7" t="inlineStr">
        <is>
          <t>Puxe</t>
        </is>
      </c>
      <c r="K1993" s="7" t="inlineStr">
        <is>
          <t>Planejamento</t>
        </is>
      </c>
      <c r="L1993" s="16" t="inlineStr">
        <is>
          <t>PDS-Abril(2).docx</t>
        </is>
      </c>
      <c r="M1993">
        <f>IF($A1993="","",TEXT($A1993,"mmmm/yyyy"))</f>
        <v/>
      </c>
      <c r="P1993">
        <f>IFERROR(_xludf.XLOOKUP($N1993,Base_Enderecos!$A:$A,Base_Enderecos!$B:$B,""),"")</f>
        <v/>
      </c>
      <c r="Q1993">
        <f>IFERROR(_xludf.XLOOKUP($N1993,Base_Enderecos!$A:$A,Base_Enderecos!$C:$C,""),"")</f>
        <v/>
      </c>
      <c r="R1993">
        <f>IF(OR(ISNUMBER(SEARCH("HDD",$F1993)),ISNUMBER(SEARCH("MND",$F1993)),ISNUMBER(SEARCH("PEAD",$F1993)),ISNUMBER(SEARCH("Puxe",$J1993)),ISNUMBER(SEARCH("Apoio HDD",$F1993))),"MND",IF(OR(ISNUMBER(SEARCH("VCA",$F1993)),ISNUMBER(SEARCH("PVC",$F1993)),ISNUMBER(SEARCH("vca",$J1993)),ISNUMBER(SEARCH("Transformação",$J1993))),"VCA",IF(OR(ISNUMBER(SEARCH("crava",$F1993)),ISNUMBER(SEARCH("tubo cravado",$F1993)),ISNUMBER(SEARCH("shaft",$J1993)),ISNUMBER(SEARCH("concreto",$F1993))),"TUBO CRAVADO","")))</f>
        <v/>
      </c>
      <c r="T1993">
        <f>IF($A1993="","",TEXT($A1993,"yyyymm")&amp;"|"&amp;$C1993&amp;"|"&amp;$F1993&amp;"|"&amp;$N1993&amp;"|"&amp;$R1993)</f>
        <v/>
      </c>
    </row>
    <row r="1994" ht="11.55" customHeight="1">
      <c r="A1994" s="10" t="n">
        <v>46134</v>
      </c>
      <c r="B1994" s="7" t="inlineStr">
        <is>
          <t>Quarta</t>
        </is>
      </c>
      <c r="C1994" s="7" t="inlineStr">
        <is>
          <t>INT FERNANDO PACHECO JORDÃO</t>
        </is>
      </c>
      <c r="D1994" s="7" t="inlineStr">
        <is>
          <t>VALMIR</t>
        </is>
      </c>
      <c r="E1994" s="7" t="inlineStr">
        <is>
          <t>Edivando</t>
        </is>
      </c>
      <c r="F1994" s="13" t="inlineStr">
        <is>
          <t>Transformação PV 03</t>
        </is>
      </c>
      <c r="G1994" s="7" t="inlineStr">
        <is>
          <t>03</t>
        </is>
      </c>
      <c r="H1994" s="7" t="n"/>
      <c r="I1994" s="7" t="inlineStr">
        <is>
          <t>03</t>
        </is>
      </c>
      <c r="J1994" s="7" t="inlineStr">
        <is>
          <t>Transformação</t>
        </is>
      </c>
      <c r="K1994" s="7" t="inlineStr">
        <is>
          <t>Planejamento</t>
        </is>
      </c>
      <c r="L1994" s="16" t="inlineStr">
        <is>
          <t>PDS-Abril(2).docx</t>
        </is>
      </c>
      <c r="M1994">
        <f>IF($A1994="","",TEXT($A1994,"mmmm/yyyy"))</f>
        <v/>
      </c>
      <c r="P1994">
        <f>IFERROR(_xludf.XLOOKUP($N1994,Base_Enderecos!$A:$A,Base_Enderecos!$B:$B,""),"")</f>
        <v/>
      </c>
      <c r="Q1994">
        <f>IFERROR(_xludf.XLOOKUP($N1994,Base_Enderecos!$A:$A,Base_Enderecos!$C:$C,""),"")</f>
        <v/>
      </c>
      <c r="R1994">
        <f>IF(OR(ISNUMBER(SEARCH("HDD",$F1994)),ISNUMBER(SEARCH("MND",$F1994)),ISNUMBER(SEARCH("PEAD",$F1994)),ISNUMBER(SEARCH("Puxe",$J1994)),ISNUMBER(SEARCH("Apoio HDD",$F1994))),"MND",IF(OR(ISNUMBER(SEARCH("VCA",$F1994)),ISNUMBER(SEARCH("PVC",$F1994)),ISNUMBER(SEARCH("vca",$J1994)),ISNUMBER(SEARCH("Transformação",$J1994))),"VCA",IF(OR(ISNUMBER(SEARCH("crava",$F1994)),ISNUMBER(SEARCH("tubo cravado",$F1994)),ISNUMBER(SEARCH("shaft",$J1994)),ISNUMBER(SEARCH("concreto",$F1994))),"TUBO CRAVADO","")))</f>
        <v/>
      </c>
      <c r="T1994">
        <f>IF($A1994="","",TEXT($A1994,"yyyymm")&amp;"|"&amp;$C1994&amp;"|"&amp;$F1994&amp;"|"&amp;$N1994&amp;"|"&amp;$R1994)</f>
        <v/>
      </c>
    </row>
    <row r="1995" ht="11.55" customHeight="1">
      <c r="A1995" s="10" t="n">
        <v>46134</v>
      </c>
      <c r="B1995" s="7" t="inlineStr">
        <is>
          <t>Quarta</t>
        </is>
      </c>
      <c r="C1995" s="7" t="inlineStr">
        <is>
          <t>INT FERNANDO PACHECO JORDÃO</t>
        </is>
      </c>
      <c r="D1995" s="7" t="inlineStr">
        <is>
          <t>VALMIR</t>
        </is>
      </c>
      <c r="E1995" s="7" t="inlineStr">
        <is>
          <t>Valter</t>
        </is>
      </c>
      <c r="F1995" s="13" t="inlineStr">
        <is>
          <t>Transformação PV 01</t>
        </is>
      </c>
      <c r="G1995" s="7" t="inlineStr">
        <is>
          <t>01</t>
        </is>
      </c>
      <c r="H1995" s="7" t="n"/>
      <c r="I1995" s="7" t="inlineStr">
        <is>
          <t>01</t>
        </is>
      </c>
      <c r="J1995" s="7" t="inlineStr">
        <is>
          <t>Transformação</t>
        </is>
      </c>
      <c r="K1995" s="7" t="inlineStr">
        <is>
          <t>Planejamento</t>
        </is>
      </c>
      <c r="L1995" s="16" t="inlineStr">
        <is>
          <t>PDS-Abril(2).docx</t>
        </is>
      </c>
      <c r="M1995">
        <f>IF($A1995="","",TEXT($A1995,"mmmm/yyyy"))</f>
        <v/>
      </c>
      <c r="P1995">
        <f>IFERROR(_xludf.XLOOKUP($N1995,Base_Enderecos!$A:$A,Base_Enderecos!$B:$B,""),"")</f>
        <v/>
      </c>
      <c r="Q1995">
        <f>IFERROR(_xludf.XLOOKUP($N1995,Base_Enderecos!$A:$A,Base_Enderecos!$C:$C,""),"")</f>
        <v/>
      </c>
      <c r="R1995">
        <f>IF(OR(ISNUMBER(SEARCH("HDD",$F1995)),ISNUMBER(SEARCH("MND",$F1995)),ISNUMBER(SEARCH("PEAD",$F1995)),ISNUMBER(SEARCH("Puxe",$J1995)),ISNUMBER(SEARCH("Apoio HDD",$F1995))),"MND",IF(OR(ISNUMBER(SEARCH("VCA",$F1995)),ISNUMBER(SEARCH("PVC",$F1995)),ISNUMBER(SEARCH("vca",$J1995)),ISNUMBER(SEARCH("Transformação",$J1995))),"VCA",IF(OR(ISNUMBER(SEARCH("crava",$F1995)),ISNUMBER(SEARCH("tubo cravado",$F1995)),ISNUMBER(SEARCH("shaft",$J1995)),ISNUMBER(SEARCH("concreto",$F1995))),"TUBO CRAVADO","")))</f>
        <v/>
      </c>
      <c r="T1995">
        <f>IF($A1995="","",TEXT($A1995,"yyyymm")&amp;"|"&amp;$C1995&amp;"|"&amp;$F1995&amp;"|"&amp;$N1995&amp;"|"&amp;$R1995)</f>
        <v/>
      </c>
    </row>
    <row r="1996" ht="11.55" customHeight="1">
      <c r="A1996" s="10" t="n">
        <v>46134</v>
      </c>
      <c r="B1996" s="7" t="inlineStr">
        <is>
          <t>Quarta</t>
        </is>
      </c>
      <c r="C1996" s="7" t="inlineStr">
        <is>
          <t>CTS MAR DE CORAL</t>
        </is>
      </c>
      <c r="D1996" s="7" t="inlineStr">
        <is>
          <t>SILVESTRE</t>
        </is>
      </c>
      <c r="E1996" s="7" t="inlineStr">
        <is>
          <t>Sergio</t>
        </is>
      </c>
      <c r="F1996" s="13" t="inlineStr">
        <is>
          <t>Shaft PV 5.9</t>
        </is>
      </c>
      <c r="G1996" s="7" t="inlineStr">
        <is>
          <t>5.9</t>
        </is>
      </c>
      <c r="H1996" s="7" t="n"/>
      <c r="I1996" s="7" t="inlineStr">
        <is>
          <t>5.9</t>
        </is>
      </c>
      <c r="J1996" s="7" t="inlineStr">
        <is>
          <t>Shaft</t>
        </is>
      </c>
      <c r="K1996" s="7" t="inlineStr">
        <is>
          <t>Planejamento</t>
        </is>
      </c>
      <c r="L1996" s="16" t="inlineStr">
        <is>
          <t>PDS-Abril(2).docx</t>
        </is>
      </c>
      <c r="M1996">
        <f>IF($A1996="","",TEXT($A1996,"mmmm/yyyy"))</f>
        <v/>
      </c>
      <c r="P1996">
        <f>IFERROR(_xludf.XLOOKUP($N1996,Base_Enderecos!$A:$A,Base_Enderecos!$B:$B,""),"")</f>
        <v/>
      </c>
      <c r="Q1996">
        <f>IFERROR(_xludf.XLOOKUP($N1996,Base_Enderecos!$A:$A,Base_Enderecos!$C:$C,""),"")</f>
        <v/>
      </c>
      <c r="R1996">
        <f>IF(OR(ISNUMBER(SEARCH("HDD",$F1996)),ISNUMBER(SEARCH("MND",$F1996)),ISNUMBER(SEARCH("PEAD",$F1996)),ISNUMBER(SEARCH("Puxe",$J1996)),ISNUMBER(SEARCH("Apoio HDD",$F1996))),"MND",IF(OR(ISNUMBER(SEARCH("VCA",$F1996)),ISNUMBER(SEARCH("PVC",$F1996)),ISNUMBER(SEARCH("vca",$J1996)),ISNUMBER(SEARCH("Transformação",$J1996))),"VCA",IF(OR(ISNUMBER(SEARCH("crava",$F1996)),ISNUMBER(SEARCH("tubo cravado",$F1996)),ISNUMBER(SEARCH("shaft",$J1996)),ISNUMBER(SEARCH("concreto",$F1996))),"TUBO CRAVADO","")))</f>
        <v/>
      </c>
      <c r="T1996">
        <f>IF($A1996="","",TEXT($A1996,"yyyymm")&amp;"|"&amp;$C1996&amp;"|"&amp;$F1996&amp;"|"&amp;$N1996&amp;"|"&amp;$R1996)</f>
        <v/>
      </c>
    </row>
    <row r="1997" ht="11.55" customHeight="1">
      <c r="A1997" s="10" t="n">
        <v>46134</v>
      </c>
      <c r="B1997" s="7" t="inlineStr">
        <is>
          <t>Quarta</t>
        </is>
      </c>
      <c r="C1997" s="7" t="inlineStr">
        <is>
          <t>CTS LUIS BOTELHO MOURÃO</t>
        </is>
      </c>
      <c r="D1997" s="7" t="inlineStr">
        <is>
          <t>ELOÍZIO</t>
        </is>
      </c>
      <c r="E1997" s="7" t="inlineStr">
        <is>
          <t>Marcio</t>
        </is>
      </c>
      <c r="F1997" s="13" t="inlineStr">
        <is>
          <t>Transformação PV 06</t>
        </is>
      </c>
      <c r="G1997" s="7" t="inlineStr">
        <is>
          <t>06</t>
        </is>
      </c>
      <c r="H1997" s="7" t="n"/>
      <c r="I1997" s="7" t="inlineStr">
        <is>
          <t>06</t>
        </is>
      </c>
      <c r="J1997" s="7" t="inlineStr">
        <is>
          <t>Transformação</t>
        </is>
      </c>
      <c r="K1997" s="7" t="inlineStr">
        <is>
          <t>Planejamento</t>
        </is>
      </c>
      <c r="L1997" s="16" t="inlineStr">
        <is>
          <t>PDS-Abril(2).docx</t>
        </is>
      </c>
      <c r="M1997">
        <f>IF($A1997="","",TEXT($A1997,"mmmm/yyyy"))</f>
        <v/>
      </c>
      <c r="P1997">
        <f>IFERROR(_xludf.XLOOKUP($N1997,Base_Enderecos!$A:$A,Base_Enderecos!$B:$B,""),"")</f>
        <v/>
      </c>
      <c r="Q1997">
        <f>IFERROR(_xludf.XLOOKUP($N1997,Base_Enderecos!$A:$A,Base_Enderecos!$C:$C,""),"")</f>
        <v/>
      </c>
      <c r="R1997">
        <f>IF(OR(ISNUMBER(SEARCH("HDD",$F1997)),ISNUMBER(SEARCH("MND",$F1997)),ISNUMBER(SEARCH("PEAD",$F1997)),ISNUMBER(SEARCH("Puxe",$J1997)),ISNUMBER(SEARCH("Apoio HDD",$F1997))),"MND",IF(OR(ISNUMBER(SEARCH("VCA",$F1997)),ISNUMBER(SEARCH("PVC",$F1997)),ISNUMBER(SEARCH("vca",$J1997)),ISNUMBER(SEARCH("Transformação",$J1997))),"VCA",IF(OR(ISNUMBER(SEARCH("crava",$F1997)),ISNUMBER(SEARCH("tubo cravado",$F1997)),ISNUMBER(SEARCH("shaft",$J1997)),ISNUMBER(SEARCH("concreto",$F1997))),"TUBO CRAVADO","")))</f>
        <v/>
      </c>
      <c r="T1997">
        <f>IF($A1997="","",TEXT($A1997,"yyyymm")&amp;"|"&amp;$C1997&amp;"|"&amp;$F1997&amp;"|"&amp;$N1997&amp;"|"&amp;$R1997)</f>
        <v/>
      </c>
    </row>
    <row r="1998" ht="11.55" customHeight="1">
      <c r="A1998" s="10" t="n">
        <v>46134</v>
      </c>
      <c r="B1998" s="7" t="inlineStr">
        <is>
          <t>Quarta</t>
        </is>
      </c>
      <c r="C1998" s="7" t="inlineStr">
        <is>
          <t>CTS LUIS BOTELHO MOURÃO</t>
        </is>
      </c>
      <c r="D1998" s="7" t="inlineStr">
        <is>
          <t>ELOÍZIO</t>
        </is>
      </c>
      <c r="E1998" s="7" t="inlineStr">
        <is>
          <t>Higor</t>
        </is>
      </c>
      <c r="F1998" s="13" t="inlineStr">
        <is>
          <t>Transformação PV 06</t>
        </is>
      </c>
      <c r="G1998" s="7" t="inlineStr">
        <is>
          <t>06</t>
        </is>
      </c>
      <c r="H1998" s="7" t="n"/>
      <c r="I1998" s="7" t="inlineStr">
        <is>
          <t>06</t>
        </is>
      </c>
      <c r="J1998" s="7" t="inlineStr">
        <is>
          <t>Transformação</t>
        </is>
      </c>
      <c r="K1998" s="7" t="inlineStr">
        <is>
          <t>Planejamento</t>
        </is>
      </c>
      <c r="L1998" s="16" t="inlineStr">
        <is>
          <t>PDS-Abril(2).docx</t>
        </is>
      </c>
      <c r="M1998">
        <f>IF($A1998="","",TEXT($A1998,"mmmm/yyyy"))</f>
        <v/>
      </c>
      <c r="P1998">
        <f>IFERROR(_xludf.XLOOKUP($N1998,Base_Enderecos!$A:$A,Base_Enderecos!$B:$B,""),"")</f>
        <v/>
      </c>
      <c r="Q1998">
        <f>IFERROR(_xludf.XLOOKUP($N1998,Base_Enderecos!$A:$A,Base_Enderecos!$C:$C,""),"")</f>
        <v/>
      </c>
      <c r="R1998">
        <f>IF(OR(ISNUMBER(SEARCH("HDD",$F1998)),ISNUMBER(SEARCH("MND",$F1998)),ISNUMBER(SEARCH("PEAD",$F1998)),ISNUMBER(SEARCH("Puxe",$J1998)),ISNUMBER(SEARCH("Apoio HDD",$F1998))),"MND",IF(OR(ISNUMBER(SEARCH("VCA",$F1998)),ISNUMBER(SEARCH("PVC",$F1998)),ISNUMBER(SEARCH("vca",$J1998)),ISNUMBER(SEARCH("Transformação",$J1998))),"VCA",IF(OR(ISNUMBER(SEARCH("crava",$F1998)),ISNUMBER(SEARCH("tubo cravado",$F1998)),ISNUMBER(SEARCH("shaft",$J1998)),ISNUMBER(SEARCH("concreto",$F1998))),"TUBO CRAVADO","")))</f>
        <v/>
      </c>
      <c r="T1998">
        <f>IF($A1998="","",TEXT($A1998,"yyyymm")&amp;"|"&amp;$C1998&amp;"|"&amp;$F1998&amp;"|"&amp;$N1998&amp;"|"&amp;$R1998)</f>
        <v/>
      </c>
    </row>
    <row r="1999" ht="11.55" customHeight="1">
      <c r="A1999" s="10" t="n">
        <v>46134</v>
      </c>
      <c r="B1999" s="7" t="inlineStr">
        <is>
          <t>Quarta</t>
        </is>
      </c>
      <c r="C1999" s="7" t="inlineStr">
        <is>
          <t>Vacal</t>
        </is>
      </c>
      <c r="D1999" s="7" t="n"/>
      <c r="E1999" s="7" t="inlineStr">
        <is>
          <t>Botelho Mourão – Henko</t>
        </is>
      </c>
      <c r="F1999" s="13" t="inlineStr">
        <is>
          <t>Apoio Vacal</t>
        </is>
      </c>
      <c r="G1999" s="7" t="n"/>
      <c r="H1999" s="7" t="n"/>
      <c r="I1999" s="7" t="n"/>
      <c r="J1999" s="7" t="inlineStr">
        <is>
          <t>Vacal</t>
        </is>
      </c>
      <c r="K1999" s="7" t="inlineStr">
        <is>
          <t>Apoio</t>
        </is>
      </c>
      <c r="L1999" s="16" t="inlineStr">
        <is>
          <t>PDS-Abril(2).docx</t>
        </is>
      </c>
      <c r="M1999">
        <f>IF($A1999="","",TEXT($A1999,"mmmm/yyyy"))</f>
        <v/>
      </c>
      <c r="P1999">
        <f>IFERROR(_xludf.XLOOKUP($N1999,Base_Enderecos!$A:$A,Base_Enderecos!$B:$B,""),"")</f>
        <v/>
      </c>
      <c r="Q1999">
        <f>IFERROR(_xludf.XLOOKUP($N1999,Base_Enderecos!$A:$A,Base_Enderecos!$C:$C,""),"")</f>
        <v/>
      </c>
      <c r="R1999">
        <f>IF(OR(ISNUMBER(SEARCH("HDD",$F1999)),ISNUMBER(SEARCH("MND",$F1999)),ISNUMBER(SEARCH("PEAD",$F1999)),ISNUMBER(SEARCH("Puxe",$J1999)),ISNUMBER(SEARCH("Apoio HDD",$F1999))),"MND",IF(OR(ISNUMBER(SEARCH("VCA",$F1999)),ISNUMBER(SEARCH("PVC",$F1999)),ISNUMBER(SEARCH("vca",$J1999)),ISNUMBER(SEARCH("Transformação",$J1999))),"VCA",IF(OR(ISNUMBER(SEARCH("crava",$F1999)),ISNUMBER(SEARCH("tubo cravado",$F1999)),ISNUMBER(SEARCH("shaft",$J1999)),ISNUMBER(SEARCH("concreto",$F1999))),"TUBO CRAVADO","")))</f>
        <v/>
      </c>
      <c r="T1999">
        <f>IF($A1999="","",TEXT($A1999,"yyyymm")&amp;"|"&amp;$C1999&amp;"|"&amp;$F1999&amp;"|"&amp;$N1999&amp;"|"&amp;$R1999)</f>
        <v/>
      </c>
    </row>
    <row r="2000" ht="11.55" customHeight="1">
      <c r="A2000" s="10" t="n">
        <v>46134</v>
      </c>
      <c r="B2000" s="7" t="inlineStr">
        <is>
          <t>Quarta</t>
        </is>
      </c>
      <c r="C2000" s="7" t="inlineStr">
        <is>
          <t>Vacal</t>
        </is>
      </c>
      <c r="D2000" s="7" t="n"/>
      <c r="E2000" s="7" t="inlineStr">
        <is>
          <t>Botelho Mourão – Renasce</t>
        </is>
      </c>
      <c r="F2000" s="13" t="inlineStr">
        <is>
          <t>Apoio Vacal</t>
        </is>
      </c>
      <c r="G2000" s="7" t="n"/>
      <c r="H2000" s="7" t="n"/>
      <c r="I2000" s="7" t="n"/>
      <c r="J2000" s="7" t="inlineStr">
        <is>
          <t>Vacal</t>
        </is>
      </c>
      <c r="K2000" s="7" t="inlineStr">
        <is>
          <t>Apoio</t>
        </is>
      </c>
      <c r="L2000" s="16" t="inlineStr">
        <is>
          <t>PDS-Abril(2).docx</t>
        </is>
      </c>
      <c r="M2000">
        <f>IF($A2000="","",TEXT($A2000,"mmmm/yyyy"))</f>
        <v/>
      </c>
      <c r="P2000">
        <f>IFERROR(_xludf.XLOOKUP($N2000,Base_Enderecos!$A:$A,Base_Enderecos!$B:$B,""),"")</f>
        <v/>
      </c>
      <c r="Q2000">
        <f>IFERROR(_xludf.XLOOKUP($N2000,Base_Enderecos!$A:$A,Base_Enderecos!$C:$C,""),"")</f>
        <v/>
      </c>
      <c r="R2000">
        <f>IF(OR(ISNUMBER(SEARCH("HDD",$F2000)),ISNUMBER(SEARCH("MND",$F2000)),ISNUMBER(SEARCH("PEAD",$F2000)),ISNUMBER(SEARCH("Puxe",$J2000)),ISNUMBER(SEARCH("Apoio HDD",$F2000))),"MND",IF(OR(ISNUMBER(SEARCH("VCA",$F2000)),ISNUMBER(SEARCH("PVC",$F2000)),ISNUMBER(SEARCH("vca",$J2000)),ISNUMBER(SEARCH("Transformação",$J2000))),"VCA",IF(OR(ISNUMBER(SEARCH("crava",$F2000)),ISNUMBER(SEARCH("tubo cravado",$F2000)),ISNUMBER(SEARCH("shaft",$J2000)),ISNUMBER(SEARCH("concreto",$F2000))),"TUBO CRAVADO","")))</f>
        <v/>
      </c>
      <c r="T2000">
        <f>IF($A2000="","",TEXT($A2000,"yyyymm")&amp;"|"&amp;$C2000&amp;"|"&amp;$F2000&amp;"|"&amp;$N2000&amp;"|"&amp;$R2000)</f>
        <v/>
      </c>
    </row>
    <row r="2001" ht="11.55" customHeight="1">
      <c r="A2001" s="10" t="n">
        <v>46134</v>
      </c>
      <c r="B2001" s="7" t="inlineStr">
        <is>
          <t>Quarta</t>
        </is>
      </c>
      <c r="C2001" s="7" t="inlineStr">
        <is>
          <t>Vacal</t>
        </is>
      </c>
      <c r="D2001" s="7" t="n"/>
      <c r="E2001" s="7" t="inlineStr">
        <is>
          <t>Conceição – Renasce</t>
        </is>
      </c>
      <c r="F2001" s="13" t="inlineStr">
        <is>
          <t>Apoio Vacal</t>
        </is>
      </c>
      <c r="G2001" s="7" t="n"/>
      <c r="H2001" s="7" t="n"/>
      <c r="I2001" s="7" t="n"/>
      <c r="J2001" s="7" t="inlineStr">
        <is>
          <t>Vacal</t>
        </is>
      </c>
      <c r="K2001" s="7" t="inlineStr">
        <is>
          <t>Apoio</t>
        </is>
      </c>
      <c r="L2001" s="16" t="inlineStr">
        <is>
          <t>PDS-Abril(2).docx</t>
        </is>
      </c>
      <c r="M2001">
        <f>IF($A2001="","",TEXT($A2001,"mmmm/yyyy"))</f>
        <v/>
      </c>
      <c r="P2001">
        <f>IFERROR(_xludf.XLOOKUP($N2001,Base_Enderecos!$A:$A,Base_Enderecos!$B:$B,""),"")</f>
        <v/>
      </c>
      <c r="Q2001">
        <f>IFERROR(_xludf.XLOOKUP($N2001,Base_Enderecos!$A:$A,Base_Enderecos!$C:$C,""),"")</f>
        <v/>
      </c>
      <c r="R2001">
        <f>IF(OR(ISNUMBER(SEARCH("HDD",$F2001)),ISNUMBER(SEARCH("MND",$F2001)),ISNUMBER(SEARCH("PEAD",$F2001)),ISNUMBER(SEARCH("Puxe",$J2001)),ISNUMBER(SEARCH("Apoio HDD",$F2001))),"MND",IF(OR(ISNUMBER(SEARCH("VCA",$F2001)),ISNUMBER(SEARCH("PVC",$F2001)),ISNUMBER(SEARCH("vca",$J2001)),ISNUMBER(SEARCH("Transformação",$J2001))),"VCA",IF(OR(ISNUMBER(SEARCH("crava",$F2001)),ISNUMBER(SEARCH("tubo cravado",$F2001)),ISNUMBER(SEARCH("shaft",$J2001)),ISNUMBER(SEARCH("concreto",$F2001))),"TUBO CRAVADO","")))</f>
        <v/>
      </c>
      <c r="T2001">
        <f>IF($A2001="","",TEXT($A2001,"yyyymm")&amp;"|"&amp;$C2001&amp;"|"&amp;$F2001&amp;"|"&amp;$N2001&amp;"|"&amp;$R2001)</f>
        <v/>
      </c>
    </row>
    <row r="2002" ht="11.55" customHeight="1">
      <c r="A2002" s="10" t="n">
        <v>46134</v>
      </c>
      <c r="B2002" s="7" t="inlineStr">
        <is>
          <t>Quarta</t>
        </is>
      </c>
      <c r="C2002" s="7" t="inlineStr">
        <is>
          <t>Vacal</t>
        </is>
      </c>
      <c r="D2002" s="7" t="n"/>
      <c r="E2002" s="7" t="inlineStr">
        <is>
          <t>Água Vermelha – Renasce</t>
        </is>
      </c>
      <c r="F2002" s="13" t="inlineStr">
        <is>
          <t>Apoio Vacal</t>
        </is>
      </c>
      <c r="G2002" s="7" t="n"/>
      <c r="H2002" s="7" t="n"/>
      <c r="I2002" s="7" t="n"/>
      <c r="J2002" s="7" t="inlineStr">
        <is>
          <t>Vacal</t>
        </is>
      </c>
      <c r="K2002" s="7" t="inlineStr">
        <is>
          <t>Apoio</t>
        </is>
      </c>
      <c r="L2002" s="16" t="inlineStr">
        <is>
          <t>PDS-Abril(2).docx</t>
        </is>
      </c>
      <c r="M2002">
        <f>IF($A2002="","",TEXT($A2002,"mmmm/yyyy"))</f>
        <v/>
      </c>
      <c r="P2002">
        <f>IFERROR(_xludf.XLOOKUP($N2002,Base_Enderecos!$A:$A,Base_Enderecos!$B:$B,""),"")</f>
        <v/>
      </c>
      <c r="Q2002">
        <f>IFERROR(_xludf.XLOOKUP($N2002,Base_Enderecos!$A:$A,Base_Enderecos!$C:$C,""),"")</f>
        <v/>
      </c>
      <c r="R2002">
        <f>IF(OR(ISNUMBER(SEARCH("HDD",$F2002)),ISNUMBER(SEARCH("MND",$F2002)),ISNUMBER(SEARCH("PEAD",$F2002)),ISNUMBER(SEARCH("Puxe",$J2002)),ISNUMBER(SEARCH("Apoio HDD",$F2002))),"MND",IF(OR(ISNUMBER(SEARCH("VCA",$F2002)),ISNUMBER(SEARCH("PVC",$F2002)),ISNUMBER(SEARCH("vca",$J2002)),ISNUMBER(SEARCH("Transformação",$J2002))),"VCA",IF(OR(ISNUMBER(SEARCH("crava",$F2002)),ISNUMBER(SEARCH("tubo cravado",$F2002)),ISNUMBER(SEARCH("shaft",$J2002)),ISNUMBER(SEARCH("concreto",$F2002))),"TUBO CRAVADO","")))</f>
        <v/>
      </c>
      <c r="T2002">
        <f>IF($A2002="","",TEXT($A2002,"yyyymm")&amp;"|"&amp;$C2002&amp;"|"&amp;$F2002&amp;"|"&amp;$N2002&amp;"|"&amp;$R2002)</f>
        <v/>
      </c>
    </row>
    <row r="2003" ht="11.55" customHeight="1">
      <c r="A2003" s="10" t="n">
        <v>46134</v>
      </c>
      <c r="B2003" s="7" t="inlineStr">
        <is>
          <t>Quarta</t>
        </is>
      </c>
      <c r="C2003" s="7" t="inlineStr">
        <is>
          <t>Vacal</t>
        </is>
      </c>
      <c r="D2003" s="7" t="n"/>
      <c r="E2003" s="7" t="inlineStr">
        <is>
          <t>Água Vermelha – Henko</t>
        </is>
      </c>
      <c r="F2003" s="13" t="inlineStr">
        <is>
          <t>Apoio Vacal</t>
        </is>
      </c>
      <c r="G2003" s="7" t="n"/>
      <c r="H2003" s="7" t="n"/>
      <c r="I2003" s="7" t="n"/>
      <c r="J2003" s="7" t="inlineStr">
        <is>
          <t>Vacal</t>
        </is>
      </c>
      <c r="K2003" s="7" t="inlineStr">
        <is>
          <t>Apoio</t>
        </is>
      </c>
      <c r="L2003" s="16" t="inlineStr">
        <is>
          <t>PDS-Abril(2).docx</t>
        </is>
      </c>
      <c r="M2003">
        <f>IF($A2003="","",TEXT($A2003,"mmmm/yyyy"))</f>
        <v/>
      </c>
      <c r="P2003">
        <f>IFERROR(_xludf.XLOOKUP($N2003,Base_Enderecos!$A:$A,Base_Enderecos!$B:$B,""),"")</f>
        <v/>
      </c>
      <c r="Q2003">
        <f>IFERROR(_xludf.XLOOKUP($N2003,Base_Enderecos!$A:$A,Base_Enderecos!$C:$C,""),"")</f>
        <v/>
      </c>
      <c r="R2003">
        <f>IF(OR(ISNUMBER(SEARCH("HDD",$F2003)),ISNUMBER(SEARCH("MND",$F2003)),ISNUMBER(SEARCH("PEAD",$F2003)),ISNUMBER(SEARCH("Puxe",$J2003)),ISNUMBER(SEARCH("Apoio HDD",$F2003))),"MND",IF(OR(ISNUMBER(SEARCH("VCA",$F2003)),ISNUMBER(SEARCH("PVC",$F2003)),ISNUMBER(SEARCH("vca",$J2003)),ISNUMBER(SEARCH("Transformação",$J2003))),"VCA",IF(OR(ISNUMBER(SEARCH("crava",$F2003)),ISNUMBER(SEARCH("tubo cravado",$F2003)),ISNUMBER(SEARCH("shaft",$J2003)),ISNUMBER(SEARCH("concreto",$F2003))),"TUBO CRAVADO","")))</f>
        <v/>
      </c>
      <c r="T2003">
        <f>IF($A2003="","",TEXT($A2003,"yyyymm")&amp;"|"&amp;$C2003&amp;"|"&amp;$F2003&amp;"|"&amp;$N2003&amp;"|"&amp;$R2003)</f>
        <v/>
      </c>
    </row>
    <row r="2004" ht="11.55" customHeight="1">
      <c r="A2004" s="10" t="n">
        <v>46134</v>
      </c>
      <c r="B2004" s="7" t="inlineStr">
        <is>
          <t>Quarta</t>
        </is>
      </c>
      <c r="C2004" s="7" t="inlineStr">
        <is>
          <t>Vacal</t>
        </is>
      </c>
      <c r="D2004" s="7" t="n"/>
      <c r="E2004" s="7" t="inlineStr">
        <is>
          <t>Pacheco Jordão – Renasce</t>
        </is>
      </c>
      <c r="F2004" s="13" t="inlineStr">
        <is>
          <t>Apoio Vacal</t>
        </is>
      </c>
      <c r="G2004" s="7" t="n"/>
      <c r="H2004" s="7" t="n"/>
      <c r="I2004" s="7" t="n"/>
      <c r="J2004" s="7" t="inlineStr">
        <is>
          <t>Vacal</t>
        </is>
      </c>
      <c r="K2004" s="7" t="inlineStr">
        <is>
          <t>Apoio</t>
        </is>
      </c>
      <c r="L2004" s="16" t="inlineStr">
        <is>
          <t>PDS-Abril(2).docx</t>
        </is>
      </c>
      <c r="M2004">
        <f>IF($A2004="","",TEXT($A2004,"mmmm/yyyy"))</f>
        <v/>
      </c>
      <c r="P2004">
        <f>IFERROR(_xludf.XLOOKUP($N2004,Base_Enderecos!$A:$A,Base_Enderecos!$B:$B,""),"")</f>
        <v/>
      </c>
      <c r="Q2004">
        <f>IFERROR(_xludf.XLOOKUP($N2004,Base_Enderecos!$A:$A,Base_Enderecos!$C:$C,""),"")</f>
        <v/>
      </c>
      <c r="R2004">
        <f>IF(OR(ISNUMBER(SEARCH("HDD",$F2004)),ISNUMBER(SEARCH("MND",$F2004)),ISNUMBER(SEARCH("PEAD",$F2004)),ISNUMBER(SEARCH("Puxe",$J2004)),ISNUMBER(SEARCH("Apoio HDD",$F2004))),"MND",IF(OR(ISNUMBER(SEARCH("VCA",$F2004)),ISNUMBER(SEARCH("PVC",$F2004)),ISNUMBER(SEARCH("vca",$J2004)),ISNUMBER(SEARCH("Transformação",$J2004))),"VCA",IF(OR(ISNUMBER(SEARCH("crava",$F2004)),ISNUMBER(SEARCH("tubo cravado",$F2004)),ISNUMBER(SEARCH("shaft",$J2004)),ISNUMBER(SEARCH("concreto",$F2004))),"TUBO CRAVADO","")))</f>
        <v/>
      </c>
      <c r="T2004">
        <f>IF($A2004="","",TEXT($A2004,"yyyymm")&amp;"|"&amp;$C2004&amp;"|"&amp;$F2004&amp;"|"&amp;$N2004&amp;"|"&amp;$R2004)</f>
        <v/>
      </c>
    </row>
    <row r="2005" ht="11.55" customHeight="1">
      <c r="A2005" s="10" t="n">
        <v>46134</v>
      </c>
      <c r="B2005" s="7" t="inlineStr">
        <is>
          <t>Quarta</t>
        </is>
      </c>
      <c r="C2005" s="7" t="inlineStr">
        <is>
          <t>Vacal</t>
        </is>
      </c>
      <c r="D2005" s="7" t="n"/>
      <c r="E2005" s="7" t="inlineStr">
        <is>
          <t>Pacheco Jordão – Hidrosol</t>
        </is>
      </c>
      <c r="F2005" s="13" t="inlineStr">
        <is>
          <t>Apoio Vacal</t>
        </is>
      </c>
      <c r="G2005" s="7" t="n"/>
      <c r="H2005" s="7" t="n"/>
      <c r="I2005" s="7" t="n"/>
      <c r="J2005" s="7" t="inlineStr">
        <is>
          <t>Vacal</t>
        </is>
      </c>
      <c r="K2005" s="7" t="inlineStr">
        <is>
          <t>Apoio</t>
        </is>
      </c>
      <c r="L2005" s="16" t="inlineStr">
        <is>
          <t>PDS-Abril(2).docx</t>
        </is>
      </c>
      <c r="M2005">
        <f>IF($A2005="","",TEXT($A2005,"mmmm/yyyy"))</f>
        <v/>
      </c>
      <c r="P2005">
        <f>IFERROR(_xludf.XLOOKUP($N2005,Base_Enderecos!$A:$A,Base_Enderecos!$B:$B,""),"")</f>
        <v/>
      </c>
      <c r="Q2005">
        <f>IFERROR(_xludf.XLOOKUP($N2005,Base_Enderecos!$A:$A,Base_Enderecos!$C:$C,""),"")</f>
        <v/>
      </c>
      <c r="R2005">
        <f>IF(OR(ISNUMBER(SEARCH("HDD",$F2005)),ISNUMBER(SEARCH("MND",$F2005)),ISNUMBER(SEARCH("PEAD",$F2005)),ISNUMBER(SEARCH("Puxe",$J2005)),ISNUMBER(SEARCH("Apoio HDD",$F2005))),"MND",IF(OR(ISNUMBER(SEARCH("VCA",$F2005)),ISNUMBER(SEARCH("PVC",$F2005)),ISNUMBER(SEARCH("vca",$J2005)),ISNUMBER(SEARCH("Transformação",$J2005))),"VCA",IF(OR(ISNUMBER(SEARCH("crava",$F2005)),ISNUMBER(SEARCH("tubo cravado",$F2005)),ISNUMBER(SEARCH("shaft",$J2005)),ISNUMBER(SEARCH("concreto",$F2005))),"TUBO CRAVADO","")))</f>
        <v/>
      </c>
      <c r="T2005">
        <f>IF($A2005="","",TEXT($A2005,"yyyymm")&amp;"|"&amp;$C2005&amp;"|"&amp;$F2005&amp;"|"&amp;$N2005&amp;"|"&amp;$R2005)</f>
        <v/>
      </c>
    </row>
    <row r="2006" ht="11.55" customHeight="1">
      <c r="A2006" s="11" t="n">
        <v>46134</v>
      </c>
      <c r="B2006" s="8" t="inlineStr">
        <is>
          <t>Quarta</t>
        </is>
      </c>
      <c r="C2006" s="8" t="inlineStr">
        <is>
          <t>Guindauto</t>
        </is>
      </c>
      <c r="D2006" s="8" t="n"/>
      <c r="E2006" s="8" t="inlineStr">
        <is>
          <t>Marcio</t>
        </is>
      </c>
      <c r="F2006" s="14" t="inlineStr">
        <is>
          <t>Marcio - Apoio as equipes</t>
        </is>
      </c>
      <c r="G2006" s="8" t="n"/>
      <c r="H2006" s="8" t="n"/>
      <c r="I2006" s="8" t="n"/>
      <c r="J2006" s="8" t="inlineStr">
        <is>
          <t>Guindauto</t>
        </is>
      </c>
      <c r="K2006" s="8" t="inlineStr">
        <is>
          <t>Apoio</t>
        </is>
      </c>
      <c r="L2006" s="17" t="inlineStr">
        <is>
          <t>PDS-Abril(2).docx</t>
        </is>
      </c>
      <c r="M2006">
        <f>IF($A2006="","",TEXT($A2006,"mmmm/yyyy"))</f>
        <v/>
      </c>
      <c r="P2006">
        <f>IFERROR(_xludf.XLOOKUP($N2006,Base_Enderecos!$A:$A,Base_Enderecos!$B:$B,""),"")</f>
        <v/>
      </c>
      <c r="Q2006">
        <f>IFERROR(_xludf.XLOOKUP($N2006,Base_Enderecos!$A:$A,Base_Enderecos!$C:$C,""),"")</f>
        <v/>
      </c>
      <c r="R2006">
        <f>IF(OR(ISNUMBER(SEARCH("HDD",$F2006)),ISNUMBER(SEARCH("MND",$F2006)),ISNUMBER(SEARCH("PEAD",$F2006)),ISNUMBER(SEARCH("Puxe",$J2006)),ISNUMBER(SEARCH("Apoio HDD",$F2006))),"MND",IF(OR(ISNUMBER(SEARCH("VCA",$F2006)),ISNUMBER(SEARCH("PVC",$F2006)),ISNUMBER(SEARCH("vca",$J2006)),ISNUMBER(SEARCH("Transformação",$J2006))),"VCA",IF(OR(ISNUMBER(SEARCH("crava",$F2006)),ISNUMBER(SEARCH("tubo cravado",$F2006)),ISNUMBER(SEARCH("shaft",$J2006)),ISNUMBER(SEARCH("concreto",$F2006))),"TUBO CRAVADO","")))</f>
        <v/>
      </c>
      <c r="T2006">
        <f>IF($A2006="","",TEXT($A2006,"yyyymm")&amp;"|"&amp;$C2006&amp;"|"&amp;$F2006&amp;"|"&amp;$N2006&amp;"|"&amp;$R2006)</f>
        <v/>
      </c>
    </row>
    <row r="2007">
      <c r="A2007" s="11" t="n">
        <v>46135</v>
      </c>
      <c r="B2007" s="8" t="inlineStr">
        <is>
          <t>Quinta</t>
        </is>
      </c>
      <c r="C2007" s="7" t="inlineStr">
        <is>
          <t>CTS CONCEIÇÃO</t>
        </is>
      </c>
      <c r="D2007" s="7" t="inlineStr">
        <is>
          <t>LEANDRO</t>
        </is>
      </c>
      <c r="E2007" s="24" t="inlineStr">
        <is>
          <t xml:space="preserve">Carlos </t>
        </is>
      </c>
      <c r="F2007" s="25" t="inlineStr">
        <is>
          <t>transformação PV10</t>
        </is>
      </c>
      <c r="G2007" s="26" t="n">
        <v>10</v>
      </c>
      <c r="I2007" s="26" t="n">
        <v>10</v>
      </c>
      <c r="J2007" s="24" t="inlineStr">
        <is>
          <t>Transformação</t>
        </is>
      </c>
      <c r="K2007" s="24" t="inlineStr">
        <is>
          <t>Planejamento</t>
        </is>
      </c>
      <c r="L2007" s="17" t="inlineStr">
        <is>
          <t>PDS-Abril(2).docx</t>
        </is>
      </c>
      <c r="M2007">
        <f>IF($A2007="","",TEXT($A2007,"mmmm/yyyy"))</f>
        <v/>
      </c>
      <c r="P2007">
        <f>IFERROR(_xludf.XLOOKUP($N2007,Base_Enderecos!$A:$A,Base_Enderecos!$B:$B,""),"")</f>
        <v/>
      </c>
      <c r="Q2007">
        <f>IFERROR(_xludf.XLOOKUP($N2007,Base_Enderecos!$A:$A,Base_Enderecos!$C:$C,""),"")</f>
        <v/>
      </c>
      <c r="R2007">
        <f>IF(OR(ISNUMBER(SEARCH("HDD",$F2007)),ISNUMBER(SEARCH("MND",$F2007)),ISNUMBER(SEARCH("PEAD",$F2007)),ISNUMBER(SEARCH("Puxe",$J2007)),ISNUMBER(SEARCH("Apoio HDD",$F2007))),"MND",IF(OR(ISNUMBER(SEARCH("VCA",$F2007)),ISNUMBER(SEARCH("PVC",$F2007)),ISNUMBER(SEARCH("vca",$J2007)),ISNUMBER(SEARCH("Transformação",$J2007))),"VCA",IF(OR(ISNUMBER(SEARCH("crava",$F2007)),ISNUMBER(SEARCH("tubo cravado",$F2007)),ISNUMBER(SEARCH("shaft",$J2007)),ISNUMBER(SEARCH("concreto",$F2007))),"TUBO CRAVADO","")))</f>
        <v/>
      </c>
      <c r="T2007">
        <f>IF($A2007="","",TEXT($A2007,"yyyymm")&amp;"|"&amp;$C2007&amp;"|"&amp;$F2007&amp;"|"&amp;$N2007&amp;"|"&amp;$R2007)</f>
        <v/>
      </c>
    </row>
    <row r="2008">
      <c r="A2008" s="11" t="n">
        <v>46135</v>
      </c>
      <c r="B2008" s="8" t="inlineStr">
        <is>
          <t>Quinta</t>
        </is>
      </c>
      <c r="C2008" s="7" t="inlineStr">
        <is>
          <t>CTS CONCEIÇÃO</t>
        </is>
      </c>
      <c r="D2008" s="7" t="inlineStr">
        <is>
          <t>LEANDRO</t>
        </is>
      </c>
      <c r="E2008" s="24" t="inlineStr">
        <is>
          <t>Cidão</t>
        </is>
      </c>
      <c r="F2008" s="25" t="inlineStr">
        <is>
          <t>transformação PV10.1</t>
        </is>
      </c>
      <c r="G2008" s="24" t="inlineStr">
        <is>
          <t>10.1</t>
        </is>
      </c>
      <c r="I2008" s="24" t="inlineStr">
        <is>
          <t>10.1</t>
        </is>
      </c>
      <c r="J2008" s="24" t="inlineStr">
        <is>
          <t>Transformação</t>
        </is>
      </c>
      <c r="K2008" s="24" t="inlineStr">
        <is>
          <t>Planejamento</t>
        </is>
      </c>
      <c r="L2008" s="17" t="inlineStr">
        <is>
          <t>PDS-Abril(2).docx</t>
        </is>
      </c>
      <c r="M2008">
        <f>IF($A2008="","",TEXT($A2008,"mmmm/yyyy"))</f>
        <v/>
      </c>
      <c r="P2008">
        <f>IFERROR(_xludf.XLOOKUP($N2008,Base_Enderecos!$A:$A,Base_Enderecos!$B:$B,""),"")</f>
        <v/>
      </c>
      <c r="Q2008">
        <f>IFERROR(_xludf.XLOOKUP($N2008,Base_Enderecos!$A:$A,Base_Enderecos!$C:$C,""),"")</f>
        <v/>
      </c>
      <c r="R2008">
        <f>IF(OR(ISNUMBER(SEARCH("HDD",$F2008)),ISNUMBER(SEARCH("MND",$F2008)),ISNUMBER(SEARCH("PEAD",$F2008)),ISNUMBER(SEARCH("Puxe",$J2008)),ISNUMBER(SEARCH("Apoio HDD",$F2008))),"MND",IF(OR(ISNUMBER(SEARCH("VCA",$F2008)),ISNUMBER(SEARCH("PVC",$F2008)),ISNUMBER(SEARCH("vca",$J2008)),ISNUMBER(SEARCH("Transformação",$J2008))),"VCA",IF(OR(ISNUMBER(SEARCH("crava",$F2008)),ISNUMBER(SEARCH("tubo cravado",$F2008)),ISNUMBER(SEARCH("shaft",$J2008)),ISNUMBER(SEARCH("concreto",$F2008))),"TUBO CRAVADO","")))</f>
        <v/>
      </c>
      <c r="T2008">
        <f>IF($A2008="","",TEXT($A2008,"yyyymm")&amp;"|"&amp;$C2008&amp;"|"&amp;$F2008&amp;"|"&amp;$N2008&amp;"|"&amp;$R2008)</f>
        <v/>
      </c>
    </row>
    <row r="2009">
      <c r="A2009" s="11" t="n">
        <v>46135</v>
      </c>
      <c r="B2009" s="8" t="inlineStr">
        <is>
          <t>Quinta</t>
        </is>
      </c>
      <c r="C2009" s="7" t="inlineStr">
        <is>
          <t>CTS CONCEIÇÃO</t>
        </is>
      </c>
      <c r="D2009" s="7" t="inlineStr">
        <is>
          <t>LEANDRO</t>
        </is>
      </c>
      <c r="E2009" s="24" t="inlineStr">
        <is>
          <t>Sergio</t>
        </is>
      </c>
      <c r="F2009" s="25" t="inlineStr">
        <is>
          <t>transformação PV10.2</t>
        </is>
      </c>
      <c r="G2009" s="24" t="inlineStr">
        <is>
          <t>10.2</t>
        </is>
      </c>
      <c r="I2009" s="24" t="inlineStr">
        <is>
          <t>10.2</t>
        </is>
      </c>
      <c r="J2009" s="24" t="inlineStr">
        <is>
          <t>Transformação</t>
        </is>
      </c>
      <c r="K2009" s="24" t="inlineStr">
        <is>
          <t>Planejamento</t>
        </is>
      </c>
      <c r="L2009" s="17" t="inlineStr">
        <is>
          <t>PDS-Abril(2).docx</t>
        </is>
      </c>
      <c r="M2009">
        <f>IF($A2009="","",TEXT($A2009,"mmmm/yyyy"))</f>
        <v/>
      </c>
      <c r="P2009">
        <f>IFERROR(_xludf.XLOOKUP($N2009,Base_Enderecos!$A:$A,Base_Enderecos!$B:$B,""),"")</f>
        <v/>
      </c>
      <c r="Q2009">
        <f>IFERROR(_xludf.XLOOKUP($N2009,Base_Enderecos!$A:$A,Base_Enderecos!$C:$C,""),"")</f>
        <v/>
      </c>
      <c r="R2009">
        <f>IF(OR(ISNUMBER(SEARCH("HDD",$F2009)),ISNUMBER(SEARCH("MND",$F2009)),ISNUMBER(SEARCH("PEAD",$F2009)),ISNUMBER(SEARCH("Puxe",$J2009)),ISNUMBER(SEARCH("Apoio HDD",$F2009))),"MND",IF(OR(ISNUMBER(SEARCH("VCA",$F2009)),ISNUMBER(SEARCH("PVC",$F2009)),ISNUMBER(SEARCH("vca",$J2009)),ISNUMBER(SEARCH("Transformação",$J2009))),"VCA",IF(OR(ISNUMBER(SEARCH("crava",$F2009)),ISNUMBER(SEARCH("tubo cravado",$F2009)),ISNUMBER(SEARCH("shaft",$J2009)),ISNUMBER(SEARCH("concreto",$F2009))),"TUBO CRAVADO","")))</f>
        <v/>
      </c>
      <c r="T2009">
        <f>IF($A2009="","",TEXT($A2009,"yyyymm")&amp;"|"&amp;$C2009&amp;"|"&amp;$F2009&amp;"|"&amp;$N2009&amp;"|"&amp;$R2009)</f>
        <v/>
      </c>
    </row>
    <row r="2010">
      <c r="A2010" s="11" t="n">
        <v>46135</v>
      </c>
      <c r="B2010" s="8" t="inlineStr">
        <is>
          <t>Quinta</t>
        </is>
      </c>
      <c r="C2010" s="7" t="inlineStr">
        <is>
          <t xml:space="preserve">CTS Agua Vermelha M.D </t>
        </is>
      </c>
      <c r="D2010" s="7" t="inlineStr">
        <is>
          <t>FABIO</t>
        </is>
      </c>
      <c r="E2010" s="24" t="inlineStr">
        <is>
          <t>Marcelo</t>
        </is>
      </c>
      <c r="F2010" s="25" t="inlineStr">
        <is>
          <t>transformação PV12</t>
        </is>
      </c>
      <c r="G2010" s="24" t="n">
        <v>12</v>
      </c>
      <c r="I2010" s="24" t="n">
        <v>12</v>
      </c>
      <c r="J2010" s="24" t="inlineStr">
        <is>
          <t>Shaft</t>
        </is>
      </c>
      <c r="K2010" s="24" t="inlineStr">
        <is>
          <t>Planejamento</t>
        </is>
      </c>
      <c r="L2010" s="17" t="inlineStr">
        <is>
          <t>PDS-Abril(2).docx</t>
        </is>
      </c>
      <c r="M2010">
        <f>IF($A2010="","",TEXT($A2010,"mmmm/yyyy"))</f>
        <v/>
      </c>
      <c r="P2010">
        <f>IFERROR(_xludf.XLOOKUP($N2010,Base_Enderecos!$A:$A,Base_Enderecos!$B:$B,""),"")</f>
        <v/>
      </c>
      <c r="Q2010">
        <f>IFERROR(_xludf.XLOOKUP($N2010,Base_Enderecos!$A:$A,Base_Enderecos!$C:$C,""),"")</f>
        <v/>
      </c>
      <c r="R2010">
        <f>IF(OR(ISNUMBER(SEARCH("HDD",$F2010)),ISNUMBER(SEARCH("MND",$F2010)),ISNUMBER(SEARCH("PEAD",$F2010)),ISNUMBER(SEARCH("Puxe",$J2010)),ISNUMBER(SEARCH("Apoio HDD",$F2010))),"MND",IF(OR(ISNUMBER(SEARCH("VCA",$F2010)),ISNUMBER(SEARCH("PVC",$F2010)),ISNUMBER(SEARCH("vca",$J2010)),ISNUMBER(SEARCH("Transformação",$J2010))),"VCA",IF(OR(ISNUMBER(SEARCH("crava",$F2010)),ISNUMBER(SEARCH("tubo cravado",$F2010)),ISNUMBER(SEARCH("shaft",$J2010)),ISNUMBER(SEARCH("concreto",$F2010))),"TUBO CRAVADO","")))</f>
        <v/>
      </c>
      <c r="T2010">
        <f>IF($A2010="","",TEXT($A2010,"yyyymm")&amp;"|"&amp;$C2010&amp;"|"&amp;$F2010&amp;"|"&amp;$N2010&amp;"|"&amp;$R2010)</f>
        <v/>
      </c>
    </row>
    <row r="2011">
      <c r="A2011" s="11" t="n">
        <v>46135</v>
      </c>
      <c r="B2011" s="8" t="inlineStr">
        <is>
          <t>Quinta</t>
        </is>
      </c>
      <c r="C2011" s="7" t="inlineStr">
        <is>
          <t xml:space="preserve">CTS Agua Vermelha M.D </t>
        </is>
      </c>
      <c r="D2011" s="7" t="inlineStr">
        <is>
          <t>FABIO</t>
        </is>
      </c>
      <c r="E2011" s="24" t="inlineStr">
        <is>
          <t>Johnatham</t>
        </is>
      </c>
      <c r="F2011" s="25" t="inlineStr">
        <is>
          <t>transformação PV14</t>
        </is>
      </c>
      <c r="G2011" s="24" t="n">
        <v>14</v>
      </c>
      <c r="I2011" s="24" t="n">
        <v>14</v>
      </c>
      <c r="J2011" s="24" t="inlineStr">
        <is>
          <t>Shaft</t>
        </is>
      </c>
      <c r="K2011" s="24" t="inlineStr">
        <is>
          <t>Planejamento</t>
        </is>
      </c>
      <c r="L2011" s="17" t="inlineStr">
        <is>
          <t>PDS-Abril(2).docx</t>
        </is>
      </c>
      <c r="M2011">
        <f>IF($A2011="","",TEXT($A2011,"mmmm/yyyy"))</f>
        <v/>
      </c>
      <c r="P2011">
        <f>IFERROR(_xludf.XLOOKUP($N2011,Base_Enderecos!$A:$A,Base_Enderecos!$B:$B,""),"")</f>
        <v/>
      </c>
      <c r="Q2011">
        <f>IFERROR(_xludf.XLOOKUP($N2011,Base_Enderecos!$A:$A,Base_Enderecos!$C:$C,""),"")</f>
        <v/>
      </c>
      <c r="R2011">
        <f>IF(OR(ISNUMBER(SEARCH("HDD",$F2011)),ISNUMBER(SEARCH("MND",$F2011)),ISNUMBER(SEARCH("PEAD",$F2011)),ISNUMBER(SEARCH("Puxe",$J2011)),ISNUMBER(SEARCH("Apoio HDD",$F2011))),"MND",IF(OR(ISNUMBER(SEARCH("VCA",$F2011)),ISNUMBER(SEARCH("PVC",$F2011)),ISNUMBER(SEARCH("vca",$J2011)),ISNUMBER(SEARCH("Transformação",$J2011))),"VCA",IF(OR(ISNUMBER(SEARCH("crava",$F2011)),ISNUMBER(SEARCH("tubo cravado",$F2011)),ISNUMBER(SEARCH("shaft",$J2011)),ISNUMBER(SEARCH("concreto",$F2011))),"TUBO CRAVADO","")))</f>
        <v/>
      </c>
      <c r="T2011">
        <f>IF($A2011="","",TEXT($A2011,"yyyymm")&amp;"|"&amp;$C2011&amp;"|"&amp;$F2011&amp;"|"&amp;$N2011&amp;"|"&amp;$R2011)</f>
        <v/>
      </c>
    </row>
    <row r="2012">
      <c r="A2012" s="11" t="n">
        <v>46135</v>
      </c>
      <c r="B2012" s="8" t="inlineStr">
        <is>
          <t>Quinta</t>
        </is>
      </c>
      <c r="C2012" s="7" t="inlineStr">
        <is>
          <t xml:space="preserve">CTS Agua Vermelha M.D </t>
        </is>
      </c>
      <c r="D2012" s="7" t="inlineStr">
        <is>
          <t>FABIO</t>
        </is>
      </c>
      <c r="E2012" s="24" t="inlineStr">
        <is>
          <t>Antônio</t>
        </is>
      </c>
      <c r="F2012" s="25" t="inlineStr">
        <is>
          <t>transformação PV09</t>
        </is>
      </c>
      <c r="G2012" s="24" t="inlineStr">
        <is>
          <t>09</t>
        </is>
      </c>
      <c r="I2012" s="24" t="inlineStr">
        <is>
          <t>09</t>
        </is>
      </c>
      <c r="J2012" s="24" t="inlineStr">
        <is>
          <t>Shaft</t>
        </is>
      </c>
      <c r="K2012" s="24" t="inlineStr">
        <is>
          <t>Planejamento</t>
        </is>
      </c>
      <c r="L2012" s="17" t="inlineStr">
        <is>
          <t>PDS-Abril(2).docx</t>
        </is>
      </c>
      <c r="M2012">
        <f>IF($A2012="","",TEXT($A2012,"mmmm/yyyy"))</f>
        <v/>
      </c>
      <c r="P2012">
        <f>IFERROR(_xludf.XLOOKUP($N2012,Base_Enderecos!$A:$A,Base_Enderecos!$B:$B,""),"")</f>
        <v/>
      </c>
      <c r="Q2012">
        <f>IFERROR(_xludf.XLOOKUP($N2012,Base_Enderecos!$A:$A,Base_Enderecos!$C:$C,""),"")</f>
        <v/>
      </c>
      <c r="R2012">
        <f>IF(OR(ISNUMBER(SEARCH("HDD",$F2012)),ISNUMBER(SEARCH("MND",$F2012)),ISNUMBER(SEARCH("PEAD",$F2012)),ISNUMBER(SEARCH("Puxe",$J2012)),ISNUMBER(SEARCH("Apoio HDD",$F2012))),"MND",IF(OR(ISNUMBER(SEARCH("VCA",$F2012)),ISNUMBER(SEARCH("PVC",$F2012)),ISNUMBER(SEARCH("vca",$J2012)),ISNUMBER(SEARCH("Transformação",$J2012))),"VCA",IF(OR(ISNUMBER(SEARCH("crava",$F2012)),ISNUMBER(SEARCH("tubo cravado",$F2012)),ISNUMBER(SEARCH("shaft",$J2012)),ISNUMBER(SEARCH("concreto",$F2012))),"TUBO CRAVADO","")))</f>
        <v/>
      </c>
      <c r="T2012">
        <f>IF($A2012="","",TEXT($A2012,"yyyymm")&amp;"|"&amp;$C2012&amp;"|"&amp;$F2012&amp;"|"&amp;$N2012&amp;"|"&amp;$R2012)</f>
        <v/>
      </c>
    </row>
    <row r="2013">
      <c r="A2013" s="11" t="n">
        <v>46135</v>
      </c>
      <c r="B2013" s="8" t="inlineStr">
        <is>
          <t>Quinta</t>
        </is>
      </c>
      <c r="C2013" s="7" t="inlineStr">
        <is>
          <t xml:space="preserve">CTS Agua Vermelha M.D </t>
        </is>
      </c>
      <c r="D2013" s="7" t="inlineStr">
        <is>
          <t>FABIO</t>
        </is>
      </c>
      <c r="E2013" s="24" t="inlineStr">
        <is>
          <t>Cesar</t>
        </is>
      </c>
      <c r="F2013" s="25" t="inlineStr">
        <is>
          <t>transformação PV17</t>
        </is>
      </c>
      <c r="G2013" s="24" t="n">
        <v>17</v>
      </c>
      <c r="I2013" s="24" t="n">
        <v>17</v>
      </c>
      <c r="J2013" s="24" t="inlineStr">
        <is>
          <t>Shaft</t>
        </is>
      </c>
      <c r="K2013" s="24" t="inlineStr">
        <is>
          <t>Planejamento</t>
        </is>
      </c>
      <c r="L2013" s="17" t="inlineStr">
        <is>
          <t>PDS-Abril(2).docx</t>
        </is>
      </c>
      <c r="M2013">
        <f>IF($A2013="","",TEXT($A2013,"mmmm/yyyy"))</f>
        <v/>
      </c>
      <c r="P2013">
        <f>IFERROR(_xludf.XLOOKUP($N2013,Base_Enderecos!$A:$A,Base_Enderecos!$B:$B,""),"")</f>
        <v/>
      </c>
      <c r="Q2013">
        <f>IFERROR(_xludf.XLOOKUP($N2013,Base_Enderecos!$A:$A,Base_Enderecos!$C:$C,""),"")</f>
        <v/>
      </c>
      <c r="R2013">
        <f>IF(OR(ISNUMBER(SEARCH("HDD",$F2013)),ISNUMBER(SEARCH("MND",$F2013)),ISNUMBER(SEARCH("PEAD",$F2013)),ISNUMBER(SEARCH("Puxe",$J2013)),ISNUMBER(SEARCH("Apoio HDD",$F2013))),"MND",IF(OR(ISNUMBER(SEARCH("VCA",$F2013)),ISNUMBER(SEARCH("PVC",$F2013)),ISNUMBER(SEARCH("vca",$J2013)),ISNUMBER(SEARCH("Transformação",$J2013))),"VCA",IF(OR(ISNUMBER(SEARCH("crava",$F2013)),ISNUMBER(SEARCH("tubo cravado",$F2013)),ISNUMBER(SEARCH("shaft",$J2013)),ISNUMBER(SEARCH("concreto",$F2013))),"TUBO CRAVADO","")))</f>
        <v/>
      </c>
      <c r="T2013">
        <f>IF($A2013="","",TEXT($A2013,"yyyymm")&amp;"|"&amp;$C2013&amp;"|"&amp;$F2013&amp;"|"&amp;$N2013&amp;"|"&amp;$R2013)</f>
        <v/>
      </c>
    </row>
    <row r="2014">
      <c r="A2014" s="11" t="n">
        <v>46135</v>
      </c>
      <c r="B2014" s="8" t="inlineStr">
        <is>
          <t>Quinta</t>
        </is>
      </c>
      <c r="C2014" s="7" t="inlineStr">
        <is>
          <t>CTS Agua Vermelha M.E</t>
        </is>
      </c>
      <c r="D2014" s="7" t="inlineStr">
        <is>
          <t>VALMIR</t>
        </is>
      </c>
      <c r="E2014" s="24" t="inlineStr">
        <is>
          <t>wj</t>
        </is>
      </c>
      <c r="F2014" s="25" t="inlineStr">
        <is>
          <t>Piloto e Puxe entre o PVE05 ao PVE06</t>
        </is>
      </c>
      <c r="G2014" s="24" t="n">
        <v>5</v>
      </c>
      <c r="H2014" s="24" t="inlineStr">
        <is>
          <t>06</t>
        </is>
      </c>
      <c r="I2014" s="24" t="n">
        <v>5.6</v>
      </c>
      <c r="J2014" s="24" t="inlineStr">
        <is>
          <t>puxe</t>
        </is>
      </c>
      <c r="K2014" s="24" t="inlineStr">
        <is>
          <t>Planejamento</t>
        </is>
      </c>
      <c r="L2014" s="17" t="inlineStr">
        <is>
          <t>PDS-Abril(2).docx</t>
        </is>
      </c>
      <c r="M2014">
        <f>IF($A2014="","",TEXT($A2014,"mmmm/yyyy"))</f>
        <v/>
      </c>
      <c r="P2014">
        <f>IFERROR(_xludf.XLOOKUP($N2014,Base_Enderecos!$A:$A,Base_Enderecos!$B:$B,""),"")</f>
        <v/>
      </c>
      <c r="Q2014">
        <f>IFERROR(_xludf.XLOOKUP($N2014,Base_Enderecos!$A:$A,Base_Enderecos!$C:$C,""),"")</f>
        <v/>
      </c>
      <c r="R2014">
        <f>IF(OR(ISNUMBER(SEARCH("HDD",$F2014)),ISNUMBER(SEARCH("MND",$F2014)),ISNUMBER(SEARCH("PEAD",$F2014)),ISNUMBER(SEARCH("Puxe",$J2014)),ISNUMBER(SEARCH("Apoio HDD",$F2014))),"MND",IF(OR(ISNUMBER(SEARCH("VCA",$F2014)),ISNUMBER(SEARCH("PVC",$F2014)),ISNUMBER(SEARCH("vca",$J2014)),ISNUMBER(SEARCH("Transformação",$J2014))),"VCA",IF(OR(ISNUMBER(SEARCH("crava",$F2014)),ISNUMBER(SEARCH("tubo cravado",$F2014)),ISNUMBER(SEARCH("shaft",$J2014)),ISNUMBER(SEARCH("concreto",$F2014))),"TUBO CRAVADO","")))</f>
        <v/>
      </c>
      <c r="T2014">
        <f>IF($A2014="","",TEXT($A2014,"yyyymm")&amp;"|"&amp;$C2014&amp;"|"&amp;$F2014&amp;"|"&amp;$N2014&amp;"|"&amp;$R2014)</f>
        <v/>
      </c>
    </row>
    <row r="2015">
      <c r="A2015" s="11" t="n">
        <v>46135</v>
      </c>
      <c r="B2015" s="8" t="inlineStr">
        <is>
          <t>Quinta</t>
        </is>
      </c>
      <c r="C2015" s="7" t="inlineStr">
        <is>
          <t>CTS Agua Vermelha M.E</t>
        </is>
      </c>
      <c r="D2015" s="7" t="inlineStr">
        <is>
          <t>VALMIR</t>
        </is>
      </c>
      <c r="E2015" s="24" t="inlineStr">
        <is>
          <t>Ricardo</t>
        </is>
      </c>
      <c r="F2015" s="25" t="inlineStr">
        <is>
          <t>Apoio ao HDD</t>
        </is>
      </c>
      <c r="G2015" s="24" t="n">
        <v>5</v>
      </c>
      <c r="H2015" s="24" t="n">
        <v>6</v>
      </c>
      <c r="I2015" s="24" t="n">
        <v>5.6</v>
      </c>
      <c r="J2015" s="24" t="inlineStr">
        <is>
          <t>Apoio HDD</t>
        </is>
      </c>
      <c r="K2015" s="24" t="inlineStr">
        <is>
          <t>Apoio</t>
        </is>
      </c>
      <c r="L2015" s="17" t="inlineStr">
        <is>
          <t>PDS-Abril(2).docx</t>
        </is>
      </c>
      <c r="M2015">
        <f>IF($A2015="","",TEXT($A2015,"mmmm/yyyy"))</f>
        <v/>
      </c>
      <c r="P2015">
        <f>IFERROR(_xludf.XLOOKUP($N2015,Base_Enderecos!$A:$A,Base_Enderecos!$B:$B,""),"")</f>
        <v/>
      </c>
      <c r="Q2015">
        <f>IFERROR(_xludf.XLOOKUP($N2015,Base_Enderecos!$A:$A,Base_Enderecos!$C:$C,""),"")</f>
        <v/>
      </c>
      <c r="R2015">
        <f>IF(OR(ISNUMBER(SEARCH("HDD",$F2015)),ISNUMBER(SEARCH("MND",$F2015)),ISNUMBER(SEARCH("PEAD",$F2015)),ISNUMBER(SEARCH("Puxe",$J2015)),ISNUMBER(SEARCH("Apoio HDD",$F2015))),"MND",IF(OR(ISNUMBER(SEARCH("VCA",$F2015)),ISNUMBER(SEARCH("PVC",$F2015)),ISNUMBER(SEARCH("vca",$J2015)),ISNUMBER(SEARCH("Transformação",$J2015))),"VCA",IF(OR(ISNUMBER(SEARCH("crava",$F2015)),ISNUMBER(SEARCH("tubo cravado",$F2015)),ISNUMBER(SEARCH("shaft",$J2015)),ISNUMBER(SEARCH("concreto",$F2015))),"TUBO CRAVADO","")))</f>
        <v/>
      </c>
      <c r="T2015">
        <f>IF($A2015="","",TEXT($A2015,"yyyymm")&amp;"|"&amp;$C2015&amp;"|"&amp;$F2015&amp;"|"&amp;$N2015&amp;"|"&amp;$R2015)</f>
        <v/>
      </c>
    </row>
    <row r="2016">
      <c r="A2016" s="11" t="n">
        <v>46135</v>
      </c>
      <c r="B2016" s="8" t="inlineStr">
        <is>
          <t>Quinta</t>
        </is>
      </c>
      <c r="C2016" s="7" t="inlineStr">
        <is>
          <t>INT FERNANDO PACHECO JORDÃO</t>
        </is>
      </c>
      <c r="D2016" s="7" t="inlineStr">
        <is>
          <t>VALMIR</t>
        </is>
      </c>
      <c r="E2016" s="24" t="inlineStr">
        <is>
          <t>Edivando</t>
        </is>
      </c>
      <c r="F2016" s="25" t="inlineStr">
        <is>
          <t>transformação PV02</t>
        </is>
      </c>
      <c r="G2016" s="24" t="n">
        <v>2</v>
      </c>
      <c r="I2016" s="24" t="n">
        <v>2</v>
      </c>
      <c r="J2016" s="24" t="inlineStr">
        <is>
          <t>Transformação</t>
        </is>
      </c>
      <c r="K2016" s="24" t="inlineStr">
        <is>
          <t>Planejamento</t>
        </is>
      </c>
      <c r="L2016" s="17" t="inlineStr">
        <is>
          <t>PDS-Abril(2).docx</t>
        </is>
      </c>
      <c r="M2016">
        <f>IF($A2016="","",TEXT($A2016,"mmmm/yyyy"))</f>
        <v/>
      </c>
      <c r="P2016">
        <f>IFERROR(_xludf.XLOOKUP($N2016,Base_Enderecos!$A:$A,Base_Enderecos!$B:$B,""),"")</f>
        <v/>
      </c>
      <c r="Q2016">
        <f>IFERROR(_xludf.XLOOKUP($N2016,Base_Enderecos!$A:$A,Base_Enderecos!$C:$C,""),"")</f>
        <v/>
      </c>
      <c r="R2016">
        <f>IF(OR(ISNUMBER(SEARCH("HDD",$F2016)),ISNUMBER(SEARCH("MND",$F2016)),ISNUMBER(SEARCH("PEAD",$F2016)),ISNUMBER(SEARCH("Puxe",$J2016)),ISNUMBER(SEARCH("Apoio HDD",$F2016))),"MND",IF(OR(ISNUMBER(SEARCH("VCA",$F2016)),ISNUMBER(SEARCH("PVC",$F2016)),ISNUMBER(SEARCH("vca",$J2016)),ISNUMBER(SEARCH("Transformação",$J2016))),"VCA",IF(OR(ISNUMBER(SEARCH("crava",$F2016)),ISNUMBER(SEARCH("tubo cravado",$F2016)),ISNUMBER(SEARCH("shaft",$J2016)),ISNUMBER(SEARCH("concreto",$F2016))),"TUBO CRAVADO","")))</f>
        <v/>
      </c>
      <c r="T2016">
        <f>IF($A2016="","",TEXT($A2016,"yyyymm")&amp;"|"&amp;$C2016&amp;"|"&amp;$F2016&amp;"|"&amp;$N2016&amp;"|"&amp;$R2016)</f>
        <v/>
      </c>
    </row>
    <row r="2017">
      <c r="A2017" s="11" t="n">
        <v>46135</v>
      </c>
      <c r="B2017" s="8" t="inlineStr">
        <is>
          <t>Quinta</t>
        </is>
      </c>
      <c r="C2017" s="7" t="inlineStr">
        <is>
          <t>INT FERNANDO PACHECO JORDÃO</t>
        </is>
      </c>
      <c r="D2017" s="7" t="inlineStr">
        <is>
          <t>VALMIR</t>
        </is>
      </c>
      <c r="E2017" s="24" t="inlineStr">
        <is>
          <t>Valter</t>
        </is>
      </c>
      <c r="F2017" s="25" t="inlineStr">
        <is>
          <t>transformação PV01</t>
        </is>
      </c>
      <c r="G2017" s="24" t="n">
        <v>1</v>
      </c>
      <c r="I2017" s="24" t="n">
        <v>1</v>
      </c>
      <c r="J2017" s="24" t="inlineStr">
        <is>
          <t>Transformação</t>
        </is>
      </c>
      <c r="K2017" s="24" t="inlineStr">
        <is>
          <t>Planejamento</t>
        </is>
      </c>
      <c r="L2017" s="17" t="inlineStr">
        <is>
          <t>PDS-Abril(2).docx</t>
        </is>
      </c>
      <c r="M2017">
        <f>IF($A2017="","",TEXT($A2017,"mmmm/yyyy"))</f>
        <v/>
      </c>
      <c r="P2017">
        <f>IFERROR(_xludf.XLOOKUP($N2017,Base_Enderecos!$A:$A,Base_Enderecos!$B:$B,""),"")</f>
        <v/>
      </c>
      <c r="Q2017">
        <f>IFERROR(_xludf.XLOOKUP($N2017,Base_Enderecos!$A:$A,Base_Enderecos!$C:$C,""),"")</f>
        <v/>
      </c>
      <c r="R2017">
        <f>IF(OR(ISNUMBER(SEARCH("HDD",$F2017)),ISNUMBER(SEARCH("MND",$F2017)),ISNUMBER(SEARCH("PEAD",$F2017)),ISNUMBER(SEARCH("Puxe",$J2017)),ISNUMBER(SEARCH("Apoio HDD",$F2017))),"MND",IF(OR(ISNUMBER(SEARCH("VCA",$F2017)),ISNUMBER(SEARCH("PVC",$F2017)),ISNUMBER(SEARCH("vca",$J2017)),ISNUMBER(SEARCH("Transformação",$J2017))),"VCA",IF(OR(ISNUMBER(SEARCH("crava",$F2017)),ISNUMBER(SEARCH("tubo cravado",$F2017)),ISNUMBER(SEARCH("shaft",$J2017)),ISNUMBER(SEARCH("concreto",$F2017))),"TUBO CRAVADO","")))</f>
        <v/>
      </c>
      <c r="T2017">
        <f>IF($A2017="","",TEXT($A2017,"yyyymm")&amp;"|"&amp;$C2017&amp;"|"&amp;$F2017&amp;"|"&amp;$N2017&amp;"|"&amp;$R2017)</f>
        <v/>
      </c>
    </row>
    <row r="2018">
      <c r="A2018" s="11" t="n">
        <v>46135</v>
      </c>
      <c r="B2018" s="8" t="inlineStr">
        <is>
          <t>Quinta</t>
        </is>
      </c>
      <c r="C2018" s="7" t="inlineStr">
        <is>
          <t>CTS MAR DE CORAL</t>
        </is>
      </c>
      <c r="D2018" s="7" t="inlineStr">
        <is>
          <t>SILVESTRE</t>
        </is>
      </c>
      <c r="E2018" s="24" t="inlineStr">
        <is>
          <t>Goiania Drill</t>
        </is>
      </c>
      <c r="F2018" s="25" t="inlineStr">
        <is>
          <t>Piloto e Puxe entre o PV10.8 ao PV10.9</t>
        </is>
      </c>
      <c r="G2018" s="24" t="inlineStr">
        <is>
          <t>10.8</t>
        </is>
      </c>
      <c r="H2018" s="24" t="inlineStr">
        <is>
          <t>10.9</t>
        </is>
      </c>
      <c r="I2018" s="24" t="inlineStr">
        <is>
          <t>10.8,10.9</t>
        </is>
      </c>
      <c r="J2018" s="24" t="inlineStr">
        <is>
          <t>Puxe</t>
        </is>
      </c>
      <c r="K2018" s="24" t="inlineStr">
        <is>
          <t>Planejamento</t>
        </is>
      </c>
      <c r="L2018" s="17" t="inlineStr">
        <is>
          <t>PDS-Abril(2).docx</t>
        </is>
      </c>
      <c r="M2018">
        <f>IF($A2018="","",TEXT($A2018,"mmmm/yyyy"))</f>
        <v/>
      </c>
      <c r="P2018">
        <f>IFERROR(_xludf.XLOOKUP($N2018,Base_Enderecos!$A:$A,Base_Enderecos!$B:$B,""),"")</f>
        <v/>
      </c>
      <c r="Q2018">
        <f>IFERROR(_xludf.XLOOKUP($N2018,Base_Enderecos!$A:$A,Base_Enderecos!$C:$C,""),"")</f>
        <v/>
      </c>
      <c r="R2018">
        <f>IF(OR(ISNUMBER(SEARCH("HDD",$F2018)),ISNUMBER(SEARCH("MND",$F2018)),ISNUMBER(SEARCH("PEAD",$F2018)),ISNUMBER(SEARCH("Puxe",$J2018)),ISNUMBER(SEARCH("Apoio HDD",$F2018))),"MND",IF(OR(ISNUMBER(SEARCH("VCA",$F2018)),ISNUMBER(SEARCH("PVC",$F2018)),ISNUMBER(SEARCH("vca",$J2018)),ISNUMBER(SEARCH("Transformação",$J2018))),"VCA",IF(OR(ISNUMBER(SEARCH("crava",$F2018)),ISNUMBER(SEARCH("tubo cravado",$F2018)),ISNUMBER(SEARCH("shaft",$J2018)),ISNUMBER(SEARCH("concreto",$F2018))),"TUBO CRAVADO","")))</f>
        <v/>
      </c>
      <c r="T2018">
        <f>IF($A2018="","",TEXT($A2018,"yyyymm")&amp;"|"&amp;$C2018&amp;"|"&amp;$F2018&amp;"|"&amp;$N2018&amp;"|"&amp;$R2018)</f>
        <v/>
      </c>
    </row>
    <row r="2019">
      <c r="A2019" s="11" t="n">
        <v>46135</v>
      </c>
      <c r="B2019" s="8" t="inlineStr">
        <is>
          <t>Quinta</t>
        </is>
      </c>
      <c r="C2019" s="7" t="inlineStr">
        <is>
          <t>CTS MAR DE CORAL</t>
        </is>
      </c>
      <c r="D2019" s="7" t="inlineStr">
        <is>
          <t>SILVESTRE</t>
        </is>
      </c>
      <c r="E2019" s="24" t="inlineStr">
        <is>
          <t>Bruno</t>
        </is>
      </c>
      <c r="F2019" s="25" t="inlineStr">
        <is>
          <t>Apoio ao HDD</t>
        </is>
      </c>
      <c r="G2019" s="24" t="inlineStr">
        <is>
          <t>10.8</t>
        </is>
      </c>
      <c r="H2019" s="24" t="inlineStr">
        <is>
          <t>10.9</t>
        </is>
      </c>
      <c r="I2019" s="24" t="inlineStr">
        <is>
          <t>10.8,10.9</t>
        </is>
      </c>
      <c r="J2019" s="24" t="inlineStr">
        <is>
          <t>Apoio HDD</t>
        </is>
      </c>
      <c r="K2019" s="24" t="inlineStr">
        <is>
          <t>Apoio</t>
        </is>
      </c>
      <c r="L2019" s="17" t="inlineStr">
        <is>
          <t>PDS-Abril(2).docx</t>
        </is>
      </c>
      <c r="M2019">
        <f>IF($A2019="","",TEXT($A2019,"mmmm/yyyy"))</f>
        <v/>
      </c>
      <c r="P2019">
        <f>IFERROR(_xludf.XLOOKUP($N2019,Base_Enderecos!$A:$A,Base_Enderecos!$B:$B,""),"")</f>
        <v/>
      </c>
      <c r="Q2019">
        <f>IFERROR(_xludf.XLOOKUP($N2019,Base_Enderecos!$A:$A,Base_Enderecos!$C:$C,""),"")</f>
        <v/>
      </c>
      <c r="R2019">
        <f>IF(OR(ISNUMBER(SEARCH("HDD",$F2019)),ISNUMBER(SEARCH("MND",$F2019)),ISNUMBER(SEARCH("PEAD",$F2019)),ISNUMBER(SEARCH("Puxe",$J2019)),ISNUMBER(SEARCH("Apoio HDD",$F2019))),"MND",IF(OR(ISNUMBER(SEARCH("VCA",$F2019)),ISNUMBER(SEARCH("PVC",$F2019)),ISNUMBER(SEARCH("vca",$J2019)),ISNUMBER(SEARCH("Transformação",$J2019))),"VCA",IF(OR(ISNUMBER(SEARCH("crava",$F2019)),ISNUMBER(SEARCH("tubo cravado",$F2019)),ISNUMBER(SEARCH("shaft",$J2019)),ISNUMBER(SEARCH("concreto",$F2019))),"TUBO CRAVADO","")))</f>
        <v/>
      </c>
      <c r="T2019">
        <f>IF($A2019="","",TEXT($A2019,"yyyymm")&amp;"|"&amp;$C2019&amp;"|"&amp;$F2019&amp;"|"&amp;$N2019&amp;"|"&amp;$R2019)</f>
        <v/>
      </c>
    </row>
    <row r="2020">
      <c r="A2020" s="11" t="n">
        <v>46135</v>
      </c>
      <c r="B2020" s="8" t="inlineStr">
        <is>
          <t>Quinta</t>
        </is>
      </c>
      <c r="C2020" s="7" t="inlineStr">
        <is>
          <t>CTS MAR DE CORAL</t>
        </is>
      </c>
      <c r="D2020" s="7" t="inlineStr">
        <is>
          <t>SILVESTRE</t>
        </is>
      </c>
      <c r="E2020" s="24" t="inlineStr">
        <is>
          <t>Claudinei</t>
        </is>
      </c>
      <c r="F2020" s="25" t="inlineStr">
        <is>
          <t>vca e transformação de pvs entre pv5.10 ao pv 5.13</t>
        </is>
      </c>
      <c r="G2020" s="24" t="inlineStr">
        <is>
          <t>5.10</t>
        </is>
      </c>
      <c r="H2020" s="24" t="inlineStr">
        <is>
          <t>5.13</t>
        </is>
      </c>
      <c r="I2020" s="24" t="inlineStr">
        <is>
          <t>5.10,5.13</t>
        </is>
      </c>
      <c r="J2020" s="24" t="inlineStr">
        <is>
          <t>vca</t>
        </is>
      </c>
      <c r="K2020" s="24" t="inlineStr">
        <is>
          <t>Planejamento</t>
        </is>
      </c>
      <c r="L2020" s="17" t="inlineStr">
        <is>
          <t>PDS-Abril(2).docx</t>
        </is>
      </c>
      <c r="M2020">
        <f>IF($A2020="","",TEXT($A2020,"mmmm/yyyy"))</f>
        <v/>
      </c>
      <c r="P2020">
        <f>IFERROR(_xludf.XLOOKUP($N2020,Base_Enderecos!$A:$A,Base_Enderecos!$B:$B,""),"")</f>
        <v/>
      </c>
      <c r="Q2020">
        <f>IFERROR(_xludf.XLOOKUP($N2020,Base_Enderecos!$A:$A,Base_Enderecos!$C:$C,""),"")</f>
        <v/>
      </c>
      <c r="R2020">
        <f>IF(OR(ISNUMBER(SEARCH("HDD",$F2020)),ISNUMBER(SEARCH("MND",$F2020)),ISNUMBER(SEARCH("PEAD",$F2020)),ISNUMBER(SEARCH("Puxe",$J2020)),ISNUMBER(SEARCH("Apoio HDD",$F2020))),"MND",IF(OR(ISNUMBER(SEARCH("VCA",$F2020)),ISNUMBER(SEARCH("PVC",$F2020)),ISNUMBER(SEARCH("vca",$J2020)),ISNUMBER(SEARCH("Transformação",$J2020))),"VCA",IF(OR(ISNUMBER(SEARCH("crava",$F2020)),ISNUMBER(SEARCH("tubo cravado",$F2020)),ISNUMBER(SEARCH("shaft",$J2020)),ISNUMBER(SEARCH("concreto",$F2020))),"TUBO CRAVADO","")))</f>
        <v/>
      </c>
      <c r="T2020">
        <f>IF($A2020="","",TEXT($A2020,"yyyymm")&amp;"|"&amp;$C2020&amp;"|"&amp;$F2020&amp;"|"&amp;$N2020&amp;"|"&amp;$R2020)</f>
        <v/>
      </c>
    </row>
    <row r="2021">
      <c r="A2021" s="11" t="n">
        <v>46135</v>
      </c>
      <c r="B2021" s="8" t="inlineStr">
        <is>
          <t>Quinta</t>
        </is>
      </c>
      <c r="C2021" s="7" t="inlineStr">
        <is>
          <t>CTS LUIS BOTELHO MOURÃO</t>
        </is>
      </c>
      <c r="D2021" s="7" t="inlineStr">
        <is>
          <t>ROBSON</t>
        </is>
      </c>
      <c r="E2021" s="24" t="inlineStr">
        <is>
          <t>marcio</t>
        </is>
      </c>
      <c r="F2021" s="25" t="inlineStr">
        <is>
          <t>transformação PV07</t>
        </is>
      </c>
      <c r="G2021" s="24" t="n">
        <v>7</v>
      </c>
      <c r="H2021" s="24" t="n"/>
      <c r="I2021" s="24" t="n">
        <v>7</v>
      </c>
      <c r="J2021" s="24" t="inlineStr">
        <is>
          <t>Transformação</t>
        </is>
      </c>
      <c r="K2021" s="24" t="inlineStr">
        <is>
          <t>Planejamento</t>
        </is>
      </c>
      <c r="L2021" s="17" t="inlineStr">
        <is>
          <t>PDS-Abril(2).docx</t>
        </is>
      </c>
      <c r="M2021">
        <f>IF($A2021="","",TEXT($A2021,"mmmm/yyyy"))</f>
        <v/>
      </c>
      <c r="P2021">
        <f>IFERROR(_xludf.XLOOKUP($N2021,Base_Enderecos!$A:$A,Base_Enderecos!$B:$B,""),"")</f>
        <v/>
      </c>
      <c r="Q2021">
        <f>IFERROR(_xludf.XLOOKUP($N2021,Base_Enderecos!$A:$A,Base_Enderecos!$C:$C,""),"")</f>
        <v/>
      </c>
      <c r="R2021">
        <f>IF(OR(ISNUMBER(SEARCH("HDD",$F2021)),ISNUMBER(SEARCH("MND",$F2021)),ISNUMBER(SEARCH("PEAD",$F2021)),ISNUMBER(SEARCH("Puxe",$J2021)),ISNUMBER(SEARCH("Apoio HDD",$F2021))),"MND",IF(OR(ISNUMBER(SEARCH("VCA",$F2021)),ISNUMBER(SEARCH("PVC",$F2021)),ISNUMBER(SEARCH("vca",$J2021)),ISNUMBER(SEARCH("Transformação",$J2021))),"VCA",IF(OR(ISNUMBER(SEARCH("crava",$F2021)),ISNUMBER(SEARCH("tubo cravado",$F2021)),ISNUMBER(SEARCH("shaft",$J2021)),ISNUMBER(SEARCH("concreto",$F2021))),"TUBO CRAVADO","")))</f>
        <v/>
      </c>
      <c r="T2021">
        <f>IF($A2021="","",TEXT($A2021,"yyyymm")&amp;"|"&amp;$C2021&amp;"|"&amp;$F2021&amp;"|"&amp;$N2021&amp;"|"&amp;$R2021)</f>
        <v/>
      </c>
    </row>
    <row r="2022">
      <c r="A2022" s="11" t="n">
        <v>46135</v>
      </c>
      <c r="B2022" s="8" t="inlineStr">
        <is>
          <t>Quinta</t>
        </is>
      </c>
      <c r="C2022" s="7" t="inlineStr">
        <is>
          <t>CTS LUIS BOTELHO MOURÃO</t>
        </is>
      </c>
      <c r="D2022" s="7" t="inlineStr">
        <is>
          <t>ROBSON</t>
        </is>
      </c>
      <c r="E2022" s="24" t="inlineStr">
        <is>
          <t>Higor</t>
        </is>
      </c>
      <c r="F2022" s="25" t="inlineStr">
        <is>
          <t>transformação PV06</t>
        </is>
      </c>
      <c r="G2022" s="24" t="n">
        <v>6</v>
      </c>
      <c r="H2022" s="24" t="n"/>
      <c r="I2022" s="24" t="n">
        <v>6</v>
      </c>
      <c r="J2022" s="24" t="inlineStr">
        <is>
          <t>Transformação</t>
        </is>
      </c>
      <c r="K2022" s="24" t="inlineStr">
        <is>
          <t>Planejamento</t>
        </is>
      </c>
      <c r="L2022" s="17" t="inlineStr">
        <is>
          <t>PDS-Abril(2).docx</t>
        </is>
      </c>
      <c r="M2022">
        <f>IF($A2022="","",TEXT($A2022,"mmmm/yyyy"))</f>
        <v/>
      </c>
      <c r="P2022">
        <f>IFERROR(_xludf.XLOOKUP($N2022,Base_Enderecos!$A:$A,Base_Enderecos!$B:$B,""),"")</f>
        <v/>
      </c>
      <c r="Q2022">
        <f>IFERROR(_xludf.XLOOKUP($N2022,Base_Enderecos!$A:$A,Base_Enderecos!$C:$C,""),"")</f>
        <v/>
      </c>
      <c r="R2022">
        <f>IF(OR(ISNUMBER(SEARCH("HDD",$F2022)),ISNUMBER(SEARCH("MND",$F2022)),ISNUMBER(SEARCH("PEAD",$F2022)),ISNUMBER(SEARCH("Puxe",$J2022)),ISNUMBER(SEARCH("Apoio HDD",$F2022))),"MND",IF(OR(ISNUMBER(SEARCH("VCA",$F2022)),ISNUMBER(SEARCH("PVC",$F2022)),ISNUMBER(SEARCH("vca",$J2022)),ISNUMBER(SEARCH("Transformação",$J2022))),"VCA",IF(OR(ISNUMBER(SEARCH("crava",$F2022)),ISNUMBER(SEARCH("tubo cravado",$F2022)),ISNUMBER(SEARCH("shaft",$J2022)),ISNUMBER(SEARCH("concreto",$F2022))),"TUBO CRAVADO","")))</f>
        <v/>
      </c>
      <c r="T2022">
        <f>IF($A2022="","",TEXT($A2022,"yyyymm")&amp;"|"&amp;$C2022&amp;"|"&amp;$F2022&amp;"|"&amp;$N2022&amp;"|"&amp;$R2022)</f>
        <v/>
      </c>
    </row>
    <row r="2023">
      <c r="A2023" s="11" t="n">
        <v>46135</v>
      </c>
      <c r="B2023" s="8" t="inlineStr">
        <is>
          <t>Quinta</t>
        </is>
      </c>
      <c r="C2023" s="7" t="n"/>
      <c r="D2023" s="7" t="n"/>
      <c r="E2023" s="24" t="inlineStr">
        <is>
          <t>Botelho Mourão/Pacheco* – Renasce</t>
        </is>
      </c>
      <c r="F2023" s="13" t="inlineStr">
        <is>
          <t>Apoio Vacal</t>
        </is>
      </c>
      <c r="G2023" s="24" t="n"/>
      <c r="H2023" s="24" t="n"/>
      <c r="I2023" s="24" t="n"/>
      <c r="J2023" s="27" t="inlineStr">
        <is>
          <t>Vacal</t>
        </is>
      </c>
      <c r="K2023" s="27" t="inlineStr">
        <is>
          <t>Apoio</t>
        </is>
      </c>
      <c r="L2023" s="17" t="inlineStr">
        <is>
          <t>PDS-Abril(2).docx</t>
        </is>
      </c>
      <c r="M2023">
        <f>IF($A2023="","",TEXT($A2023,"mmmm/yyyy"))</f>
        <v/>
      </c>
      <c r="P2023">
        <f>IFERROR(_xludf.XLOOKUP($N2023,Base_Enderecos!$A:$A,Base_Enderecos!$B:$B,""),"")</f>
        <v/>
      </c>
      <c r="Q2023">
        <f>IFERROR(_xludf.XLOOKUP($N2023,Base_Enderecos!$A:$A,Base_Enderecos!$C:$C,""),"")</f>
        <v/>
      </c>
      <c r="R2023">
        <f>IF(OR(ISNUMBER(SEARCH("HDD",$F2023)),ISNUMBER(SEARCH("MND",$F2023)),ISNUMBER(SEARCH("PEAD",$F2023)),ISNUMBER(SEARCH("Puxe",$J2023)),ISNUMBER(SEARCH("Apoio HDD",$F2023))),"MND",IF(OR(ISNUMBER(SEARCH("VCA",$F2023)),ISNUMBER(SEARCH("PVC",$F2023)),ISNUMBER(SEARCH("vca",$J2023)),ISNUMBER(SEARCH("Transformação",$J2023))),"VCA",IF(OR(ISNUMBER(SEARCH("crava",$F2023)),ISNUMBER(SEARCH("tubo cravado",$F2023)),ISNUMBER(SEARCH("shaft",$J2023)),ISNUMBER(SEARCH("concreto",$F2023))),"TUBO CRAVADO","")))</f>
        <v/>
      </c>
      <c r="T2023">
        <f>IF($A2023="","",TEXT($A2023,"yyyymm")&amp;"|"&amp;$C2023&amp;"|"&amp;$F2023&amp;"|"&amp;$N2023&amp;"|"&amp;$R2023)</f>
        <v/>
      </c>
    </row>
    <row r="2024">
      <c r="A2024" s="11" t="n">
        <v>46135</v>
      </c>
      <c r="B2024" s="8" t="inlineStr">
        <is>
          <t>Quinta</t>
        </is>
      </c>
      <c r="C2024" s="7" t="n"/>
      <c r="D2024" s="7" t="n"/>
      <c r="E2024" s="27" t="inlineStr">
        <is>
          <t>Botelho Mourão – Renasce</t>
        </is>
      </c>
      <c r="F2024" s="13" t="inlineStr">
        <is>
          <t>Apoio Vacal</t>
        </is>
      </c>
      <c r="J2024" s="27" t="inlineStr">
        <is>
          <t>Vacal</t>
        </is>
      </c>
      <c r="K2024" s="27" t="inlineStr">
        <is>
          <t>Apoio</t>
        </is>
      </c>
      <c r="L2024" s="17" t="inlineStr">
        <is>
          <t>PDS-Abril(2).docx</t>
        </is>
      </c>
      <c r="M2024">
        <f>IF($A2024="","",TEXT($A2024,"mmmm/yyyy"))</f>
        <v/>
      </c>
      <c r="P2024">
        <f>IFERROR(_xludf.XLOOKUP($N2024,Base_Enderecos!$A:$A,Base_Enderecos!$B:$B,""),"")</f>
        <v/>
      </c>
      <c r="Q2024">
        <f>IFERROR(_xludf.XLOOKUP($N2024,Base_Enderecos!$A:$A,Base_Enderecos!$C:$C,""),"")</f>
        <v/>
      </c>
      <c r="R2024">
        <f>IF(OR(ISNUMBER(SEARCH("HDD",$F2024)),ISNUMBER(SEARCH("MND",$F2024)),ISNUMBER(SEARCH("PEAD",$F2024)),ISNUMBER(SEARCH("Puxe",$J2024)),ISNUMBER(SEARCH("Apoio HDD",$F2024))),"MND",IF(OR(ISNUMBER(SEARCH("VCA",$F2024)),ISNUMBER(SEARCH("PVC",$F2024)),ISNUMBER(SEARCH("vca",$J2024)),ISNUMBER(SEARCH("Transformação",$J2024))),"VCA",IF(OR(ISNUMBER(SEARCH("crava",$F2024)),ISNUMBER(SEARCH("tubo cravado",$F2024)),ISNUMBER(SEARCH("shaft",$J2024)),ISNUMBER(SEARCH("concreto",$F2024))),"TUBO CRAVADO","")))</f>
        <v/>
      </c>
      <c r="T2024">
        <f>IF($A2024="","",TEXT($A2024,"yyyymm")&amp;"|"&amp;$C2024&amp;"|"&amp;$F2024&amp;"|"&amp;$N2024&amp;"|"&amp;$R2024)</f>
        <v/>
      </c>
    </row>
    <row r="2025">
      <c r="A2025" s="11" t="n">
        <v>46135</v>
      </c>
      <c r="B2025" s="8" t="inlineStr">
        <is>
          <t>Quinta</t>
        </is>
      </c>
      <c r="C2025" s="7" t="n"/>
      <c r="D2025" s="7" t="n"/>
      <c r="E2025" s="27" t="inlineStr">
        <is>
          <t>Botelho Mourão – Renasce</t>
        </is>
      </c>
      <c r="F2025" s="13" t="inlineStr">
        <is>
          <t>Apoio Vacal</t>
        </is>
      </c>
      <c r="J2025" s="27" t="inlineStr">
        <is>
          <t>Vacal</t>
        </is>
      </c>
      <c r="K2025" s="27" t="inlineStr">
        <is>
          <t>Apoio</t>
        </is>
      </c>
      <c r="L2025" s="17" t="inlineStr">
        <is>
          <t>PDS-Abril(2).docx</t>
        </is>
      </c>
      <c r="M2025">
        <f>IF($A2025="","",TEXT($A2025,"mmmm/yyyy"))</f>
        <v/>
      </c>
      <c r="P2025">
        <f>IFERROR(_xludf.XLOOKUP($N2025,Base_Enderecos!$A:$A,Base_Enderecos!$B:$B,""),"")</f>
        <v/>
      </c>
      <c r="Q2025">
        <f>IFERROR(_xludf.XLOOKUP($N2025,Base_Enderecos!$A:$A,Base_Enderecos!$C:$C,""),"")</f>
        <v/>
      </c>
      <c r="R2025">
        <f>IF(OR(ISNUMBER(SEARCH("HDD",$F2025)),ISNUMBER(SEARCH("MND",$F2025)),ISNUMBER(SEARCH("PEAD",$F2025)),ISNUMBER(SEARCH("Puxe",$J2025)),ISNUMBER(SEARCH("Apoio HDD",$F2025))),"MND",IF(OR(ISNUMBER(SEARCH("VCA",$F2025)),ISNUMBER(SEARCH("PVC",$F2025)),ISNUMBER(SEARCH("vca",$J2025)),ISNUMBER(SEARCH("Transformação",$J2025))),"VCA",IF(OR(ISNUMBER(SEARCH("crava",$F2025)),ISNUMBER(SEARCH("tubo cravado",$F2025)),ISNUMBER(SEARCH("shaft",$J2025)),ISNUMBER(SEARCH("concreto",$F2025))),"TUBO CRAVADO","")))</f>
        <v/>
      </c>
      <c r="T2025">
        <f>IF($A2025="","",TEXT($A2025,"yyyymm")&amp;"|"&amp;$C2025&amp;"|"&amp;$F2025&amp;"|"&amp;$N2025&amp;"|"&amp;$R2025)</f>
        <v/>
      </c>
    </row>
    <row r="2026">
      <c r="A2026" s="11" t="n">
        <v>46135</v>
      </c>
      <c r="B2026" s="8" t="inlineStr">
        <is>
          <t>Quinta</t>
        </is>
      </c>
      <c r="C2026" s="7" t="n"/>
      <c r="D2026" s="7" t="n"/>
      <c r="E2026" s="27" t="inlineStr">
        <is>
          <t>Conceição – Henko</t>
        </is>
      </c>
      <c r="F2026" s="13" t="inlineStr">
        <is>
          <t>Apoio Vacal</t>
        </is>
      </c>
      <c r="J2026" s="27" t="inlineStr">
        <is>
          <t>Vacal</t>
        </is>
      </c>
      <c r="K2026" s="27" t="inlineStr">
        <is>
          <t>Apoio</t>
        </is>
      </c>
      <c r="L2026" s="17" t="inlineStr">
        <is>
          <t>PDS-Abril(2).docx</t>
        </is>
      </c>
      <c r="M2026">
        <f>IF($A2026="","",TEXT($A2026,"mmmm/yyyy"))</f>
        <v/>
      </c>
      <c r="P2026">
        <f>IFERROR(_xludf.XLOOKUP($N2026,Base_Enderecos!$A:$A,Base_Enderecos!$B:$B,""),"")</f>
        <v/>
      </c>
      <c r="Q2026">
        <f>IFERROR(_xludf.XLOOKUP($N2026,Base_Enderecos!$A:$A,Base_Enderecos!$C:$C,""),"")</f>
        <v/>
      </c>
      <c r="R2026">
        <f>IF(OR(ISNUMBER(SEARCH("HDD",$F2026)),ISNUMBER(SEARCH("MND",$F2026)),ISNUMBER(SEARCH("PEAD",$F2026)),ISNUMBER(SEARCH("Puxe",$J2026)),ISNUMBER(SEARCH("Apoio HDD",$F2026))),"MND",IF(OR(ISNUMBER(SEARCH("VCA",$F2026)),ISNUMBER(SEARCH("PVC",$F2026)),ISNUMBER(SEARCH("vca",$J2026)),ISNUMBER(SEARCH("Transformação",$J2026))),"VCA",IF(OR(ISNUMBER(SEARCH("crava",$F2026)),ISNUMBER(SEARCH("tubo cravado",$F2026)),ISNUMBER(SEARCH("shaft",$J2026)),ISNUMBER(SEARCH("concreto",$F2026))),"TUBO CRAVADO","")))</f>
        <v/>
      </c>
      <c r="T2026">
        <f>IF($A2026="","",TEXT($A2026,"yyyymm")&amp;"|"&amp;$C2026&amp;"|"&amp;$F2026&amp;"|"&amp;$N2026&amp;"|"&amp;$R2026)</f>
        <v/>
      </c>
    </row>
    <row r="2027">
      <c r="A2027" s="11" t="n">
        <v>46135</v>
      </c>
      <c r="B2027" s="8" t="inlineStr">
        <is>
          <t>Quinta</t>
        </is>
      </c>
      <c r="C2027" s="7" t="n"/>
      <c r="D2027" s="7" t="n"/>
      <c r="E2027" s="27" t="inlineStr">
        <is>
          <t>Conceição – Henko</t>
        </is>
      </c>
      <c r="F2027" s="13" t="inlineStr">
        <is>
          <t>Apoio Vacal</t>
        </is>
      </c>
      <c r="J2027" s="27" t="inlineStr">
        <is>
          <t>Vacal</t>
        </is>
      </c>
      <c r="K2027" s="27" t="inlineStr">
        <is>
          <t>Apoio</t>
        </is>
      </c>
      <c r="L2027" s="17" t="inlineStr">
        <is>
          <t>PDS-Abril(2).docx</t>
        </is>
      </c>
      <c r="M2027">
        <f>IF($A2027="","",TEXT($A2027,"mmmm/yyyy"))</f>
        <v/>
      </c>
      <c r="P2027">
        <f>IFERROR(_xludf.XLOOKUP($N2027,Base_Enderecos!$A:$A,Base_Enderecos!$B:$B,""),"")</f>
        <v/>
      </c>
      <c r="Q2027">
        <f>IFERROR(_xludf.XLOOKUP($N2027,Base_Enderecos!$A:$A,Base_Enderecos!$C:$C,""),"")</f>
        <v/>
      </c>
      <c r="R2027">
        <f>IF(OR(ISNUMBER(SEARCH("HDD",$F2027)),ISNUMBER(SEARCH("MND",$F2027)),ISNUMBER(SEARCH("PEAD",$F2027)),ISNUMBER(SEARCH("Puxe",$J2027)),ISNUMBER(SEARCH("Apoio HDD",$F2027))),"MND",IF(OR(ISNUMBER(SEARCH("VCA",$F2027)),ISNUMBER(SEARCH("PVC",$F2027)),ISNUMBER(SEARCH("vca",$J2027)),ISNUMBER(SEARCH("Transformação",$J2027))),"VCA",IF(OR(ISNUMBER(SEARCH("crava",$F2027)),ISNUMBER(SEARCH("tubo cravado",$F2027)),ISNUMBER(SEARCH("shaft",$J2027)),ISNUMBER(SEARCH("concreto",$F2027))),"TUBO CRAVADO","")))</f>
        <v/>
      </c>
      <c r="T2027">
        <f>IF($A2027="","",TEXT($A2027,"yyyymm")&amp;"|"&amp;$C2027&amp;"|"&amp;$F2027&amp;"|"&amp;$N2027&amp;"|"&amp;$R2027)</f>
        <v/>
      </c>
    </row>
    <row r="2028">
      <c r="A2028" s="11" t="n">
        <v>46135</v>
      </c>
      <c r="B2028" s="8" t="inlineStr">
        <is>
          <t>Quinta</t>
        </is>
      </c>
      <c r="C2028" s="7" t="n"/>
      <c r="D2028" s="7" t="n"/>
      <c r="E2028" s="27" t="inlineStr">
        <is>
          <t>Água Vermelha – Renasce</t>
        </is>
      </c>
      <c r="F2028" s="13" t="inlineStr">
        <is>
          <t>Apoio Vacal</t>
        </is>
      </c>
      <c r="J2028" s="27" t="inlineStr">
        <is>
          <t>Vacal</t>
        </is>
      </c>
      <c r="K2028" s="27" t="inlineStr">
        <is>
          <t>Apoio</t>
        </is>
      </c>
      <c r="L2028" s="17" t="inlineStr">
        <is>
          <t>PDS-Abril(2).docx</t>
        </is>
      </c>
      <c r="M2028">
        <f>IF($A2028="","",TEXT($A2028,"mmmm/yyyy"))</f>
        <v/>
      </c>
      <c r="P2028">
        <f>IFERROR(_xludf.XLOOKUP($N2028,Base_Enderecos!$A:$A,Base_Enderecos!$B:$B,""),"")</f>
        <v/>
      </c>
      <c r="Q2028">
        <f>IFERROR(_xludf.XLOOKUP($N2028,Base_Enderecos!$A:$A,Base_Enderecos!$C:$C,""),"")</f>
        <v/>
      </c>
      <c r="R2028">
        <f>IF(OR(ISNUMBER(SEARCH("HDD",$F2028)),ISNUMBER(SEARCH("MND",$F2028)),ISNUMBER(SEARCH("PEAD",$F2028)),ISNUMBER(SEARCH("Puxe",$J2028)),ISNUMBER(SEARCH("Apoio HDD",$F2028))),"MND",IF(OR(ISNUMBER(SEARCH("VCA",$F2028)),ISNUMBER(SEARCH("PVC",$F2028)),ISNUMBER(SEARCH("vca",$J2028)),ISNUMBER(SEARCH("Transformação",$J2028))),"VCA",IF(OR(ISNUMBER(SEARCH("crava",$F2028)),ISNUMBER(SEARCH("tubo cravado",$F2028)),ISNUMBER(SEARCH("shaft",$J2028)),ISNUMBER(SEARCH("concreto",$F2028))),"TUBO CRAVADO","")))</f>
        <v/>
      </c>
      <c r="T2028">
        <f>IF($A2028="","",TEXT($A2028,"yyyymm")&amp;"|"&amp;$C2028&amp;"|"&amp;$F2028&amp;"|"&amp;$N2028&amp;"|"&amp;$R2028)</f>
        <v/>
      </c>
    </row>
    <row r="2029">
      <c r="A2029" s="11" t="n">
        <v>46135</v>
      </c>
      <c r="B2029" s="8" t="inlineStr">
        <is>
          <t>Quinta</t>
        </is>
      </c>
      <c r="C2029" s="7" t="n"/>
      <c r="D2029" s="7" t="n"/>
      <c r="E2029" s="27" t="inlineStr">
        <is>
          <t>Água Vermelha – Hidrosol</t>
        </is>
      </c>
      <c r="F2029" s="13" t="inlineStr">
        <is>
          <t>Apoio Vacal</t>
        </is>
      </c>
      <c r="J2029" s="27" t="inlineStr">
        <is>
          <t>Vacal</t>
        </is>
      </c>
      <c r="K2029" s="27" t="inlineStr">
        <is>
          <t>Apoio</t>
        </is>
      </c>
      <c r="L2029" s="17" t="inlineStr">
        <is>
          <t>PDS-Abril(2).docx</t>
        </is>
      </c>
      <c r="M2029">
        <f>IF($A2029="","",TEXT($A2029,"mmmm/yyyy"))</f>
        <v/>
      </c>
      <c r="P2029">
        <f>IFERROR(_xludf.XLOOKUP($N2029,Base_Enderecos!$A:$A,Base_Enderecos!$B:$B,""),"")</f>
        <v/>
      </c>
      <c r="Q2029">
        <f>IFERROR(_xludf.XLOOKUP($N2029,Base_Enderecos!$A:$A,Base_Enderecos!$C:$C,""),"")</f>
        <v/>
      </c>
      <c r="R2029">
        <f>IF(OR(ISNUMBER(SEARCH("HDD",$F2029)),ISNUMBER(SEARCH("MND",$F2029)),ISNUMBER(SEARCH("PEAD",$F2029)),ISNUMBER(SEARCH("Puxe",$J2029)),ISNUMBER(SEARCH("Apoio HDD",$F2029))),"MND",IF(OR(ISNUMBER(SEARCH("VCA",$F2029)),ISNUMBER(SEARCH("PVC",$F2029)),ISNUMBER(SEARCH("vca",$J2029)),ISNUMBER(SEARCH("Transformação",$J2029))),"VCA",IF(OR(ISNUMBER(SEARCH("crava",$F2029)),ISNUMBER(SEARCH("tubo cravado",$F2029)),ISNUMBER(SEARCH("shaft",$J2029)),ISNUMBER(SEARCH("concreto",$F2029))),"TUBO CRAVADO","")))</f>
        <v/>
      </c>
      <c r="T2029">
        <f>IF($A2029="","",TEXT($A2029,"yyyymm")&amp;"|"&amp;$C2029&amp;"|"&amp;$F2029&amp;"|"&amp;$N2029&amp;"|"&amp;$R2029)</f>
        <v/>
      </c>
    </row>
    <row r="2030" ht="11.55" customHeight="1">
      <c r="A2030" s="11" t="n">
        <v>46135</v>
      </c>
      <c r="B2030" s="8" t="inlineStr">
        <is>
          <t>Quinta</t>
        </is>
      </c>
      <c r="C2030" s="7" t="inlineStr">
        <is>
          <t>Guindauto</t>
        </is>
      </c>
      <c r="D2030" s="7" t="n"/>
      <c r="E2030" s="7" t="inlineStr">
        <is>
          <t>Marcio</t>
        </is>
      </c>
      <c r="F2030" s="13" t="inlineStr">
        <is>
          <t>Marcio - Apoio as equipes</t>
        </is>
      </c>
      <c r="G2030" s="7" t="n"/>
      <c r="H2030" s="7" t="n"/>
      <c r="I2030" s="7" t="n"/>
      <c r="J2030" s="7" t="inlineStr">
        <is>
          <t>Guindauto</t>
        </is>
      </c>
      <c r="K2030" s="7" t="inlineStr">
        <is>
          <t>Apoio</t>
        </is>
      </c>
      <c r="L2030" s="16" t="inlineStr">
        <is>
          <t>PDS-Abril(2).docx</t>
        </is>
      </c>
      <c r="M2030">
        <f>IF($A2030="","",TEXT($A2030,"mmmm/yyyy"))</f>
        <v/>
      </c>
      <c r="P2030">
        <f>IFERROR(_xludf.XLOOKUP($N2030,Base_Enderecos!$A:$A,Base_Enderecos!$B:$B,""),"")</f>
        <v/>
      </c>
      <c r="Q2030">
        <f>IFERROR(_xludf.XLOOKUP($N2030,Base_Enderecos!$A:$A,Base_Enderecos!$C:$C,""),"")</f>
        <v/>
      </c>
      <c r="R2030">
        <f>IF(OR(ISNUMBER(SEARCH("HDD",$F2030)),ISNUMBER(SEARCH("MND",$F2030)),ISNUMBER(SEARCH("PEAD",$F2030)),ISNUMBER(SEARCH("Puxe",$J2030)),ISNUMBER(SEARCH("Apoio HDD",$F2030))),"MND",IF(OR(ISNUMBER(SEARCH("VCA",$F2030)),ISNUMBER(SEARCH("PVC",$F2030)),ISNUMBER(SEARCH("vca",$J2030)),ISNUMBER(SEARCH("Transformação",$J2030))),"VCA",IF(OR(ISNUMBER(SEARCH("crava",$F2030)),ISNUMBER(SEARCH("tubo cravado",$F2030)),ISNUMBER(SEARCH("shaft",$J2030)),ISNUMBER(SEARCH("concreto",$F2030))),"TUBO CRAVADO","")))</f>
        <v/>
      </c>
      <c r="T2030">
        <f>IF($A2030="","",TEXT($A2030,"yyyymm")&amp;"|"&amp;$C2030&amp;"|"&amp;$F2030&amp;"|"&amp;$N2030&amp;"|"&amp;$R2030)</f>
        <v/>
      </c>
    </row>
    <row r="2031">
      <c r="A2031" s="11" t="n">
        <v>46136</v>
      </c>
      <c r="B2031" s="8" t="inlineStr">
        <is>
          <t>Sexta</t>
        </is>
      </c>
      <c r="C2031" s="7" t="inlineStr">
        <is>
          <t>CTS CONCEIÇÃO</t>
        </is>
      </c>
      <c r="D2031" s="7" t="inlineStr">
        <is>
          <t>LEANDRO</t>
        </is>
      </c>
      <c r="E2031" s="24" t="inlineStr">
        <is>
          <t xml:space="preserve">Carlos </t>
        </is>
      </c>
      <c r="F2031" s="25" t="inlineStr">
        <is>
          <t>transformação PV10</t>
        </is>
      </c>
      <c r="G2031" s="26" t="n">
        <v>10</v>
      </c>
      <c r="I2031" s="26" t="n">
        <v>10</v>
      </c>
      <c r="J2031" s="24" t="inlineStr">
        <is>
          <t>Transformação</t>
        </is>
      </c>
      <c r="K2031" s="24" t="inlineStr">
        <is>
          <t>Planejamento</t>
        </is>
      </c>
      <c r="L2031" s="17" t="inlineStr">
        <is>
          <t>PDS-Abril(2).docx</t>
        </is>
      </c>
      <c r="M2031">
        <f>IF($A2031="","",TEXT($A2031,"mmmm/yyyy"))</f>
        <v/>
      </c>
      <c r="P2031">
        <f>IFERROR(_xludf.XLOOKUP($N2031,Base_Enderecos!$A:$A,Base_Enderecos!$B:$B,""),"")</f>
        <v/>
      </c>
      <c r="Q2031">
        <f>IFERROR(_xludf.XLOOKUP($N2031,Base_Enderecos!$A:$A,Base_Enderecos!$C:$C,""),"")</f>
        <v/>
      </c>
      <c r="R2031">
        <f>IF(OR(ISNUMBER(SEARCH("HDD",$F2031)),ISNUMBER(SEARCH("MND",$F2031)),ISNUMBER(SEARCH("PEAD",$F2031)),ISNUMBER(SEARCH("Puxe",$J2031)),ISNUMBER(SEARCH("Apoio HDD",$F2031))),"MND",IF(OR(ISNUMBER(SEARCH("VCA",$F2031)),ISNUMBER(SEARCH("PVC",$F2031)),ISNUMBER(SEARCH("vca",$J2031)),ISNUMBER(SEARCH("Transformação",$J2031))),"VCA",IF(OR(ISNUMBER(SEARCH("crava",$F2031)),ISNUMBER(SEARCH("tubo cravado",$F2031)),ISNUMBER(SEARCH("shaft",$J2031)),ISNUMBER(SEARCH("concreto",$F2031))),"TUBO CRAVADO","")))</f>
        <v/>
      </c>
      <c r="T2031">
        <f>IF($A2031="","",TEXT($A2031,"yyyymm")&amp;"|"&amp;$C2031&amp;"|"&amp;$F2031&amp;"|"&amp;$N2031&amp;"|"&amp;$R2031)</f>
        <v/>
      </c>
    </row>
    <row r="2032">
      <c r="A2032" s="11" t="n">
        <v>46136</v>
      </c>
      <c r="B2032" s="8" t="inlineStr">
        <is>
          <t>Sexta</t>
        </is>
      </c>
      <c r="C2032" s="7" t="inlineStr">
        <is>
          <t>CTS CONCEIÇÃO</t>
        </is>
      </c>
      <c r="D2032" s="7" t="inlineStr">
        <is>
          <t>LEANDRO</t>
        </is>
      </c>
      <c r="E2032" s="24" t="inlineStr">
        <is>
          <t>Cidão</t>
        </is>
      </c>
      <c r="F2032" s="25" t="inlineStr">
        <is>
          <t>transformação PV10.1</t>
        </is>
      </c>
      <c r="G2032" s="24" t="inlineStr">
        <is>
          <t>10.1</t>
        </is>
      </c>
      <c r="I2032" s="24" t="inlineStr">
        <is>
          <t>10.1</t>
        </is>
      </c>
      <c r="J2032" s="24" t="inlineStr">
        <is>
          <t>Transformação</t>
        </is>
      </c>
      <c r="K2032" s="24" t="inlineStr">
        <is>
          <t>Planejamento</t>
        </is>
      </c>
      <c r="L2032" s="17" t="inlineStr">
        <is>
          <t>PDS-Abril(2).docx</t>
        </is>
      </c>
      <c r="M2032">
        <f>IF($A2032="","",TEXT($A2032,"mmmm/yyyy"))</f>
        <v/>
      </c>
      <c r="P2032">
        <f>IFERROR(_xludf.XLOOKUP($N2032,Base_Enderecos!$A:$A,Base_Enderecos!$B:$B,""),"")</f>
        <v/>
      </c>
      <c r="Q2032">
        <f>IFERROR(_xludf.XLOOKUP($N2032,Base_Enderecos!$A:$A,Base_Enderecos!$C:$C,""),"")</f>
        <v/>
      </c>
      <c r="R2032">
        <f>IF(OR(ISNUMBER(SEARCH("HDD",$F2032)),ISNUMBER(SEARCH("MND",$F2032)),ISNUMBER(SEARCH("PEAD",$F2032)),ISNUMBER(SEARCH("Puxe",$J2032)),ISNUMBER(SEARCH("Apoio HDD",$F2032))),"MND",IF(OR(ISNUMBER(SEARCH("VCA",$F2032)),ISNUMBER(SEARCH("PVC",$F2032)),ISNUMBER(SEARCH("vca",$J2032)),ISNUMBER(SEARCH("Transformação",$J2032))),"VCA",IF(OR(ISNUMBER(SEARCH("crava",$F2032)),ISNUMBER(SEARCH("tubo cravado",$F2032)),ISNUMBER(SEARCH("shaft",$J2032)),ISNUMBER(SEARCH("concreto",$F2032))),"TUBO CRAVADO","")))</f>
        <v/>
      </c>
      <c r="T2032">
        <f>IF($A2032="","",TEXT($A2032,"yyyymm")&amp;"|"&amp;$C2032&amp;"|"&amp;$F2032&amp;"|"&amp;$N2032&amp;"|"&amp;$R2032)</f>
        <v/>
      </c>
    </row>
    <row r="2033">
      <c r="A2033" s="11" t="n">
        <v>46136</v>
      </c>
      <c r="B2033" s="8" t="inlineStr">
        <is>
          <t>Sexta</t>
        </is>
      </c>
      <c r="C2033" s="7" t="inlineStr">
        <is>
          <t>CTS CONCEIÇÃO</t>
        </is>
      </c>
      <c r="D2033" s="7" t="inlineStr">
        <is>
          <t>LEANDRO</t>
        </is>
      </c>
      <c r="E2033" s="24" t="inlineStr">
        <is>
          <t>Sergio</t>
        </is>
      </c>
      <c r="F2033" s="25" t="inlineStr">
        <is>
          <t>transformação PV10.2</t>
        </is>
      </c>
      <c r="G2033" s="24" t="inlineStr">
        <is>
          <t>10.2</t>
        </is>
      </c>
      <c r="I2033" s="24" t="inlineStr">
        <is>
          <t>10.2</t>
        </is>
      </c>
      <c r="J2033" s="24" t="inlineStr">
        <is>
          <t>Transformação</t>
        </is>
      </c>
      <c r="K2033" s="24" t="inlineStr">
        <is>
          <t>Planejamento</t>
        </is>
      </c>
      <c r="L2033" s="17" t="inlineStr">
        <is>
          <t>PDS-Abril(2).docx</t>
        </is>
      </c>
      <c r="M2033">
        <f>IF($A2033="","",TEXT($A2033,"mmmm/yyyy"))</f>
        <v/>
      </c>
      <c r="P2033">
        <f>IFERROR(_xludf.XLOOKUP($N2033,Base_Enderecos!$A:$A,Base_Enderecos!$B:$B,""),"")</f>
        <v/>
      </c>
      <c r="Q2033">
        <f>IFERROR(_xludf.XLOOKUP($N2033,Base_Enderecos!$A:$A,Base_Enderecos!$C:$C,""),"")</f>
        <v/>
      </c>
      <c r="R2033">
        <f>IF(OR(ISNUMBER(SEARCH("HDD",$F2033)),ISNUMBER(SEARCH("MND",$F2033)),ISNUMBER(SEARCH("PEAD",$F2033)),ISNUMBER(SEARCH("Puxe",$J2033)),ISNUMBER(SEARCH("Apoio HDD",$F2033))),"MND",IF(OR(ISNUMBER(SEARCH("VCA",$F2033)),ISNUMBER(SEARCH("PVC",$F2033)),ISNUMBER(SEARCH("vca",$J2033)),ISNUMBER(SEARCH("Transformação",$J2033))),"VCA",IF(OR(ISNUMBER(SEARCH("crava",$F2033)),ISNUMBER(SEARCH("tubo cravado",$F2033)),ISNUMBER(SEARCH("shaft",$J2033)),ISNUMBER(SEARCH("concreto",$F2033))),"TUBO CRAVADO","")))</f>
        <v/>
      </c>
      <c r="T2033">
        <f>IF($A2033="","",TEXT($A2033,"yyyymm")&amp;"|"&amp;$C2033&amp;"|"&amp;$F2033&amp;"|"&amp;$N2033&amp;"|"&amp;$R2033)</f>
        <v/>
      </c>
    </row>
    <row r="2034">
      <c r="A2034" s="11" t="n">
        <v>46136</v>
      </c>
      <c r="B2034" s="8" t="inlineStr">
        <is>
          <t>Sexta</t>
        </is>
      </c>
      <c r="C2034" s="7" t="inlineStr">
        <is>
          <t xml:space="preserve">CTS Agua Vermelha M.D </t>
        </is>
      </c>
      <c r="D2034" s="7" t="inlineStr">
        <is>
          <t>FABIO</t>
        </is>
      </c>
      <c r="E2034" s="24" t="inlineStr">
        <is>
          <t>Marcelo</t>
        </is>
      </c>
      <c r="F2034" s="25" t="inlineStr">
        <is>
          <t>transformação PV12</t>
        </is>
      </c>
      <c r="G2034" s="24" t="n">
        <v>12</v>
      </c>
      <c r="I2034" s="24" t="n">
        <v>12</v>
      </c>
      <c r="J2034" s="24" t="inlineStr">
        <is>
          <t>Shaft</t>
        </is>
      </c>
      <c r="K2034" s="24" t="inlineStr">
        <is>
          <t>Planejamento</t>
        </is>
      </c>
      <c r="L2034" s="17" t="inlineStr">
        <is>
          <t>PDS-Abril(2).docx</t>
        </is>
      </c>
      <c r="M2034">
        <f>IF($A2034="","",TEXT($A2034,"mmmm/yyyy"))</f>
        <v/>
      </c>
      <c r="P2034">
        <f>IFERROR(_xludf.XLOOKUP($N2034,Base_Enderecos!$A:$A,Base_Enderecos!$B:$B,""),"")</f>
        <v/>
      </c>
      <c r="Q2034">
        <f>IFERROR(_xludf.XLOOKUP($N2034,Base_Enderecos!$A:$A,Base_Enderecos!$C:$C,""),"")</f>
        <v/>
      </c>
      <c r="R2034">
        <f>IF(OR(ISNUMBER(SEARCH("HDD",$F2034)),ISNUMBER(SEARCH("MND",$F2034)),ISNUMBER(SEARCH("PEAD",$F2034)),ISNUMBER(SEARCH("Puxe",$J2034)),ISNUMBER(SEARCH("Apoio HDD",$F2034))),"MND",IF(OR(ISNUMBER(SEARCH("VCA",$F2034)),ISNUMBER(SEARCH("PVC",$F2034)),ISNUMBER(SEARCH("vca",$J2034)),ISNUMBER(SEARCH("Transformação",$J2034))),"VCA",IF(OR(ISNUMBER(SEARCH("crava",$F2034)),ISNUMBER(SEARCH("tubo cravado",$F2034)),ISNUMBER(SEARCH("shaft",$J2034)),ISNUMBER(SEARCH("concreto",$F2034))),"TUBO CRAVADO","")))</f>
        <v/>
      </c>
      <c r="T2034">
        <f>IF($A2034="","",TEXT($A2034,"yyyymm")&amp;"|"&amp;$C2034&amp;"|"&amp;$F2034&amp;"|"&amp;$N2034&amp;"|"&amp;$R2034)</f>
        <v/>
      </c>
    </row>
    <row r="2035">
      <c r="A2035" s="11" t="n">
        <v>46136</v>
      </c>
      <c r="B2035" s="8" t="inlineStr">
        <is>
          <t>Sexta</t>
        </is>
      </c>
      <c r="C2035" s="7" t="inlineStr">
        <is>
          <t xml:space="preserve">CTS Agua Vermelha M.D </t>
        </is>
      </c>
      <c r="D2035" s="7" t="inlineStr">
        <is>
          <t>FABIO</t>
        </is>
      </c>
      <c r="E2035" s="24" t="inlineStr">
        <is>
          <t>Johnatham</t>
        </is>
      </c>
      <c r="F2035" s="25" t="inlineStr">
        <is>
          <t>transformação PV14</t>
        </is>
      </c>
      <c r="G2035" s="24" t="n">
        <v>14</v>
      </c>
      <c r="I2035" s="24" t="n">
        <v>14</v>
      </c>
      <c r="J2035" s="24" t="inlineStr">
        <is>
          <t>Shaft</t>
        </is>
      </c>
      <c r="K2035" s="24" t="inlineStr">
        <is>
          <t>Planejamento</t>
        </is>
      </c>
      <c r="L2035" s="17" t="inlineStr">
        <is>
          <t>PDS-Abril(2).docx</t>
        </is>
      </c>
      <c r="M2035">
        <f>IF($A2035="","",TEXT($A2035,"mmmm/yyyy"))</f>
        <v/>
      </c>
      <c r="P2035">
        <f>IFERROR(_xludf.XLOOKUP($N2035,Base_Enderecos!$A:$A,Base_Enderecos!$B:$B,""),"")</f>
        <v/>
      </c>
      <c r="Q2035">
        <f>IFERROR(_xludf.XLOOKUP($N2035,Base_Enderecos!$A:$A,Base_Enderecos!$C:$C,""),"")</f>
        <v/>
      </c>
      <c r="R2035">
        <f>IF(OR(ISNUMBER(SEARCH("HDD",$F2035)),ISNUMBER(SEARCH("MND",$F2035)),ISNUMBER(SEARCH("PEAD",$F2035)),ISNUMBER(SEARCH("Puxe",$J2035)),ISNUMBER(SEARCH("Apoio HDD",$F2035))),"MND",IF(OR(ISNUMBER(SEARCH("VCA",$F2035)),ISNUMBER(SEARCH("PVC",$F2035)),ISNUMBER(SEARCH("vca",$J2035)),ISNUMBER(SEARCH("Transformação",$J2035))),"VCA",IF(OR(ISNUMBER(SEARCH("crava",$F2035)),ISNUMBER(SEARCH("tubo cravado",$F2035)),ISNUMBER(SEARCH("shaft",$J2035)),ISNUMBER(SEARCH("concreto",$F2035))),"TUBO CRAVADO","")))</f>
        <v/>
      </c>
      <c r="T2035">
        <f>IF($A2035="","",TEXT($A2035,"yyyymm")&amp;"|"&amp;$C2035&amp;"|"&amp;$F2035&amp;"|"&amp;$N2035&amp;"|"&amp;$R2035)</f>
        <v/>
      </c>
    </row>
    <row r="2036">
      <c r="A2036" s="11" t="n">
        <v>46136</v>
      </c>
      <c r="B2036" s="8" t="inlineStr">
        <is>
          <t>Sexta</t>
        </is>
      </c>
      <c r="C2036" s="7" t="inlineStr">
        <is>
          <t xml:space="preserve">CTS Agua Vermelha M.D </t>
        </is>
      </c>
      <c r="D2036" s="7" t="inlineStr">
        <is>
          <t>FABIO</t>
        </is>
      </c>
      <c r="E2036" s="24" t="inlineStr">
        <is>
          <t>Antônio</t>
        </is>
      </c>
      <c r="F2036" s="25" t="inlineStr">
        <is>
          <t>transformação PV09</t>
        </is>
      </c>
      <c r="G2036" s="24" t="inlineStr">
        <is>
          <t>09</t>
        </is>
      </c>
      <c r="I2036" s="24" t="inlineStr">
        <is>
          <t>09</t>
        </is>
      </c>
      <c r="J2036" s="24" t="inlineStr">
        <is>
          <t>Shaft</t>
        </is>
      </c>
      <c r="K2036" s="24" t="inlineStr">
        <is>
          <t>Planejamento</t>
        </is>
      </c>
      <c r="L2036" s="17" t="inlineStr">
        <is>
          <t>PDS-Abril(2).docx</t>
        </is>
      </c>
      <c r="M2036">
        <f>IF($A2036="","",TEXT($A2036,"mmmm/yyyy"))</f>
        <v/>
      </c>
      <c r="P2036">
        <f>IFERROR(_xludf.XLOOKUP($N2036,Base_Enderecos!$A:$A,Base_Enderecos!$B:$B,""),"")</f>
        <v/>
      </c>
      <c r="Q2036">
        <f>IFERROR(_xludf.XLOOKUP($N2036,Base_Enderecos!$A:$A,Base_Enderecos!$C:$C,""),"")</f>
        <v/>
      </c>
      <c r="R2036">
        <f>IF(OR(ISNUMBER(SEARCH("HDD",$F2036)),ISNUMBER(SEARCH("MND",$F2036)),ISNUMBER(SEARCH("PEAD",$F2036)),ISNUMBER(SEARCH("Puxe",$J2036)),ISNUMBER(SEARCH("Apoio HDD",$F2036))),"MND",IF(OR(ISNUMBER(SEARCH("VCA",$F2036)),ISNUMBER(SEARCH("PVC",$F2036)),ISNUMBER(SEARCH("vca",$J2036)),ISNUMBER(SEARCH("Transformação",$J2036))),"VCA",IF(OR(ISNUMBER(SEARCH("crava",$F2036)),ISNUMBER(SEARCH("tubo cravado",$F2036)),ISNUMBER(SEARCH("shaft",$J2036)),ISNUMBER(SEARCH("concreto",$F2036))),"TUBO CRAVADO","")))</f>
        <v/>
      </c>
      <c r="T2036">
        <f>IF($A2036="","",TEXT($A2036,"yyyymm")&amp;"|"&amp;$C2036&amp;"|"&amp;$F2036&amp;"|"&amp;$N2036&amp;"|"&amp;$R2036)</f>
        <v/>
      </c>
    </row>
    <row r="2037">
      <c r="A2037" s="11" t="n">
        <v>46136</v>
      </c>
      <c r="B2037" s="8" t="inlineStr">
        <is>
          <t>Sexta</t>
        </is>
      </c>
      <c r="C2037" s="7" t="inlineStr">
        <is>
          <t xml:space="preserve">CTS Agua Vermelha M.D </t>
        </is>
      </c>
      <c r="D2037" s="7" t="inlineStr">
        <is>
          <t>FABIO</t>
        </is>
      </c>
      <c r="E2037" s="24" t="inlineStr">
        <is>
          <t>Cesar</t>
        </is>
      </c>
      <c r="F2037" s="25" t="inlineStr">
        <is>
          <t>transformação PV17</t>
        </is>
      </c>
      <c r="G2037" s="24" t="n">
        <v>17</v>
      </c>
      <c r="I2037" s="24" t="n">
        <v>17</v>
      </c>
      <c r="J2037" s="24" t="inlineStr">
        <is>
          <t>Shaft</t>
        </is>
      </c>
      <c r="K2037" s="24" t="inlineStr">
        <is>
          <t>Planejamento</t>
        </is>
      </c>
      <c r="L2037" s="17" t="inlineStr">
        <is>
          <t>PDS-Abril(2).docx</t>
        </is>
      </c>
      <c r="M2037">
        <f>IF($A2037="","",TEXT($A2037,"mmmm/yyyy"))</f>
        <v/>
      </c>
      <c r="P2037">
        <f>IFERROR(_xludf.XLOOKUP($N2037,Base_Enderecos!$A:$A,Base_Enderecos!$B:$B,""),"")</f>
        <v/>
      </c>
      <c r="Q2037">
        <f>IFERROR(_xludf.XLOOKUP($N2037,Base_Enderecos!$A:$A,Base_Enderecos!$C:$C,""),"")</f>
        <v/>
      </c>
      <c r="R2037">
        <f>IF(OR(ISNUMBER(SEARCH("HDD",$F2037)),ISNUMBER(SEARCH("MND",$F2037)),ISNUMBER(SEARCH("PEAD",$F2037)),ISNUMBER(SEARCH("Puxe",$J2037)),ISNUMBER(SEARCH("Apoio HDD",$F2037))),"MND",IF(OR(ISNUMBER(SEARCH("VCA",$F2037)),ISNUMBER(SEARCH("PVC",$F2037)),ISNUMBER(SEARCH("vca",$J2037)),ISNUMBER(SEARCH("Transformação",$J2037))),"VCA",IF(OR(ISNUMBER(SEARCH("crava",$F2037)),ISNUMBER(SEARCH("tubo cravado",$F2037)),ISNUMBER(SEARCH("shaft",$J2037)),ISNUMBER(SEARCH("concreto",$F2037))),"TUBO CRAVADO","")))</f>
        <v/>
      </c>
      <c r="T2037">
        <f>IF($A2037="","",TEXT($A2037,"yyyymm")&amp;"|"&amp;$C2037&amp;"|"&amp;$F2037&amp;"|"&amp;$N2037&amp;"|"&amp;$R2037)</f>
        <v/>
      </c>
    </row>
    <row r="2038">
      <c r="A2038" s="11" t="n">
        <v>46136</v>
      </c>
      <c r="B2038" s="8" t="inlineStr">
        <is>
          <t>Sexta</t>
        </is>
      </c>
      <c r="C2038" s="7" t="inlineStr">
        <is>
          <t>CTS Agua Vermelha M.E</t>
        </is>
      </c>
      <c r="D2038" s="7" t="inlineStr">
        <is>
          <t>VALMIR</t>
        </is>
      </c>
      <c r="E2038" s="24" t="inlineStr">
        <is>
          <t>wj</t>
        </is>
      </c>
      <c r="F2038" s="25" t="inlineStr">
        <is>
          <t>Piloto e Puxe entre o PVE05 ao PVE06</t>
        </is>
      </c>
      <c r="G2038" s="24" t="n">
        <v>5</v>
      </c>
      <c r="H2038" s="24" t="inlineStr">
        <is>
          <t>06</t>
        </is>
      </c>
      <c r="I2038" s="24" t="n">
        <v>5.6</v>
      </c>
      <c r="J2038" s="24" t="inlineStr">
        <is>
          <t>puxe</t>
        </is>
      </c>
      <c r="K2038" s="24" t="inlineStr">
        <is>
          <t>Planejamento</t>
        </is>
      </c>
      <c r="L2038" s="17" t="inlineStr">
        <is>
          <t>PDS-Abril(2).docx</t>
        </is>
      </c>
      <c r="M2038">
        <f>IF($A2038="","",TEXT($A2038,"mmmm/yyyy"))</f>
        <v/>
      </c>
      <c r="P2038">
        <f>IFERROR(_xludf.XLOOKUP($N2038,Base_Enderecos!$A:$A,Base_Enderecos!$B:$B,""),"")</f>
        <v/>
      </c>
      <c r="Q2038">
        <f>IFERROR(_xludf.XLOOKUP($N2038,Base_Enderecos!$A:$A,Base_Enderecos!$C:$C,""),"")</f>
        <v/>
      </c>
      <c r="R2038">
        <f>IF(OR(ISNUMBER(SEARCH("HDD",$F2038)),ISNUMBER(SEARCH("MND",$F2038)),ISNUMBER(SEARCH("PEAD",$F2038)),ISNUMBER(SEARCH("Puxe",$J2038)),ISNUMBER(SEARCH("Apoio HDD",$F2038))),"MND",IF(OR(ISNUMBER(SEARCH("VCA",$F2038)),ISNUMBER(SEARCH("PVC",$F2038)),ISNUMBER(SEARCH("vca",$J2038)),ISNUMBER(SEARCH("Transformação",$J2038))),"VCA",IF(OR(ISNUMBER(SEARCH("crava",$F2038)),ISNUMBER(SEARCH("tubo cravado",$F2038)),ISNUMBER(SEARCH("shaft",$J2038)),ISNUMBER(SEARCH("concreto",$F2038))),"TUBO CRAVADO","")))</f>
        <v/>
      </c>
      <c r="T2038">
        <f>IF($A2038="","",TEXT($A2038,"yyyymm")&amp;"|"&amp;$C2038&amp;"|"&amp;$F2038&amp;"|"&amp;$N2038&amp;"|"&amp;$R2038)</f>
        <v/>
      </c>
    </row>
    <row r="2039">
      <c r="A2039" s="11" t="n">
        <v>46136</v>
      </c>
      <c r="B2039" s="8" t="inlineStr">
        <is>
          <t>Sexta</t>
        </is>
      </c>
      <c r="C2039" s="7" t="inlineStr">
        <is>
          <t>CTS Agua Vermelha M.E</t>
        </is>
      </c>
      <c r="D2039" s="7" t="inlineStr">
        <is>
          <t>VALMIR</t>
        </is>
      </c>
      <c r="E2039" s="24" t="inlineStr">
        <is>
          <t>Ricardo</t>
        </is>
      </c>
      <c r="F2039" s="25" t="inlineStr">
        <is>
          <t>Apoio ao HDD</t>
        </is>
      </c>
      <c r="G2039" s="24" t="n">
        <v>5</v>
      </c>
      <c r="H2039" s="24" t="n">
        <v>6</v>
      </c>
      <c r="I2039" s="24" t="n">
        <v>5.6</v>
      </c>
      <c r="J2039" s="24" t="inlineStr">
        <is>
          <t>Apoio HDD</t>
        </is>
      </c>
      <c r="K2039" s="24" t="inlineStr">
        <is>
          <t>Apoio</t>
        </is>
      </c>
      <c r="L2039" s="17" t="inlineStr">
        <is>
          <t>PDS-Abril(2).docx</t>
        </is>
      </c>
      <c r="M2039">
        <f>IF($A2039="","",TEXT($A2039,"mmmm/yyyy"))</f>
        <v/>
      </c>
      <c r="P2039">
        <f>IFERROR(_xludf.XLOOKUP($N2039,Base_Enderecos!$A:$A,Base_Enderecos!$B:$B,""),"")</f>
        <v/>
      </c>
      <c r="Q2039">
        <f>IFERROR(_xludf.XLOOKUP($N2039,Base_Enderecos!$A:$A,Base_Enderecos!$C:$C,""),"")</f>
        <v/>
      </c>
      <c r="R2039">
        <f>IF(OR(ISNUMBER(SEARCH("HDD",$F2039)),ISNUMBER(SEARCH("MND",$F2039)),ISNUMBER(SEARCH("PEAD",$F2039)),ISNUMBER(SEARCH("Puxe",$J2039)),ISNUMBER(SEARCH("Apoio HDD",$F2039))),"MND",IF(OR(ISNUMBER(SEARCH("VCA",$F2039)),ISNUMBER(SEARCH("PVC",$F2039)),ISNUMBER(SEARCH("vca",$J2039)),ISNUMBER(SEARCH("Transformação",$J2039))),"VCA",IF(OR(ISNUMBER(SEARCH("crava",$F2039)),ISNUMBER(SEARCH("tubo cravado",$F2039)),ISNUMBER(SEARCH("shaft",$J2039)),ISNUMBER(SEARCH("concreto",$F2039))),"TUBO CRAVADO","")))</f>
        <v/>
      </c>
      <c r="T2039">
        <f>IF($A2039="","",TEXT($A2039,"yyyymm")&amp;"|"&amp;$C2039&amp;"|"&amp;$F2039&amp;"|"&amp;$N2039&amp;"|"&amp;$R2039)</f>
        <v/>
      </c>
    </row>
    <row r="2040">
      <c r="A2040" s="11" t="n">
        <v>46136</v>
      </c>
      <c r="B2040" s="8" t="inlineStr">
        <is>
          <t>Sexta</t>
        </is>
      </c>
      <c r="C2040" s="7" t="inlineStr">
        <is>
          <t>INT FERNANDO PACHECO JORDÃO</t>
        </is>
      </c>
      <c r="D2040" s="7" t="inlineStr">
        <is>
          <t>VALMIR</t>
        </is>
      </c>
      <c r="E2040" s="24" t="inlineStr">
        <is>
          <t>Edivando</t>
        </is>
      </c>
      <c r="F2040" s="25" t="inlineStr">
        <is>
          <t>transformação PV02</t>
        </is>
      </c>
      <c r="G2040" s="24" t="n">
        <v>2</v>
      </c>
      <c r="I2040" s="24" t="n">
        <v>2</v>
      </c>
      <c r="J2040" s="24" t="inlineStr">
        <is>
          <t>Transformação</t>
        </is>
      </c>
      <c r="K2040" s="24" t="inlineStr">
        <is>
          <t>Planejamento</t>
        </is>
      </c>
      <c r="L2040" s="17" t="inlineStr">
        <is>
          <t>PDS-Abril(2).docx</t>
        </is>
      </c>
      <c r="M2040">
        <f>IF($A2040="","",TEXT($A2040,"mmmm/yyyy"))</f>
        <v/>
      </c>
      <c r="P2040">
        <f>IFERROR(_xludf.XLOOKUP($N2040,Base_Enderecos!$A:$A,Base_Enderecos!$B:$B,""),"")</f>
        <v/>
      </c>
      <c r="Q2040">
        <f>IFERROR(_xludf.XLOOKUP($N2040,Base_Enderecos!$A:$A,Base_Enderecos!$C:$C,""),"")</f>
        <v/>
      </c>
      <c r="R2040">
        <f>IF(OR(ISNUMBER(SEARCH("HDD",$F2040)),ISNUMBER(SEARCH("MND",$F2040)),ISNUMBER(SEARCH("PEAD",$F2040)),ISNUMBER(SEARCH("Puxe",$J2040)),ISNUMBER(SEARCH("Apoio HDD",$F2040))),"MND",IF(OR(ISNUMBER(SEARCH("VCA",$F2040)),ISNUMBER(SEARCH("PVC",$F2040)),ISNUMBER(SEARCH("vca",$J2040)),ISNUMBER(SEARCH("Transformação",$J2040))),"VCA",IF(OR(ISNUMBER(SEARCH("crava",$F2040)),ISNUMBER(SEARCH("tubo cravado",$F2040)),ISNUMBER(SEARCH("shaft",$J2040)),ISNUMBER(SEARCH("concreto",$F2040))),"TUBO CRAVADO","")))</f>
        <v/>
      </c>
      <c r="T2040">
        <f>IF($A2040="","",TEXT($A2040,"yyyymm")&amp;"|"&amp;$C2040&amp;"|"&amp;$F2040&amp;"|"&amp;$N2040&amp;"|"&amp;$R2040)</f>
        <v/>
      </c>
    </row>
    <row r="2041">
      <c r="A2041" s="11" t="n">
        <v>46136</v>
      </c>
      <c r="B2041" s="8" t="inlineStr">
        <is>
          <t>Sexta</t>
        </is>
      </c>
      <c r="C2041" s="7" t="inlineStr">
        <is>
          <t>INT FERNANDO PACHECO JORDÃO</t>
        </is>
      </c>
      <c r="D2041" s="7" t="inlineStr">
        <is>
          <t>VALMIR</t>
        </is>
      </c>
      <c r="E2041" s="24" t="inlineStr">
        <is>
          <t>Valter</t>
        </is>
      </c>
      <c r="F2041" s="25" t="inlineStr">
        <is>
          <t>transformação PV01</t>
        </is>
      </c>
      <c r="G2041" s="24" t="n">
        <v>1</v>
      </c>
      <c r="I2041" s="24" t="n">
        <v>1</v>
      </c>
      <c r="J2041" s="24" t="inlineStr">
        <is>
          <t>Transformação</t>
        </is>
      </c>
      <c r="K2041" s="24" t="inlineStr">
        <is>
          <t>Planejamento</t>
        </is>
      </c>
      <c r="L2041" s="17" t="inlineStr">
        <is>
          <t>PDS-Abril(2).docx</t>
        </is>
      </c>
      <c r="M2041">
        <f>IF($A2041="","",TEXT($A2041,"mmmm/yyyy"))</f>
        <v/>
      </c>
      <c r="P2041">
        <f>IFERROR(_xludf.XLOOKUP($N2041,Base_Enderecos!$A:$A,Base_Enderecos!$B:$B,""),"")</f>
        <v/>
      </c>
      <c r="Q2041">
        <f>IFERROR(_xludf.XLOOKUP($N2041,Base_Enderecos!$A:$A,Base_Enderecos!$C:$C,""),"")</f>
        <v/>
      </c>
      <c r="R2041">
        <f>IF(OR(ISNUMBER(SEARCH("HDD",$F2041)),ISNUMBER(SEARCH("MND",$F2041)),ISNUMBER(SEARCH("PEAD",$F2041)),ISNUMBER(SEARCH("Puxe",$J2041)),ISNUMBER(SEARCH("Apoio HDD",$F2041))),"MND",IF(OR(ISNUMBER(SEARCH("VCA",$F2041)),ISNUMBER(SEARCH("PVC",$F2041)),ISNUMBER(SEARCH("vca",$J2041)),ISNUMBER(SEARCH("Transformação",$J2041))),"VCA",IF(OR(ISNUMBER(SEARCH("crava",$F2041)),ISNUMBER(SEARCH("tubo cravado",$F2041)),ISNUMBER(SEARCH("shaft",$J2041)),ISNUMBER(SEARCH("concreto",$F2041))),"TUBO CRAVADO","")))</f>
        <v/>
      </c>
      <c r="T2041">
        <f>IF($A2041="","",TEXT($A2041,"yyyymm")&amp;"|"&amp;$C2041&amp;"|"&amp;$F2041&amp;"|"&amp;$N2041&amp;"|"&amp;$R2041)</f>
        <v/>
      </c>
    </row>
    <row r="2042">
      <c r="A2042" s="11" t="n">
        <v>46136</v>
      </c>
      <c r="B2042" s="8" t="inlineStr">
        <is>
          <t>Sexta</t>
        </is>
      </c>
      <c r="C2042" s="7" t="inlineStr">
        <is>
          <t>CTS MAR DE CORAL</t>
        </is>
      </c>
      <c r="D2042" s="7" t="inlineStr">
        <is>
          <t>SILVESTRE</t>
        </is>
      </c>
      <c r="E2042" s="24" t="inlineStr">
        <is>
          <t>Goiania Drill</t>
        </is>
      </c>
      <c r="F2042" s="25" t="inlineStr">
        <is>
          <t>Piloto e Puxe entre o PV10.9 ao PVE</t>
        </is>
      </c>
      <c r="G2042" s="24" t="inlineStr">
        <is>
          <t>10.9</t>
        </is>
      </c>
      <c r="H2042" s="24" t="inlineStr">
        <is>
          <t>PVE</t>
        </is>
      </c>
      <c r="I2042" s="24" t="inlineStr">
        <is>
          <t>10.8,PVE</t>
        </is>
      </c>
      <c r="J2042" s="24" t="inlineStr">
        <is>
          <t>Puxe</t>
        </is>
      </c>
      <c r="K2042" s="24" t="inlineStr">
        <is>
          <t>Planejamento</t>
        </is>
      </c>
      <c r="L2042" s="17" t="inlineStr">
        <is>
          <t>PDS-Abril(2).docx</t>
        </is>
      </c>
      <c r="M2042">
        <f>IF($A2042="","",TEXT($A2042,"mmmm/yyyy"))</f>
        <v/>
      </c>
      <c r="P2042">
        <f>IFERROR(_xludf.XLOOKUP($N2042,Base_Enderecos!$A:$A,Base_Enderecos!$B:$B,""),"")</f>
        <v/>
      </c>
      <c r="Q2042">
        <f>IFERROR(_xludf.XLOOKUP($N2042,Base_Enderecos!$A:$A,Base_Enderecos!$C:$C,""),"")</f>
        <v/>
      </c>
      <c r="R2042">
        <f>IF(OR(ISNUMBER(SEARCH("HDD",$F2042)),ISNUMBER(SEARCH("MND",$F2042)),ISNUMBER(SEARCH("PEAD",$F2042)),ISNUMBER(SEARCH("Puxe",$J2042)),ISNUMBER(SEARCH("Apoio HDD",$F2042))),"MND",IF(OR(ISNUMBER(SEARCH("VCA",$F2042)),ISNUMBER(SEARCH("PVC",$F2042)),ISNUMBER(SEARCH("vca",$J2042)),ISNUMBER(SEARCH("Transformação",$J2042))),"VCA",IF(OR(ISNUMBER(SEARCH("crava",$F2042)),ISNUMBER(SEARCH("tubo cravado",$F2042)),ISNUMBER(SEARCH("shaft",$J2042)),ISNUMBER(SEARCH("concreto",$F2042))),"TUBO CRAVADO","")))</f>
        <v/>
      </c>
      <c r="T2042">
        <f>IF($A2042="","",TEXT($A2042,"yyyymm")&amp;"|"&amp;$C2042&amp;"|"&amp;$F2042&amp;"|"&amp;$N2042&amp;"|"&amp;$R2042)</f>
        <v/>
      </c>
    </row>
    <row r="2043">
      <c r="A2043" s="11" t="n">
        <v>46136</v>
      </c>
      <c r="B2043" s="8" t="inlineStr">
        <is>
          <t>Sexta</t>
        </is>
      </c>
      <c r="C2043" s="7" t="inlineStr">
        <is>
          <t>CTS MAR DE CORAL</t>
        </is>
      </c>
      <c r="D2043" s="7" t="inlineStr">
        <is>
          <t>SILVESTRE</t>
        </is>
      </c>
      <c r="E2043" s="24" t="inlineStr">
        <is>
          <t>Bruno</t>
        </is>
      </c>
      <c r="F2043" s="25" t="inlineStr">
        <is>
          <t>Apoio ao HDD</t>
        </is>
      </c>
      <c r="G2043" s="24" t="inlineStr">
        <is>
          <t>10.9</t>
        </is>
      </c>
      <c r="H2043" s="24" t="inlineStr">
        <is>
          <t>PVE</t>
        </is>
      </c>
      <c r="I2043" s="24" t="inlineStr">
        <is>
          <t>10.8,PVE</t>
        </is>
      </c>
      <c r="J2043" s="24" t="inlineStr">
        <is>
          <t>Apoio HDD</t>
        </is>
      </c>
      <c r="K2043" s="24" t="inlineStr">
        <is>
          <t>Apoio</t>
        </is>
      </c>
      <c r="L2043" s="17" t="inlineStr">
        <is>
          <t>PDS-Abril(2).docx</t>
        </is>
      </c>
      <c r="M2043">
        <f>IF($A2043="","",TEXT($A2043,"mmmm/yyyy"))</f>
        <v/>
      </c>
      <c r="P2043">
        <f>IFERROR(_xludf.XLOOKUP($N2043,Base_Enderecos!$A:$A,Base_Enderecos!$B:$B,""),"")</f>
        <v/>
      </c>
      <c r="Q2043">
        <f>IFERROR(_xludf.XLOOKUP($N2043,Base_Enderecos!$A:$A,Base_Enderecos!$C:$C,""),"")</f>
        <v/>
      </c>
      <c r="R2043">
        <f>IF(OR(ISNUMBER(SEARCH("HDD",$F2043)),ISNUMBER(SEARCH("MND",$F2043)),ISNUMBER(SEARCH("PEAD",$F2043)),ISNUMBER(SEARCH("Puxe",$J2043)),ISNUMBER(SEARCH("Apoio HDD",$F2043))),"MND",IF(OR(ISNUMBER(SEARCH("VCA",$F2043)),ISNUMBER(SEARCH("PVC",$F2043)),ISNUMBER(SEARCH("vca",$J2043)),ISNUMBER(SEARCH("Transformação",$J2043))),"VCA",IF(OR(ISNUMBER(SEARCH("crava",$F2043)),ISNUMBER(SEARCH("tubo cravado",$F2043)),ISNUMBER(SEARCH("shaft",$J2043)),ISNUMBER(SEARCH("concreto",$F2043))),"TUBO CRAVADO","")))</f>
        <v/>
      </c>
      <c r="T2043">
        <f>IF($A2043="","",TEXT($A2043,"yyyymm")&amp;"|"&amp;$C2043&amp;"|"&amp;$F2043&amp;"|"&amp;$N2043&amp;"|"&amp;$R2043)</f>
        <v/>
      </c>
    </row>
    <row r="2044">
      <c r="A2044" s="11" t="n">
        <v>46136</v>
      </c>
      <c r="B2044" s="8" t="inlineStr">
        <is>
          <t>Sexta</t>
        </is>
      </c>
      <c r="C2044" s="7" t="inlineStr">
        <is>
          <t>CTS MAR DE CORAL</t>
        </is>
      </c>
      <c r="D2044" s="7" t="inlineStr">
        <is>
          <t>SILVESTRE</t>
        </is>
      </c>
      <c r="E2044" s="24" t="inlineStr">
        <is>
          <t>Claudinei</t>
        </is>
      </c>
      <c r="F2044" s="25" t="inlineStr">
        <is>
          <t>vca e transformação de pvs entre pv5.10 ao pv 5.13</t>
        </is>
      </c>
      <c r="G2044" s="24" t="inlineStr">
        <is>
          <t>5.10</t>
        </is>
      </c>
      <c r="H2044" s="24" t="inlineStr">
        <is>
          <t>5.13</t>
        </is>
      </c>
      <c r="I2044" s="24" t="inlineStr">
        <is>
          <t>5.10,5.13</t>
        </is>
      </c>
      <c r="J2044" s="24" t="inlineStr">
        <is>
          <t>vca</t>
        </is>
      </c>
      <c r="K2044" s="24" t="inlineStr">
        <is>
          <t>Planejamento</t>
        </is>
      </c>
      <c r="L2044" s="17" t="inlineStr">
        <is>
          <t>PDS-Abril(2).docx</t>
        </is>
      </c>
      <c r="M2044">
        <f>IF($A2044="","",TEXT($A2044,"mmmm/yyyy"))</f>
        <v/>
      </c>
      <c r="P2044">
        <f>IFERROR(_xludf.XLOOKUP($N2044,Base_Enderecos!$A:$A,Base_Enderecos!$B:$B,""),"")</f>
        <v/>
      </c>
      <c r="Q2044">
        <f>IFERROR(_xludf.XLOOKUP($N2044,Base_Enderecos!$A:$A,Base_Enderecos!$C:$C,""),"")</f>
        <v/>
      </c>
      <c r="R2044">
        <f>IF(OR(ISNUMBER(SEARCH("HDD",$F2044)),ISNUMBER(SEARCH("MND",$F2044)),ISNUMBER(SEARCH("PEAD",$F2044)),ISNUMBER(SEARCH("Puxe",$J2044)),ISNUMBER(SEARCH("Apoio HDD",$F2044))),"MND",IF(OR(ISNUMBER(SEARCH("VCA",$F2044)),ISNUMBER(SEARCH("PVC",$F2044)),ISNUMBER(SEARCH("vca",$J2044)),ISNUMBER(SEARCH("Transformação",$J2044))),"VCA",IF(OR(ISNUMBER(SEARCH("crava",$F2044)),ISNUMBER(SEARCH("tubo cravado",$F2044)),ISNUMBER(SEARCH("shaft",$J2044)),ISNUMBER(SEARCH("concreto",$F2044))),"TUBO CRAVADO","")))</f>
        <v/>
      </c>
      <c r="T2044">
        <f>IF($A2044="","",TEXT($A2044,"yyyymm")&amp;"|"&amp;$C2044&amp;"|"&amp;$F2044&amp;"|"&amp;$N2044&amp;"|"&amp;$R2044)</f>
        <v/>
      </c>
    </row>
    <row r="2045">
      <c r="A2045" s="11" t="n">
        <v>46136</v>
      </c>
      <c r="B2045" s="8" t="inlineStr">
        <is>
          <t>Sexta</t>
        </is>
      </c>
      <c r="C2045" s="7" t="inlineStr">
        <is>
          <t>CTS LUIS BOTELHO MOURÃO</t>
        </is>
      </c>
      <c r="D2045" s="7" t="inlineStr">
        <is>
          <t>ROBSON</t>
        </is>
      </c>
      <c r="E2045" s="24" t="inlineStr">
        <is>
          <t>marcio</t>
        </is>
      </c>
      <c r="F2045" s="25" t="inlineStr">
        <is>
          <t>vca + interligação PV05</t>
        </is>
      </c>
      <c r="G2045" s="24" t="n">
        <v>5</v>
      </c>
      <c r="H2045" s="24" t="n"/>
      <c r="I2045" s="24" t="n">
        <v>5</v>
      </c>
      <c r="J2045" s="25" t="inlineStr">
        <is>
          <t>vca + interligação PV05</t>
        </is>
      </c>
      <c r="K2045" s="24" t="inlineStr">
        <is>
          <t>Planejamento</t>
        </is>
      </c>
      <c r="L2045" s="17" t="inlineStr">
        <is>
          <t>PDS-Abril(2).docx</t>
        </is>
      </c>
      <c r="M2045">
        <f>IF($A2045="","",TEXT($A2045,"mmmm/yyyy"))</f>
        <v/>
      </c>
      <c r="P2045">
        <f>IFERROR(_xludf.XLOOKUP($N2045,Base_Enderecos!$A:$A,Base_Enderecos!$B:$B,""),"")</f>
        <v/>
      </c>
      <c r="Q2045">
        <f>IFERROR(_xludf.XLOOKUP($N2045,Base_Enderecos!$A:$A,Base_Enderecos!$C:$C,""),"")</f>
        <v/>
      </c>
      <c r="R2045">
        <f>IF(OR(ISNUMBER(SEARCH("HDD",$F2045)),ISNUMBER(SEARCH("MND",$F2045)),ISNUMBER(SEARCH("PEAD",$F2045)),ISNUMBER(SEARCH("Puxe",$J2045)),ISNUMBER(SEARCH("Apoio HDD",$F2045))),"MND",IF(OR(ISNUMBER(SEARCH("VCA",$F2045)),ISNUMBER(SEARCH("PVC",$F2045)),ISNUMBER(SEARCH("vca",$J2045)),ISNUMBER(SEARCH("Transformação",$J2045))),"VCA",IF(OR(ISNUMBER(SEARCH("crava",$F2045)),ISNUMBER(SEARCH("tubo cravado",$F2045)),ISNUMBER(SEARCH("shaft",$J2045)),ISNUMBER(SEARCH("concreto",$F2045))),"TUBO CRAVADO","")))</f>
        <v/>
      </c>
      <c r="T2045">
        <f>IF($A2045="","",TEXT($A2045,"yyyymm")&amp;"|"&amp;$C2045&amp;"|"&amp;$F2045&amp;"|"&amp;$N2045&amp;"|"&amp;$R2045)</f>
        <v/>
      </c>
    </row>
    <row r="2046">
      <c r="A2046" s="11" t="n">
        <v>46136</v>
      </c>
      <c r="B2046" s="8" t="inlineStr">
        <is>
          <t>Sexta</t>
        </is>
      </c>
      <c r="C2046" s="7" t="inlineStr">
        <is>
          <t>CTS LUIS BOTELHO MOURÃO</t>
        </is>
      </c>
      <c r="D2046" s="7" t="inlineStr">
        <is>
          <t>ROBSON</t>
        </is>
      </c>
      <c r="E2046" s="24" t="inlineStr">
        <is>
          <t>Higor</t>
        </is>
      </c>
      <c r="F2046" s="25" t="inlineStr">
        <is>
          <t>transformação PV06</t>
        </is>
      </c>
      <c r="G2046" s="24" t="n">
        <v>6</v>
      </c>
      <c r="H2046" s="24" t="n"/>
      <c r="I2046" s="24" t="n">
        <v>6</v>
      </c>
      <c r="J2046" s="24" t="inlineStr">
        <is>
          <t>Transformação</t>
        </is>
      </c>
      <c r="K2046" s="24" t="inlineStr">
        <is>
          <t>Planejamento</t>
        </is>
      </c>
      <c r="L2046" s="17" t="inlineStr">
        <is>
          <t>PDS-Abril(2).docx</t>
        </is>
      </c>
      <c r="M2046">
        <f>IF($A2046="","",TEXT($A2046,"mmmm/yyyy"))</f>
        <v/>
      </c>
      <c r="P2046">
        <f>IFERROR(_xludf.XLOOKUP($N2046,Base_Enderecos!$A:$A,Base_Enderecos!$B:$B,""),"")</f>
        <v/>
      </c>
      <c r="Q2046">
        <f>IFERROR(_xludf.XLOOKUP($N2046,Base_Enderecos!$A:$A,Base_Enderecos!$C:$C,""),"")</f>
        <v/>
      </c>
      <c r="R2046">
        <f>IF(OR(ISNUMBER(SEARCH("HDD",$F2046)),ISNUMBER(SEARCH("MND",$F2046)),ISNUMBER(SEARCH("PEAD",$F2046)),ISNUMBER(SEARCH("Puxe",$J2046)),ISNUMBER(SEARCH("Apoio HDD",$F2046))),"MND",IF(OR(ISNUMBER(SEARCH("VCA",$F2046)),ISNUMBER(SEARCH("PVC",$F2046)),ISNUMBER(SEARCH("vca",$J2046)),ISNUMBER(SEARCH("Transformação",$J2046))),"VCA",IF(OR(ISNUMBER(SEARCH("crava",$F2046)),ISNUMBER(SEARCH("tubo cravado",$F2046)),ISNUMBER(SEARCH("shaft",$J2046)),ISNUMBER(SEARCH("concreto",$F2046))),"TUBO CRAVADO","")))</f>
        <v/>
      </c>
      <c r="T2046">
        <f>IF($A2046="","",TEXT($A2046,"yyyymm")&amp;"|"&amp;$C2046&amp;"|"&amp;$F2046&amp;"|"&amp;$N2046&amp;"|"&amp;$R2046)</f>
        <v/>
      </c>
    </row>
    <row r="2047">
      <c r="A2047" s="11" t="n">
        <v>46136</v>
      </c>
      <c r="B2047" s="8" t="inlineStr">
        <is>
          <t>Sexta</t>
        </is>
      </c>
      <c r="C2047" s="7" t="n"/>
      <c r="D2047" s="7" t="n"/>
      <c r="E2047" s="24" t="inlineStr">
        <is>
          <t>Botelho Mourão – Renasce</t>
        </is>
      </c>
      <c r="F2047" s="13" t="inlineStr">
        <is>
          <t>Apoio Vacal</t>
        </is>
      </c>
      <c r="G2047" s="24" t="n"/>
      <c r="H2047" s="24" t="n"/>
      <c r="I2047" s="24" t="n"/>
      <c r="J2047" s="27" t="inlineStr">
        <is>
          <t>Vacal</t>
        </is>
      </c>
      <c r="K2047" s="27" t="inlineStr">
        <is>
          <t>Apoio</t>
        </is>
      </c>
      <c r="L2047" s="17" t="inlineStr">
        <is>
          <t>PDS-Abril(2).docx</t>
        </is>
      </c>
      <c r="M2047">
        <f>IF($A2047="","",TEXT($A2047,"mmmm/yyyy"))</f>
        <v/>
      </c>
      <c r="P2047">
        <f>IFERROR(_xludf.XLOOKUP($N2047,Base_Enderecos!$A:$A,Base_Enderecos!$B:$B,""),"")</f>
        <v/>
      </c>
      <c r="Q2047">
        <f>IFERROR(_xludf.XLOOKUP($N2047,Base_Enderecos!$A:$A,Base_Enderecos!$C:$C,""),"")</f>
        <v/>
      </c>
      <c r="R2047">
        <f>IF(OR(ISNUMBER(SEARCH("HDD",$F2047)),ISNUMBER(SEARCH("MND",$F2047)),ISNUMBER(SEARCH("PEAD",$F2047)),ISNUMBER(SEARCH("Puxe",$J2047)),ISNUMBER(SEARCH("Apoio HDD",$F2047))),"MND",IF(OR(ISNUMBER(SEARCH("VCA",$F2047)),ISNUMBER(SEARCH("PVC",$F2047)),ISNUMBER(SEARCH("vca",$J2047)),ISNUMBER(SEARCH("Transformação",$J2047))),"VCA",IF(OR(ISNUMBER(SEARCH("crava",$F2047)),ISNUMBER(SEARCH("tubo cravado",$F2047)),ISNUMBER(SEARCH("shaft",$J2047)),ISNUMBER(SEARCH("concreto",$F2047))),"TUBO CRAVADO","")))</f>
        <v/>
      </c>
      <c r="T2047">
        <f>IF($A2047="","",TEXT($A2047,"yyyymm")&amp;"|"&amp;$C2047&amp;"|"&amp;$F2047&amp;"|"&amp;$N2047&amp;"|"&amp;$R2047)</f>
        <v/>
      </c>
    </row>
    <row r="2048">
      <c r="A2048" s="11" t="n">
        <v>46136</v>
      </c>
      <c r="B2048" s="8" t="inlineStr">
        <is>
          <t>Sexta</t>
        </is>
      </c>
      <c r="C2048" s="7" t="n"/>
      <c r="D2048" s="7" t="n"/>
      <c r="E2048" s="27" t="inlineStr">
        <is>
          <t>Botelho Mourão – Renasce</t>
        </is>
      </c>
      <c r="F2048" s="13" t="inlineStr">
        <is>
          <t>Apoio Vacal</t>
        </is>
      </c>
      <c r="J2048" s="27" t="inlineStr">
        <is>
          <t>Vacal</t>
        </is>
      </c>
      <c r="K2048" s="27" t="inlineStr">
        <is>
          <t>Apoio</t>
        </is>
      </c>
      <c r="L2048" s="17" t="inlineStr">
        <is>
          <t>PDS-Abril(2).docx</t>
        </is>
      </c>
      <c r="M2048">
        <f>IF($A2048="","",TEXT($A2048,"mmmm/yyyy"))</f>
        <v/>
      </c>
      <c r="P2048">
        <f>IFERROR(_xludf.XLOOKUP($N2048,Base_Enderecos!$A:$A,Base_Enderecos!$B:$B,""),"")</f>
        <v/>
      </c>
      <c r="Q2048">
        <f>IFERROR(_xludf.XLOOKUP($N2048,Base_Enderecos!$A:$A,Base_Enderecos!$C:$C,""),"")</f>
        <v/>
      </c>
      <c r="R2048">
        <f>IF(OR(ISNUMBER(SEARCH("HDD",$F2048)),ISNUMBER(SEARCH("MND",$F2048)),ISNUMBER(SEARCH("PEAD",$F2048)),ISNUMBER(SEARCH("Puxe",$J2048)),ISNUMBER(SEARCH("Apoio HDD",$F2048))),"MND",IF(OR(ISNUMBER(SEARCH("VCA",$F2048)),ISNUMBER(SEARCH("PVC",$F2048)),ISNUMBER(SEARCH("vca",$J2048)),ISNUMBER(SEARCH("Transformação",$J2048))),"VCA",IF(OR(ISNUMBER(SEARCH("crava",$F2048)),ISNUMBER(SEARCH("tubo cravado",$F2048)),ISNUMBER(SEARCH("shaft",$J2048)),ISNUMBER(SEARCH("concreto",$F2048))),"TUBO CRAVADO","")))</f>
        <v/>
      </c>
      <c r="T2048">
        <f>IF($A2048="","",TEXT($A2048,"yyyymm")&amp;"|"&amp;$C2048&amp;"|"&amp;$F2048&amp;"|"&amp;$N2048&amp;"|"&amp;$R2048)</f>
        <v/>
      </c>
    </row>
    <row r="2049">
      <c r="A2049" s="11" t="n">
        <v>46136</v>
      </c>
      <c r="B2049" s="8" t="inlineStr">
        <is>
          <t>Sexta</t>
        </is>
      </c>
      <c r="C2049" s="7" t="n"/>
      <c r="D2049" s="7" t="n"/>
      <c r="E2049" s="27" t="inlineStr">
        <is>
          <t>Botelho Mourão – Henko</t>
        </is>
      </c>
      <c r="F2049" s="13" t="inlineStr">
        <is>
          <t>Apoio Vacal</t>
        </is>
      </c>
      <c r="J2049" s="27" t="inlineStr">
        <is>
          <t>Vacal</t>
        </is>
      </c>
      <c r="K2049" s="27" t="inlineStr">
        <is>
          <t>Apoio</t>
        </is>
      </c>
      <c r="L2049" s="17" t="inlineStr">
        <is>
          <t>PDS-Abril(2).docx</t>
        </is>
      </c>
      <c r="M2049">
        <f>IF($A2049="","",TEXT($A2049,"mmmm/yyyy"))</f>
        <v/>
      </c>
      <c r="P2049">
        <f>IFERROR(_xludf.XLOOKUP($N2049,Base_Enderecos!$A:$A,Base_Enderecos!$B:$B,""),"")</f>
        <v/>
      </c>
      <c r="Q2049">
        <f>IFERROR(_xludf.XLOOKUP($N2049,Base_Enderecos!$A:$A,Base_Enderecos!$C:$C,""),"")</f>
        <v/>
      </c>
      <c r="R2049">
        <f>IF(OR(ISNUMBER(SEARCH("HDD",$F2049)),ISNUMBER(SEARCH("MND",$F2049)),ISNUMBER(SEARCH("PEAD",$F2049)),ISNUMBER(SEARCH("Puxe",$J2049)),ISNUMBER(SEARCH("Apoio HDD",$F2049))),"MND",IF(OR(ISNUMBER(SEARCH("VCA",$F2049)),ISNUMBER(SEARCH("PVC",$F2049)),ISNUMBER(SEARCH("vca",$J2049)),ISNUMBER(SEARCH("Transformação",$J2049))),"VCA",IF(OR(ISNUMBER(SEARCH("crava",$F2049)),ISNUMBER(SEARCH("tubo cravado",$F2049)),ISNUMBER(SEARCH("shaft",$J2049)),ISNUMBER(SEARCH("concreto",$F2049))),"TUBO CRAVADO","")))</f>
        <v/>
      </c>
      <c r="T2049">
        <f>IF($A2049="","",TEXT($A2049,"yyyymm")&amp;"|"&amp;$C2049&amp;"|"&amp;$F2049&amp;"|"&amp;$N2049&amp;"|"&amp;$R2049)</f>
        <v/>
      </c>
    </row>
    <row r="2050">
      <c r="A2050" s="11" t="n">
        <v>46136</v>
      </c>
      <c r="B2050" s="8" t="inlineStr">
        <is>
          <t>Sexta</t>
        </is>
      </c>
      <c r="C2050" s="7" t="n"/>
      <c r="D2050" s="7" t="n"/>
      <c r="E2050" s="27" t="inlineStr">
        <is>
          <t>Conceição – Renasce</t>
        </is>
      </c>
      <c r="F2050" s="13" t="inlineStr">
        <is>
          <t>Apoio Vacal</t>
        </is>
      </c>
      <c r="J2050" s="27" t="inlineStr">
        <is>
          <t>Vacal</t>
        </is>
      </c>
      <c r="K2050" s="27" t="inlineStr">
        <is>
          <t>Apoio</t>
        </is>
      </c>
      <c r="L2050" s="17" t="inlineStr">
        <is>
          <t>PDS-Abril(2).docx</t>
        </is>
      </c>
      <c r="M2050">
        <f>IF($A2050="","",TEXT($A2050,"mmmm/yyyy"))</f>
        <v/>
      </c>
      <c r="P2050">
        <f>IFERROR(_xludf.XLOOKUP($N2050,Base_Enderecos!$A:$A,Base_Enderecos!$B:$B,""),"")</f>
        <v/>
      </c>
      <c r="Q2050">
        <f>IFERROR(_xludf.XLOOKUP($N2050,Base_Enderecos!$A:$A,Base_Enderecos!$C:$C,""),"")</f>
        <v/>
      </c>
      <c r="R2050">
        <f>IF(OR(ISNUMBER(SEARCH("HDD",$F2050)),ISNUMBER(SEARCH("MND",$F2050)),ISNUMBER(SEARCH("PEAD",$F2050)),ISNUMBER(SEARCH("Puxe",$J2050)),ISNUMBER(SEARCH("Apoio HDD",$F2050))),"MND",IF(OR(ISNUMBER(SEARCH("VCA",$F2050)),ISNUMBER(SEARCH("PVC",$F2050)),ISNUMBER(SEARCH("vca",$J2050)),ISNUMBER(SEARCH("Transformação",$J2050))),"VCA",IF(OR(ISNUMBER(SEARCH("crava",$F2050)),ISNUMBER(SEARCH("tubo cravado",$F2050)),ISNUMBER(SEARCH("shaft",$J2050)),ISNUMBER(SEARCH("concreto",$F2050))),"TUBO CRAVADO","")))</f>
        <v/>
      </c>
      <c r="T2050">
        <f>IF($A2050="","",TEXT($A2050,"yyyymm")&amp;"|"&amp;$C2050&amp;"|"&amp;$F2050&amp;"|"&amp;$N2050&amp;"|"&amp;$R2050)</f>
        <v/>
      </c>
    </row>
    <row r="2051">
      <c r="A2051" s="11" t="n">
        <v>46136</v>
      </c>
      <c r="B2051" s="8" t="inlineStr">
        <is>
          <t>Sexta</t>
        </is>
      </c>
      <c r="C2051" s="7" t="n"/>
      <c r="D2051" s="7" t="n"/>
      <c r="E2051" s="27" t="inlineStr">
        <is>
          <t>Conceição – Henko</t>
        </is>
      </c>
      <c r="F2051" s="13" t="inlineStr">
        <is>
          <t>Apoio Vacal</t>
        </is>
      </c>
      <c r="J2051" s="27" t="inlineStr">
        <is>
          <t>Vacal</t>
        </is>
      </c>
      <c r="K2051" s="27" t="inlineStr">
        <is>
          <t>Apoio</t>
        </is>
      </c>
      <c r="L2051" s="17" t="inlineStr">
        <is>
          <t>PDS-Abril(2).docx</t>
        </is>
      </c>
      <c r="M2051">
        <f>IF($A2051="","",TEXT($A2051,"mmmm/yyyy"))</f>
        <v/>
      </c>
      <c r="P2051">
        <f>IFERROR(_xludf.XLOOKUP($N2051,Base_Enderecos!$A:$A,Base_Enderecos!$B:$B,""),"")</f>
        <v/>
      </c>
      <c r="Q2051">
        <f>IFERROR(_xludf.XLOOKUP($N2051,Base_Enderecos!$A:$A,Base_Enderecos!$C:$C,""),"")</f>
        <v/>
      </c>
      <c r="R2051">
        <f>IF(OR(ISNUMBER(SEARCH("HDD",$F2051)),ISNUMBER(SEARCH("MND",$F2051)),ISNUMBER(SEARCH("PEAD",$F2051)),ISNUMBER(SEARCH("Puxe",$J2051)),ISNUMBER(SEARCH("Apoio HDD",$F2051))),"MND",IF(OR(ISNUMBER(SEARCH("VCA",$F2051)),ISNUMBER(SEARCH("PVC",$F2051)),ISNUMBER(SEARCH("vca",$J2051)),ISNUMBER(SEARCH("Transformação",$J2051))),"VCA",IF(OR(ISNUMBER(SEARCH("crava",$F2051)),ISNUMBER(SEARCH("tubo cravado",$F2051)),ISNUMBER(SEARCH("shaft",$J2051)),ISNUMBER(SEARCH("concreto",$F2051))),"TUBO CRAVADO","")))</f>
        <v/>
      </c>
      <c r="T2051">
        <f>IF($A2051="","",TEXT($A2051,"yyyymm")&amp;"|"&amp;$C2051&amp;"|"&amp;$F2051&amp;"|"&amp;$N2051&amp;"|"&amp;$R2051)</f>
        <v/>
      </c>
    </row>
    <row r="2052">
      <c r="A2052" s="11" t="n">
        <v>46136</v>
      </c>
      <c r="B2052" s="8" t="inlineStr">
        <is>
          <t>Sexta</t>
        </is>
      </c>
      <c r="C2052" s="7" t="n"/>
      <c r="D2052" s="7" t="n"/>
      <c r="E2052" s="27" t="inlineStr">
        <is>
          <t>Água Vermelha – Renasce</t>
        </is>
      </c>
      <c r="F2052" s="13" t="inlineStr">
        <is>
          <t>Apoio Vacal</t>
        </is>
      </c>
      <c r="J2052" s="27" t="inlineStr">
        <is>
          <t>Vacal</t>
        </is>
      </c>
      <c r="K2052" s="27" t="inlineStr">
        <is>
          <t>Apoio</t>
        </is>
      </c>
      <c r="L2052" s="17" t="inlineStr">
        <is>
          <t>PDS-Abril(2).docx</t>
        </is>
      </c>
      <c r="M2052">
        <f>IF($A2052="","",TEXT($A2052,"mmmm/yyyy"))</f>
        <v/>
      </c>
      <c r="P2052">
        <f>IFERROR(_xludf.XLOOKUP($N2052,Base_Enderecos!$A:$A,Base_Enderecos!$B:$B,""),"")</f>
        <v/>
      </c>
      <c r="Q2052">
        <f>IFERROR(_xludf.XLOOKUP($N2052,Base_Enderecos!$A:$A,Base_Enderecos!$C:$C,""),"")</f>
        <v/>
      </c>
      <c r="R2052">
        <f>IF(OR(ISNUMBER(SEARCH("HDD",$F2052)),ISNUMBER(SEARCH("MND",$F2052)),ISNUMBER(SEARCH("PEAD",$F2052)),ISNUMBER(SEARCH("Puxe",$J2052)),ISNUMBER(SEARCH("Apoio HDD",$F2052))),"MND",IF(OR(ISNUMBER(SEARCH("VCA",$F2052)),ISNUMBER(SEARCH("PVC",$F2052)),ISNUMBER(SEARCH("vca",$J2052)),ISNUMBER(SEARCH("Transformação",$J2052))),"VCA",IF(OR(ISNUMBER(SEARCH("crava",$F2052)),ISNUMBER(SEARCH("tubo cravado",$F2052)),ISNUMBER(SEARCH("shaft",$J2052)),ISNUMBER(SEARCH("concreto",$F2052))),"TUBO CRAVADO","")))</f>
        <v/>
      </c>
      <c r="T2052">
        <f>IF($A2052="","",TEXT($A2052,"yyyymm")&amp;"|"&amp;$C2052&amp;"|"&amp;$F2052&amp;"|"&amp;$N2052&amp;"|"&amp;$R2052)</f>
        <v/>
      </c>
    </row>
    <row r="2053">
      <c r="A2053" s="11" t="n">
        <v>46136</v>
      </c>
      <c r="B2053" s="8" t="inlineStr">
        <is>
          <t>Sexta</t>
        </is>
      </c>
      <c r="C2053" s="7" t="n"/>
      <c r="D2053" s="7" t="n"/>
      <c r="E2053" s="27" t="inlineStr">
        <is>
          <t>Água Vermelha – Hidrosol</t>
        </is>
      </c>
      <c r="F2053" s="13" t="inlineStr">
        <is>
          <t>Apoio Vacal</t>
        </is>
      </c>
      <c r="J2053" s="27" t="inlineStr">
        <is>
          <t>Vacal</t>
        </is>
      </c>
      <c r="K2053" s="27" t="inlineStr">
        <is>
          <t>Apoio</t>
        </is>
      </c>
      <c r="L2053" s="17" t="inlineStr">
        <is>
          <t>PDS-Abril(2).docx</t>
        </is>
      </c>
      <c r="M2053">
        <f>IF($A2053="","",TEXT($A2053,"mmmm/yyyy"))</f>
        <v/>
      </c>
      <c r="P2053">
        <f>IFERROR(_xludf.XLOOKUP($N2053,Base_Enderecos!$A:$A,Base_Enderecos!$B:$B,""),"")</f>
        <v/>
      </c>
      <c r="Q2053">
        <f>IFERROR(_xludf.XLOOKUP($N2053,Base_Enderecos!$A:$A,Base_Enderecos!$C:$C,""),"")</f>
        <v/>
      </c>
      <c r="R2053">
        <f>IF(OR(ISNUMBER(SEARCH("HDD",$F2053)),ISNUMBER(SEARCH("MND",$F2053)),ISNUMBER(SEARCH("PEAD",$F2053)),ISNUMBER(SEARCH("Puxe",$J2053)),ISNUMBER(SEARCH("Apoio HDD",$F2053))),"MND",IF(OR(ISNUMBER(SEARCH("VCA",$F2053)),ISNUMBER(SEARCH("PVC",$F2053)),ISNUMBER(SEARCH("vca",$J2053)),ISNUMBER(SEARCH("Transformação",$J2053))),"VCA",IF(OR(ISNUMBER(SEARCH("crava",$F2053)),ISNUMBER(SEARCH("tubo cravado",$F2053)),ISNUMBER(SEARCH("shaft",$J2053)),ISNUMBER(SEARCH("concreto",$F2053))),"TUBO CRAVADO","")))</f>
        <v/>
      </c>
      <c r="T2053">
        <f>IF($A2053="","",TEXT($A2053,"yyyymm")&amp;"|"&amp;$C2053&amp;"|"&amp;$F2053&amp;"|"&amp;$N2053&amp;"|"&amp;$R2053)</f>
        <v/>
      </c>
    </row>
    <row r="2054" ht="11.55" customHeight="1">
      <c r="A2054" s="11" t="n">
        <v>46136</v>
      </c>
      <c r="B2054" s="8" t="inlineStr">
        <is>
          <t>Sexta</t>
        </is>
      </c>
      <c r="C2054" s="7" t="inlineStr">
        <is>
          <t>Guindauto</t>
        </is>
      </c>
      <c r="D2054" s="7" t="n"/>
      <c r="E2054" s="7" t="inlineStr">
        <is>
          <t>Marcio</t>
        </is>
      </c>
      <c r="F2054" s="13" t="inlineStr">
        <is>
          <t>Marcio - Apoio as equipes</t>
        </is>
      </c>
      <c r="G2054" s="7" t="n"/>
      <c r="H2054" s="7" t="n"/>
      <c r="I2054" s="7" t="n"/>
      <c r="J2054" s="7" t="inlineStr">
        <is>
          <t>Guindauto</t>
        </is>
      </c>
      <c r="K2054" s="7" t="inlineStr">
        <is>
          <t>Apoio</t>
        </is>
      </c>
      <c r="L2054" s="16" t="inlineStr">
        <is>
          <t>PDS-Abril(2).docx</t>
        </is>
      </c>
      <c r="M2054">
        <f>IF($A2054="","",TEXT($A2054,"mmmm/yyyy"))</f>
        <v/>
      </c>
      <c r="P2054">
        <f>IFERROR(_xludf.XLOOKUP($N2054,Base_Enderecos!$A:$A,Base_Enderecos!$B:$B,""),"")</f>
        <v/>
      </c>
      <c r="Q2054">
        <f>IFERROR(_xludf.XLOOKUP($N2054,Base_Enderecos!$A:$A,Base_Enderecos!$C:$C,""),"")</f>
        <v/>
      </c>
      <c r="R2054">
        <f>IF(OR(ISNUMBER(SEARCH("HDD",$F2054)),ISNUMBER(SEARCH("MND",$F2054)),ISNUMBER(SEARCH("PEAD",$F2054)),ISNUMBER(SEARCH("Puxe",$J2054)),ISNUMBER(SEARCH("Apoio HDD",$F2054))),"MND",IF(OR(ISNUMBER(SEARCH("VCA",$F2054)),ISNUMBER(SEARCH("PVC",$F2054)),ISNUMBER(SEARCH("vca",$J2054)),ISNUMBER(SEARCH("Transformação",$J2054))),"VCA",IF(OR(ISNUMBER(SEARCH("crava",$F2054)),ISNUMBER(SEARCH("tubo cravado",$F2054)),ISNUMBER(SEARCH("shaft",$J2054)),ISNUMBER(SEARCH("concreto",$F2054))),"TUBO CRAVADO","")))</f>
        <v/>
      </c>
      <c r="T2054">
        <f>IF($A2054="","",TEXT($A2054,"yyyymm")&amp;"|"&amp;$C2054&amp;"|"&amp;$F2054&amp;"|"&amp;$N2054&amp;"|"&amp;$R2054)</f>
        <v/>
      </c>
    </row>
    <row r="2055">
      <c r="A2055" s="11" t="n">
        <v>46139</v>
      </c>
      <c r="B2055" s="8" t="inlineStr">
        <is>
          <t>Segunda</t>
        </is>
      </c>
      <c r="C2055" s="7" t="n"/>
      <c r="D2055" s="7" t="n"/>
      <c r="E2055" s="24" t="inlineStr">
        <is>
          <t>Botelho Mourão – Renasce</t>
        </is>
      </c>
      <c r="F2055" s="13" t="inlineStr">
        <is>
          <t>Apoio Vacal</t>
        </is>
      </c>
      <c r="G2055" s="24" t="n"/>
      <c r="H2055" s="24" t="n"/>
      <c r="I2055" s="24" t="n"/>
      <c r="J2055" s="27" t="inlineStr">
        <is>
          <t>Vacal</t>
        </is>
      </c>
      <c r="K2055" s="27" t="inlineStr">
        <is>
          <t>Apoio</t>
        </is>
      </c>
      <c r="L2055" s="17" t="inlineStr">
        <is>
          <t>PDS-Abril(2).docx</t>
        </is>
      </c>
      <c r="M2055">
        <f>IF($A2055="","",TEXT($A2055,"mmmm/yyyy"))</f>
        <v/>
      </c>
      <c r="P2055">
        <f>IFERROR(_xludf.XLOOKUP($N2055,Base_Enderecos!$A:$A,Base_Enderecos!$B:$B,""),"")</f>
        <v/>
      </c>
      <c r="Q2055">
        <f>IFERROR(_xludf.XLOOKUP($N2055,Base_Enderecos!$A:$A,Base_Enderecos!$C:$C,""),"")</f>
        <v/>
      </c>
      <c r="R2055">
        <f>IF(OR(ISNUMBER(SEARCH("HDD",$F2055)),ISNUMBER(SEARCH("MND",$F2055)),ISNUMBER(SEARCH("PEAD",$F2055)),ISNUMBER(SEARCH("Puxe",$J2055)),ISNUMBER(SEARCH("Apoio HDD",$F2055))),"MND",IF(OR(ISNUMBER(SEARCH("VCA",$F2055)),ISNUMBER(SEARCH("PVC",$F2055)),ISNUMBER(SEARCH("vca",$J2055)),ISNUMBER(SEARCH("Transformação",$J2055))),"VCA",IF(OR(ISNUMBER(SEARCH("crava",$F2055)),ISNUMBER(SEARCH("tubo cravado",$F2055)),ISNUMBER(SEARCH("shaft",$J2055)),ISNUMBER(SEARCH("concreto",$F2055))),"TUBO CRAVADO","")))</f>
        <v/>
      </c>
      <c r="T2055">
        <f>IF($A2055="","",TEXT($A2055,"yyyymm")&amp;"|"&amp;$C2055&amp;"|"&amp;$F2055&amp;"|"&amp;$N2055&amp;"|"&amp;$R2055)</f>
        <v/>
      </c>
    </row>
    <row r="2056">
      <c r="A2056" s="11" t="n">
        <v>46139</v>
      </c>
      <c r="B2056" s="8" t="inlineStr">
        <is>
          <t>Segunda</t>
        </is>
      </c>
      <c r="C2056" s="7" t="n"/>
      <c r="D2056" s="7" t="n"/>
      <c r="E2056" s="27" t="inlineStr">
        <is>
          <t>Botelho Mourão – Renasce</t>
        </is>
      </c>
      <c r="F2056" s="13" t="inlineStr">
        <is>
          <t>Apoio Vacal</t>
        </is>
      </c>
      <c r="J2056" s="27" t="inlineStr">
        <is>
          <t>Vacal</t>
        </is>
      </c>
      <c r="K2056" s="27" t="inlineStr">
        <is>
          <t>Apoio</t>
        </is>
      </c>
      <c r="L2056" s="17" t="inlineStr">
        <is>
          <t>PDS-Abril(2).docx</t>
        </is>
      </c>
      <c r="M2056">
        <f>IF($A2056="","",TEXT($A2056,"mmmm/yyyy"))</f>
        <v/>
      </c>
      <c r="P2056">
        <f>IFERROR(_xludf.XLOOKUP($N2056,Base_Enderecos!$A:$A,Base_Enderecos!$B:$B,""),"")</f>
        <v/>
      </c>
      <c r="Q2056">
        <f>IFERROR(_xludf.XLOOKUP($N2056,Base_Enderecos!$A:$A,Base_Enderecos!$C:$C,""),"")</f>
        <v/>
      </c>
      <c r="R2056">
        <f>IF(OR(ISNUMBER(SEARCH("HDD",$F2056)),ISNUMBER(SEARCH("MND",$F2056)),ISNUMBER(SEARCH("PEAD",$F2056)),ISNUMBER(SEARCH("Puxe",$J2056)),ISNUMBER(SEARCH("Apoio HDD",$F2056))),"MND",IF(OR(ISNUMBER(SEARCH("VCA",$F2056)),ISNUMBER(SEARCH("PVC",$F2056)),ISNUMBER(SEARCH("vca",$J2056)),ISNUMBER(SEARCH("Transformação",$J2056))),"VCA",IF(OR(ISNUMBER(SEARCH("crava",$F2056)),ISNUMBER(SEARCH("tubo cravado",$F2056)),ISNUMBER(SEARCH("shaft",$J2056)),ISNUMBER(SEARCH("concreto",$F2056))),"TUBO CRAVADO","")))</f>
        <v/>
      </c>
      <c r="T2056">
        <f>IF($A2056="","",TEXT($A2056,"yyyymm")&amp;"|"&amp;$C2056&amp;"|"&amp;$F2056&amp;"|"&amp;$N2056&amp;"|"&amp;$R2056)</f>
        <v/>
      </c>
    </row>
    <row r="2057">
      <c r="A2057" s="11" t="n">
        <v>46139</v>
      </c>
      <c r="B2057" s="8" t="inlineStr">
        <is>
          <t>Segunda</t>
        </is>
      </c>
      <c r="C2057" s="7" t="n"/>
      <c r="D2057" s="7" t="n"/>
      <c r="E2057" s="27" t="inlineStr">
        <is>
          <t>Água Vermelha – Henko</t>
        </is>
      </c>
      <c r="F2057" s="13" t="inlineStr">
        <is>
          <t>Apoio Vacal</t>
        </is>
      </c>
      <c r="J2057" s="27" t="inlineStr">
        <is>
          <t>Vacal</t>
        </is>
      </c>
      <c r="K2057" s="27" t="inlineStr">
        <is>
          <t>Apoio</t>
        </is>
      </c>
      <c r="L2057" s="17" t="inlineStr">
        <is>
          <t>PDS-Abril(2).docx</t>
        </is>
      </c>
      <c r="M2057">
        <f>IF($A2057="","",TEXT($A2057,"mmmm/yyyy"))</f>
        <v/>
      </c>
      <c r="P2057">
        <f>IFERROR(_xludf.XLOOKUP($N2057,Base_Enderecos!$A:$A,Base_Enderecos!$B:$B,""),"")</f>
        <v/>
      </c>
      <c r="Q2057">
        <f>IFERROR(_xludf.XLOOKUP($N2057,Base_Enderecos!$A:$A,Base_Enderecos!$C:$C,""),"")</f>
        <v/>
      </c>
      <c r="R2057">
        <f>IF(OR(ISNUMBER(SEARCH("HDD",$F2057)),ISNUMBER(SEARCH("MND",$F2057)),ISNUMBER(SEARCH("PEAD",$F2057)),ISNUMBER(SEARCH("Puxe",$J2057)),ISNUMBER(SEARCH("Apoio HDD",$F2057))),"MND",IF(OR(ISNUMBER(SEARCH("VCA",$F2057)),ISNUMBER(SEARCH("PVC",$F2057)),ISNUMBER(SEARCH("vca",$J2057)),ISNUMBER(SEARCH("Transformação",$J2057))),"VCA",IF(OR(ISNUMBER(SEARCH("crava",$F2057)),ISNUMBER(SEARCH("tubo cravado",$F2057)),ISNUMBER(SEARCH("shaft",$J2057)),ISNUMBER(SEARCH("concreto",$F2057))),"TUBO CRAVADO","")))</f>
        <v/>
      </c>
      <c r="T2057">
        <f>IF($A2057="","",TEXT($A2057,"yyyymm")&amp;"|"&amp;$C2057&amp;"|"&amp;$F2057&amp;"|"&amp;$N2057&amp;"|"&amp;$R2057)</f>
        <v/>
      </c>
    </row>
    <row r="2058">
      <c r="A2058" s="11" t="n">
        <v>46139</v>
      </c>
      <c r="B2058" s="8" t="inlineStr">
        <is>
          <t>Segunda</t>
        </is>
      </c>
      <c r="C2058" s="7" t="n"/>
      <c r="D2058" s="7" t="n"/>
      <c r="E2058" s="27" t="inlineStr">
        <is>
          <t>Conceição – Renasce</t>
        </is>
      </c>
      <c r="F2058" s="13" t="inlineStr">
        <is>
          <t>Apoio Vacal</t>
        </is>
      </c>
      <c r="J2058" s="27" t="inlineStr">
        <is>
          <t>Vacal</t>
        </is>
      </c>
      <c r="K2058" s="27" t="inlineStr">
        <is>
          <t>Apoio</t>
        </is>
      </c>
      <c r="L2058" s="17" t="inlineStr">
        <is>
          <t>PDS-Abril(2).docx</t>
        </is>
      </c>
      <c r="M2058">
        <f>IF($A2058="","",TEXT($A2058,"mmmm/yyyy"))</f>
        <v/>
      </c>
      <c r="P2058">
        <f>IFERROR(_xludf.XLOOKUP($N2058,Base_Enderecos!$A:$A,Base_Enderecos!$B:$B,""),"")</f>
        <v/>
      </c>
      <c r="Q2058">
        <f>IFERROR(_xludf.XLOOKUP($N2058,Base_Enderecos!$A:$A,Base_Enderecos!$C:$C,""),"")</f>
        <v/>
      </c>
      <c r="R2058">
        <f>IF(OR(ISNUMBER(SEARCH("HDD",$F2058)),ISNUMBER(SEARCH("MND",$F2058)),ISNUMBER(SEARCH("PEAD",$F2058)),ISNUMBER(SEARCH("Puxe",$J2058)),ISNUMBER(SEARCH("Apoio HDD",$F2058))),"MND",IF(OR(ISNUMBER(SEARCH("VCA",$F2058)),ISNUMBER(SEARCH("PVC",$F2058)),ISNUMBER(SEARCH("vca",$J2058)),ISNUMBER(SEARCH("Transformação",$J2058))),"VCA",IF(OR(ISNUMBER(SEARCH("crava",$F2058)),ISNUMBER(SEARCH("tubo cravado",$F2058)),ISNUMBER(SEARCH("shaft",$J2058)),ISNUMBER(SEARCH("concreto",$F2058))),"TUBO CRAVADO","")))</f>
        <v/>
      </c>
      <c r="T2058">
        <f>IF($A2058="","",TEXT($A2058,"yyyymm")&amp;"|"&amp;$C2058&amp;"|"&amp;$F2058&amp;"|"&amp;$N2058&amp;"|"&amp;$R2058)</f>
        <v/>
      </c>
    </row>
    <row r="2059">
      <c r="A2059" s="11" t="n">
        <v>46139</v>
      </c>
      <c r="B2059" s="8" t="inlineStr">
        <is>
          <t>Segunda</t>
        </is>
      </c>
      <c r="C2059" s="7" t="n"/>
      <c r="D2059" s="7" t="n"/>
      <c r="E2059" s="27" t="inlineStr">
        <is>
          <t>Água Vermelha – Henko</t>
        </is>
      </c>
      <c r="F2059" s="13" t="inlineStr">
        <is>
          <t>Apoio Vacal</t>
        </is>
      </c>
      <c r="J2059" s="27" t="inlineStr">
        <is>
          <t>Vacal</t>
        </is>
      </c>
      <c r="K2059" s="27" t="inlineStr">
        <is>
          <t>Apoio</t>
        </is>
      </c>
      <c r="L2059" s="17" t="inlineStr">
        <is>
          <t>PDS-Abril(2).docx</t>
        </is>
      </c>
      <c r="M2059">
        <f>IF($A2059="","",TEXT($A2059,"mmmm/yyyy"))</f>
        <v/>
      </c>
      <c r="P2059">
        <f>IFERROR(_xludf.XLOOKUP($N2059,Base_Enderecos!$A:$A,Base_Enderecos!$B:$B,""),"")</f>
        <v/>
      </c>
      <c r="Q2059">
        <f>IFERROR(_xludf.XLOOKUP($N2059,Base_Enderecos!$A:$A,Base_Enderecos!$C:$C,""),"")</f>
        <v/>
      </c>
      <c r="R2059">
        <f>IF(OR(ISNUMBER(SEARCH("HDD",$F2059)),ISNUMBER(SEARCH("MND",$F2059)),ISNUMBER(SEARCH("PEAD",$F2059)),ISNUMBER(SEARCH("Puxe",$J2059)),ISNUMBER(SEARCH("Apoio HDD",$F2059))),"MND",IF(OR(ISNUMBER(SEARCH("VCA",$F2059)),ISNUMBER(SEARCH("PVC",$F2059)),ISNUMBER(SEARCH("vca",$J2059)),ISNUMBER(SEARCH("Transformação",$J2059))),"VCA",IF(OR(ISNUMBER(SEARCH("crava",$F2059)),ISNUMBER(SEARCH("tubo cravado",$F2059)),ISNUMBER(SEARCH("shaft",$J2059)),ISNUMBER(SEARCH("concreto",$F2059))),"TUBO CRAVADO","")))</f>
        <v/>
      </c>
      <c r="T2059">
        <f>IF($A2059="","",TEXT($A2059,"yyyymm")&amp;"|"&amp;$C2059&amp;"|"&amp;$F2059&amp;"|"&amp;$N2059&amp;"|"&amp;$R2059)</f>
        <v/>
      </c>
    </row>
    <row r="2060">
      <c r="A2060" s="11" t="n">
        <v>46139</v>
      </c>
      <c r="B2060" s="8" t="inlineStr">
        <is>
          <t>Segunda</t>
        </is>
      </c>
      <c r="C2060" s="7" t="n"/>
      <c r="D2060" s="7" t="n"/>
      <c r="E2060" s="27" t="inlineStr">
        <is>
          <t>Água Vermelha – Renasce</t>
        </is>
      </c>
      <c r="F2060" s="13" t="inlineStr">
        <is>
          <t>Apoio Vacal</t>
        </is>
      </c>
      <c r="J2060" s="27" t="inlineStr">
        <is>
          <t>Vacal</t>
        </is>
      </c>
      <c r="K2060" s="27" t="inlineStr">
        <is>
          <t>Apoio</t>
        </is>
      </c>
      <c r="L2060" s="17" t="inlineStr">
        <is>
          <t>PDS-Abril(2).docx</t>
        </is>
      </c>
      <c r="M2060">
        <f>IF($A2060="","",TEXT($A2060,"mmmm/yyyy"))</f>
        <v/>
      </c>
      <c r="P2060">
        <f>IFERROR(_xludf.XLOOKUP($N2060,Base_Enderecos!$A:$A,Base_Enderecos!$B:$B,""),"")</f>
        <v/>
      </c>
      <c r="Q2060">
        <f>IFERROR(_xludf.XLOOKUP($N2060,Base_Enderecos!$A:$A,Base_Enderecos!$C:$C,""),"")</f>
        <v/>
      </c>
      <c r="R2060">
        <f>IF(OR(ISNUMBER(SEARCH("HDD",$F2060)),ISNUMBER(SEARCH("MND",$F2060)),ISNUMBER(SEARCH("PEAD",$F2060)),ISNUMBER(SEARCH("Puxe",$J2060)),ISNUMBER(SEARCH("Apoio HDD",$F2060))),"MND",IF(OR(ISNUMBER(SEARCH("VCA",$F2060)),ISNUMBER(SEARCH("PVC",$F2060)),ISNUMBER(SEARCH("vca",$J2060)),ISNUMBER(SEARCH("Transformação",$J2060))),"VCA",IF(OR(ISNUMBER(SEARCH("crava",$F2060)),ISNUMBER(SEARCH("tubo cravado",$F2060)),ISNUMBER(SEARCH("shaft",$J2060)),ISNUMBER(SEARCH("concreto",$F2060))),"TUBO CRAVADO","")))</f>
        <v/>
      </c>
      <c r="T2060">
        <f>IF($A2060="","",TEXT($A2060,"yyyymm")&amp;"|"&amp;$C2060&amp;"|"&amp;$F2060&amp;"|"&amp;$N2060&amp;"|"&amp;$R2060)</f>
        <v/>
      </c>
    </row>
    <row r="2061">
      <c r="A2061" s="11" t="n">
        <v>46139</v>
      </c>
      <c r="B2061" s="8" t="inlineStr">
        <is>
          <t>Segunda</t>
        </is>
      </c>
      <c r="C2061" s="7" t="n"/>
      <c r="D2061" s="7" t="n"/>
      <c r="E2061" s="27" t="inlineStr">
        <is>
          <t>Água Vermelha – Hidrosol</t>
        </is>
      </c>
      <c r="F2061" s="13" t="inlineStr">
        <is>
          <t>Apoio Vacal</t>
        </is>
      </c>
      <c r="J2061" s="27" t="inlineStr">
        <is>
          <t>Vacal</t>
        </is>
      </c>
      <c r="K2061" s="27" t="inlineStr">
        <is>
          <t>Apoio</t>
        </is>
      </c>
      <c r="L2061" s="17" t="inlineStr">
        <is>
          <t>PDS-Abril(2).docx</t>
        </is>
      </c>
      <c r="M2061">
        <f>IF($A2061="","",TEXT($A2061,"mmmm/yyyy"))</f>
        <v/>
      </c>
      <c r="P2061">
        <f>IFERROR(_xludf.XLOOKUP($N2061,Base_Enderecos!$A:$A,Base_Enderecos!$B:$B,""),"")</f>
        <v/>
      </c>
      <c r="Q2061">
        <f>IFERROR(_xludf.XLOOKUP($N2061,Base_Enderecos!$A:$A,Base_Enderecos!$C:$C,""),"")</f>
        <v/>
      </c>
      <c r="R2061">
        <f>IF(OR(ISNUMBER(SEARCH("HDD",$F2061)),ISNUMBER(SEARCH("MND",$F2061)),ISNUMBER(SEARCH("PEAD",$F2061)),ISNUMBER(SEARCH("Puxe",$J2061)),ISNUMBER(SEARCH("Apoio HDD",$F2061))),"MND",IF(OR(ISNUMBER(SEARCH("VCA",$F2061)),ISNUMBER(SEARCH("PVC",$F2061)),ISNUMBER(SEARCH("vca",$J2061)),ISNUMBER(SEARCH("Transformação",$J2061))),"VCA",IF(OR(ISNUMBER(SEARCH("crava",$F2061)),ISNUMBER(SEARCH("tubo cravado",$F2061)),ISNUMBER(SEARCH("shaft",$J2061)),ISNUMBER(SEARCH("concreto",$F2061))),"TUBO CRAVADO","")))</f>
        <v/>
      </c>
      <c r="T2061">
        <f>IF($A2061="","",TEXT($A2061,"yyyymm")&amp;"|"&amp;$C2061&amp;"|"&amp;$F2061&amp;"|"&amp;$N2061&amp;"|"&amp;$R2061)</f>
        <v/>
      </c>
    </row>
    <row r="2062" ht="11.55" customHeight="1">
      <c r="A2062" s="11" t="n">
        <v>46139</v>
      </c>
      <c r="B2062" s="8" t="inlineStr">
        <is>
          <t>Segunda</t>
        </is>
      </c>
      <c r="C2062" s="7" t="inlineStr">
        <is>
          <t>Guindauto</t>
        </is>
      </c>
      <c r="D2062" s="7" t="n"/>
      <c r="E2062" s="7" t="inlineStr">
        <is>
          <t>Marcio</t>
        </is>
      </c>
      <c r="F2062" s="13" t="inlineStr">
        <is>
          <t>Marcio - Apoio as equipes</t>
        </is>
      </c>
      <c r="G2062" s="7" t="n"/>
      <c r="H2062" s="7" t="n"/>
      <c r="I2062" s="7" t="n"/>
      <c r="J2062" s="7" t="inlineStr">
        <is>
          <t>Guindauto</t>
        </is>
      </c>
      <c r="K2062" s="7" t="inlineStr">
        <is>
          <t>Apoio</t>
        </is>
      </c>
      <c r="L2062" s="16" t="inlineStr">
        <is>
          <t>PDS-Abril(2).docx</t>
        </is>
      </c>
      <c r="M2062">
        <f>IF($A2062="","",TEXT($A2062,"mmmm/yyyy"))</f>
        <v/>
      </c>
      <c r="P2062">
        <f>IFERROR(_xludf.XLOOKUP($N2062,Base_Enderecos!$A:$A,Base_Enderecos!$B:$B,""),"")</f>
        <v/>
      </c>
      <c r="Q2062">
        <f>IFERROR(_xludf.XLOOKUP($N2062,Base_Enderecos!$A:$A,Base_Enderecos!$C:$C,""),"")</f>
        <v/>
      </c>
      <c r="R2062">
        <f>IF(OR(ISNUMBER(SEARCH("HDD",$F2062)),ISNUMBER(SEARCH("MND",$F2062)),ISNUMBER(SEARCH("PEAD",$F2062)),ISNUMBER(SEARCH("Puxe",$J2062)),ISNUMBER(SEARCH("Apoio HDD",$F2062))),"MND",IF(OR(ISNUMBER(SEARCH("VCA",$F2062)),ISNUMBER(SEARCH("PVC",$F2062)),ISNUMBER(SEARCH("vca",$J2062)),ISNUMBER(SEARCH("Transformação",$J2062))),"VCA",IF(OR(ISNUMBER(SEARCH("crava",$F2062)),ISNUMBER(SEARCH("tubo cravado",$F2062)),ISNUMBER(SEARCH("shaft",$J2062)),ISNUMBER(SEARCH("concreto",$F2062))),"TUBO CRAVADO","")))</f>
        <v/>
      </c>
      <c r="T2062">
        <f>IF($A2062="","",TEXT($A2062,"yyyymm")&amp;"|"&amp;$C2062&amp;"|"&amp;$F2062&amp;"|"&amp;$N2062&amp;"|"&amp;$R2062)</f>
        <v/>
      </c>
    </row>
    <row r="2063">
      <c r="A2063" s="11" t="n">
        <v>46139</v>
      </c>
      <c r="B2063" s="8" t="inlineStr">
        <is>
          <t>Segunda</t>
        </is>
      </c>
      <c r="C2063" s="7" t="inlineStr">
        <is>
          <t>CTS CONCEIÇÃO</t>
        </is>
      </c>
      <c r="D2063" s="7" t="inlineStr">
        <is>
          <t>LEANDRO</t>
        </is>
      </c>
      <c r="E2063" s="24" t="inlineStr">
        <is>
          <t xml:space="preserve">Carlos </t>
        </is>
      </c>
      <c r="F2063" s="25" t="inlineStr">
        <is>
          <t>transformação PV10</t>
        </is>
      </c>
      <c r="G2063" s="26" t="n">
        <v>10</v>
      </c>
      <c r="I2063" s="26" t="n">
        <v>10</v>
      </c>
      <c r="J2063" s="24" t="inlineStr">
        <is>
          <t>Transformação</t>
        </is>
      </c>
      <c r="K2063" s="24" t="inlineStr">
        <is>
          <t>Planejamento</t>
        </is>
      </c>
      <c r="L2063" s="17" t="inlineStr">
        <is>
          <t>PDS-Abril(2).docx</t>
        </is>
      </c>
      <c r="M2063">
        <f>IF($A2063="","",TEXT($A2063,"mmmm/yyyy"))</f>
        <v/>
      </c>
      <c r="P2063">
        <f>IFERROR(_xludf.XLOOKUP($N2063,Base_Enderecos!$A:$A,Base_Enderecos!$B:$B,""),"")</f>
        <v/>
      </c>
      <c r="Q2063">
        <f>IFERROR(_xludf.XLOOKUP($N2063,Base_Enderecos!$A:$A,Base_Enderecos!$C:$C,""),"")</f>
        <v/>
      </c>
      <c r="R2063">
        <f>IF(OR(ISNUMBER(SEARCH("HDD",$F2063)),ISNUMBER(SEARCH("MND",$F2063)),ISNUMBER(SEARCH("PEAD",$F2063)),ISNUMBER(SEARCH("Puxe",$J2063)),ISNUMBER(SEARCH("Apoio HDD",$F2063))),"MND",IF(OR(ISNUMBER(SEARCH("VCA",$F2063)),ISNUMBER(SEARCH("PVC",$F2063)),ISNUMBER(SEARCH("vca",$J2063)),ISNUMBER(SEARCH("Transformação",$J2063))),"VCA",IF(OR(ISNUMBER(SEARCH("crava",$F2063)),ISNUMBER(SEARCH("tubo cravado",$F2063)),ISNUMBER(SEARCH("shaft",$J2063)),ISNUMBER(SEARCH("concreto",$F2063))),"TUBO CRAVADO","")))</f>
        <v/>
      </c>
      <c r="T2063">
        <f>IF($A2063="","",TEXT($A2063,"yyyymm")&amp;"|"&amp;$C2063&amp;"|"&amp;$F2063&amp;"|"&amp;$N2063&amp;"|"&amp;$R2063)</f>
        <v/>
      </c>
    </row>
    <row r="2064">
      <c r="A2064" s="11" t="n">
        <v>46139</v>
      </c>
      <c r="B2064" s="8" t="inlineStr">
        <is>
          <t>Segunda</t>
        </is>
      </c>
      <c r="C2064" s="7" t="inlineStr">
        <is>
          <t>CTS CONCEIÇÃO</t>
        </is>
      </c>
      <c r="D2064" s="7" t="inlineStr">
        <is>
          <t>LEANDRO</t>
        </is>
      </c>
      <c r="E2064" s="24" t="inlineStr">
        <is>
          <t>Emanuel</t>
        </is>
      </c>
      <c r="F2064" s="25" t="inlineStr">
        <is>
          <t>transformação PV10.1</t>
        </is>
      </c>
      <c r="G2064" s="24" t="inlineStr">
        <is>
          <t>10.1</t>
        </is>
      </c>
      <c r="I2064" s="24" t="inlineStr">
        <is>
          <t>10.1</t>
        </is>
      </c>
      <c r="J2064" s="24" t="inlineStr">
        <is>
          <t>Transformação</t>
        </is>
      </c>
      <c r="K2064" s="24" t="inlineStr">
        <is>
          <t>Planejamento</t>
        </is>
      </c>
      <c r="L2064" s="17" t="inlineStr">
        <is>
          <t>PDS-Abril(2).docx</t>
        </is>
      </c>
      <c r="M2064">
        <f>IF($A2064="","",TEXT($A2064,"mmmm/yyyy"))</f>
        <v/>
      </c>
      <c r="P2064">
        <f>IFERROR(_xludf.XLOOKUP($N2064,Base_Enderecos!$A:$A,Base_Enderecos!$B:$B,""),"")</f>
        <v/>
      </c>
      <c r="Q2064">
        <f>IFERROR(_xludf.XLOOKUP($N2064,Base_Enderecos!$A:$A,Base_Enderecos!$C:$C,""),"")</f>
        <v/>
      </c>
      <c r="R2064">
        <f>IF(OR(ISNUMBER(SEARCH("HDD",$F2064)),ISNUMBER(SEARCH("MND",$F2064)),ISNUMBER(SEARCH("PEAD",$F2064)),ISNUMBER(SEARCH("Puxe",$J2064)),ISNUMBER(SEARCH("Apoio HDD",$F2064))),"MND",IF(OR(ISNUMBER(SEARCH("VCA",$F2064)),ISNUMBER(SEARCH("PVC",$F2064)),ISNUMBER(SEARCH("vca",$J2064)),ISNUMBER(SEARCH("Transformação",$J2064))),"VCA",IF(OR(ISNUMBER(SEARCH("crava",$F2064)),ISNUMBER(SEARCH("tubo cravado",$F2064)),ISNUMBER(SEARCH("shaft",$J2064)),ISNUMBER(SEARCH("concreto",$F2064))),"TUBO CRAVADO","")))</f>
        <v/>
      </c>
      <c r="T2064">
        <f>IF($A2064="","",TEXT($A2064,"yyyymm")&amp;"|"&amp;$C2064&amp;"|"&amp;$F2064&amp;"|"&amp;$N2064&amp;"|"&amp;$R2064)</f>
        <v/>
      </c>
    </row>
    <row r="2065">
      <c r="A2065" s="11" t="n">
        <v>46139</v>
      </c>
      <c r="B2065" s="8" t="inlineStr">
        <is>
          <t>Segunda</t>
        </is>
      </c>
      <c r="C2065" s="7" t="inlineStr">
        <is>
          <t xml:space="preserve">CTS Agua Vermelha M.D </t>
        </is>
      </c>
      <c r="D2065" s="7" t="inlineStr">
        <is>
          <t>FABIO</t>
        </is>
      </c>
      <c r="E2065" s="24" t="inlineStr">
        <is>
          <t>Marcelo</t>
        </is>
      </c>
      <c r="F2065" s="25" t="inlineStr">
        <is>
          <t>transformação PV12</t>
        </is>
      </c>
      <c r="G2065" s="24" t="n">
        <v>12</v>
      </c>
      <c r="I2065" s="24" t="n">
        <v>12</v>
      </c>
      <c r="J2065" s="24" t="inlineStr">
        <is>
          <t>Shaft</t>
        </is>
      </c>
      <c r="K2065" s="24" t="inlineStr">
        <is>
          <t>Planejamento</t>
        </is>
      </c>
      <c r="L2065" s="17" t="inlineStr">
        <is>
          <t>PDS-Abril(2).docx</t>
        </is>
      </c>
      <c r="M2065">
        <f>IF($A2065="","",TEXT($A2065,"mmmm/yyyy"))</f>
        <v/>
      </c>
      <c r="P2065">
        <f>IFERROR(_xludf.XLOOKUP($N2065,Base_Enderecos!$A:$A,Base_Enderecos!$B:$B,""),"")</f>
        <v/>
      </c>
      <c r="Q2065">
        <f>IFERROR(_xludf.XLOOKUP($N2065,Base_Enderecos!$A:$A,Base_Enderecos!$C:$C,""),"")</f>
        <v/>
      </c>
      <c r="R2065">
        <f>IF(OR(ISNUMBER(SEARCH("HDD",$F2065)),ISNUMBER(SEARCH("MND",$F2065)),ISNUMBER(SEARCH("PEAD",$F2065)),ISNUMBER(SEARCH("Puxe",$J2065)),ISNUMBER(SEARCH("Apoio HDD",$F2065))),"MND",IF(OR(ISNUMBER(SEARCH("VCA",$F2065)),ISNUMBER(SEARCH("PVC",$F2065)),ISNUMBER(SEARCH("vca",$J2065)),ISNUMBER(SEARCH("Transformação",$J2065))),"VCA",IF(OR(ISNUMBER(SEARCH("crava",$F2065)),ISNUMBER(SEARCH("tubo cravado",$F2065)),ISNUMBER(SEARCH("shaft",$J2065)),ISNUMBER(SEARCH("concreto",$F2065))),"TUBO CRAVADO","")))</f>
        <v/>
      </c>
      <c r="T2065">
        <f>IF($A2065="","",TEXT($A2065,"yyyymm")&amp;"|"&amp;$C2065&amp;"|"&amp;$F2065&amp;"|"&amp;$N2065&amp;"|"&amp;$R2065)</f>
        <v/>
      </c>
    </row>
    <row r="2066">
      <c r="A2066" s="11" t="n">
        <v>46139</v>
      </c>
      <c r="B2066" s="8" t="inlineStr">
        <is>
          <t>Segunda</t>
        </is>
      </c>
      <c r="C2066" s="7" t="inlineStr">
        <is>
          <t xml:space="preserve">CTS Agua Vermelha M.D </t>
        </is>
      </c>
      <c r="D2066" s="7" t="inlineStr">
        <is>
          <t>FABIO</t>
        </is>
      </c>
      <c r="E2066" s="24" t="inlineStr">
        <is>
          <t>Johnatham</t>
        </is>
      </c>
      <c r="F2066" s="25" t="inlineStr">
        <is>
          <t>transformação PV14</t>
        </is>
      </c>
      <c r="G2066" s="24" t="n">
        <v>14</v>
      </c>
      <c r="I2066" s="24" t="n">
        <v>14</v>
      </c>
      <c r="J2066" s="24" t="inlineStr">
        <is>
          <t>Shaft</t>
        </is>
      </c>
      <c r="K2066" s="24" t="inlineStr">
        <is>
          <t>Planejamento</t>
        </is>
      </c>
      <c r="L2066" s="17" t="inlineStr">
        <is>
          <t>PDS-Abril(2).docx</t>
        </is>
      </c>
      <c r="M2066">
        <f>IF($A2066="","",TEXT($A2066,"mmmm/yyyy"))</f>
        <v/>
      </c>
      <c r="P2066">
        <f>IFERROR(_xludf.XLOOKUP($N2066,Base_Enderecos!$A:$A,Base_Enderecos!$B:$B,""),"")</f>
        <v/>
      </c>
      <c r="Q2066">
        <f>IFERROR(_xludf.XLOOKUP($N2066,Base_Enderecos!$A:$A,Base_Enderecos!$C:$C,""),"")</f>
        <v/>
      </c>
      <c r="R2066">
        <f>IF(OR(ISNUMBER(SEARCH("HDD",$F2066)),ISNUMBER(SEARCH("MND",$F2066)),ISNUMBER(SEARCH("PEAD",$F2066)),ISNUMBER(SEARCH("Puxe",$J2066)),ISNUMBER(SEARCH("Apoio HDD",$F2066))),"MND",IF(OR(ISNUMBER(SEARCH("VCA",$F2066)),ISNUMBER(SEARCH("PVC",$F2066)),ISNUMBER(SEARCH("vca",$J2066)),ISNUMBER(SEARCH("Transformação",$J2066))),"VCA",IF(OR(ISNUMBER(SEARCH("crava",$F2066)),ISNUMBER(SEARCH("tubo cravado",$F2066)),ISNUMBER(SEARCH("shaft",$J2066)),ISNUMBER(SEARCH("concreto",$F2066))),"TUBO CRAVADO","")))</f>
        <v/>
      </c>
      <c r="T2066">
        <f>IF($A2066="","",TEXT($A2066,"yyyymm")&amp;"|"&amp;$C2066&amp;"|"&amp;$F2066&amp;"|"&amp;$N2066&amp;"|"&amp;$R2066)</f>
        <v/>
      </c>
    </row>
    <row r="2067">
      <c r="A2067" s="11" t="n">
        <v>46139</v>
      </c>
      <c r="B2067" s="8" t="inlineStr">
        <is>
          <t>Segunda</t>
        </is>
      </c>
      <c r="C2067" s="7" t="inlineStr">
        <is>
          <t xml:space="preserve">CTS Agua Vermelha M.D </t>
        </is>
      </c>
      <c r="D2067" s="7" t="inlineStr">
        <is>
          <t>FABIO</t>
        </is>
      </c>
      <c r="E2067" s="24" t="inlineStr">
        <is>
          <t>Antônio</t>
        </is>
      </c>
      <c r="F2067" s="25" t="inlineStr">
        <is>
          <t>transformação PV09</t>
        </is>
      </c>
      <c r="G2067" s="24" t="inlineStr">
        <is>
          <t>09</t>
        </is>
      </c>
      <c r="I2067" s="24" t="inlineStr">
        <is>
          <t>09</t>
        </is>
      </c>
      <c r="J2067" s="24" t="inlineStr">
        <is>
          <t>Shaft</t>
        </is>
      </c>
      <c r="K2067" s="24" t="inlineStr">
        <is>
          <t>Planejamento</t>
        </is>
      </c>
      <c r="L2067" s="17" t="inlineStr">
        <is>
          <t>PDS-Abril(2).docx</t>
        </is>
      </c>
      <c r="M2067">
        <f>IF($A2067="","",TEXT($A2067,"mmmm/yyyy"))</f>
        <v/>
      </c>
      <c r="P2067">
        <f>IFERROR(_xludf.XLOOKUP($N2067,Base_Enderecos!$A:$A,Base_Enderecos!$B:$B,""),"")</f>
        <v/>
      </c>
      <c r="Q2067">
        <f>IFERROR(_xludf.XLOOKUP($N2067,Base_Enderecos!$A:$A,Base_Enderecos!$C:$C,""),"")</f>
        <v/>
      </c>
      <c r="R2067">
        <f>IF(OR(ISNUMBER(SEARCH("HDD",$F2067)),ISNUMBER(SEARCH("MND",$F2067)),ISNUMBER(SEARCH("PEAD",$F2067)),ISNUMBER(SEARCH("Puxe",$J2067)),ISNUMBER(SEARCH("Apoio HDD",$F2067))),"MND",IF(OR(ISNUMBER(SEARCH("VCA",$F2067)),ISNUMBER(SEARCH("PVC",$F2067)),ISNUMBER(SEARCH("vca",$J2067)),ISNUMBER(SEARCH("Transformação",$J2067))),"VCA",IF(OR(ISNUMBER(SEARCH("crava",$F2067)),ISNUMBER(SEARCH("tubo cravado",$F2067)),ISNUMBER(SEARCH("shaft",$J2067)),ISNUMBER(SEARCH("concreto",$F2067))),"TUBO CRAVADO","")))</f>
        <v/>
      </c>
      <c r="T2067">
        <f>IF($A2067="","",TEXT($A2067,"yyyymm")&amp;"|"&amp;$C2067&amp;"|"&amp;$F2067&amp;"|"&amp;$N2067&amp;"|"&amp;$R2067)</f>
        <v/>
      </c>
    </row>
    <row r="2068">
      <c r="A2068" s="11" t="n">
        <v>46139</v>
      </c>
      <c r="B2068" s="8" t="inlineStr">
        <is>
          <t>Segunda</t>
        </is>
      </c>
      <c r="C2068" s="7" t="inlineStr">
        <is>
          <t xml:space="preserve">CTS Agua Vermelha M.D </t>
        </is>
      </c>
      <c r="D2068" s="7" t="inlineStr">
        <is>
          <t>FABIO</t>
        </is>
      </c>
      <c r="E2068" s="24" t="inlineStr">
        <is>
          <t>Cesar</t>
        </is>
      </c>
      <c r="F2068" s="25" t="inlineStr">
        <is>
          <t>transformação PV17</t>
        </is>
      </c>
      <c r="G2068" s="24" t="n">
        <v>17</v>
      </c>
      <c r="I2068" s="24" t="n">
        <v>17</v>
      </c>
      <c r="J2068" s="24" t="inlineStr">
        <is>
          <t>Shaft</t>
        </is>
      </c>
      <c r="K2068" s="24" t="inlineStr">
        <is>
          <t>Planejamento</t>
        </is>
      </c>
      <c r="L2068" s="17" t="inlineStr">
        <is>
          <t>PDS-Abril(2).docx</t>
        </is>
      </c>
      <c r="M2068">
        <f>IF($A2068="","",TEXT($A2068,"mmmm/yyyy"))</f>
        <v/>
      </c>
      <c r="P2068">
        <f>IFERROR(_xludf.XLOOKUP($N2068,Base_Enderecos!$A:$A,Base_Enderecos!$B:$B,""),"")</f>
        <v/>
      </c>
      <c r="Q2068">
        <f>IFERROR(_xludf.XLOOKUP($N2068,Base_Enderecos!$A:$A,Base_Enderecos!$C:$C,""),"")</f>
        <v/>
      </c>
      <c r="R2068">
        <f>IF(OR(ISNUMBER(SEARCH("HDD",$F2068)),ISNUMBER(SEARCH("MND",$F2068)),ISNUMBER(SEARCH("PEAD",$F2068)),ISNUMBER(SEARCH("Puxe",$J2068)),ISNUMBER(SEARCH("Apoio HDD",$F2068))),"MND",IF(OR(ISNUMBER(SEARCH("VCA",$F2068)),ISNUMBER(SEARCH("PVC",$F2068)),ISNUMBER(SEARCH("vca",$J2068)),ISNUMBER(SEARCH("Transformação",$J2068))),"VCA",IF(OR(ISNUMBER(SEARCH("crava",$F2068)),ISNUMBER(SEARCH("tubo cravado",$F2068)),ISNUMBER(SEARCH("shaft",$J2068)),ISNUMBER(SEARCH("concreto",$F2068))),"TUBO CRAVADO","")))</f>
        <v/>
      </c>
      <c r="T2068">
        <f>IF($A2068="","",TEXT($A2068,"yyyymm")&amp;"|"&amp;$C2068&amp;"|"&amp;$F2068&amp;"|"&amp;$N2068&amp;"|"&amp;$R2068)</f>
        <v/>
      </c>
    </row>
    <row r="2069">
      <c r="A2069" s="11" t="n">
        <v>46139</v>
      </c>
      <c r="B2069" s="8" t="inlineStr">
        <is>
          <t>Segunda</t>
        </is>
      </c>
      <c r="C2069" s="7" t="inlineStr">
        <is>
          <t>CTS Agua Vermelha M.E</t>
        </is>
      </c>
      <c r="D2069" s="7" t="inlineStr">
        <is>
          <t>VALMIR</t>
        </is>
      </c>
      <c r="E2069" s="24" t="inlineStr">
        <is>
          <t>Edivando</t>
        </is>
      </c>
      <c r="F2069" s="25" t="inlineStr">
        <is>
          <t>transformação PVE 6</t>
        </is>
      </c>
      <c r="G2069" s="24" t="n">
        <v>6</v>
      </c>
      <c r="I2069" s="24" t="n">
        <v>6</v>
      </c>
      <c r="J2069" s="24" t="inlineStr">
        <is>
          <t>Transformação</t>
        </is>
      </c>
      <c r="K2069" s="24" t="inlineStr">
        <is>
          <t>Planejamento</t>
        </is>
      </c>
      <c r="L2069" s="17" t="inlineStr">
        <is>
          <t>PDS-Abril(2).docx</t>
        </is>
      </c>
      <c r="M2069">
        <f>IF($A2069="","",TEXT($A2069,"mmmm/yyyy"))</f>
        <v/>
      </c>
      <c r="P2069">
        <f>IFERROR(_xludf.XLOOKUP($N2069,Base_Enderecos!$A:$A,Base_Enderecos!$B:$B,""),"")</f>
        <v/>
      </c>
      <c r="Q2069">
        <f>IFERROR(_xludf.XLOOKUP($N2069,Base_Enderecos!$A:$A,Base_Enderecos!$C:$C,""),"")</f>
        <v/>
      </c>
      <c r="R2069">
        <f>IF(OR(ISNUMBER(SEARCH("HDD",$F2069)),ISNUMBER(SEARCH("MND",$F2069)),ISNUMBER(SEARCH("PEAD",$F2069)),ISNUMBER(SEARCH("Puxe",$J2069)),ISNUMBER(SEARCH("Apoio HDD",$F2069))),"MND",IF(OR(ISNUMBER(SEARCH("VCA",$F2069)),ISNUMBER(SEARCH("PVC",$F2069)),ISNUMBER(SEARCH("vca",$J2069)),ISNUMBER(SEARCH("Transformação",$J2069))),"VCA",IF(OR(ISNUMBER(SEARCH("crava",$F2069)),ISNUMBER(SEARCH("tubo cravado",$F2069)),ISNUMBER(SEARCH("shaft",$J2069)),ISNUMBER(SEARCH("concreto",$F2069))),"TUBO CRAVADO","")))</f>
        <v/>
      </c>
      <c r="T2069">
        <f>IF($A2069="","",TEXT($A2069,"yyyymm")&amp;"|"&amp;$C2069&amp;"|"&amp;$F2069&amp;"|"&amp;$N2069&amp;"|"&amp;$R2069)</f>
        <v/>
      </c>
    </row>
    <row r="2070">
      <c r="A2070" s="11" t="n">
        <v>46139</v>
      </c>
      <c r="B2070" s="8" t="inlineStr">
        <is>
          <t>Segunda</t>
        </is>
      </c>
      <c r="C2070" s="7" t="inlineStr">
        <is>
          <t>CTS Agua Vermelha M.E</t>
        </is>
      </c>
      <c r="D2070" s="7" t="inlineStr">
        <is>
          <t>VALMIR</t>
        </is>
      </c>
      <c r="E2070" s="24" t="inlineStr">
        <is>
          <t>Medeiros</t>
        </is>
      </c>
      <c r="F2070" s="25" t="inlineStr">
        <is>
          <t>transformação PVE 5</t>
        </is>
      </c>
      <c r="G2070" s="24" t="n">
        <v>5</v>
      </c>
      <c r="H2070" s="24" t="n"/>
      <c r="I2070" s="24" t="n">
        <v>5</v>
      </c>
      <c r="J2070" s="24" t="inlineStr">
        <is>
          <t>Transformação</t>
        </is>
      </c>
      <c r="K2070" s="24" t="inlineStr">
        <is>
          <t>Planejamento</t>
        </is>
      </c>
      <c r="L2070" s="17" t="inlineStr">
        <is>
          <t>PDS-Abril(2).docx</t>
        </is>
      </c>
      <c r="M2070">
        <f>IF($A2070="","",TEXT($A2070,"mmmm/yyyy"))</f>
        <v/>
      </c>
      <c r="P2070">
        <f>IFERROR(_xludf.XLOOKUP($N2070,Base_Enderecos!$A:$A,Base_Enderecos!$B:$B,""),"")</f>
        <v/>
      </c>
      <c r="Q2070">
        <f>IFERROR(_xludf.XLOOKUP($N2070,Base_Enderecos!$A:$A,Base_Enderecos!$C:$C,""),"")</f>
        <v/>
      </c>
      <c r="R2070">
        <f>IF(OR(ISNUMBER(SEARCH("HDD",$F2070)),ISNUMBER(SEARCH("MND",$F2070)),ISNUMBER(SEARCH("PEAD",$F2070)),ISNUMBER(SEARCH("Puxe",$J2070)),ISNUMBER(SEARCH("Apoio HDD",$F2070))),"MND",IF(OR(ISNUMBER(SEARCH("VCA",$F2070)),ISNUMBER(SEARCH("PVC",$F2070)),ISNUMBER(SEARCH("vca",$J2070)),ISNUMBER(SEARCH("Transformação",$J2070))),"VCA",IF(OR(ISNUMBER(SEARCH("crava",$F2070)),ISNUMBER(SEARCH("tubo cravado",$F2070)),ISNUMBER(SEARCH("shaft",$J2070)),ISNUMBER(SEARCH("concreto",$F2070))),"TUBO CRAVADO","")))</f>
        <v/>
      </c>
      <c r="T2070">
        <f>IF($A2070="","",TEXT($A2070,"yyyymm")&amp;"|"&amp;$C2070&amp;"|"&amp;$F2070&amp;"|"&amp;$N2070&amp;"|"&amp;$R2070)</f>
        <v/>
      </c>
    </row>
    <row r="2071">
      <c r="A2071" s="11" t="n">
        <v>46139</v>
      </c>
      <c r="B2071" s="8" t="inlineStr">
        <is>
          <t>Segunda</t>
        </is>
      </c>
      <c r="C2071" s="7" t="inlineStr">
        <is>
          <t>INT FERNANDO PACHECO JORDÃO</t>
        </is>
      </c>
      <c r="D2071" s="7" t="inlineStr">
        <is>
          <t>VALMIR</t>
        </is>
      </c>
      <c r="E2071" s="24" t="inlineStr">
        <is>
          <t>Ricardo</t>
        </is>
      </c>
      <c r="F2071" s="25" t="inlineStr">
        <is>
          <t>acabamento PV02</t>
        </is>
      </c>
      <c r="G2071" s="24" t="n">
        <v>2</v>
      </c>
      <c r="I2071" s="24" t="n">
        <v>2</v>
      </c>
      <c r="J2071" s="24" t="inlineStr">
        <is>
          <t>Acabamento</t>
        </is>
      </c>
      <c r="K2071" s="24" t="inlineStr">
        <is>
          <t>Planejamento</t>
        </is>
      </c>
      <c r="L2071" s="17" t="inlineStr">
        <is>
          <t>PDS-Abril(2).docx</t>
        </is>
      </c>
      <c r="M2071">
        <f>IF($A2071="","",TEXT($A2071,"mmmm/yyyy"))</f>
        <v/>
      </c>
      <c r="P2071">
        <f>IFERROR(_xludf.XLOOKUP($N2071,Base_Enderecos!$A:$A,Base_Enderecos!$B:$B,""),"")</f>
        <v/>
      </c>
      <c r="Q2071">
        <f>IFERROR(_xludf.XLOOKUP($N2071,Base_Enderecos!$A:$A,Base_Enderecos!$C:$C,""),"")</f>
        <v/>
      </c>
      <c r="R2071">
        <f>IF(OR(ISNUMBER(SEARCH("HDD",$F2071)),ISNUMBER(SEARCH("MND",$F2071)),ISNUMBER(SEARCH("PEAD",$F2071)),ISNUMBER(SEARCH("Puxe",$J2071)),ISNUMBER(SEARCH("Apoio HDD",$F2071))),"MND",IF(OR(ISNUMBER(SEARCH("VCA",$F2071)),ISNUMBER(SEARCH("PVC",$F2071)),ISNUMBER(SEARCH("vca",$J2071)),ISNUMBER(SEARCH("Transformação",$J2071))),"VCA",IF(OR(ISNUMBER(SEARCH("crava",$F2071)),ISNUMBER(SEARCH("tubo cravado",$F2071)),ISNUMBER(SEARCH("shaft",$J2071)),ISNUMBER(SEARCH("concreto",$F2071))),"TUBO CRAVADO","")))</f>
        <v/>
      </c>
      <c r="T2071">
        <f>IF($A2071="","",TEXT($A2071,"yyyymm")&amp;"|"&amp;$C2071&amp;"|"&amp;$F2071&amp;"|"&amp;$N2071&amp;"|"&amp;$R2071)</f>
        <v/>
      </c>
    </row>
    <row r="2072">
      <c r="A2072" s="11" t="n">
        <v>46139</v>
      </c>
      <c r="B2072" s="8" t="inlineStr">
        <is>
          <t>Segunda</t>
        </is>
      </c>
      <c r="C2072" s="7" t="inlineStr">
        <is>
          <t>CTS MAR DE CORAL</t>
        </is>
      </c>
      <c r="D2072" s="7" t="inlineStr">
        <is>
          <t>SILVESTRE</t>
        </is>
      </c>
      <c r="E2072" s="24" t="inlineStr">
        <is>
          <t>Goiania Drill</t>
        </is>
      </c>
      <c r="F2072" s="25" t="inlineStr">
        <is>
          <t>Piloto e Puxe entre o PV10.9 ao PVE</t>
        </is>
      </c>
      <c r="G2072" s="24" t="inlineStr">
        <is>
          <t>10.9</t>
        </is>
      </c>
      <c r="H2072" s="24" t="inlineStr">
        <is>
          <t>PVE</t>
        </is>
      </c>
      <c r="I2072" s="24" t="inlineStr">
        <is>
          <t>10.8,PVE</t>
        </is>
      </c>
      <c r="J2072" s="24" t="inlineStr">
        <is>
          <t>Puxe</t>
        </is>
      </c>
      <c r="K2072" s="24" t="inlineStr">
        <is>
          <t>Planejamento</t>
        </is>
      </c>
      <c r="L2072" s="17" t="inlineStr">
        <is>
          <t>PDS-Abril(2).docx</t>
        </is>
      </c>
      <c r="M2072">
        <f>IF($A2072="","",TEXT($A2072,"mmmm/yyyy"))</f>
        <v/>
      </c>
      <c r="P2072">
        <f>IFERROR(_xludf.XLOOKUP($N2072,Base_Enderecos!$A:$A,Base_Enderecos!$B:$B,""),"")</f>
        <v/>
      </c>
      <c r="Q2072">
        <f>IFERROR(_xludf.XLOOKUP($N2072,Base_Enderecos!$A:$A,Base_Enderecos!$C:$C,""),"")</f>
        <v/>
      </c>
      <c r="R2072">
        <f>IF(OR(ISNUMBER(SEARCH("HDD",$F2072)),ISNUMBER(SEARCH("MND",$F2072)),ISNUMBER(SEARCH("PEAD",$F2072)),ISNUMBER(SEARCH("Puxe",$J2072)),ISNUMBER(SEARCH("Apoio HDD",$F2072))),"MND",IF(OR(ISNUMBER(SEARCH("VCA",$F2072)),ISNUMBER(SEARCH("PVC",$F2072)),ISNUMBER(SEARCH("vca",$J2072)),ISNUMBER(SEARCH("Transformação",$J2072))),"VCA",IF(OR(ISNUMBER(SEARCH("crava",$F2072)),ISNUMBER(SEARCH("tubo cravado",$F2072)),ISNUMBER(SEARCH("shaft",$J2072)),ISNUMBER(SEARCH("concreto",$F2072))),"TUBO CRAVADO","")))</f>
        <v/>
      </c>
      <c r="T2072">
        <f>IF($A2072="","",TEXT($A2072,"yyyymm")&amp;"|"&amp;$C2072&amp;"|"&amp;$F2072&amp;"|"&amp;$N2072&amp;"|"&amp;$R2072)</f>
        <v/>
      </c>
    </row>
    <row r="2073">
      <c r="A2073" s="11" t="n">
        <v>46139</v>
      </c>
      <c r="B2073" s="8" t="inlineStr">
        <is>
          <t>Segunda</t>
        </is>
      </c>
      <c r="C2073" s="7" t="inlineStr">
        <is>
          <t>CTS MAR DE CORAL</t>
        </is>
      </c>
      <c r="D2073" s="7" t="inlineStr">
        <is>
          <t>SILVESTRE</t>
        </is>
      </c>
      <c r="E2073" s="24" t="inlineStr">
        <is>
          <t>Bruno</t>
        </is>
      </c>
      <c r="F2073" s="25" t="inlineStr">
        <is>
          <t>Apoio ao HDD</t>
        </is>
      </c>
      <c r="G2073" s="24" t="inlineStr">
        <is>
          <t>10.9</t>
        </is>
      </c>
      <c r="H2073" s="24" t="inlineStr">
        <is>
          <t>PVE</t>
        </is>
      </c>
      <c r="I2073" s="24" t="inlineStr">
        <is>
          <t>10.8,PVE</t>
        </is>
      </c>
      <c r="J2073" s="24" t="inlineStr">
        <is>
          <t>Apoio HDD</t>
        </is>
      </c>
      <c r="K2073" s="24" t="inlineStr">
        <is>
          <t>Apoio</t>
        </is>
      </c>
      <c r="L2073" s="17" t="inlineStr">
        <is>
          <t>PDS-Abril(2).docx</t>
        </is>
      </c>
      <c r="M2073">
        <f>IF($A2073="","",TEXT($A2073,"mmmm/yyyy"))</f>
        <v/>
      </c>
      <c r="P2073">
        <f>IFERROR(_xludf.XLOOKUP($N2073,Base_Enderecos!$A:$A,Base_Enderecos!$B:$B,""),"")</f>
        <v/>
      </c>
      <c r="Q2073">
        <f>IFERROR(_xludf.XLOOKUP($N2073,Base_Enderecos!$A:$A,Base_Enderecos!$C:$C,""),"")</f>
        <v/>
      </c>
      <c r="R2073">
        <f>IF(OR(ISNUMBER(SEARCH("HDD",$F2073)),ISNUMBER(SEARCH("MND",$F2073)),ISNUMBER(SEARCH("PEAD",$F2073)),ISNUMBER(SEARCH("Puxe",$J2073)),ISNUMBER(SEARCH("Apoio HDD",$F2073))),"MND",IF(OR(ISNUMBER(SEARCH("VCA",$F2073)),ISNUMBER(SEARCH("PVC",$F2073)),ISNUMBER(SEARCH("vca",$J2073)),ISNUMBER(SEARCH("Transformação",$J2073))),"VCA",IF(OR(ISNUMBER(SEARCH("crava",$F2073)),ISNUMBER(SEARCH("tubo cravado",$F2073)),ISNUMBER(SEARCH("shaft",$J2073)),ISNUMBER(SEARCH("concreto",$F2073))),"TUBO CRAVADO","")))</f>
        <v/>
      </c>
      <c r="T2073">
        <f>IF($A2073="","",TEXT($A2073,"yyyymm")&amp;"|"&amp;$C2073&amp;"|"&amp;$F2073&amp;"|"&amp;$N2073&amp;"|"&amp;$R2073)</f>
        <v/>
      </c>
    </row>
    <row r="2074">
      <c r="A2074" s="11" t="n">
        <v>46139</v>
      </c>
      <c r="B2074" s="8" t="inlineStr">
        <is>
          <t>Segunda</t>
        </is>
      </c>
      <c r="C2074" s="7" t="inlineStr">
        <is>
          <t>CTS MAR DE CORAL</t>
        </is>
      </c>
      <c r="D2074" s="7" t="inlineStr">
        <is>
          <t>SILVESTRE</t>
        </is>
      </c>
      <c r="E2074" s="24" t="inlineStr">
        <is>
          <t>Claudinei</t>
        </is>
      </c>
      <c r="F2074" s="25" t="inlineStr">
        <is>
          <t>vca e transformação de pvs entre pv5.10 ao pv 5.13</t>
        </is>
      </c>
      <c r="G2074" s="24" t="inlineStr">
        <is>
          <t>5.10</t>
        </is>
      </c>
      <c r="H2074" s="24" t="inlineStr">
        <is>
          <t>5.13</t>
        </is>
      </c>
      <c r="I2074" s="24" t="inlineStr">
        <is>
          <t>5.10,5.13</t>
        </is>
      </c>
      <c r="J2074" s="24" t="inlineStr">
        <is>
          <t>vca</t>
        </is>
      </c>
      <c r="K2074" s="24" t="inlineStr">
        <is>
          <t>Planejamento</t>
        </is>
      </c>
      <c r="L2074" s="17" t="inlineStr">
        <is>
          <t>PDS-Abril(2).docx</t>
        </is>
      </c>
      <c r="M2074">
        <f>IF($A2074="","",TEXT($A2074,"mmmm/yyyy"))</f>
        <v/>
      </c>
      <c r="P2074">
        <f>IFERROR(_xludf.XLOOKUP($N2074,Base_Enderecos!$A:$A,Base_Enderecos!$B:$B,""),"")</f>
        <v/>
      </c>
      <c r="Q2074">
        <f>IFERROR(_xludf.XLOOKUP($N2074,Base_Enderecos!$A:$A,Base_Enderecos!$C:$C,""),"")</f>
        <v/>
      </c>
      <c r="R2074">
        <f>IF(OR(ISNUMBER(SEARCH("HDD",$F2074)),ISNUMBER(SEARCH("MND",$F2074)),ISNUMBER(SEARCH("PEAD",$F2074)),ISNUMBER(SEARCH("Puxe",$J2074)),ISNUMBER(SEARCH("Apoio HDD",$F2074))),"MND",IF(OR(ISNUMBER(SEARCH("VCA",$F2074)),ISNUMBER(SEARCH("PVC",$F2074)),ISNUMBER(SEARCH("vca",$J2074)),ISNUMBER(SEARCH("Transformação",$J2074))),"VCA",IF(OR(ISNUMBER(SEARCH("crava",$F2074)),ISNUMBER(SEARCH("tubo cravado",$F2074)),ISNUMBER(SEARCH("shaft",$J2074)),ISNUMBER(SEARCH("concreto",$F2074))),"TUBO CRAVADO","")))</f>
        <v/>
      </c>
      <c r="T2074">
        <f>IF($A2074="","",TEXT($A2074,"yyyymm")&amp;"|"&amp;$C2074&amp;"|"&amp;$F2074&amp;"|"&amp;$N2074&amp;"|"&amp;$R2074)</f>
        <v/>
      </c>
    </row>
    <row r="2075">
      <c r="A2075" s="11" t="n">
        <v>46139</v>
      </c>
      <c r="B2075" s="8" t="inlineStr">
        <is>
          <t>Segunda</t>
        </is>
      </c>
      <c r="C2075" s="7" t="inlineStr">
        <is>
          <t>CTS MAR DE CORAL</t>
        </is>
      </c>
      <c r="D2075" s="7" t="inlineStr">
        <is>
          <t>SILVESTRE</t>
        </is>
      </c>
      <c r="E2075" s="24" t="inlineStr">
        <is>
          <t>Cidão</t>
        </is>
      </c>
      <c r="F2075" s="25" t="inlineStr">
        <is>
          <t xml:space="preserve">transformação pv5.8 </t>
        </is>
      </c>
      <c r="G2075" s="24" t="inlineStr">
        <is>
          <t>5.8</t>
        </is>
      </c>
      <c r="H2075" s="24" t="n"/>
      <c r="I2075" s="24" t="inlineStr">
        <is>
          <t>5.8</t>
        </is>
      </c>
      <c r="J2075" s="24" t="inlineStr">
        <is>
          <t>Transformação</t>
        </is>
      </c>
      <c r="K2075" s="24" t="inlineStr">
        <is>
          <t>Planejamento</t>
        </is>
      </c>
      <c r="L2075" s="17" t="inlineStr">
        <is>
          <t>PDS-Abril(2).docx</t>
        </is>
      </c>
      <c r="M2075">
        <f>IF($A2075="","",TEXT($A2075,"mmmm/yyyy"))</f>
        <v/>
      </c>
      <c r="P2075">
        <f>IFERROR(_xludf.XLOOKUP($N2075,Base_Enderecos!$A:$A,Base_Enderecos!$B:$B,""),"")</f>
        <v/>
      </c>
      <c r="Q2075">
        <f>IFERROR(_xludf.XLOOKUP($N2075,Base_Enderecos!$A:$A,Base_Enderecos!$C:$C,""),"")</f>
        <v/>
      </c>
      <c r="R2075">
        <f>IF(OR(ISNUMBER(SEARCH("HDD",$F2075)),ISNUMBER(SEARCH("MND",$F2075)),ISNUMBER(SEARCH("PEAD",$F2075)),ISNUMBER(SEARCH("Puxe",$J2075)),ISNUMBER(SEARCH("Apoio HDD",$F2075))),"MND",IF(OR(ISNUMBER(SEARCH("VCA",$F2075)),ISNUMBER(SEARCH("PVC",$F2075)),ISNUMBER(SEARCH("vca",$J2075)),ISNUMBER(SEARCH("Transformação",$J2075))),"VCA",IF(OR(ISNUMBER(SEARCH("crava",$F2075)),ISNUMBER(SEARCH("tubo cravado",$F2075)),ISNUMBER(SEARCH("shaft",$J2075)),ISNUMBER(SEARCH("concreto",$F2075))),"TUBO CRAVADO","")))</f>
        <v/>
      </c>
      <c r="T2075">
        <f>IF($A2075="","",TEXT($A2075,"yyyymm")&amp;"|"&amp;$C2075&amp;"|"&amp;$F2075&amp;"|"&amp;$N2075&amp;"|"&amp;$R2075)</f>
        <v/>
      </c>
    </row>
    <row r="2076">
      <c r="A2076" s="11" t="n">
        <v>46139</v>
      </c>
      <c r="B2076" s="8" t="inlineStr">
        <is>
          <t>Segunda</t>
        </is>
      </c>
      <c r="C2076" s="7" t="inlineStr">
        <is>
          <t>CTS LUIS BOTELHO MOURÃO</t>
        </is>
      </c>
      <c r="D2076" s="7" t="inlineStr">
        <is>
          <t>ROBSON</t>
        </is>
      </c>
      <c r="E2076" s="24" t="inlineStr">
        <is>
          <t>marcio</t>
        </is>
      </c>
      <c r="F2076" s="25" t="inlineStr">
        <is>
          <t>vca + interligação PV05</t>
        </is>
      </c>
      <c r="G2076" s="24" t="n">
        <v>5</v>
      </c>
      <c r="H2076" s="24" t="n"/>
      <c r="I2076" s="24" t="n">
        <v>5</v>
      </c>
      <c r="J2076" s="25" t="inlineStr">
        <is>
          <t>vca + interligação PV05</t>
        </is>
      </c>
      <c r="K2076" s="24" t="inlineStr">
        <is>
          <t>Planejamento</t>
        </is>
      </c>
      <c r="L2076" s="17" t="inlineStr">
        <is>
          <t>PDS-Abril(2).docx</t>
        </is>
      </c>
      <c r="M2076">
        <f>IF($A2076="","",TEXT($A2076,"mmmm/yyyy"))</f>
        <v/>
      </c>
      <c r="P2076">
        <f>IFERROR(_xludf.XLOOKUP($N2076,Base_Enderecos!$A:$A,Base_Enderecos!$B:$B,""),"")</f>
        <v/>
      </c>
      <c r="Q2076">
        <f>IFERROR(_xludf.XLOOKUP($N2076,Base_Enderecos!$A:$A,Base_Enderecos!$C:$C,""),"")</f>
        <v/>
      </c>
      <c r="R2076">
        <f>IF(OR(ISNUMBER(SEARCH("HDD",$F2076)),ISNUMBER(SEARCH("MND",$F2076)),ISNUMBER(SEARCH("PEAD",$F2076)),ISNUMBER(SEARCH("Puxe",$J2076)),ISNUMBER(SEARCH("Apoio HDD",$F2076))),"MND",IF(OR(ISNUMBER(SEARCH("VCA",$F2076)),ISNUMBER(SEARCH("PVC",$F2076)),ISNUMBER(SEARCH("vca",$J2076)),ISNUMBER(SEARCH("Transformação",$J2076))),"VCA",IF(OR(ISNUMBER(SEARCH("crava",$F2076)),ISNUMBER(SEARCH("tubo cravado",$F2076)),ISNUMBER(SEARCH("shaft",$J2076)),ISNUMBER(SEARCH("concreto",$F2076))),"TUBO CRAVADO","")))</f>
        <v/>
      </c>
      <c r="T2076">
        <f>IF($A2076="","",TEXT($A2076,"yyyymm")&amp;"|"&amp;$C2076&amp;"|"&amp;$F2076&amp;"|"&amp;$N2076&amp;"|"&amp;$R2076)</f>
        <v/>
      </c>
    </row>
    <row r="2077">
      <c r="A2077" s="11" t="n">
        <v>46139</v>
      </c>
      <c r="B2077" s="8" t="inlineStr">
        <is>
          <t>Segunda</t>
        </is>
      </c>
      <c r="C2077" s="7" t="inlineStr">
        <is>
          <t>CTS LUIS BOTELHO MOURÃO</t>
        </is>
      </c>
      <c r="D2077" s="7" t="inlineStr">
        <is>
          <t>ROBSON</t>
        </is>
      </c>
      <c r="E2077" s="24" t="inlineStr">
        <is>
          <t>Higor</t>
        </is>
      </c>
      <c r="F2077" s="25" t="inlineStr">
        <is>
          <t>transformação PV06</t>
        </is>
      </c>
      <c r="G2077" s="24" t="n">
        <v>6</v>
      </c>
      <c r="H2077" s="24" t="n"/>
      <c r="I2077" s="24" t="n">
        <v>6</v>
      </c>
      <c r="J2077" s="24" t="inlineStr">
        <is>
          <t>Transformação</t>
        </is>
      </c>
      <c r="K2077" s="24" t="inlineStr">
        <is>
          <t>Planejamento</t>
        </is>
      </c>
      <c r="L2077" s="17" t="inlineStr">
        <is>
          <t>PDS-Abril(2).docx</t>
        </is>
      </c>
      <c r="M2077">
        <f>IF($A2077="","",TEXT($A2077,"mmmm/yyyy"))</f>
        <v/>
      </c>
      <c r="P2077">
        <f>IFERROR(_xludf.XLOOKUP($N2077,Base_Enderecos!$A:$A,Base_Enderecos!$B:$B,""),"")</f>
        <v/>
      </c>
      <c r="Q2077">
        <f>IFERROR(_xludf.XLOOKUP($N2077,Base_Enderecos!$A:$A,Base_Enderecos!$C:$C,""),"")</f>
        <v/>
      </c>
      <c r="R2077">
        <f>IF(OR(ISNUMBER(SEARCH("HDD",$F2077)),ISNUMBER(SEARCH("MND",$F2077)),ISNUMBER(SEARCH("PEAD",$F2077)),ISNUMBER(SEARCH("Puxe",$J2077)),ISNUMBER(SEARCH("Apoio HDD",$F2077))),"MND",IF(OR(ISNUMBER(SEARCH("VCA",$F2077)),ISNUMBER(SEARCH("PVC",$F2077)),ISNUMBER(SEARCH("vca",$J2077)),ISNUMBER(SEARCH("Transformação",$J2077))),"VCA",IF(OR(ISNUMBER(SEARCH("crava",$F2077)),ISNUMBER(SEARCH("tubo cravado",$F2077)),ISNUMBER(SEARCH("shaft",$J2077)),ISNUMBER(SEARCH("concreto",$F2077))),"TUBO CRAVADO","")))</f>
        <v/>
      </c>
      <c r="T2077">
        <f>IF($A2077="","",TEXT($A2077,"yyyymm")&amp;"|"&amp;$C2077&amp;"|"&amp;$F2077&amp;"|"&amp;$N2077&amp;"|"&amp;$R2077)</f>
        <v/>
      </c>
    </row>
    <row r="2078">
      <c r="A2078" s="11" t="n">
        <v>46139</v>
      </c>
      <c r="B2078" s="8" t="inlineStr">
        <is>
          <t>Segunda</t>
        </is>
      </c>
      <c r="C2078" s="7" t="inlineStr">
        <is>
          <t>CTS LUIS BOTELHO MOURÃO</t>
        </is>
      </c>
      <c r="D2078" s="7" t="inlineStr">
        <is>
          <t>ROBSON</t>
        </is>
      </c>
      <c r="E2078" s="24" t="inlineStr">
        <is>
          <t>Valter</t>
        </is>
      </c>
      <c r="F2078" s="25" t="inlineStr">
        <is>
          <t>transformação PV07</t>
        </is>
      </c>
      <c r="G2078" s="24" t="n">
        <v>7</v>
      </c>
      <c r="H2078" s="24" t="n"/>
      <c r="I2078" s="24" t="n">
        <v>7</v>
      </c>
      <c r="J2078" s="24" t="inlineStr">
        <is>
          <t>Transformação</t>
        </is>
      </c>
      <c r="K2078" s="24" t="inlineStr">
        <is>
          <t>Planejamento</t>
        </is>
      </c>
      <c r="L2078" s="17" t="inlineStr">
        <is>
          <t>PDS-Abril(2).docx</t>
        </is>
      </c>
      <c r="M2078">
        <f>IF($A2078="","",TEXT($A2078,"mmmm/yyyy"))</f>
        <v/>
      </c>
      <c r="P2078">
        <f>IFERROR(_xludf.XLOOKUP($N2078,Base_Enderecos!$A:$A,Base_Enderecos!$B:$B,""),"")</f>
        <v/>
      </c>
      <c r="Q2078">
        <f>IFERROR(_xludf.XLOOKUP($N2078,Base_Enderecos!$A:$A,Base_Enderecos!$C:$C,""),"")</f>
        <v/>
      </c>
      <c r="R2078">
        <f>IF(OR(ISNUMBER(SEARCH("HDD",$F2078)),ISNUMBER(SEARCH("MND",$F2078)),ISNUMBER(SEARCH("PEAD",$F2078)),ISNUMBER(SEARCH("Puxe",$J2078)),ISNUMBER(SEARCH("Apoio HDD",$F2078))),"MND",IF(OR(ISNUMBER(SEARCH("VCA",$F2078)),ISNUMBER(SEARCH("PVC",$F2078)),ISNUMBER(SEARCH("vca",$J2078)),ISNUMBER(SEARCH("Transformação",$J2078))),"VCA",IF(OR(ISNUMBER(SEARCH("crava",$F2078)),ISNUMBER(SEARCH("tubo cravado",$F2078)),ISNUMBER(SEARCH("shaft",$J2078)),ISNUMBER(SEARCH("concreto",$F2078))),"TUBO CRAVADO","")))</f>
        <v/>
      </c>
      <c r="T2078">
        <f>IF($A2078="","",TEXT($A2078,"yyyymm")&amp;"|"&amp;$C2078&amp;"|"&amp;$F2078&amp;"|"&amp;$N2078&amp;"|"&amp;$R2078)</f>
        <v/>
      </c>
    </row>
    <row r="2079">
      <c r="A2079" s="11" t="n">
        <v>46140</v>
      </c>
      <c r="B2079" s="8" t="inlineStr">
        <is>
          <t>Terça</t>
        </is>
      </c>
      <c r="C2079" s="7" t="n"/>
      <c r="D2079" s="7" t="n"/>
      <c r="E2079" s="24" t="inlineStr">
        <is>
          <t>Mar de Coral – Renasce</t>
        </is>
      </c>
      <c r="F2079" s="13" t="inlineStr">
        <is>
          <t>Apoio Vacal</t>
        </is>
      </c>
      <c r="G2079" s="24" t="n"/>
      <c r="H2079" s="24" t="n"/>
      <c r="I2079" s="24" t="n"/>
      <c r="J2079" s="27" t="inlineStr">
        <is>
          <t>Vacal</t>
        </is>
      </c>
      <c r="K2079" s="27" t="inlineStr">
        <is>
          <t>Apoio</t>
        </is>
      </c>
      <c r="L2079" s="17" t="inlineStr">
        <is>
          <t>PDS-Abril(2).docx</t>
        </is>
      </c>
      <c r="M2079">
        <f>IF($A2079="","",TEXT($A2079,"mmmm/yyyy"))</f>
        <v/>
      </c>
      <c r="P2079">
        <f>IFERROR(_xludf.XLOOKUP($N2079,Base_Enderecos!$A:$A,Base_Enderecos!$B:$B,""),"")</f>
        <v/>
      </c>
      <c r="Q2079">
        <f>IFERROR(_xludf.XLOOKUP($N2079,Base_Enderecos!$A:$A,Base_Enderecos!$C:$C,""),"")</f>
        <v/>
      </c>
      <c r="R2079">
        <f>IF(OR(ISNUMBER(SEARCH("HDD",$F2079)),ISNUMBER(SEARCH("MND",$F2079)),ISNUMBER(SEARCH("PEAD",$F2079)),ISNUMBER(SEARCH("Puxe",$J2079)),ISNUMBER(SEARCH("Apoio HDD",$F2079))),"MND",IF(OR(ISNUMBER(SEARCH("VCA",$F2079)),ISNUMBER(SEARCH("PVC",$F2079)),ISNUMBER(SEARCH("vca",$J2079)),ISNUMBER(SEARCH("Transformação",$J2079))),"VCA",IF(OR(ISNUMBER(SEARCH("crava",$F2079)),ISNUMBER(SEARCH("tubo cravado",$F2079)),ISNUMBER(SEARCH("shaft",$J2079)),ISNUMBER(SEARCH("concreto",$F2079))),"TUBO CRAVADO","")))</f>
        <v/>
      </c>
      <c r="T2079">
        <f>IF($A2079="","",TEXT($A2079,"yyyymm")&amp;"|"&amp;$C2079&amp;"|"&amp;$F2079&amp;"|"&amp;$N2079&amp;"|"&amp;$R2079)</f>
        <v/>
      </c>
    </row>
    <row r="2080">
      <c r="A2080" s="11" t="n">
        <v>46140</v>
      </c>
      <c r="B2080" s="8" t="inlineStr">
        <is>
          <t>Terça</t>
        </is>
      </c>
      <c r="C2080" s="7" t="n"/>
      <c r="D2080" s="7" t="n"/>
      <c r="E2080" s="24" t="inlineStr">
        <is>
          <t>Conceição – Renasce</t>
        </is>
      </c>
      <c r="F2080" s="13" t="inlineStr">
        <is>
          <t>Apoio Vacal</t>
        </is>
      </c>
      <c r="J2080" s="27" t="inlineStr">
        <is>
          <t>Vacal</t>
        </is>
      </c>
      <c r="K2080" s="27" t="inlineStr">
        <is>
          <t>Apoio</t>
        </is>
      </c>
      <c r="L2080" s="17" t="inlineStr">
        <is>
          <t>PDS-Abril(2).docx</t>
        </is>
      </c>
      <c r="M2080">
        <f>IF($A2080="","",TEXT($A2080,"mmmm/yyyy"))</f>
        <v/>
      </c>
      <c r="P2080">
        <f>IFERROR(_xludf.XLOOKUP($N2080,Base_Enderecos!$A:$A,Base_Enderecos!$B:$B,""),"")</f>
        <v/>
      </c>
      <c r="Q2080">
        <f>IFERROR(_xludf.XLOOKUP($N2080,Base_Enderecos!$A:$A,Base_Enderecos!$C:$C,""),"")</f>
        <v/>
      </c>
      <c r="R2080">
        <f>IF(OR(ISNUMBER(SEARCH("HDD",$F2080)),ISNUMBER(SEARCH("MND",$F2080)),ISNUMBER(SEARCH("PEAD",$F2080)),ISNUMBER(SEARCH("Puxe",$J2080)),ISNUMBER(SEARCH("Apoio HDD",$F2080))),"MND",IF(OR(ISNUMBER(SEARCH("VCA",$F2080)),ISNUMBER(SEARCH("PVC",$F2080)),ISNUMBER(SEARCH("vca",$J2080)),ISNUMBER(SEARCH("Transformação",$J2080))),"VCA",IF(OR(ISNUMBER(SEARCH("crava",$F2080)),ISNUMBER(SEARCH("tubo cravado",$F2080)),ISNUMBER(SEARCH("shaft",$J2080)),ISNUMBER(SEARCH("concreto",$F2080))),"TUBO CRAVADO","")))</f>
        <v/>
      </c>
      <c r="T2080">
        <f>IF($A2080="","",TEXT($A2080,"yyyymm")&amp;"|"&amp;$C2080&amp;"|"&amp;$F2080&amp;"|"&amp;$N2080&amp;"|"&amp;$R2080)</f>
        <v/>
      </c>
    </row>
    <row r="2081">
      <c r="A2081" s="11" t="n">
        <v>46140</v>
      </c>
      <c r="B2081" s="8" t="inlineStr">
        <is>
          <t>Terça</t>
        </is>
      </c>
      <c r="C2081" s="7" t="n"/>
      <c r="D2081" s="7" t="n"/>
      <c r="E2081" s="24" t="inlineStr">
        <is>
          <t xml:space="preserve"> Botelho Mourão – Henko</t>
        </is>
      </c>
      <c r="F2081" s="13" t="inlineStr">
        <is>
          <t>Apoio Vacal</t>
        </is>
      </c>
      <c r="J2081" s="27" t="inlineStr">
        <is>
          <t>Vacal</t>
        </is>
      </c>
      <c r="K2081" s="27" t="inlineStr">
        <is>
          <t>Apoio</t>
        </is>
      </c>
      <c r="L2081" s="17" t="inlineStr">
        <is>
          <t>PDS-Abril(2).docx</t>
        </is>
      </c>
      <c r="M2081">
        <f>IF($A2081="","",TEXT($A2081,"mmmm/yyyy"))</f>
        <v/>
      </c>
      <c r="P2081">
        <f>IFERROR(_xludf.XLOOKUP($N2081,Base_Enderecos!$A:$A,Base_Enderecos!$B:$B,""),"")</f>
        <v/>
      </c>
      <c r="Q2081">
        <f>IFERROR(_xludf.XLOOKUP($N2081,Base_Enderecos!$A:$A,Base_Enderecos!$C:$C,""),"")</f>
        <v/>
      </c>
      <c r="R2081">
        <f>IF(OR(ISNUMBER(SEARCH("HDD",$F2081)),ISNUMBER(SEARCH("MND",$F2081)),ISNUMBER(SEARCH("PEAD",$F2081)),ISNUMBER(SEARCH("Puxe",$J2081)),ISNUMBER(SEARCH("Apoio HDD",$F2081))),"MND",IF(OR(ISNUMBER(SEARCH("VCA",$F2081)),ISNUMBER(SEARCH("PVC",$F2081)),ISNUMBER(SEARCH("vca",$J2081)),ISNUMBER(SEARCH("Transformação",$J2081))),"VCA",IF(OR(ISNUMBER(SEARCH("crava",$F2081)),ISNUMBER(SEARCH("tubo cravado",$F2081)),ISNUMBER(SEARCH("shaft",$J2081)),ISNUMBER(SEARCH("concreto",$F2081))),"TUBO CRAVADO","")))</f>
        <v/>
      </c>
      <c r="T2081">
        <f>IF($A2081="","",TEXT($A2081,"yyyymm")&amp;"|"&amp;$C2081&amp;"|"&amp;$F2081&amp;"|"&amp;$N2081&amp;"|"&amp;$R2081)</f>
        <v/>
      </c>
    </row>
    <row r="2082">
      <c r="A2082" s="11" t="n">
        <v>46140</v>
      </c>
      <c r="B2082" s="8" t="inlineStr">
        <is>
          <t>Terça</t>
        </is>
      </c>
      <c r="C2082" s="7" t="n"/>
      <c r="D2082" s="7" t="n"/>
      <c r="E2082" s="24" t="inlineStr">
        <is>
          <t>Botelho Mourão – Henko</t>
        </is>
      </c>
      <c r="F2082" s="13" t="inlineStr">
        <is>
          <t>Apoio Vacal</t>
        </is>
      </c>
      <c r="J2082" s="27" t="inlineStr">
        <is>
          <t>Vacal</t>
        </is>
      </c>
      <c r="K2082" s="27" t="inlineStr">
        <is>
          <t>Apoio</t>
        </is>
      </c>
      <c r="L2082" s="17" t="inlineStr">
        <is>
          <t>PDS-Abril(2).docx</t>
        </is>
      </c>
      <c r="M2082">
        <f>IF($A2082="","",TEXT($A2082,"mmmm/yyyy"))</f>
        <v/>
      </c>
      <c r="P2082">
        <f>IFERROR(_xludf.XLOOKUP($N2082,Base_Enderecos!$A:$A,Base_Enderecos!$B:$B,""),"")</f>
        <v/>
      </c>
      <c r="Q2082">
        <f>IFERROR(_xludf.XLOOKUP($N2082,Base_Enderecos!$A:$A,Base_Enderecos!$C:$C,""),"")</f>
        <v/>
      </c>
      <c r="R2082">
        <f>IF(OR(ISNUMBER(SEARCH("HDD",$F2082)),ISNUMBER(SEARCH("MND",$F2082)),ISNUMBER(SEARCH("PEAD",$F2082)),ISNUMBER(SEARCH("Puxe",$J2082)),ISNUMBER(SEARCH("Apoio HDD",$F2082))),"MND",IF(OR(ISNUMBER(SEARCH("VCA",$F2082)),ISNUMBER(SEARCH("PVC",$F2082)),ISNUMBER(SEARCH("vca",$J2082)),ISNUMBER(SEARCH("Transformação",$J2082))),"VCA",IF(OR(ISNUMBER(SEARCH("crava",$F2082)),ISNUMBER(SEARCH("tubo cravado",$F2082)),ISNUMBER(SEARCH("shaft",$J2082)),ISNUMBER(SEARCH("concreto",$F2082))),"TUBO CRAVADO","")))</f>
        <v/>
      </c>
      <c r="T2082">
        <f>IF($A2082="","",TEXT($A2082,"yyyymm")&amp;"|"&amp;$C2082&amp;"|"&amp;$F2082&amp;"|"&amp;$N2082&amp;"|"&amp;$R2082)</f>
        <v/>
      </c>
    </row>
    <row r="2083">
      <c r="A2083" s="11" t="n">
        <v>46140</v>
      </c>
      <c r="B2083" s="8" t="inlineStr">
        <is>
          <t>Terça</t>
        </is>
      </c>
      <c r="C2083" s="7" t="n"/>
      <c r="D2083" s="7" t="n"/>
      <c r="E2083" s="24" t="inlineStr">
        <is>
          <t>Água Vermelha MD – Renasce</t>
        </is>
      </c>
      <c r="F2083" s="13" t="inlineStr">
        <is>
          <t>Apoio Vacal</t>
        </is>
      </c>
      <c r="J2083" s="27" t="inlineStr">
        <is>
          <t>Vacal</t>
        </is>
      </c>
      <c r="K2083" s="27" t="inlineStr">
        <is>
          <t>Apoio</t>
        </is>
      </c>
      <c r="L2083" s="17" t="inlineStr">
        <is>
          <t>PDS-Abril(2).docx</t>
        </is>
      </c>
      <c r="M2083">
        <f>IF($A2083="","",TEXT($A2083,"mmmm/yyyy"))</f>
        <v/>
      </c>
      <c r="P2083">
        <f>IFERROR(_xludf.XLOOKUP($N2083,Base_Enderecos!$A:$A,Base_Enderecos!$B:$B,""),"")</f>
        <v/>
      </c>
      <c r="Q2083">
        <f>IFERROR(_xludf.XLOOKUP($N2083,Base_Enderecos!$A:$A,Base_Enderecos!$C:$C,""),"")</f>
        <v/>
      </c>
      <c r="R2083">
        <f>IF(OR(ISNUMBER(SEARCH("HDD",$F2083)),ISNUMBER(SEARCH("MND",$F2083)),ISNUMBER(SEARCH("PEAD",$F2083)),ISNUMBER(SEARCH("Puxe",$J2083)),ISNUMBER(SEARCH("Apoio HDD",$F2083))),"MND",IF(OR(ISNUMBER(SEARCH("VCA",$F2083)),ISNUMBER(SEARCH("PVC",$F2083)),ISNUMBER(SEARCH("vca",$J2083)),ISNUMBER(SEARCH("Transformação",$J2083))),"VCA",IF(OR(ISNUMBER(SEARCH("crava",$F2083)),ISNUMBER(SEARCH("tubo cravado",$F2083)),ISNUMBER(SEARCH("shaft",$J2083)),ISNUMBER(SEARCH("concreto",$F2083))),"TUBO CRAVADO","")))</f>
        <v/>
      </c>
      <c r="T2083">
        <f>IF($A2083="","",TEXT($A2083,"yyyymm")&amp;"|"&amp;$C2083&amp;"|"&amp;$F2083&amp;"|"&amp;$N2083&amp;"|"&amp;$R2083)</f>
        <v/>
      </c>
    </row>
    <row r="2084">
      <c r="A2084" s="11" t="n">
        <v>46140</v>
      </c>
      <c r="B2084" s="8" t="inlineStr">
        <is>
          <t>Terça</t>
        </is>
      </c>
      <c r="C2084" s="7" t="n"/>
      <c r="D2084" s="7" t="n"/>
      <c r="E2084" s="24" t="inlineStr">
        <is>
          <t>Água Vermelha MD – Renasce</t>
        </is>
      </c>
      <c r="F2084" s="13" t="inlineStr">
        <is>
          <t>Apoio Vacal</t>
        </is>
      </c>
      <c r="J2084" s="27" t="inlineStr">
        <is>
          <t>Vacal</t>
        </is>
      </c>
      <c r="K2084" s="27" t="inlineStr">
        <is>
          <t>Apoio</t>
        </is>
      </c>
      <c r="L2084" s="17" t="inlineStr">
        <is>
          <t>PDS-Abril(2).docx</t>
        </is>
      </c>
      <c r="M2084">
        <f>IF($A2084="","",TEXT($A2084,"mmmm/yyyy"))</f>
        <v/>
      </c>
      <c r="P2084">
        <f>IFERROR(_xludf.XLOOKUP($N2084,Base_Enderecos!$A:$A,Base_Enderecos!$B:$B,""),"")</f>
        <v/>
      </c>
      <c r="Q2084">
        <f>IFERROR(_xludf.XLOOKUP($N2084,Base_Enderecos!$A:$A,Base_Enderecos!$C:$C,""),"")</f>
        <v/>
      </c>
      <c r="R2084">
        <f>IF(OR(ISNUMBER(SEARCH("HDD",$F2084)),ISNUMBER(SEARCH("MND",$F2084)),ISNUMBER(SEARCH("PEAD",$F2084)),ISNUMBER(SEARCH("Puxe",$J2084)),ISNUMBER(SEARCH("Apoio HDD",$F2084))),"MND",IF(OR(ISNUMBER(SEARCH("VCA",$F2084)),ISNUMBER(SEARCH("PVC",$F2084)),ISNUMBER(SEARCH("vca",$J2084)),ISNUMBER(SEARCH("Transformação",$J2084))),"VCA",IF(OR(ISNUMBER(SEARCH("crava",$F2084)),ISNUMBER(SEARCH("tubo cravado",$F2084)),ISNUMBER(SEARCH("shaft",$J2084)),ISNUMBER(SEARCH("concreto",$F2084))),"TUBO CRAVADO","")))</f>
        <v/>
      </c>
      <c r="T2084">
        <f>IF($A2084="","",TEXT($A2084,"yyyymm")&amp;"|"&amp;$C2084&amp;"|"&amp;$F2084&amp;"|"&amp;$N2084&amp;"|"&amp;$R2084)</f>
        <v/>
      </c>
    </row>
    <row r="2085">
      <c r="A2085" s="11" t="n">
        <v>46140</v>
      </c>
      <c r="B2085" s="8" t="inlineStr">
        <is>
          <t>Terça</t>
        </is>
      </c>
      <c r="C2085" s="7" t="inlineStr">
        <is>
          <t>Guindauto</t>
        </is>
      </c>
      <c r="D2085" s="7" t="n"/>
      <c r="E2085" s="24" t="inlineStr">
        <is>
          <t xml:space="preserve">Luiz Carlos </t>
        </is>
      </c>
      <c r="F2085" s="13" t="inlineStr">
        <is>
          <t xml:space="preserve"> Luiz Carlos - Apoio as equipes</t>
        </is>
      </c>
      <c r="J2085" s="7" t="inlineStr">
        <is>
          <t>Guindauto</t>
        </is>
      </c>
      <c r="K2085" s="27" t="inlineStr">
        <is>
          <t>Apoio</t>
        </is>
      </c>
      <c r="L2085" s="17" t="inlineStr">
        <is>
          <t>PDS-Abril(2).docx</t>
        </is>
      </c>
      <c r="M2085">
        <f>IF($A2085="","",TEXT($A2085,"mmmm/yyyy"))</f>
        <v/>
      </c>
      <c r="P2085">
        <f>IFERROR(_xludf.XLOOKUP($N2085,Base_Enderecos!$A:$A,Base_Enderecos!$B:$B,""),"")</f>
        <v/>
      </c>
      <c r="Q2085">
        <f>IFERROR(_xludf.XLOOKUP($N2085,Base_Enderecos!$A:$A,Base_Enderecos!$C:$C,""),"")</f>
        <v/>
      </c>
      <c r="R2085">
        <f>IF(OR(ISNUMBER(SEARCH("HDD",$F2085)),ISNUMBER(SEARCH("MND",$F2085)),ISNUMBER(SEARCH("PEAD",$F2085)),ISNUMBER(SEARCH("Puxe",$J2085)),ISNUMBER(SEARCH("Apoio HDD",$F2085))),"MND",IF(OR(ISNUMBER(SEARCH("VCA",$F2085)),ISNUMBER(SEARCH("PVC",$F2085)),ISNUMBER(SEARCH("vca",$J2085)),ISNUMBER(SEARCH("Transformação",$J2085))),"VCA",IF(OR(ISNUMBER(SEARCH("crava",$F2085)),ISNUMBER(SEARCH("tubo cravado",$F2085)),ISNUMBER(SEARCH("shaft",$J2085)),ISNUMBER(SEARCH("concreto",$F2085))),"TUBO CRAVADO","")))</f>
        <v/>
      </c>
      <c r="T2085">
        <f>IF($A2085="","",TEXT($A2085,"yyyymm")&amp;"|"&amp;$C2085&amp;"|"&amp;$F2085&amp;"|"&amp;$N2085&amp;"|"&amp;$R2085)</f>
        <v/>
      </c>
    </row>
    <row r="2086" ht="11.55" customHeight="1">
      <c r="A2086" s="11" t="n">
        <v>46140</v>
      </c>
      <c r="B2086" s="8" t="inlineStr">
        <is>
          <t>Terça</t>
        </is>
      </c>
      <c r="C2086" s="7" t="inlineStr">
        <is>
          <t>Guindauto</t>
        </is>
      </c>
      <c r="D2086" s="7" t="n"/>
      <c r="E2086" s="24" t="inlineStr">
        <is>
          <t>Marcio</t>
        </is>
      </c>
      <c r="F2086" s="13" t="inlineStr">
        <is>
          <t>Marcio - Apoio as equipes</t>
        </is>
      </c>
      <c r="G2086" s="7" t="n"/>
      <c r="H2086" s="7" t="n"/>
      <c r="I2086" s="7" t="n"/>
      <c r="J2086" s="7" t="inlineStr">
        <is>
          <t>Guindauto</t>
        </is>
      </c>
      <c r="K2086" s="7" t="inlineStr">
        <is>
          <t>Apoio</t>
        </is>
      </c>
      <c r="L2086" s="16" t="inlineStr">
        <is>
          <t>PDS-Abril(2).docx</t>
        </is>
      </c>
      <c r="M2086">
        <f>IF($A2086="","",TEXT($A2086,"mmmm/yyyy"))</f>
        <v/>
      </c>
      <c r="P2086">
        <f>IFERROR(_xludf.XLOOKUP($N2086,Base_Enderecos!$A:$A,Base_Enderecos!$B:$B,""),"")</f>
        <v/>
      </c>
      <c r="Q2086">
        <f>IFERROR(_xludf.XLOOKUP($N2086,Base_Enderecos!$A:$A,Base_Enderecos!$C:$C,""),"")</f>
        <v/>
      </c>
      <c r="R2086">
        <f>IF(OR(ISNUMBER(SEARCH("HDD",$F2086)),ISNUMBER(SEARCH("MND",$F2086)),ISNUMBER(SEARCH("PEAD",$F2086)),ISNUMBER(SEARCH("Puxe",$J2086)),ISNUMBER(SEARCH("Apoio HDD",$F2086))),"MND",IF(OR(ISNUMBER(SEARCH("VCA",$F2086)),ISNUMBER(SEARCH("PVC",$F2086)),ISNUMBER(SEARCH("vca",$J2086)),ISNUMBER(SEARCH("Transformação",$J2086))),"VCA",IF(OR(ISNUMBER(SEARCH("crava",$F2086)),ISNUMBER(SEARCH("tubo cravado",$F2086)),ISNUMBER(SEARCH("shaft",$J2086)),ISNUMBER(SEARCH("concreto",$F2086))),"TUBO CRAVADO","")))</f>
        <v/>
      </c>
      <c r="T2086">
        <f>IF($A2086="","",TEXT($A2086,"yyyymm")&amp;"|"&amp;$C2086&amp;"|"&amp;$F2086&amp;"|"&amp;$N2086&amp;"|"&amp;$R2086)</f>
        <v/>
      </c>
    </row>
    <row r="2087">
      <c r="A2087" s="11" t="n">
        <v>46140</v>
      </c>
      <c r="B2087" s="8" t="inlineStr">
        <is>
          <t>Terça</t>
        </is>
      </c>
      <c r="C2087" s="7" t="inlineStr">
        <is>
          <t>CTS CONCEIÇÃO</t>
        </is>
      </c>
      <c r="D2087" s="7" t="inlineStr">
        <is>
          <t>LEANDRO</t>
        </is>
      </c>
      <c r="E2087" s="24" t="inlineStr">
        <is>
          <t xml:space="preserve">Carlos </t>
        </is>
      </c>
      <c r="F2087" s="25" t="inlineStr">
        <is>
          <t>transformação PV10</t>
        </is>
      </c>
      <c r="G2087" s="26" t="n">
        <v>10</v>
      </c>
      <c r="I2087" s="26" t="n">
        <v>10</v>
      </c>
      <c r="J2087" s="24" t="inlineStr">
        <is>
          <t>Transformação</t>
        </is>
      </c>
      <c r="K2087" s="24" t="inlineStr">
        <is>
          <t>Planejamento</t>
        </is>
      </c>
      <c r="L2087" s="17" t="inlineStr">
        <is>
          <t>PDS-Abril(2).docx</t>
        </is>
      </c>
      <c r="M2087">
        <f>IF($A2087="","",TEXT($A2087,"mmmm/yyyy"))</f>
        <v/>
      </c>
      <c r="P2087">
        <f>IFERROR(_xludf.XLOOKUP($N2087,Base_Enderecos!$A:$A,Base_Enderecos!$B:$B,""),"")</f>
        <v/>
      </c>
      <c r="Q2087">
        <f>IFERROR(_xludf.XLOOKUP($N2087,Base_Enderecos!$A:$A,Base_Enderecos!$C:$C,""),"")</f>
        <v/>
      </c>
      <c r="R2087">
        <f>IF(OR(ISNUMBER(SEARCH("HDD",$F2087)),ISNUMBER(SEARCH("MND",$F2087)),ISNUMBER(SEARCH("PEAD",$F2087)),ISNUMBER(SEARCH("Puxe",$J2087)),ISNUMBER(SEARCH("Apoio HDD",$F2087))),"MND",IF(OR(ISNUMBER(SEARCH("VCA",$F2087)),ISNUMBER(SEARCH("PVC",$F2087)),ISNUMBER(SEARCH("vca",$J2087)),ISNUMBER(SEARCH("Transformação",$J2087))),"VCA",IF(OR(ISNUMBER(SEARCH("crava",$F2087)),ISNUMBER(SEARCH("tubo cravado",$F2087)),ISNUMBER(SEARCH("shaft",$J2087)),ISNUMBER(SEARCH("concreto",$F2087))),"TUBO CRAVADO","")))</f>
        <v/>
      </c>
      <c r="T2087">
        <f>IF($A2087="","",TEXT($A2087,"yyyymm")&amp;"|"&amp;$C2087&amp;"|"&amp;$F2087&amp;"|"&amp;$N2087&amp;"|"&amp;$R2087)</f>
        <v/>
      </c>
    </row>
    <row r="2088">
      <c r="A2088" s="11" t="n">
        <v>46140</v>
      </c>
      <c r="B2088" s="8" t="inlineStr">
        <is>
          <t>Terça</t>
        </is>
      </c>
      <c r="C2088" s="7" t="inlineStr">
        <is>
          <t>CTS CONCEIÇÃO</t>
        </is>
      </c>
      <c r="D2088" s="7" t="inlineStr">
        <is>
          <t>LEANDRO</t>
        </is>
      </c>
      <c r="E2088" s="29" t="inlineStr">
        <is>
          <t>Johnatham</t>
        </is>
      </c>
      <c r="F2088" s="25" t="inlineStr">
        <is>
          <t>transformação PV10.1</t>
        </is>
      </c>
      <c r="G2088" s="24" t="inlineStr">
        <is>
          <t>10.1</t>
        </is>
      </c>
      <c r="I2088" s="24" t="inlineStr">
        <is>
          <t>10.1</t>
        </is>
      </c>
      <c r="J2088" s="24" t="inlineStr">
        <is>
          <t>Transformação</t>
        </is>
      </c>
      <c r="K2088" s="24" t="inlineStr">
        <is>
          <t>Planejamento</t>
        </is>
      </c>
      <c r="L2088" s="17" t="inlineStr">
        <is>
          <t>PDS-Abril(2).docx</t>
        </is>
      </c>
      <c r="M2088">
        <f>IF($A2088="","",TEXT($A2088,"mmmm/yyyy"))</f>
        <v/>
      </c>
      <c r="P2088">
        <f>IFERROR(_xludf.XLOOKUP($N2088,Base_Enderecos!$A:$A,Base_Enderecos!$B:$B,""),"")</f>
        <v/>
      </c>
      <c r="Q2088">
        <f>IFERROR(_xludf.XLOOKUP($N2088,Base_Enderecos!$A:$A,Base_Enderecos!$C:$C,""),"")</f>
        <v/>
      </c>
      <c r="R2088">
        <f>IF(OR(ISNUMBER(SEARCH("HDD",$F2088)),ISNUMBER(SEARCH("MND",$F2088)),ISNUMBER(SEARCH("PEAD",$F2088)),ISNUMBER(SEARCH("Puxe",$J2088)),ISNUMBER(SEARCH("Apoio HDD",$F2088))),"MND",IF(OR(ISNUMBER(SEARCH("VCA",$F2088)),ISNUMBER(SEARCH("PVC",$F2088)),ISNUMBER(SEARCH("vca",$J2088)),ISNUMBER(SEARCH("Transformação",$J2088))),"VCA",IF(OR(ISNUMBER(SEARCH("crava",$F2088)),ISNUMBER(SEARCH("tubo cravado",$F2088)),ISNUMBER(SEARCH("shaft",$J2088)),ISNUMBER(SEARCH("concreto",$F2088))),"TUBO CRAVADO","")))</f>
        <v/>
      </c>
      <c r="T2088">
        <f>IF($A2088="","",TEXT($A2088,"yyyymm")&amp;"|"&amp;$C2088&amp;"|"&amp;$F2088&amp;"|"&amp;$N2088&amp;"|"&amp;$R2088)</f>
        <v/>
      </c>
    </row>
    <row r="2089">
      <c r="A2089" s="11" t="n">
        <v>46140</v>
      </c>
      <c r="B2089" s="8" t="inlineStr">
        <is>
          <t>Terça</t>
        </is>
      </c>
      <c r="C2089" s="7" t="inlineStr">
        <is>
          <t>CTS CONCEIÇÃO</t>
        </is>
      </c>
      <c r="D2089" s="7" t="inlineStr">
        <is>
          <t>LEANDRO</t>
        </is>
      </c>
      <c r="E2089" s="29" t="inlineStr">
        <is>
          <t>Emanuel</t>
        </is>
      </c>
      <c r="F2089" s="30" t="inlineStr">
        <is>
          <t>transformação PV10.2</t>
        </is>
      </c>
      <c r="G2089" s="29" t="inlineStr">
        <is>
          <t>10.2</t>
        </is>
      </c>
      <c r="I2089" s="29" t="inlineStr">
        <is>
          <t>10.2</t>
        </is>
      </c>
      <c r="J2089" s="24" t="inlineStr">
        <is>
          <t>Transformação</t>
        </is>
      </c>
      <c r="K2089" s="24" t="inlineStr">
        <is>
          <t>Planejamento</t>
        </is>
      </c>
      <c r="L2089" s="17" t="inlineStr">
        <is>
          <t>PDS-Abril(2).docx</t>
        </is>
      </c>
      <c r="M2089">
        <f>IF($A2089="","",TEXT($A2089,"mmmm/yyyy"))</f>
        <v/>
      </c>
      <c r="P2089">
        <f>IFERROR(_xludf.XLOOKUP($N2089,Base_Enderecos!$A:$A,Base_Enderecos!$B:$B,""),"")</f>
        <v/>
      </c>
      <c r="Q2089">
        <f>IFERROR(_xludf.XLOOKUP($N2089,Base_Enderecos!$A:$A,Base_Enderecos!$C:$C,""),"")</f>
        <v/>
      </c>
      <c r="R2089">
        <f>IF(OR(ISNUMBER(SEARCH("HDD",$F2089)),ISNUMBER(SEARCH("MND",$F2089)),ISNUMBER(SEARCH("PEAD",$F2089)),ISNUMBER(SEARCH("Puxe",$J2089)),ISNUMBER(SEARCH("Apoio HDD",$F2089))),"MND",IF(OR(ISNUMBER(SEARCH("VCA",$F2089)),ISNUMBER(SEARCH("PVC",$F2089)),ISNUMBER(SEARCH("vca",$J2089)),ISNUMBER(SEARCH("Transformação",$J2089))),"VCA",IF(OR(ISNUMBER(SEARCH("crava",$F2089)),ISNUMBER(SEARCH("tubo cravado",$F2089)),ISNUMBER(SEARCH("shaft",$J2089)),ISNUMBER(SEARCH("concreto",$F2089))),"TUBO CRAVADO","")))</f>
        <v/>
      </c>
      <c r="T2089">
        <f>IF($A2089="","",TEXT($A2089,"yyyymm")&amp;"|"&amp;$C2089&amp;"|"&amp;$F2089&amp;"|"&amp;$N2089&amp;"|"&amp;$R2089)</f>
        <v/>
      </c>
    </row>
    <row r="2090">
      <c r="A2090" s="11" t="n">
        <v>46140</v>
      </c>
      <c r="B2090" s="8" t="inlineStr">
        <is>
          <t>Terça</t>
        </is>
      </c>
      <c r="C2090" s="7" t="inlineStr">
        <is>
          <t xml:space="preserve">CTS Agua Vermelha M.D </t>
        </is>
      </c>
      <c r="D2090" s="7" t="inlineStr">
        <is>
          <t>FABIO</t>
        </is>
      </c>
      <c r="E2090" s="24" t="inlineStr">
        <is>
          <t>Marcelo</t>
        </is>
      </c>
      <c r="F2090" s="25" t="inlineStr">
        <is>
          <t>transformação PV12</t>
        </is>
      </c>
      <c r="G2090" s="24" t="n">
        <v>12</v>
      </c>
      <c r="I2090" s="24" t="n">
        <v>12</v>
      </c>
      <c r="J2090" s="24" t="inlineStr">
        <is>
          <t>Shaft</t>
        </is>
      </c>
      <c r="K2090" s="24" t="inlineStr">
        <is>
          <t>Planejamento</t>
        </is>
      </c>
      <c r="L2090" s="17" t="inlineStr">
        <is>
          <t>PDS-Abril(2).docx</t>
        </is>
      </c>
      <c r="M2090">
        <f>IF($A2090="","",TEXT($A2090,"mmmm/yyyy"))</f>
        <v/>
      </c>
      <c r="P2090">
        <f>IFERROR(_xludf.XLOOKUP($N2090,Base_Enderecos!$A:$A,Base_Enderecos!$B:$B,""),"")</f>
        <v/>
      </c>
      <c r="Q2090">
        <f>IFERROR(_xludf.XLOOKUP($N2090,Base_Enderecos!$A:$A,Base_Enderecos!$C:$C,""),"")</f>
        <v/>
      </c>
      <c r="R2090">
        <f>IF(OR(ISNUMBER(SEARCH("HDD",$F2090)),ISNUMBER(SEARCH("MND",$F2090)),ISNUMBER(SEARCH("PEAD",$F2090)),ISNUMBER(SEARCH("Puxe",$J2090)),ISNUMBER(SEARCH("Apoio HDD",$F2090))),"MND",IF(OR(ISNUMBER(SEARCH("VCA",$F2090)),ISNUMBER(SEARCH("PVC",$F2090)),ISNUMBER(SEARCH("vca",$J2090)),ISNUMBER(SEARCH("Transformação",$J2090))),"VCA",IF(OR(ISNUMBER(SEARCH("crava",$F2090)),ISNUMBER(SEARCH("tubo cravado",$F2090)),ISNUMBER(SEARCH("shaft",$J2090)),ISNUMBER(SEARCH("concreto",$F2090))),"TUBO CRAVADO","")))</f>
        <v/>
      </c>
      <c r="T2090">
        <f>IF($A2090="","",TEXT($A2090,"yyyymm")&amp;"|"&amp;$C2090&amp;"|"&amp;$F2090&amp;"|"&amp;$N2090&amp;"|"&amp;$R2090)</f>
        <v/>
      </c>
    </row>
    <row r="2091">
      <c r="A2091" s="11" t="n">
        <v>46140</v>
      </c>
      <c r="B2091" s="8" t="inlineStr">
        <is>
          <t>Terça</t>
        </is>
      </c>
      <c r="C2091" s="7" t="inlineStr">
        <is>
          <t xml:space="preserve">CTS Agua Vermelha M.D </t>
        </is>
      </c>
      <c r="D2091" s="7" t="inlineStr">
        <is>
          <t>FABIO</t>
        </is>
      </c>
      <c r="E2091" s="24" t="inlineStr">
        <is>
          <t>Antônio</t>
        </is>
      </c>
      <c r="F2091" s="25" t="inlineStr">
        <is>
          <t>transformação PV09</t>
        </is>
      </c>
      <c r="G2091" s="24" t="inlineStr">
        <is>
          <t>09</t>
        </is>
      </c>
      <c r="I2091" s="24" t="inlineStr">
        <is>
          <t>09</t>
        </is>
      </c>
      <c r="J2091" s="24" t="inlineStr">
        <is>
          <t>Shaft</t>
        </is>
      </c>
      <c r="K2091" s="24" t="inlineStr">
        <is>
          <t>Planejamento</t>
        </is>
      </c>
      <c r="L2091" s="17" t="inlineStr">
        <is>
          <t>PDS-Abril(2).docx</t>
        </is>
      </c>
      <c r="M2091">
        <f>IF($A2091="","",TEXT($A2091,"mmmm/yyyy"))</f>
        <v/>
      </c>
      <c r="P2091">
        <f>IFERROR(_xludf.XLOOKUP($N2091,Base_Enderecos!$A:$A,Base_Enderecos!$B:$B,""),"")</f>
        <v/>
      </c>
      <c r="Q2091">
        <f>IFERROR(_xludf.XLOOKUP($N2091,Base_Enderecos!$A:$A,Base_Enderecos!$C:$C,""),"")</f>
        <v/>
      </c>
      <c r="R2091">
        <f>IF(OR(ISNUMBER(SEARCH("HDD",$F2091)),ISNUMBER(SEARCH("MND",$F2091)),ISNUMBER(SEARCH("PEAD",$F2091)),ISNUMBER(SEARCH("Puxe",$J2091)),ISNUMBER(SEARCH("Apoio HDD",$F2091))),"MND",IF(OR(ISNUMBER(SEARCH("VCA",$F2091)),ISNUMBER(SEARCH("PVC",$F2091)),ISNUMBER(SEARCH("vca",$J2091)),ISNUMBER(SEARCH("Transformação",$J2091))),"VCA",IF(OR(ISNUMBER(SEARCH("crava",$F2091)),ISNUMBER(SEARCH("tubo cravado",$F2091)),ISNUMBER(SEARCH("shaft",$J2091)),ISNUMBER(SEARCH("concreto",$F2091))),"TUBO CRAVADO","")))</f>
        <v/>
      </c>
      <c r="T2091">
        <f>IF($A2091="","",TEXT($A2091,"yyyymm")&amp;"|"&amp;$C2091&amp;"|"&amp;$F2091&amp;"|"&amp;$N2091&amp;"|"&amp;$R2091)</f>
        <v/>
      </c>
    </row>
    <row r="2092">
      <c r="A2092" s="11" t="n">
        <v>46140</v>
      </c>
      <c r="B2092" s="8" t="inlineStr">
        <is>
          <t>Terça</t>
        </is>
      </c>
      <c r="C2092" s="7" t="inlineStr">
        <is>
          <t xml:space="preserve">CTS Agua Vermelha M.D </t>
        </is>
      </c>
      <c r="D2092" s="7" t="inlineStr">
        <is>
          <t>FABIO</t>
        </is>
      </c>
      <c r="E2092" s="24" t="inlineStr">
        <is>
          <t>Cesar</t>
        </is>
      </c>
      <c r="F2092" s="25" t="inlineStr">
        <is>
          <t>transformação PV17</t>
        </is>
      </c>
      <c r="G2092" s="24" t="n">
        <v>17</v>
      </c>
      <c r="I2092" s="24" t="n">
        <v>17</v>
      </c>
      <c r="J2092" s="24" t="inlineStr">
        <is>
          <t>Shaft</t>
        </is>
      </c>
      <c r="K2092" s="24" t="inlineStr">
        <is>
          <t>Planejamento</t>
        </is>
      </c>
      <c r="L2092" s="17" t="inlineStr">
        <is>
          <t>PDS-Abril(2).docx</t>
        </is>
      </c>
      <c r="M2092">
        <f>IF($A2092="","",TEXT($A2092,"mmmm/yyyy"))</f>
        <v/>
      </c>
      <c r="P2092">
        <f>IFERROR(_xludf.XLOOKUP($N2092,Base_Enderecos!$A:$A,Base_Enderecos!$B:$B,""),"")</f>
        <v/>
      </c>
      <c r="Q2092">
        <f>IFERROR(_xludf.XLOOKUP($N2092,Base_Enderecos!$A:$A,Base_Enderecos!$C:$C,""),"")</f>
        <v/>
      </c>
      <c r="R2092">
        <f>IF(OR(ISNUMBER(SEARCH("HDD",$F2092)),ISNUMBER(SEARCH("MND",$F2092)),ISNUMBER(SEARCH("PEAD",$F2092)),ISNUMBER(SEARCH("Puxe",$J2092)),ISNUMBER(SEARCH("Apoio HDD",$F2092))),"MND",IF(OR(ISNUMBER(SEARCH("VCA",$F2092)),ISNUMBER(SEARCH("PVC",$F2092)),ISNUMBER(SEARCH("vca",$J2092)),ISNUMBER(SEARCH("Transformação",$J2092))),"VCA",IF(OR(ISNUMBER(SEARCH("crava",$F2092)),ISNUMBER(SEARCH("tubo cravado",$F2092)),ISNUMBER(SEARCH("shaft",$J2092)),ISNUMBER(SEARCH("concreto",$F2092))),"TUBO CRAVADO","")))</f>
        <v/>
      </c>
      <c r="T2092">
        <f>IF($A2092="","",TEXT($A2092,"yyyymm")&amp;"|"&amp;$C2092&amp;"|"&amp;$F2092&amp;"|"&amp;$N2092&amp;"|"&amp;$R2092)</f>
        <v/>
      </c>
    </row>
    <row r="2093">
      <c r="A2093" s="11" t="n">
        <v>46140</v>
      </c>
      <c r="B2093" s="8" t="inlineStr">
        <is>
          <t>Terça</t>
        </is>
      </c>
      <c r="C2093" s="7" t="inlineStr">
        <is>
          <t>CTS Agua Vermelha M.E</t>
        </is>
      </c>
      <c r="D2093" s="7" t="inlineStr">
        <is>
          <t>VALMIR</t>
        </is>
      </c>
      <c r="E2093" s="24" t="inlineStr">
        <is>
          <t>Edivando</t>
        </is>
      </c>
      <c r="F2093" s="25" t="inlineStr">
        <is>
          <t>transformação PVE 6</t>
        </is>
      </c>
      <c r="G2093" s="24" t="n">
        <v>6</v>
      </c>
      <c r="I2093" s="24" t="n">
        <v>6</v>
      </c>
      <c r="J2093" s="24" t="inlineStr">
        <is>
          <t>Transformação</t>
        </is>
      </c>
      <c r="K2093" s="24" t="inlineStr">
        <is>
          <t>Planejamento</t>
        </is>
      </c>
      <c r="L2093" s="17" t="inlineStr">
        <is>
          <t>PDS-Abril(2).docx</t>
        </is>
      </c>
      <c r="M2093">
        <f>IF($A2093="","",TEXT($A2093,"mmmm/yyyy"))</f>
        <v/>
      </c>
      <c r="P2093">
        <f>IFERROR(_xludf.XLOOKUP($N2093,Base_Enderecos!$A:$A,Base_Enderecos!$B:$B,""),"")</f>
        <v/>
      </c>
      <c r="Q2093">
        <f>IFERROR(_xludf.XLOOKUP($N2093,Base_Enderecos!$A:$A,Base_Enderecos!$C:$C,""),"")</f>
        <v/>
      </c>
      <c r="R2093">
        <f>IF(OR(ISNUMBER(SEARCH("HDD",$F2093)),ISNUMBER(SEARCH("MND",$F2093)),ISNUMBER(SEARCH("PEAD",$F2093)),ISNUMBER(SEARCH("Puxe",$J2093)),ISNUMBER(SEARCH("Apoio HDD",$F2093))),"MND",IF(OR(ISNUMBER(SEARCH("VCA",$F2093)),ISNUMBER(SEARCH("PVC",$F2093)),ISNUMBER(SEARCH("vca",$J2093)),ISNUMBER(SEARCH("Transformação",$J2093))),"VCA",IF(OR(ISNUMBER(SEARCH("crava",$F2093)),ISNUMBER(SEARCH("tubo cravado",$F2093)),ISNUMBER(SEARCH("shaft",$J2093)),ISNUMBER(SEARCH("concreto",$F2093))),"TUBO CRAVADO","")))</f>
        <v/>
      </c>
      <c r="T2093">
        <f>IF($A2093="","",TEXT($A2093,"yyyymm")&amp;"|"&amp;$C2093&amp;"|"&amp;$F2093&amp;"|"&amp;$N2093&amp;"|"&amp;$R2093)</f>
        <v/>
      </c>
    </row>
    <row r="2094">
      <c r="A2094" s="11" t="n">
        <v>46140</v>
      </c>
      <c r="B2094" s="8" t="inlineStr">
        <is>
          <t>Terça</t>
        </is>
      </c>
      <c r="C2094" s="7" t="inlineStr">
        <is>
          <t>CTS Agua Vermelha M.E</t>
        </is>
      </c>
      <c r="D2094" s="7" t="inlineStr">
        <is>
          <t>VALMIR</t>
        </is>
      </c>
      <c r="E2094" s="24" t="inlineStr">
        <is>
          <t>Ricardo</t>
        </is>
      </c>
      <c r="F2094" s="30" t="inlineStr">
        <is>
          <t>shaft PVE 5.1</t>
        </is>
      </c>
      <c r="G2094" s="29" t="inlineStr">
        <is>
          <t>5.1</t>
        </is>
      </c>
      <c r="H2094" s="24" t="n"/>
      <c r="I2094" s="29" t="inlineStr">
        <is>
          <t>5.1</t>
        </is>
      </c>
      <c r="J2094" s="29" t="inlineStr">
        <is>
          <t>shaft</t>
        </is>
      </c>
      <c r="K2094" s="24" t="inlineStr">
        <is>
          <t>Planejamento</t>
        </is>
      </c>
      <c r="L2094" s="17" t="inlineStr">
        <is>
          <t>PDS-Abril(2).docx</t>
        </is>
      </c>
      <c r="M2094">
        <f>IF($A2094="","",TEXT($A2094,"mmmm/yyyy"))</f>
        <v/>
      </c>
      <c r="P2094">
        <f>IFERROR(_xludf.XLOOKUP($N2094,Base_Enderecos!$A:$A,Base_Enderecos!$B:$B,""),"")</f>
        <v/>
      </c>
      <c r="Q2094">
        <f>IFERROR(_xludf.XLOOKUP($N2094,Base_Enderecos!$A:$A,Base_Enderecos!$C:$C,""),"")</f>
        <v/>
      </c>
      <c r="R2094">
        <f>IF(OR(ISNUMBER(SEARCH("HDD",$F2094)),ISNUMBER(SEARCH("MND",$F2094)),ISNUMBER(SEARCH("PEAD",$F2094)),ISNUMBER(SEARCH("Puxe",$J2094)),ISNUMBER(SEARCH("Apoio HDD",$F2094))),"MND",IF(OR(ISNUMBER(SEARCH("VCA",$F2094)),ISNUMBER(SEARCH("PVC",$F2094)),ISNUMBER(SEARCH("vca",$J2094)),ISNUMBER(SEARCH("Transformação",$J2094))),"VCA",IF(OR(ISNUMBER(SEARCH("crava",$F2094)),ISNUMBER(SEARCH("tubo cravado",$F2094)),ISNUMBER(SEARCH("shaft",$J2094)),ISNUMBER(SEARCH("concreto",$F2094))),"TUBO CRAVADO","")))</f>
        <v/>
      </c>
      <c r="T2094">
        <f>IF($A2094="","",TEXT($A2094,"yyyymm")&amp;"|"&amp;$C2094&amp;"|"&amp;$F2094&amp;"|"&amp;$N2094&amp;"|"&amp;$R2094)</f>
        <v/>
      </c>
    </row>
    <row r="2095">
      <c r="A2095" s="11" t="n">
        <v>46140</v>
      </c>
      <c r="B2095" s="8" t="inlineStr">
        <is>
          <t>Terça</t>
        </is>
      </c>
      <c r="C2095" s="7" t="inlineStr">
        <is>
          <t>CTS MAR DE CORAL</t>
        </is>
      </c>
      <c r="D2095" s="7" t="inlineStr">
        <is>
          <t>SILVESTRE</t>
        </is>
      </c>
      <c r="E2095" s="24" t="inlineStr">
        <is>
          <t>Goiania Drill</t>
        </is>
      </c>
      <c r="F2095" s="25" t="inlineStr">
        <is>
          <t>Piloto e Puxe entre o PV10.9 ao PVE</t>
        </is>
      </c>
      <c r="G2095" s="24" t="inlineStr">
        <is>
          <t>10.9</t>
        </is>
      </c>
      <c r="H2095" s="24" t="inlineStr">
        <is>
          <t>PVE</t>
        </is>
      </c>
      <c r="I2095" s="24" t="inlineStr">
        <is>
          <t>10.8,PVE</t>
        </is>
      </c>
      <c r="J2095" s="24" t="inlineStr">
        <is>
          <t>Puxe</t>
        </is>
      </c>
      <c r="K2095" s="24" t="inlineStr">
        <is>
          <t>Planejamento</t>
        </is>
      </c>
      <c r="L2095" s="17" t="inlineStr">
        <is>
          <t>PDS-Abril(2).docx</t>
        </is>
      </c>
      <c r="M2095">
        <f>IF($A2095="","",TEXT($A2095,"mmmm/yyyy"))</f>
        <v/>
      </c>
      <c r="P2095">
        <f>IFERROR(_xludf.XLOOKUP($N2095,Base_Enderecos!$A:$A,Base_Enderecos!$B:$B,""),"")</f>
        <v/>
      </c>
      <c r="Q2095">
        <f>IFERROR(_xludf.XLOOKUP($N2095,Base_Enderecos!$A:$A,Base_Enderecos!$C:$C,""),"")</f>
        <v/>
      </c>
      <c r="R2095">
        <f>IF(OR(ISNUMBER(SEARCH("HDD",$F2095)),ISNUMBER(SEARCH("MND",$F2095)),ISNUMBER(SEARCH("PEAD",$F2095)),ISNUMBER(SEARCH("Puxe",$J2095)),ISNUMBER(SEARCH("Apoio HDD",$F2095))),"MND",IF(OR(ISNUMBER(SEARCH("VCA",$F2095)),ISNUMBER(SEARCH("PVC",$F2095)),ISNUMBER(SEARCH("vca",$J2095)),ISNUMBER(SEARCH("Transformação",$J2095))),"VCA",IF(OR(ISNUMBER(SEARCH("crava",$F2095)),ISNUMBER(SEARCH("tubo cravado",$F2095)),ISNUMBER(SEARCH("shaft",$J2095)),ISNUMBER(SEARCH("concreto",$F2095))),"TUBO CRAVADO","")))</f>
        <v/>
      </c>
      <c r="T2095">
        <f>IF($A2095="","",TEXT($A2095,"yyyymm")&amp;"|"&amp;$C2095&amp;"|"&amp;$F2095&amp;"|"&amp;$N2095&amp;"|"&amp;$R2095)</f>
        <v/>
      </c>
    </row>
    <row r="2096">
      <c r="A2096" s="11" t="n">
        <v>46140</v>
      </c>
      <c r="B2096" s="8" t="inlineStr">
        <is>
          <t>Terça</t>
        </is>
      </c>
      <c r="C2096" s="7" t="inlineStr">
        <is>
          <t>CTS MAR DE CORAL</t>
        </is>
      </c>
      <c r="D2096" s="7" t="inlineStr">
        <is>
          <t>SILVESTRE</t>
        </is>
      </c>
      <c r="E2096" s="24" t="inlineStr">
        <is>
          <t>Bruno</t>
        </is>
      </c>
      <c r="F2096" s="30" t="inlineStr">
        <is>
          <t>Interligação PVE</t>
        </is>
      </c>
      <c r="G2096" s="24" t="inlineStr">
        <is>
          <t>PVE</t>
        </is>
      </c>
      <c r="H2096" s="24" t="n"/>
      <c r="I2096" s="24" t="inlineStr">
        <is>
          <t>PVE</t>
        </is>
      </c>
      <c r="J2096" s="29" t="inlineStr">
        <is>
          <t>Interligação</t>
        </is>
      </c>
      <c r="K2096" s="24" t="inlineStr">
        <is>
          <t>Planejamento</t>
        </is>
      </c>
      <c r="L2096" s="17" t="inlineStr">
        <is>
          <t>PDS-Abril(2).docx</t>
        </is>
      </c>
      <c r="M2096">
        <f>IF($A2096="","",TEXT($A2096,"mmmm/yyyy"))</f>
        <v/>
      </c>
      <c r="P2096">
        <f>IFERROR(_xludf.XLOOKUP($N2096,Base_Enderecos!$A:$A,Base_Enderecos!$B:$B,""),"")</f>
        <v/>
      </c>
      <c r="Q2096">
        <f>IFERROR(_xludf.XLOOKUP($N2096,Base_Enderecos!$A:$A,Base_Enderecos!$C:$C,""),"")</f>
        <v/>
      </c>
      <c r="R2096">
        <f>IF(OR(ISNUMBER(SEARCH("HDD",$F2096)),ISNUMBER(SEARCH("MND",$F2096)),ISNUMBER(SEARCH("PEAD",$F2096)),ISNUMBER(SEARCH("Puxe",$J2096)),ISNUMBER(SEARCH("Apoio HDD",$F2096))),"MND",IF(OR(ISNUMBER(SEARCH("VCA",$F2096)),ISNUMBER(SEARCH("PVC",$F2096)),ISNUMBER(SEARCH("vca",$J2096)),ISNUMBER(SEARCH("Transformação",$J2096))),"VCA",IF(OR(ISNUMBER(SEARCH("crava",$F2096)),ISNUMBER(SEARCH("tubo cravado",$F2096)),ISNUMBER(SEARCH("shaft",$J2096)),ISNUMBER(SEARCH("concreto",$F2096))),"TUBO CRAVADO","")))</f>
        <v/>
      </c>
      <c r="T2096">
        <f>IF($A2096="","",TEXT($A2096,"yyyymm")&amp;"|"&amp;$C2096&amp;"|"&amp;$F2096&amp;"|"&amp;$N2096&amp;"|"&amp;$R2096)</f>
        <v/>
      </c>
    </row>
    <row r="2097">
      <c r="A2097" s="11" t="n">
        <v>46140</v>
      </c>
      <c r="B2097" s="8" t="inlineStr">
        <is>
          <t>Terça</t>
        </is>
      </c>
      <c r="C2097" s="7" t="inlineStr">
        <is>
          <t>CTS MAR DE CORAL</t>
        </is>
      </c>
      <c r="D2097" s="7" t="inlineStr">
        <is>
          <t>SILVESTRE</t>
        </is>
      </c>
      <c r="E2097" s="24" t="inlineStr">
        <is>
          <t>Claudinei</t>
        </is>
      </c>
      <c r="F2097" s="25" t="inlineStr">
        <is>
          <t>vca e transformação de pvs entre pv5.10 ao pv 5.13</t>
        </is>
      </c>
      <c r="G2097" s="24" t="inlineStr">
        <is>
          <t>5.10</t>
        </is>
      </c>
      <c r="H2097" s="24" t="inlineStr">
        <is>
          <t>5.13</t>
        </is>
      </c>
      <c r="I2097" s="24" t="inlineStr">
        <is>
          <t>5.10,5.13</t>
        </is>
      </c>
      <c r="J2097" s="24" t="inlineStr">
        <is>
          <t>vca</t>
        </is>
      </c>
      <c r="K2097" s="24" t="inlineStr">
        <is>
          <t>Planejamento</t>
        </is>
      </c>
      <c r="L2097" s="17" t="inlineStr">
        <is>
          <t>PDS-Abril(2).docx</t>
        </is>
      </c>
      <c r="M2097">
        <f>IF($A2097="","",TEXT($A2097,"mmmm/yyyy"))</f>
        <v/>
      </c>
      <c r="P2097">
        <f>IFERROR(_xludf.XLOOKUP($N2097,Base_Enderecos!$A:$A,Base_Enderecos!$B:$B,""),"")</f>
        <v/>
      </c>
      <c r="Q2097">
        <f>IFERROR(_xludf.XLOOKUP($N2097,Base_Enderecos!$A:$A,Base_Enderecos!$C:$C,""),"")</f>
        <v/>
      </c>
      <c r="R2097">
        <f>IF(OR(ISNUMBER(SEARCH("HDD",$F2097)),ISNUMBER(SEARCH("MND",$F2097)),ISNUMBER(SEARCH("PEAD",$F2097)),ISNUMBER(SEARCH("Puxe",$J2097)),ISNUMBER(SEARCH("Apoio HDD",$F2097))),"MND",IF(OR(ISNUMBER(SEARCH("VCA",$F2097)),ISNUMBER(SEARCH("PVC",$F2097)),ISNUMBER(SEARCH("vca",$J2097)),ISNUMBER(SEARCH("Transformação",$J2097))),"VCA",IF(OR(ISNUMBER(SEARCH("crava",$F2097)),ISNUMBER(SEARCH("tubo cravado",$F2097)),ISNUMBER(SEARCH("shaft",$J2097)),ISNUMBER(SEARCH("concreto",$F2097))),"TUBO CRAVADO","")))</f>
        <v/>
      </c>
      <c r="T2097">
        <f>IF($A2097="","",TEXT($A2097,"yyyymm")&amp;"|"&amp;$C2097&amp;"|"&amp;$F2097&amp;"|"&amp;$N2097&amp;"|"&amp;$R2097)</f>
        <v/>
      </c>
    </row>
    <row r="2098">
      <c r="A2098" s="11" t="n">
        <v>46140</v>
      </c>
      <c r="B2098" s="8" t="inlineStr">
        <is>
          <t>Terça</t>
        </is>
      </c>
      <c r="C2098" s="7" t="inlineStr">
        <is>
          <t>CTS MAR DE CORAL</t>
        </is>
      </c>
      <c r="D2098" s="7" t="inlineStr">
        <is>
          <t>SILVESTRE</t>
        </is>
      </c>
      <c r="E2098" s="24" t="inlineStr">
        <is>
          <t>Cidão</t>
        </is>
      </c>
      <c r="F2098" s="30" t="inlineStr">
        <is>
          <t xml:space="preserve">transformação pv5.9 </t>
        </is>
      </c>
      <c r="G2098" s="29" t="inlineStr">
        <is>
          <t>5.9</t>
        </is>
      </c>
      <c r="H2098" s="24" t="n"/>
      <c r="I2098" s="29" t="inlineStr">
        <is>
          <t>5.9</t>
        </is>
      </c>
      <c r="J2098" s="24" t="inlineStr">
        <is>
          <t>Transformação</t>
        </is>
      </c>
      <c r="K2098" s="24" t="inlineStr">
        <is>
          <t>Planejamento</t>
        </is>
      </c>
      <c r="L2098" s="17" t="inlineStr">
        <is>
          <t>PDS-Abril(2).docx</t>
        </is>
      </c>
      <c r="M2098">
        <f>IF($A2098="","",TEXT($A2098,"mmmm/yyyy"))</f>
        <v/>
      </c>
      <c r="P2098">
        <f>IFERROR(_xludf.XLOOKUP($N2098,Base_Enderecos!$A:$A,Base_Enderecos!$B:$B,""),"")</f>
        <v/>
      </c>
      <c r="Q2098">
        <f>IFERROR(_xludf.XLOOKUP($N2098,Base_Enderecos!$A:$A,Base_Enderecos!$C:$C,""),"")</f>
        <v/>
      </c>
      <c r="R2098">
        <f>IF(OR(ISNUMBER(SEARCH("HDD",$F2098)),ISNUMBER(SEARCH("MND",$F2098)),ISNUMBER(SEARCH("PEAD",$F2098)),ISNUMBER(SEARCH("Puxe",$J2098)),ISNUMBER(SEARCH("Apoio HDD",$F2098))),"MND",IF(OR(ISNUMBER(SEARCH("VCA",$F2098)),ISNUMBER(SEARCH("PVC",$F2098)),ISNUMBER(SEARCH("vca",$J2098)),ISNUMBER(SEARCH("Transformação",$J2098))),"VCA",IF(OR(ISNUMBER(SEARCH("crava",$F2098)),ISNUMBER(SEARCH("tubo cravado",$F2098)),ISNUMBER(SEARCH("shaft",$J2098)),ISNUMBER(SEARCH("concreto",$F2098))),"TUBO CRAVADO","")))</f>
        <v/>
      </c>
      <c r="T2098">
        <f>IF($A2098="","",TEXT($A2098,"yyyymm")&amp;"|"&amp;$C2098&amp;"|"&amp;$F2098&amp;"|"&amp;$N2098&amp;"|"&amp;$R2098)</f>
        <v/>
      </c>
    </row>
    <row r="2099">
      <c r="A2099" s="11" t="n">
        <v>46140</v>
      </c>
      <c r="B2099" s="8" t="inlineStr">
        <is>
          <t>Terça</t>
        </is>
      </c>
      <c r="C2099" s="7" t="inlineStr">
        <is>
          <t>CTS LUIS BOTELHO MOURÃO</t>
        </is>
      </c>
      <c r="D2099" s="7" t="inlineStr">
        <is>
          <t>ROBSON</t>
        </is>
      </c>
      <c r="E2099" s="24" t="inlineStr">
        <is>
          <t>marcio</t>
        </is>
      </c>
      <c r="F2099" s="25" t="inlineStr">
        <is>
          <t>vca + interligação PV05</t>
        </is>
      </c>
      <c r="G2099" s="24" t="n">
        <v>5</v>
      </c>
      <c r="H2099" s="24" t="n"/>
      <c r="I2099" s="24" t="n">
        <v>5</v>
      </c>
      <c r="J2099" s="25" t="inlineStr">
        <is>
          <t>vca + interligação PV05</t>
        </is>
      </c>
      <c r="K2099" s="24" t="inlineStr">
        <is>
          <t>Planejamento</t>
        </is>
      </c>
      <c r="L2099" s="17" t="inlineStr">
        <is>
          <t>PDS-Abril(2).docx</t>
        </is>
      </c>
      <c r="M2099">
        <f>IF($A2099="","",TEXT($A2099,"mmmm/yyyy"))</f>
        <v/>
      </c>
      <c r="P2099">
        <f>IFERROR(_xludf.XLOOKUP($N2099,Base_Enderecos!$A:$A,Base_Enderecos!$B:$B,""),"")</f>
        <v/>
      </c>
      <c r="Q2099">
        <f>IFERROR(_xludf.XLOOKUP($N2099,Base_Enderecos!$A:$A,Base_Enderecos!$C:$C,""),"")</f>
        <v/>
      </c>
      <c r="R2099">
        <f>IF(OR(ISNUMBER(SEARCH("HDD",$F2099)),ISNUMBER(SEARCH("MND",$F2099)),ISNUMBER(SEARCH("PEAD",$F2099)),ISNUMBER(SEARCH("Puxe",$J2099)),ISNUMBER(SEARCH("Apoio HDD",$F2099))),"MND",IF(OR(ISNUMBER(SEARCH("VCA",$F2099)),ISNUMBER(SEARCH("PVC",$F2099)),ISNUMBER(SEARCH("vca",$J2099)),ISNUMBER(SEARCH("Transformação",$J2099))),"VCA",IF(OR(ISNUMBER(SEARCH("crava",$F2099)),ISNUMBER(SEARCH("tubo cravado",$F2099)),ISNUMBER(SEARCH("shaft",$J2099)),ISNUMBER(SEARCH("concreto",$F2099))),"TUBO CRAVADO","")))</f>
        <v/>
      </c>
      <c r="T2099">
        <f>IF($A2099="","",TEXT($A2099,"yyyymm")&amp;"|"&amp;$C2099&amp;"|"&amp;$F2099&amp;"|"&amp;$N2099&amp;"|"&amp;$R2099)</f>
        <v/>
      </c>
    </row>
    <row r="2100">
      <c r="A2100" s="11" t="n">
        <v>46140</v>
      </c>
      <c r="B2100" s="8" t="inlineStr">
        <is>
          <t>Terça</t>
        </is>
      </c>
      <c r="C2100" s="7" t="inlineStr">
        <is>
          <t>CTS LUIS BOTELHO MOURÃO</t>
        </is>
      </c>
      <c r="D2100" s="7" t="inlineStr">
        <is>
          <t>ROBSON</t>
        </is>
      </c>
      <c r="E2100" s="24" t="inlineStr">
        <is>
          <t>Higor</t>
        </is>
      </c>
      <c r="F2100" s="25" t="inlineStr">
        <is>
          <t>transformação PV06</t>
        </is>
      </c>
      <c r="G2100" s="24" t="n">
        <v>6</v>
      </c>
      <c r="H2100" s="24" t="n"/>
      <c r="I2100" s="24" t="n">
        <v>6</v>
      </c>
      <c r="J2100" s="24" t="inlineStr">
        <is>
          <t>Transformação</t>
        </is>
      </c>
      <c r="K2100" s="24" t="inlineStr">
        <is>
          <t>Planejamento</t>
        </is>
      </c>
      <c r="L2100" s="17" t="inlineStr">
        <is>
          <t>PDS-Abril(2).docx</t>
        </is>
      </c>
      <c r="M2100">
        <f>IF($A2100="","",TEXT($A2100,"mmmm/yyyy"))</f>
        <v/>
      </c>
      <c r="P2100">
        <f>IFERROR(_xludf.XLOOKUP($N2100,Base_Enderecos!$A:$A,Base_Enderecos!$B:$B,""),"")</f>
        <v/>
      </c>
      <c r="Q2100">
        <f>IFERROR(_xludf.XLOOKUP($N2100,Base_Enderecos!$A:$A,Base_Enderecos!$C:$C,""),"")</f>
        <v/>
      </c>
      <c r="R2100">
        <f>IF(OR(ISNUMBER(SEARCH("HDD",$F2100)),ISNUMBER(SEARCH("MND",$F2100)),ISNUMBER(SEARCH("PEAD",$F2100)),ISNUMBER(SEARCH("Puxe",$J2100)),ISNUMBER(SEARCH("Apoio HDD",$F2100))),"MND",IF(OR(ISNUMBER(SEARCH("VCA",$F2100)),ISNUMBER(SEARCH("PVC",$F2100)),ISNUMBER(SEARCH("vca",$J2100)),ISNUMBER(SEARCH("Transformação",$J2100))),"VCA",IF(OR(ISNUMBER(SEARCH("crava",$F2100)),ISNUMBER(SEARCH("tubo cravado",$F2100)),ISNUMBER(SEARCH("shaft",$J2100)),ISNUMBER(SEARCH("concreto",$F2100))),"TUBO CRAVADO","")))</f>
        <v/>
      </c>
      <c r="T2100">
        <f>IF($A2100="","",TEXT($A2100,"yyyymm")&amp;"|"&amp;$C2100&amp;"|"&amp;$F2100&amp;"|"&amp;$N2100&amp;"|"&amp;$R2100)</f>
        <v/>
      </c>
    </row>
    <row r="2101">
      <c r="A2101" s="11" t="n">
        <v>46140</v>
      </c>
      <c r="B2101" s="8" t="inlineStr">
        <is>
          <t>Terça</t>
        </is>
      </c>
      <c r="C2101" s="7" t="inlineStr">
        <is>
          <t>CTS LUIS BOTELHO MOURÃO</t>
        </is>
      </c>
      <c r="D2101" s="7" t="inlineStr">
        <is>
          <t>ROBSON</t>
        </is>
      </c>
      <c r="E2101" s="24" t="inlineStr">
        <is>
          <t>Valter</t>
        </is>
      </c>
      <c r="F2101" s="25" t="inlineStr">
        <is>
          <t>transformação PV07</t>
        </is>
      </c>
      <c r="G2101" s="24" t="n">
        <v>7</v>
      </c>
      <c r="H2101" s="24" t="n"/>
      <c r="I2101" s="24" t="n">
        <v>7</v>
      </c>
      <c r="J2101" s="24" t="inlineStr">
        <is>
          <t>Transformação</t>
        </is>
      </c>
      <c r="K2101" s="24" t="inlineStr">
        <is>
          <t>Planejamento</t>
        </is>
      </c>
      <c r="L2101" s="17" t="inlineStr">
        <is>
          <t>PDS-Abril(2).docx</t>
        </is>
      </c>
      <c r="M2101">
        <f>IF($A2101="","",TEXT($A2101,"mmmm/yyyy"))</f>
        <v/>
      </c>
      <c r="P2101">
        <f>IFERROR(_xludf.XLOOKUP($N2101,Base_Enderecos!$A:$A,Base_Enderecos!$B:$B,""),"")</f>
        <v/>
      </c>
      <c r="Q2101">
        <f>IFERROR(_xludf.XLOOKUP($N2101,Base_Enderecos!$A:$A,Base_Enderecos!$C:$C,""),"")</f>
        <v/>
      </c>
      <c r="R2101">
        <f>IF(OR(ISNUMBER(SEARCH("HDD",$F2101)),ISNUMBER(SEARCH("MND",$F2101)),ISNUMBER(SEARCH("PEAD",$F2101)),ISNUMBER(SEARCH("Puxe",$J2101)),ISNUMBER(SEARCH("Apoio HDD",$F2101))),"MND",IF(OR(ISNUMBER(SEARCH("VCA",$F2101)),ISNUMBER(SEARCH("PVC",$F2101)),ISNUMBER(SEARCH("vca",$J2101)),ISNUMBER(SEARCH("Transformação",$J2101))),"VCA",IF(OR(ISNUMBER(SEARCH("crava",$F2101)),ISNUMBER(SEARCH("tubo cravado",$F2101)),ISNUMBER(SEARCH("shaft",$J2101)),ISNUMBER(SEARCH("concreto",$F2101))),"TUBO CRAVADO","")))</f>
        <v/>
      </c>
      <c r="T2101">
        <f>IF($A2101="","",TEXT($A2101,"yyyymm")&amp;"|"&amp;$C2101&amp;"|"&amp;$F2101&amp;"|"&amp;$N2101&amp;"|"&amp;$R2101)</f>
        <v/>
      </c>
    </row>
    <row r="2102">
      <c r="A2102" s="11" t="n">
        <v>46141</v>
      </c>
      <c r="B2102" s="8" t="inlineStr">
        <is>
          <t>quarta</t>
        </is>
      </c>
      <c r="C2102" s="7" t="n"/>
      <c r="D2102" s="7" t="n"/>
      <c r="E2102" s="24" t="inlineStr">
        <is>
          <t>Mar de Coral – Renasce</t>
        </is>
      </c>
      <c r="F2102" s="13" t="inlineStr">
        <is>
          <t>Apoio Vacal</t>
        </is>
      </c>
      <c r="G2102" s="24" t="n"/>
      <c r="H2102" s="24" t="n"/>
      <c r="I2102" s="24" t="n"/>
      <c r="J2102" s="27" t="inlineStr">
        <is>
          <t>Vacal</t>
        </is>
      </c>
      <c r="K2102" s="27" t="inlineStr">
        <is>
          <t>Apoio</t>
        </is>
      </c>
      <c r="L2102" s="17" t="inlineStr">
        <is>
          <t>PDS-Abril(2).docx</t>
        </is>
      </c>
      <c r="M2102">
        <f>IF($A2102="","",TEXT($A2102,"mmmm/yyyy"))</f>
        <v/>
      </c>
      <c r="P2102">
        <f>IFERROR(_xludf.XLOOKUP($N2102,Base_Enderecos!$A:$A,Base_Enderecos!$B:$B,""),"")</f>
        <v/>
      </c>
      <c r="Q2102">
        <f>IFERROR(_xludf.XLOOKUP($N2102,Base_Enderecos!$A:$A,Base_Enderecos!$C:$C,""),"")</f>
        <v/>
      </c>
      <c r="R2102">
        <f>IF(OR(ISNUMBER(SEARCH("HDD",$F2102)),ISNUMBER(SEARCH("MND",$F2102)),ISNUMBER(SEARCH("PEAD",$F2102)),ISNUMBER(SEARCH("Puxe",$J2102)),ISNUMBER(SEARCH("Apoio HDD",$F2102))),"MND",IF(OR(ISNUMBER(SEARCH("VCA",$F2102)),ISNUMBER(SEARCH("PVC",$F2102)),ISNUMBER(SEARCH("vca",$J2102)),ISNUMBER(SEARCH("Transformação",$J2102))),"VCA",IF(OR(ISNUMBER(SEARCH("crava",$F2102)),ISNUMBER(SEARCH("tubo cravado",$F2102)),ISNUMBER(SEARCH("shaft",$J2102)),ISNUMBER(SEARCH("concreto",$F2102))),"TUBO CRAVADO","")))</f>
        <v/>
      </c>
      <c r="T2102">
        <f>IF($A2102="","",TEXT($A2102,"yyyymm")&amp;"|"&amp;$C2102&amp;"|"&amp;$F2102&amp;"|"&amp;$N2102&amp;"|"&amp;$R2102)</f>
        <v/>
      </c>
    </row>
    <row r="2103">
      <c r="A2103" s="11" t="n">
        <v>46141</v>
      </c>
      <c r="B2103" s="8" t="inlineStr">
        <is>
          <t>quarta</t>
        </is>
      </c>
      <c r="C2103" s="7" t="n"/>
      <c r="D2103" s="7" t="n"/>
      <c r="E2103" s="24" t="inlineStr">
        <is>
          <t>Conceição – Renasce</t>
        </is>
      </c>
      <c r="F2103" s="13" t="inlineStr">
        <is>
          <t>Apoio Vacal</t>
        </is>
      </c>
      <c r="J2103" s="27" t="inlineStr">
        <is>
          <t>Vacal</t>
        </is>
      </c>
      <c r="K2103" s="27" t="inlineStr">
        <is>
          <t>Apoio</t>
        </is>
      </c>
      <c r="L2103" s="17" t="inlineStr">
        <is>
          <t>PDS-Abril(2).docx</t>
        </is>
      </c>
      <c r="M2103">
        <f>IF($A2103="","",TEXT($A2103,"mmmm/yyyy"))</f>
        <v/>
      </c>
      <c r="P2103">
        <f>IFERROR(_xludf.XLOOKUP($N2103,Base_Enderecos!$A:$A,Base_Enderecos!$B:$B,""),"")</f>
        <v/>
      </c>
      <c r="Q2103">
        <f>IFERROR(_xludf.XLOOKUP($N2103,Base_Enderecos!$A:$A,Base_Enderecos!$C:$C,""),"")</f>
        <v/>
      </c>
      <c r="R2103">
        <f>IF(OR(ISNUMBER(SEARCH("HDD",$F2103)),ISNUMBER(SEARCH("MND",$F2103)),ISNUMBER(SEARCH("PEAD",$F2103)),ISNUMBER(SEARCH("Puxe",$J2103)),ISNUMBER(SEARCH("Apoio HDD",$F2103))),"MND",IF(OR(ISNUMBER(SEARCH("VCA",$F2103)),ISNUMBER(SEARCH("PVC",$F2103)),ISNUMBER(SEARCH("vca",$J2103)),ISNUMBER(SEARCH("Transformação",$J2103))),"VCA",IF(OR(ISNUMBER(SEARCH("crava",$F2103)),ISNUMBER(SEARCH("tubo cravado",$F2103)),ISNUMBER(SEARCH("shaft",$J2103)),ISNUMBER(SEARCH("concreto",$F2103))),"TUBO CRAVADO","")))</f>
        <v/>
      </c>
      <c r="T2103">
        <f>IF($A2103="","",TEXT($A2103,"yyyymm")&amp;"|"&amp;$C2103&amp;"|"&amp;$F2103&amp;"|"&amp;$N2103&amp;"|"&amp;$R2103)</f>
        <v/>
      </c>
    </row>
    <row r="2104">
      <c r="A2104" s="11" t="n">
        <v>46141</v>
      </c>
      <c r="B2104" s="8" t="inlineStr">
        <is>
          <t>quarta</t>
        </is>
      </c>
      <c r="C2104" s="7" t="n"/>
      <c r="D2104" s="7" t="n"/>
      <c r="E2104" s="24" t="inlineStr">
        <is>
          <t xml:space="preserve"> Botelho Mourão – Henko</t>
        </is>
      </c>
      <c r="F2104" s="13" t="inlineStr">
        <is>
          <t>Apoio Vacal</t>
        </is>
      </c>
      <c r="J2104" s="27" t="inlineStr">
        <is>
          <t>Vacal</t>
        </is>
      </c>
      <c r="K2104" s="27" t="inlineStr">
        <is>
          <t>Apoio</t>
        </is>
      </c>
      <c r="L2104" s="17" t="inlineStr">
        <is>
          <t>PDS-Abril(2).docx</t>
        </is>
      </c>
      <c r="M2104">
        <f>IF($A2104="","",TEXT($A2104,"mmmm/yyyy"))</f>
        <v/>
      </c>
      <c r="P2104">
        <f>IFERROR(_xludf.XLOOKUP($N2104,Base_Enderecos!$A:$A,Base_Enderecos!$B:$B,""),"")</f>
        <v/>
      </c>
      <c r="Q2104">
        <f>IFERROR(_xludf.XLOOKUP($N2104,Base_Enderecos!$A:$A,Base_Enderecos!$C:$C,""),"")</f>
        <v/>
      </c>
      <c r="R2104">
        <f>IF(OR(ISNUMBER(SEARCH("HDD",$F2104)),ISNUMBER(SEARCH("MND",$F2104)),ISNUMBER(SEARCH("PEAD",$F2104)),ISNUMBER(SEARCH("Puxe",$J2104)),ISNUMBER(SEARCH("Apoio HDD",$F2104))),"MND",IF(OR(ISNUMBER(SEARCH("VCA",$F2104)),ISNUMBER(SEARCH("PVC",$F2104)),ISNUMBER(SEARCH("vca",$J2104)),ISNUMBER(SEARCH("Transformação",$J2104))),"VCA",IF(OR(ISNUMBER(SEARCH("crava",$F2104)),ISNUMBER(SEARCH("tubo cravado",$F2104)),ISNUMBER(SEARCH("shaft",$J2104)),ISNUMBER(SEARCH("concreto",$F2104))),"TUBO CRAVADO","")))</f>
        <v/>
      </c>
      <c r="T2104">
        <f>IF($A2104="","",TEXT($A2104,"yyyymm")&amp;"|"&amp;$C2104&amp;"|"&amp;$F2104&amp;"|"&amp;$N2104&amp;"|"&amp;$R2104)</f>
        <v/>
      </c>
    </row>
    <row r="2105">
      <c r="A2105" s="11" t="n">
        <v>46141</v>
      </c>
      <c r="B2105" s="8" t="inlineStr">
        <is>
          <t>quarta</t>
        </is>
      </c>
      <c r="C2105" s="7" t="n"/>
      <c r="D2105" s="7" t="n"/>
      <c r="E2105" s="24" t="inlineStr">
        <is>
          <t>Botelho Mourão – Henko</t>
        </is>
      </c>
      <c r="F2105" s="13" t="inlineStr">
        <is>
          <t>Apoio Vacal</t>
        </is>
      </c>
      <c r="J2105" s="27" t="inlineStr">
        <is>
          <t>Vacal</t>
        </is>
      </c>
      <c r="K2105" s="27" t="inlineStr">
        <is>
          <t>Apoio</t>
        </is>
      </c>
      <c r="L2105" s="17" t="inlineStr">
        <is>
          <t>PDS-Abril(2).docx</t>
        </is>
      </c>
      <c r="M2105">
        <f>IF($A2105="","",TEXT($A2105,"mmmm/yyyy"))</f>
        <v/>
      </c>
      <c r="P2105">
        <f>IFERROR(_xludf.XLOOKUP($N2105,Base_Enderecos!$A:$A,Base_Enderecos!$B:$B,""),"")</f>
        <v/>
      </c>
      <c r="Q2105">
        <f>IFERROR(_xludf.XLOOKUP($N2105,Base_Enderecos!$A:$A,Base_Enderecos!$C:$C,""),"")</f>
        <v/>
      </c>
      <c r="R2105">
        <f>IF(OR(ISNUMBER(SEARCH("HDD",$F2105)),ISNUMBER(SEARCH("MND",$F2105)),ISNUMBER(SEARCH("PEAD",$F2105)),ISNUMBER(SEARCH("Puxe",$J2105)),ISNUMBER(SEARCH("Apoio HDD",$F2105))),"MND",IF(OR(ISNUMBER(SEARCH("VCA",$F2105)),ISNUMBER(SEARCH("PVC",$F2105)),ISNUMBER(SEARCH("vca",$J2105)),ISNUMBER(SEARCH("Transformação",$J2105))),"VCA",IF(OR(ISNUMBER(SEARCH("crava",$F2105)),ISNUMBER(SEARCH("tubo cravado",$F2105)),ISNUMBER(SEARCH("shaft",$J2105)),ISNUMBER(SEARCH("concreto",$F2105))),"TUBO CRAVADO","")))</f>
        <v/>
      </c>
      <c r="T2105">
        <f>IF($A2105="","",TEXT($A2105,"yyyymm")&amp;"|"&amp;$C2105&amp;"|"&amp;$F2105&amp;"|"&amp;$N2105&amp;"|"&amp;$R2105)</f>
        <v/>
      </c>
    </row>
    <row r="2106">
      <c r="A2106" s="11" t="n">
        <v>46141</v>
      </c>
      <c r="B2106" s="8" t="inlineStr">
        <is>
          <t>quarta</t>
        </is>
      </c>
      <c r="C2106" s="7" t="n"/>
      <c r="D2106" s="7" t="n"/>
      <c r="E2106" s="24" t="inlineStr">
        <is>
          <t>Água Vermelha MD – Renasce</t>
        </is>
      </c>
      <c r="F2106" s="13" t="inlineStr">
        <is>
          <t>Apoio Vacal</t>
        </is>
      </c>
      <c r="J2106" s="27" t="inlineStr">
        <is>
          <t>Vacal</t>
        </is>
      </c>
      <c r="K2106" s="27" t="inlineStr">
        <is>
          <t>Apoio</t>
        </is>
      </c>
      <c r="L2106" s="17" t="inlineStr">
        <is>
          <t>PDS-Abril(2).docx</t>
        </is>
      </c>
      <c r="M2106">
        <f>IF($A2106="","",TEXT($A2106,"mmmm/yyyy"))</f>
        <v/>
      </c>
      <c r="P2106">
        <f>IFERROR(_xludf.XLOOKUP($N2106,Base_Enderecos!$A:$A,Base_Enderecos!$B:$B,""),"")</f>
        <v/>
      </c>
      <c r="Q2106">
        <f>IFERROR(_xludf.XLOOKUP($N2106,Base_Enderecos!$A:$A,Base_Enderecos!$C:$C,""),"")</f>
        <v/>
      </c>
      <c r="R2106">
        <f>IF(OR(ISNUMBER(SEARCH("HDD",$F2106)),ISNUMBER(SEARCH("MND",$F2106)),ISNUMBER(SEARCH("PEAD",$F2106)),ISNUMBER(SEARCH("Puxe",$J2106)),ISNUMBER(SEARCH("Apoio HDD",$F2106))),"MND",IF(OR(ISNUMBER(SEARCH("VCA",$F2106)),ISNUMBER(SEARCH("PVC",$F2106)),ISNUMBER(SEARCH("vca",$J2106)),ISNUMBER(SEARCH("Transformação",$J2106))),"VCA",IF(OR(ISNUMBER(SEARCH("crava",$F2106)),ISNUMBER(SEARCH("tubo cravado",$F2106)),ISNUMBER(SEARCH("shaft",$J2106)),ISNUMBER(SEARCH("concreto",$F2106))),"TUBO CRAVADO","")))</f>
        <v/>
      </c>
      <c r="T2106">
        <f>IF($A2106="","",TEXT($A2106,"yyyymm")&amp;"|"&amp;$C2106&amp;"|"&amp;$F2106&amp;"|"&amp;$N2106&amp;"|"&amp;$R2106)</f>
        <v/>
      </c>
    </row>
    <row r="2107">
      <c r="A2107" s="11" t="n">
        <v>46141</v>
      </c>
      <c r="B2107" s="8" t="inlineStr">
        <is>
          <t>quarta</t>
        </is>
      </c>
      <c r="C2107" s="7" t="n"/>
      <c r="D2107" s="7" t="n"/>
      <c r="E2107" s="24" t="inlineStr">
        <is>
          <t>Água Vermelha MD – Renasce</t>
        </is>
      </c>
      <c r="F2107" s="13" t="inlineStr">
        <is>
          <t>Apoio Vacal</t>
        </is>
      </c>
      <c r="J2107" s="27" t="inlineStr">
        <is>
          <t>Vacal</t>
        </is>
      </c>
      <c r="K2107" s="27" t="inlineStr">
        <is>
          <t>Apoio</t>
        </is>
      </c>
      <c r="L2107" s="17" t="inlineStr">
        <is>
          <t>PDS-Abril(2).docx</t>
        </is>
      </c>
      <c r="M2107">
        <f>IF($A2107="","",TEXT($A2107,"mmmm/yyyy"))</f>
        <v/>
      </c>
      <c r="P2107">
        <f>IFERROR(_xludf.XLOOKUP($N2107,Base_Enderecos!$A:$A,Base_Enderecos!$B:$B,""),"")</f>
        <v/>
      </c>
      <c r="Q2107">
        <f>IFERROR(_xludf.XLOOKUP($N2107,Base_Enderecos!$A:$A,Base_Enderecos!$C:$C,""),"")</f>
        <v/>
      </c>
      <c r="R2107">
        <f>IF(OR(ISNUMBER(SEARCH("HDD",$F2107)),ISNUMBER(SEARCH("MND",$F2107)),ISNUMBER(SEARCH("PEAD",$F2107)),ISNUMBER(SEARCH("Puxe",$J2107)),ISNUMBER(SEARCH("Apoio HDD",$F2107))),"MND",IF(OR(ISNUMBER(SEARCH("VCA",$F2107)),ISNUMBER(SEARCH("PVC",$F2107)),ISNUMBER(SEARCH("vca",$J2107)),ISNUMBER(SEARCH("Transformação",$J2107))),"VCA",IF(OR(ISNUMBER(SEARCH("crava",$F2107)),ISNUMBER(SEARCH("tubo cravado",$F2107)),ISNUMBER(SEARCH("shaft",$J2107)),ISNUMBER(SEARCH("concreto",$F2107))),"TUBO CRAVADO","")))</f>
        <v/>
      </c>
      <c r="T2107">
        <f>IF($A2107="","",TEXT($A2107,"yyyymm")&amp;"|"&amp;$C2107&amp;"|"&amp;$F2107&amp;"|"&amp;$N2107&amp;"|"&amp;$R2107)</f>
        <v/>
      </c>
    </row>
    <row r="2108">
      <c r="A2108" s="11" t="n">
        <v>46141</v>
      </c>
      <c r="B2108" s="8" t="inlineStr">
        <is>
          <t>quarta</t>
        </is>
      </c>
      <c r="C2108" s="7" t="inlineStr">
        <is>
          <t>CTS CONCEIÇÃO</t>
        </is>
      </c>
      <c r="D2108" s="7" t="inlineStr">
        <is>
          <t>LEANDRO</t>
        </is>
      </c>
      <c r="E2108" s="24" t="inlineStr">
        <is>
          <t xml:space="preserve">Carlos </t>
        </is>
      </c>
      <c r="F2108" s="25" t="inlineStr">
        <is>
          <t>transformação PV10</t>
        </is>
      </c>
      <c r="G2108" s="26" t="n">
        <v>10</v>
      </c>
      <c r="I2108" s="26" t="n">
        <v>10</v>
      </c>
      <c r="J2108" s="24" t="inlineStr">
        <is>
          <t>Transformação</t>
        </is>
      </c>
      <c r="K2108" s="24" t="inlineStr">
        <is>
          <t>Planejamento</t>
        </is>
      </c>
      <c r="L2108" s="17" t="inlineStr">
        <is>
          <t>PDS-Abril(2).docx</t>
        </is>
      </c>
      <c r="M2108">
        <f>IF($A2108="","",TEXT($A2108,"mmmm/yyyy"))</f>
        <v/>
      </c>
      <c r="P2108">
        <f>IFERROR(_xludf.XLOOKUP($N2108,Base_Enderecos!$A:$A,Base_Enderecos!$B:$B,""),"")</f>
        <v/>
      </c>
      <c r="Q2108">
        <f>IFERROR(_xludf.XLOOKUP($N2108,Base_Enderecos!$A:$A,Base_Enderecos!$C:$C,""),"")</f>
        <v/>
      </c>
      <c r="R2108">
        <f>IF(OR(ISNUMBER(SEARCH("HDD",$F2108)),ISNUMBER(SEARCH("MND",$F2108)),ISNUMBER(SEARCH("PEAD",$F2108)),ISNUMBER(SEARCH("Puxe",$J2108)),ISNUMBER(SEARCH("Apoio HDD",$F2108))),"MND",IF(OR(ISNUMBER(SEARCH("VCA",$F2108)),ISNUMBER(SEARCH("PVC",$F2108)),ISNUMBER(SEARCH("vca",$J2108)),ISNUMBER(SEARCH("Transformação",$J2108))),"VCA",IF(OR(ISNUMBER(SEARCH("crava",$F2108)),ISNUMBER(SEARCH("tubo cravado",$F2108)),ISNUMBER(SEARCH("shaft",$J2108)),ISNUMBER(SEARCH("concreto",$F2108))),"TUBO CRAVADO","")))</f>
        <v/>
      </c>
      <c r="T2108">
        <f>IF($A2108="","",TEXT($A2108,"yyyymm")&amp;"|"&amp;$C2108&amp;"|"&amp;$F2108&amp;"|"&amp;$N2108&amp;"|"&amp;$R2108)</f>
        <v/>
      </c>
    </row>
    <row r="2109">
      <c r="A2109" s="11" t="n">
        <v>46141</v>
      </c>
      <c r="B2109" s="8" t="inlineStr">
        <is>
          <t>quarta</t>
        </is>
      </c>
      <c r="C2109" s="7" t="inlineStr">
        <is>
          <t>CTS CONCEIÇÃO</t>
        </is>
      </c>
      <c r="D2109" s="7" t="inlineStr">
        <is>
          <t>LEANDRO</t>
        </is>
      </c>
      <c r="E2109" s="29" t="inlineStr">
        <is>
          <t>Emanuel</t>
        </is>
      </c>
      <c r="F2109" s="30" t="inlineStr">
        <is>
          <t>interligação PV10.2</t>
        </is>
      </c>
      <c r="G2109" s="29" t="inlineStr">
        <is>
          <t>10.2</t>
        </is>
      </c>
      <c r="I2109" s="29" t="inlineStr">
        <is>
          <t>10.2</t>
        </is>
      </c>
      <c r="J2109" s="24" t="inlineStr">
        <is>
          <t>Interligação</t>
        </is>
      </c>
      <c r="K2109" s="24" t="inlineStr">
        <is>
          <t>Planejamento</t>
        </is>
      </c>
      <c r="L2109" s="17" t="inlineStr">
        <is>
          <t>PDS-Abril(2).docx</t>
        </is>
      </c>
      <c r="M2109">
        <f>IF($A2109="","",TEXT($A2109,"mmmm/yyyy"))</f>
        <v/>
      </c>
      <c r="P2109">
        <f>IFERROR(_xludf.XLOOKUP($N2109,Base_Enderecos!$A:$A,Base_Enderecos!$B:$B,""),"")</f>
        <v/>
      </c>
      <c r="Q2109">
        <f>IFERROR(_xludf.XLOOKUP($N2109,Base_Enderecos!$A:$A,Base_Enderecos!$C:$C,""),"")</f>
        <v/>
      </c>
      <c r="R2109">
        <f>IF(OR(ISNUMBER(SEARCH("HDD",$F2109)),ISNUMBER(SEARCH("MND",$F2109)),ISNUMBER(SEARCH("PEAD",$F2109)),ISNUMBER(SEARCH("Puxe",$J2109)),ISNUMBER(SEARCH("Apoio HDD",$F2109))),"MND",IF(OR(ISNUMBER(SEARCH("VCA",$F2109)),ISNUMBER(SEARCH("PVC",$F2109)),ISNUMBER(SEARCH("vca",$J2109)),ISNUMBER(SEARCH("Transformação",$J2109))),"VCA",IF(OR(ISNUMBER(SEARCH("crava",$F2109)),ISNUMBER(SEARCH("tubo cravado",$F2109)),ISNUMBER(SEARCH("shaft",$J2109)),ISNUMBER(SEARCH("concreto",$F2109))),"TUBO CRAVADO","")))</f>
        <v/>
      </c>
      <c r="T2109">
        <f>IF($A2109="","",TEXT($A2109,"yyyymm")&amp;"|"&amp;$C2109&amp;"|"&amp;$F2109&amp;"|"&amp;$N2109&amp;"|"&amp;$R2109)</f>
        <v/>
      </c>
    </row>
    <row r="2110">
      <c r="A2110" s="11" t="n">
        <v>46141</v>
      </c>
      <c r="B2110" s="8" t="inlineStr">
        <is>
          <t>quarta</t>
        </is>
      </c>
      <c r="C2110" s="7" t="inlineStr">
        <is>
          <t xml:space="preserve">CTS Agua Vermelha M.D </t>
        </is>
      </c>
      <c r="D2110" s="7" t="inlineStr">
        <is>
          <t>FABIO</t>
        </is>
      </c>
      <c r="E2110" s="24" t="inlineStr">
        <is>
          <t>Marcelo</t>
        </is>
      </c>
      <c r="F2110" s="25" t="inlineStr">
        <is>
          <t>transformação PV12</t>
        </is>
      </c>
      <c r="G2110" s="24" t="n">
        <v>12</v>
      </c>
      <c r="I2110" s="24" t="n">
        <v>12</v>
      </c>
      <c r="J2110" s="24" t="inlineStr">
        <is>
          <t>Shaft</t>
        </is>
      </c>
      <c r="K2110" s="24" t="inlineStr">
        <is>
          <t>Planejamento</t>
        </is>
      </c>
      <c r="L2110" s="17" t="inlineStr">
        <is>
          <t>PDS-Abril(2).docx</t>
        </is>
      </c>
      <c r="M2110">
        <f>IF($A2110="","",TEXT($A2110,"mmmm/yyyy"))</f>
        <v/>
      </c>
      <c r="P2110">
        <f>IFERROR(_xludf.XLOOKUP($N2110,Base_Enderecos!$A:$A,Base_Enderecos!$B:$B,""),"")</f>
        <v/>
      </c>
      <c r="Q2110">
        <f>IFERROR(_xludf.XLOOKUP($N2110,Base_Enderecos!$A:$A,Base_Enderecos!$C:$C,""),"")</f>
        <v/>
      </c>
      <c r="R2110">
        <f>IF(OR(ISNUMBER(SEARCH("HDD",$F2110)),ISNUMBER(SEARCH("MND",$F2110)),ISNUMBER(SEARCH("PEAD",$F2110)),ISNUMBER(SEARCH("Puxe",$J2110)),ISNUMBER(SEARCH("Apoio HDD",$F2110))),"MND",IF(OR(ISNUMBER(SEARCH("VCA",$F2110)),ISNUMBER(SEARCH("PVC",$F2110)),ISNUMBER(SEARCH("vca",$J2110)),ISNUMBER(SEARCH("Transformação",$J2110))),"VCA",IF(OR(ISNUMBER(SEARCH("crava",$F2110)),ISNUMBER(SEARCH("tubo cravado",$F2110)),ISNUMBER(SEARCH("shaft",$J2110)),ISNUMBER(SEARCH("concreto",$F2110))),"TUBO CRAVADO","")))</f>
        <v/>
      </c>
      <c r="T2110">
        <f>IF($A2110="","",TEXT($A2110,"yyyymm")&amp;"|"&amp;$C2110&amp;"|"&amp;$F2110&amp;"|"&amp;$N2110&amp;"|"&amp;$R2110)</f>
        <v/>
      </c>
    </row>
    <row r="2111">
      <c r="A2111" s="11" t="n">
        <v>46141</v>
      </c>
      <c r="B2111" s="8" t="inlineStr">
        <is>
          <t>quarta</t>
        </is>
      </c>
      <c r="C2111" s="7" t="inlineStr">
        <is>
          <t xml:space="preserve">CTS Agua Vermelha M.D </t>
        </is>
      </c>
      <c r="D2111" s="7" t="inlineStr">
        <is>
          <t>FABIO</t>
        </is>
      </c>
      <c r="E2111" s="24" t="inlineStr">
        <is>
          <t>Cesar</t>
        </is>
      </c>
      <c r="F2111" s="25" t="inlineStr">
        <is>
          <t>transformação PV17</t>
        </is>
      </c>
      <c r="G2111" s="24" t="n">
        <v>17</v>
      </c>
      <c r="I2111" s="24" t="n">
        <v>17</v>
      </c>
      <c r="J2111" s="24" t="inlineStr">
        <is>
          <t>Shaft</t>
        </is>
      </c>
      <c r="K2111" s="24" t="inlineStr">
        <is>
          <t>Planejamento</t>
        </is>
      </c>
      <c r="L2111" s="17" t="inlineStr">
        <is>
          <t>PDS-Abril(2).docx</t>
        </is>
      </c>
      <c r="M2111">
        <f>IF($A2111="","",TEXT($A2111,"mmmm/yyyy"))</f>
        <v/>
      </c>
      <c r="P2111">
        <f>IFERROR(_xludf.XLOOKUP($N2111,Base_Enderecos!$A:$A,Base_Enderecos!$B:$B,""),"")</f>
        <v/>
      </c>
      <c r="Q2111">
        <f>IFERROR(_xludf.XLOOKUP($N2111,Base_Enderecos!$A:$A,Base_Enderecos!$C:$C,""),"")</f>
        <v/>
      </c>
      <c r="R2111">
        <f>IF(OR(ISNUMBER(SEARCH("HDD",$F2111)),ISNUMBER(SEARCH("MND",$F2111)),ISNUMBER(SEARCH("PEAD",$F2111)),ISNUMBER(SEARCH("Puxe",$J2111)),ISNUMBER(SEARCH("Apoio HDD",$F2111))),"MND",IF(OR(ISNUMBER(SEARCH("VCA",$F2111)),ISNUMBER(SEARCH("PVC",$F2111)),ISNUMBER(SEARCH("vca",$J2111)),ISNUMBER(SEARCH("Transformação",$J2111))),"VCA",IF(OR(ISNUMBER(SEARCH("crava",$F2111)),ISNUMBER(SEARCH("tubo cravado",$F2111)),ISNUMBER(SEARCH("shaft",$J2111)),ISNUMBER(SEARCH("concreto",$F2111))),"TUBO CRAVADO","")))</f>
        <v/>
      </c>
      <c r="T2111">
        <f>IF($A2111="","",TEXT($A2111,"yyyymm")&amp;"|"&amp;$C2111&amp;"|"&amp;$F2111&amp;"|"&amp;$N2111&amp;"|"&amp;$R2111)</f>
        <v/>
      </c>
    </row>
    <row r="2112">
      <c r="A2112" s="11" t="n">
        <v>46141</v>
      </c>
      <c r="B2112" s="8" t="inlineStr">
        <is>
          <t>quarta</t>
        </is>
      </c>
      <c r="C2112" s="7" t="inlineStr">
        <is>
          <t>CTS Agua Vermelha M.E</t>
        </is>
      </c>
      <c r="D2112" s="7" t="inlineStr">
        <is>
          <t>VALMIR</t>
        </is>
      </c>
      <c r="E2112" s="24" t="inlineStr">
        <is>
          <t>Edivando</t>
        </is>
      </c>
      <c r="F2112" s="25" t="inlineStr">
        <is>
          <t>transformação PVE 6</t>
        </is>
      </c>
      <c r="G2112" s="24" t="n">
        <v>6</v>
      </c>
      <c r="I2112" s="24" t="n">
        <v>6</v>
      </c>
      <c r="J2112" s="24" t="inlineStr">
        <is>
          <t>Transformação</t>
        </is>
      </c>
      <c r="K2112" s="24" t="inlineStr">
        <is>
          <t>Planejamento</t>
        </is>
      </c>
      <c r="L2112" s="17" t="inlineStr">
        <is>
          <t>PDS-Abril(2).docx</t>
        </is>
      </c>
      <c r="M2112">
        <f>IF($A2112="","",TEXT($A2112,"mmmm/yyyy"))</f>
        <v/>
      </c>
      <c r="P2112">
        <f>IFERROR(_xludf.XLOOKUP($N2112,Base_Enderecos!$A:$A,Base_Enderecos!$B:$B,""),"")</f>
        <v/>
      </c>
      <c r="Q2112">
        <f>IFERROR(_xludf.XLOOKUP($N2112,Base_Enderecos!$A:$A,Base_Enderecos!$C:$C,""),"")</f>
        <v/>
      </c>
      <c r="R2112">
        <f>IF(OR(ISNUMBER(SEARCH("HDD",$F2112)),ISNUMBER(SEARCH("MND",$F2112)),ISNUMBER(SEARCH("PEAD",$F2112)),ISNUMBER(SEARCH("Puxe",$J2112)),ISNUMBER(SEARCH("Apoio HDD",$F2112))),"MND",IF(OR(ISNUMBER(SEARCH("VCA",$F2112)),ISNUMBER(SEARCH("PVC",$F2112)),ISNUMBER(SEARCH("vca",$J2112)),ISNUMBER(SEARCH("Transformação",$J2112))),"VCA",IF(OR(ISNUMBER(SEARCH("crava",$F2112)),ISNUMBER(SEARCH("tubo cravado",$F2112)),ISNUMBER(SEARCH("shaft",$J2112)),ISNUMBER(SEARCH("concreto",$F2112))),"TUBO CRAVADO","")))</f>
        <v/>
      </c>
      <c r="T2112">
        <f>IF($A2112="","",TEXT($A2112,"yyyymm")&amp;"|"&amp;$C2112&amp;"|"&amp;$F2112&amp;"|"&amp;$N2112&amp;"|"&amp;$R2112)</f>
        <v/>
      </c>
    </row>
    <row r="2113">
      <c r="A2113" s="11" t="n">
        <v>46141</v>
      </c>
      <c r="B2113" s="8" t="inlineStr">
        <is>
          <t>quarta</t>
        </is>
      </c>
      <c r="C2113" s="7" t="inlineStr">
        <is>
          <t>CTS Agua Vermelha M.E</t>
        </is>
      </c>
      <c r="D2113" s="7" t="inlineStr">
        <is>
          <t>VALMIR</t>
        </is>
      </c>
      <c r="E2113" s="24" t="inlineStr">
        <is>
          <t>Ricardo e antonio</t>
        </is>
      </c>
      <c r="F2113" s="30" t="inlineStr">
        <is>
          <t>shaft PVE 5.1 e interligação PV5</t>
        </is>
      </c>
      <c r="G2113" s="29" t="inlineStr">
        <is>
          <t>5.1</t>
        </is>
      </c>
      <c r="H2113" s="24" t="n"/>
      <c r="I2113" s="29" t="inlineStr">
        <is>
          <t>5.1</t>
        </is>
      </c>
      <c r="J2113" s="29" t="inlineStr">
        <is>
          <t>shaft</t>
        </is>
      </c>
      <c r="K2113" s="24" t="inlineStr">
        <is>
          <t>Planejamento</t>
        </is>
      </c>
      <c r="L2113" s="17" t="inlineStr">
        <is>
          <t>PDS-Abril(2).docx</t>
        </is>
      </c>
      <c r="M2113">
        <f>IF($A2113="","",TEXT($A2113,"mmmm/yyyy"))</f>
        <v/>
      </c>
      <c r="P2113">
        <f>IFERROR(_xludf.XLOOKUP($N2113,Base_Enderecos!$A:$A,Base_Enderecos!$B:$B,""),"")</f>
        <v/>
      </c>
      <c r="Q2113">
        <f>IFERROR(_xludf.XLOOKUP($N2113,Base_Enderecos!$A:$A,Base_Enderecos!$C:$C,""),"")</f>
        <v/>
      </c>
      <c r="R2113">
        <f>IF(OR(ISNUMBER(SEARCH("HDD",$F2113)),ISNUMBER(SEARCH("MND",$F2113)),ISNUMBER(SEARCH("PEAD",$F2113)),ISNUMBER(SEARCH("Puxe",$J2113)),ISNUMBER(SEARCH("Apoio HDD",$F2113))),"MND",IF(OR(ISNUMBER(SEARCH("VCA",$F2113)),ISNUMBER(SEARCH("PVC",$F2113)),ISNUMBER(SEARCH("vca",$J2113)),ISNUMBER(SEARCH("Transformação",$J2113))),"VCA",IF(OR(ISNUMBER(SEARCH("crava",$F2113)),ISNUMBER(SEARCH("tubo cravado",$F2113)),ISNUMBER(SEARCH("shaft",$J2113)),ISNUMBER(SEARCH("concreto",$F2113))),"TUBO CRAVADO","")))</f>
        <v/>
      </c>
      <c r="T2113">
        <f>IF($A2113="","",TEXT($A2113,"yyyymm")&amp;"|"&amp;$C2113&amp;"|"&amp;$F2113&amp;"|"&amp;$N2113&amp;"|"&amp;$R2113)</f>
        <v/>
      </c>
    </row>
    <row r="2114">
      <c r="A2114" s="11" t="n">
        <v>46141</v>
      </c>
      <c r="B2114" s="8" t="inlineStr">
        <is>
          <t>quarta</t>
        </is>
      </c>
      <c r="C2114" s="7" t="inlineStr">
        <is>
          <t>CTS MAR DE CORAL</t>
        </is>
      </c>
      <c r="D2114" s="7" t="inlineStr">
        <is>
          <t>SILVESTRE</t>
        </is>
      </c>
      <c r="E2114" s="24" t="inlineStr">
        <is>
          <t>Claudinei</t>
        </is>
      </c>
      <c r="F2114" s="25" t="inlineStr">
        <is>
          <t>vca e transformação de pvs entre pv5.11 ao pv 5.12</t>
        </is>
      </c>
      <c r="G2114" s="24" t="inlineStr">
        <is>
          <t>5.11</t>
        </is>
      </c>
      <c r="H2114" s="24" t="inlineStr">
        <is>
          <t>5.12</t>
        </is>
      </c>
      <c r="I2114" s="24" t="inlineStr">
        <is>
          <t>5.11,5.12</t>
        </is>
      </c>
      <c r="J2114" s="24" t="inlineStr">
        <is>
          <t>vca</t>
        </is>
      </c>
      <c r="K2114" s="24" t="inlineStr">
        <is>
          <t>Planejamento</t>
        </is>
      </c>
      <c r="L2114" s="17" t="inlineStr">
        <is>
          <t>PDS-Abril(2).docx</t>
        </is>
      </c>
      <c r="M2114">
        <f>IF($A2114="","",TEXT($A2114,"mmmm/yyyy"))</f>
        <v/>
      </c>
      <c r="P2114">
        <f>IFERROR(_xludf.XLOOKUP($N2114,Base_Enderecos!$A:$A,Base_Enderecos!$B:$B,""),"")</f>
        <v/>
      </c>
      <c r="Q2114">
        <f>IFERROR(_xludf.XLOOKUP($N2114,Base_Enderecos!$A:$A,Base_Enderecos!$C:$C,""),"")</f>
        <v/>
      </c>
      <c r="R2114">
        <f>IF(OR(ISNUMBER(SEARCH("HDD",$F2114)),ISNUMBER(SEARCH("MND",$F2114)),ISNUMBER(SEARCH("PEAD",$F2114)),ISNUMBER(SEARCH("Puxe",$J2114)),ISNUMBER(SEARCH("Apoio HDD",$F2114))),"MND",IF(OR(ISNUMBER(SEARCH("VCA",$F2114)),ISNUMBER(SEARCH("PVC",$F2114)),ISNUMBER(SEARCH("vca",$J2114)),ISNUMBER(SEARCH("Transformação",$J2114))),"VCA",IF(OR(ISNUMBER(SEARCH("crava",$F2114)),ISNUMBER(SEARCH("tubo cravado",$F2114)),ISNUMBER(SEARCH("shaft",$J2114)),ISNUMBER(SEARCH("concreto",$F2114))),"TUBO CRAVADO","")))</f>
        <v/>
      </c>
      <c r="T2114">
        <f>IF($A2114="","",TEXT($A2114,"yyyymm")&amp;"|"&amp;$C2114&amp;"|"&amp;$F2114&amp;"|"&amp;$N2114&amp;"|"&amp;$R2114)</f>
        <v/>
      </c>
    </row>
    <row r="2115">
      <c r="A2115" s="11" t="n">
        <v>46141</v>
      </c>
      <c r="B2115" s="8" t="inlineStr">
        <is>
          <t>quarta</t>
        </is>
      </c>
      <c r="C2115" s="7" t="inlineStr">
        <is>
          <t>CTS MAR DE CORAL</t>
        </is>
      </c>
      <c r="D2115" s="7" t="inlineStr">
        <is>
          <t>SILVESTRE</t>
        </is>
      </c>
      <c r="E2115" s="24" t="inlineStr">
        <is>
          <t>Medeiros</t>
        </is>
      </c>
      <c r="F2115" s="25" t="inlineStr">
        <is>
          <t>vca e transformação de pvs entre pv5.10 ao pv 5.13</t>
        </is>
      </c>
      <c r="G2115" s="24" t="inlineStr">
        <is>
          <t>5.12</t>
        </is>
      </c>
      <c r="H2115" s="24" t="inlineStr">
        <is>
          <t>5.13</t>
        </is>
      </c>
      <c r="I2115" s="24" t="inlineStr">
        <is>
          <t>5.12,5.13</t>
        </is>
      </c>
      <c r="J2115" s="24" t="inlineStr">
        <is>
          <t>vca</t>
        </is>
      </c>
      <c r="K2115" s="24" t="inlineStr">
        <is>
          <t>Planejamento</t>
        </is>
      </c>
      <c r="L2115" s="17" t="inlineStr">
        <is>
          <t>PDS-Abril(2).docx</t>
        </is>
      </c>
      <c r="M2115">
        <f>IF($A2115="","",TEXT($A2115,"mmmm/yyyy"))</f>
        <v/>
      </c>
      <c r="P2115">
        <f>IFERROR(_xludf.XLOOKUP($N2115,Base_Enderecos!$A:$A,Base_Enderecos!$B:$B,""),"")</f>
        <v/>
      </c>
      <c r="Q2115">
        <f>IFERROR(_xludf.XLOOKUP($N2115,Base_Enderecos!$A:$A,Base_Enderecos!$C:$C,""),"")</f>
        <v/>
      </c>
      <c r="R2115">
        <f>IF(OR(ISNUMBER(SEARCH("HDD",$F2115)),ISNUMBER(SEARCH("MND",$F2115)),ISNUMBER(SEARCH("PEAD",$F2115)),ISNUMBER(SEARCH("Puxe",$J2115)),ISNUMBER(SEARCH("Apoio HDD",$F2115))),"MND",IF(OR(ISNUMBER(SEARCH("VCA",$F2115)),ISNUMBER(SEARCH("PVC",$F2115)),ISNUMBER(SEARCH("vca",$J2115)),ISNUMBER(SEARCH("Transformação",$J2115))),"VCA",IF(OR(ISNUMBER(SEARCH("crava",$F2115)),ISNUMBER(SEARCH("tubo cravado",$F2115)),ISNUMBER(SEARCH("shaft",$J2115)),ISNUMBER(SEARCH("concreto",$F2115))),"TUBO CRAVADO","")))</f>
        <v/>
      </c>
      <c r="T2115">
        <f>IF($A2115="","",TEXT($A2115,"yyyymm")&amp;"|"&amp;$C2115&amp;"|"&amp;$F2115&amp;"|"&amp;$N2115&amp;"|"&amp;$R2115)</f>
        <v/>
      </c>
    </row>
    <row r="2116">
      <c r="A2116" s="11" t="n">
        <v>46141</v>
      </c>
      <c r="B2116" s="8" t="inlineStr">
        <is>
          <t>quarta</t>
        </is>
      </c>
      <c r="C2116" s="7" t="inlineStr">
        <is>
          <t>CTS LUIS BOTELHO MOURÃO</t>
        </is>
      </c>
      <c r="D2116" s="7" t="inlineStr">
        <is>
          <t>ROBSON</t>
        </is>
      </c>
      <c r="E2116" s="24" t="inlineStr">
        <is>
          <t>marcio</t>
        </is>
      </c>
      <c r="F2116" s="25" t="inlineStr">
        <is>
          <t>vca PV09 ao PV10</t>
        </is>
      </c>
      <c r="G2116" s="24" t="n">
        <v>9</v>
      </c>
      <c r="H2116" s="24" t="n"/>
      <c r="I2116" s="24" t="n">
        <v>10</v>
      </c>
      <c r="J2116" s="25" t="inlineStr">
        <is>
          <t>vca PV09 ao PV10</t>
        </is>
      </c>
      <c r="K2116" s="24" t="inlineStr">
        <is>
          <t>Planejamento</t>
        </is>
      </c>
      <c r="L2116" s="17" t="inlineStr">
        <is>
          <t>PDS-Abril(2).docx</t>
        </is>
      </c>
      <c r="M2116">
        <f>IF($A2116="","",TEXT($A2116,"mmmm/yyyy"))</f>
        <v/>
      </c>
      <c r="P2116">
        <f>IFERROR(_xludf.XLOOKUP($N2116,Base_Enderecos!$A:$A,Base_Enderecos!$B:$B,""),"")</f>
        <v/>
      </c>
      <c r="Q2116">
        <f>IFERROR(_xludf.XLOOKUP($N2116,Base_Enderecos!$A:$A,Base_Enderecos!$C:$C,""),"")</f>
        <v/>
      </c>
      <c r="R2116">
        <f>IF(OR(ISNUMBER(SEARCH("HDD",$F2116)),ISNUMBER(SEARCH("MND",$F2116)),ISNUMBER(SEARCH("PEAD",$F2116)),ISNUMBER(SEARCH("Puxe",$J2116)),ISNUMBER(SEARCH("Apoio HDD",$F2116))),"MND",IF(OR(ISNUMBER(SEARCH("VCA",$F2116)),ISNUMBER(SEARCH("PVC",$F2116)),ISNUMBER(SEARCH("vca",$J2116)),ISNUMBER(SEARCH("Transformação",$J2116))),"VCA",IF(OR(ISNUMBER(SEARCH("crava",$F2116)),ISNUMBER(SEARCH("tubo cravado",$F2116)),ISNUMBER(SEARCH("shaft",$J2116)),ISNUMBER(SEARCH("concreto",$F2116))),"TUBO CRAVADO","")))</f>
        <v/>
      </c>
      <c r="T2116">
        <f>IF($A2116="","",TEXT($A2116,"yyyymm")&amp;"|"&amp;$C2116&amp;"|"&amp;$F2116&amp;"|"&amp;$N2116&amp;"|"&amp;$R2116)</f>
        <v/>
      </c>
    </row>
    <row r="2117">
      <c r="A2117" s="11" t="n">
        <v>46141</v>
      </c>
      <c r="B2117" s="8" t="inlineStr">
        <is>
          <t>quarta</t>
        </is>
      </c>
      <c r="C2117" s="7" t="inlineStr">
        <is>
          <t>CTS LUIS BOTELHO MOURÃO</t>
        </is>
      </c>
      <c r="D2117" s="7" t="inlineStr">
        <is>
          <t>ROBSON</t>
        </is>
      </c>
      <c r="E2117" s="24" t="inlineStr">
        <is>
          <t>Higor</t>
        </is>
      </c>
      <c r="F2117" s="25" t="inlineStr">
        <is>
          <t>vca PV08 ao PV09</t>
        </is>
      </c>
      <c r="G2117" s="24" t="n">
        <v>8</v>
      </c>
      <c r="H2117" s="24" t="n"/>
      <c r="I2117" s="24" t="n">
        <v>9</v>
      </c>
      <c r="J2117" s="25" t="inlineStr">
        <is>
          <t>vca PV09 ao PV09</t>
        </is>
      </c>
      <c r="K2117" s="24" t="inlineStr">
        <is>
          <t>Planejamento</t>
        </is>
      </c>
      <c r="L2117" s="17" t="inlineStr">
        <is>
          <t>PDS-Abril(2).docx</t>
        </is>
      </c>
      <c r="M2117">
        <f>IF($A2117="","",TEXT($A2117,"mmmm/yyyy"))</f>
        <v/>
      </c>
      <c r="P2117">
        <f>IFERROR(_xludf.XLOOKUP($N2117,Base_Enderecos!$A:$A,Base_Enderecos!$B:$B,""),"")</f>
        <v/>
      </c>
      <c r="Q2117">
        <f>IFERROR(_xludf.XLOOKUP($N2117,Base_Enderecos!$A:$A,Base_Enderecos!$C:$C,""),"")</f>
        <v/>
      </c>
      <c r="R2117">
        <f>IF(OR(ISNUMBER(SEARCH("HDD",$F2117)),ISNUMBER(SEARCH("MND",$F2117)),ISNUMBER(SEARCH("PEAD",$F2117)),ISNUMBER(SEARCH("Puxe",$J2117)),ISNUMBER(SEARCH("Apoio HDD",$F2117))),"MND",IF(OR(ISNUMBER(SEARCH("VCA",$F2117)),ISNUMBER(SEARCH("PVC",$F2117)),ISNUMBER(SEARCH("vca",$J2117)),ISNUMBER(SEARCH("Transformação",$J2117))),"VCA",IF(OR(ISNUMBER(SEARCH("crava",$F2117)),ISNUMBER(SEARCH("tubo cravado",$F2117)),ISNUMBER(SEARCH("shaft",$J2117)),ISNUMBER(SEARCH("concreto",$F2117))),"TUBO CRAVADO","")))</f>
        <v/>
      </c>
      <c r="T2117">
        <f>IF($A2117="","",TEXT($A2117,"yyyymm")&amp;"|"&amp;$C2117&amp;"|"&amp;$F2117&amp;"|"&amp;$N2117&amp;"|"&amp;$R2117)</f>
        <v/>
      </c>
    </row>
    <row r="2118">
      <c r="A2118" s="11" t="n">
        <v>46141</v>
      </c>
      <c r="B2118" s="8" t="inlineStr">
        <is>
          <t>quarta</t>
        </is>
      </c>
      <c r="C2118" s="7" t="inlineStr">
        <is>
          <t>CTS LUIS BOTELHO MOURÃO</t>
        </is>
      </c>
      <c r="D2118" s="7" t="inlineStr">
        <is>
          <t>ROBSON</t>
        </is>
      </c>
      <c r="E2118" s="24" t="inlineStr">
        <is>
          <t>Bruno</t>
        </is>
      </c>
      <c r="F2118" s="25" t="inlineStr">
        <is>
          <t>acabamento PV05</t>
        </is>
      </c>
      <c r="G2118" s="24" t="n">
        <v>5</v>
      </c>
      <c r="H2118" s="24" t="n"/>
      <c r="I2118" s="24" t="n">
        <v>5</v>
      </c>
      <c r="J2118" s="24" t="inlineStr">
        <is>
          <t>Acabamento</t>
        </is>
      </c>
      <c r="K2118" s="24" t="inlineStr">
        <is>
          <t>Planejamento</t>
        </is>
      </c>
      <c r="L2118" s="17" t="inlineStr">
        <is>
          <t>PDS-Abril(2).docx</t>
        </is>
      </c>
      <c r="M2118">
        <f>IF($A2118="","",TEXT($A2118,"mmmm/yyyy"))</f>
        <v/>
      </c>
      <c r="P2118">
        <f>IFERROR(_xludf.XLOOKUP($N2118,Base_Enderecos!$A:$A,Base_Enderecos!$B:$B,""),"")</f>
        <v/>
      </c>
      <c r="Q2118">
        <f>IFERROR(_xludf.XLOOKUP($N2118,Base_Enderecos!$A:$A,Base_Enderecos!$C:$C,""),"")</f>
        <v/>
      </c>
      <c r="R2118">
        <f>IF(OR(ISNUMBER(SEARCH("HDD",$F2118)),ISNUMBER(SEARCH("MND",$F2118)),ISNUMBER(SEARCH("PEAD",$F2118)),ISNUMBER(SEARCH("Puxe",$J2118)),ISNUMBER(SEARCH("Apoio HDD",$F2118))),"MND",IF(OR(ISNUMBER(SEARCH("VCA",$F2118)),ISNUMBER(SEARCH("PVC",$F2118)),ISNUMBER(SEARCH("vca",$J2118)),ISNUMBER(SEARCH("Transformação",$J2118))),"VCA",IF(OR(ISNUMBER(SEARCH("crava",$F2118)),ISNUMBER(SEARCH("tubo cravado",$F2118)),ISNUMBER(SEARCH("shaft",$J2118)),ISNUMBER(SEARCH("concreto",$F2118))),"TUBO CRAVADO","")))</f>
        <v/>
      </c>
      <c r="T2118">
        <f>IF($A2118="","",TEXT($A2118,"yyyymm")&amp;"|"&amp;$C2118&amp;"|"&amp;$F2118&amp;"|"&amp;$N2118&amp;"|"&amp;$R2118)</f>
        <v/>
      </c>
    </row>
    <row r="2119">
      <c r="A2119" s="11" t="n">
        <v>46142</v>
      </c>
      <c r="B2119" s="8" t="inlineStr">
        <is>
          <t>Quinta</t>
        </is>
      </c>
      <c r="C2119" s="7" t="n"/>
      <c r="D2119" s="7" t="n"/>
      <c r="E2119" s="24" t="inlineStr">
        <is>
          <t>Conceição – Henko</t>
        </is>
      </c>
      <c r="F2119" s="13" t="inlineStr">
        <is>
          <t>Apoio Vacal</t>
        </is>
      </c>
      <c r="G2119" s="24" t="n"/>
      <c r="H2119" s="24" t="n"/>
      <c r="I2119" s="24" t="n"/>
      <c r="J2119" s="27" t="inlineStr">
        <is>
          <t>Vacal</t>
        </is>
      </c>
      <c r="K2119" s="27" t="inlineStr">
        <is>
          <t>Apoio</t>
        </is>
      </c>
      <c r="L2119" s="17" t="inlineStr">
        <is>
          <t>PDS-Abril(2).docx</t>
        </is>
      </c>
      <c r="M2119">
        <f>IF($A2119="","",TEXT($A2119,"mmmm/yyyy"))</f>
        <v/>
      </c>
      <c r="P2119">
        <f>IFERROR(_xludf.XLOOKUP($N2119,Base_Enderecos!$A:$A,Base_Enderecos!$B:$B,""),"")</f>
        <v/>
      </c>
      <c r="Q2119">
        <f>IFERROR(_xludf.XLOOKUP($N2119,Base_Enderecos!$A:$A,Base_Enderecos!$C:$C,""),"")</f>
        <v/>
      </c>
      <c r="R2119">
        <f>IF(OR(ISNUMBER(SEARCH("HDD",$F2119)),ISNUMBER(SEARCH("MND",$F2119)),ISNUMBER(SEARCH("PEAD",$F2119)),ISNUMBER(SEARCH("Puxe",$J2119)),ISNUMBER(SEARCH("Apoio HDD",$F2119))),"MND",IF(OR(ISNUMBER(SEARCH("VCA",$F2119)),ISNUMBER(SEARCH("PVC",$F2119)),ISNUMBER(SEARCH("vca",$J2119)),ISNUMBER(SEARCH("Transformação",$J2119))),"VCA",IF(OR(ISNUMBER(SEARCH("crava",$F2119)),ISNUMBER(SEARCH("tubo cravado",$F2119)),ISNUMBER(SEARCH("shaft",$J2119)),ISNUMBER(SEARCH("concreto",$F2119))),"TUBO CRAVADO","")))</f>
        <v/>
      </c>
      <c r="T2119">
        <f>IF($A2119="","",TEXT($A2119,"yyyymm")&amp;"|"&amp;$C2119&amp;"|"&amp;$F2119&amp;"|"&amp;$N2119&amp;"|"&amp;$R2119)</f>
        <v/>
      </c>
    </row>
    <row r="2120">
      <c r="A2120" s="11" t="n">
        <v>46142</v>
      </c>
      <c r="B2120" s="8" t="inlineStr">
        <is>
          <t>Quinta</t>
        </is>
      </c>
      <c r="C2120" s="7" t="n"/>
      <c r="D2120" s="7" t="n"/>
      <c r="E2120" s="24" t="inlineStr">
        <is>
          <t>Conceição – Renasce</t>
        </is>
      </c>
      <c r="F2120" s="13" t="inlineStr">
        <is>
          <t>Apoio Vacal</t>
        </is>
      </c>
      <c r="J2120" s="27" t="inlineStr">
        <is>
          <t>Vacal</t>
        </is>
      </c>
      <c r="K2120" s="27" t="inlineStr">
        <is>
          <t>Apoio</t>
        </is>
      </c>
      <c r="L2120" s="17" t="inlineStr">
        <is>
          <t>PDS-Abril(2).docx</t>
        </is>
      </c>
      <c r="M2120">
        <f>IF($A2120="","",TEXT($A2120,"mmmm/yyyy"))</f>
        <v/>
      </c>
      <c r="P2120">
        <f>IFERROR(_xludf.XLOOKUP($N2120,Base_Enderecos!$A:$A,Base_Enderecos!$B:$B,""),"")</f>
        <v/>
      </c>
      <c r="Q2120">
        <f>IFERROR(_xludf.XLOOKUP($N2120,Base_Enderecos!$A:$A,Base_Enderecos!$C:$C,""),"")</f>
        <v/>
      </c>
      <c r="R2120">
        <f>IF(OR(ISNUMBER(SEARCH("HDD",$F2120)),ISNUMBER(SEARCH("MND",$F2120)),ISNUMBER(SEARCH("PEAD",$F2120)),ISNUMBER(SEARCH("Puxe",$J2120)),ISNUMBER(SEARCH("Apoio HDD",$F2120))),"MND",IF(OR(ISNUMBER(SEARCH("VCA",$F2120)),ISNUMBER(SEARCH("PVC",$F2120)),ISNUMBER(SEARCH("vca",$J2120)),ISNUMBER(SEARCH("Transformação",$J2120))),"VCA",IF(OR(ISNUMBER(SEARCH("crava",$F2120)),ISNUMBER(SEARCH("tubo cravado",$F2120)),ISNUMBER(SEARCH("shaft",$J2120)),ISNUMBER(SEARCH("concreto",$F2120))),"TUBO CRAVADO","")))</f>
        <v/>
      </c>
      <c r="T2120">
        <f>IF($A2120="","",TEXT($A2120,"yyyymm")&amp;"|"&amp;$C2120&amp;"|"&amp;$F2120&amp;"|"&amp;$N2120&amp;"|"&amp;$R2120)</f>
        <v/>
      </c>
    </row>
    <row r="2121">
      <c r="A2121" s="11" t="n">
        <v>46142</v>
      </c>
      <c r="B2121" s="8" t="inlineStr">
        <is>
          <t>Quinta</t>
        </is>
      </c>
      <c r="C2121" s="7" t="n"/>
      <c r="D2121" s="7" t="n"/>
      <c r="E2121" s="24" t="inlineStr">
        <is>
          <t>Botelho Mourão – Resnasce</t>
        </is>
      </c>
      <c r="F2121" s="13" t="inlineStr">
        <is>
          <t>Apoio Vacal</t>
        </is>
      </c>
      <c r="J2121" s="27" t="inlineStr">
        <is>
          <t>Vacal</t>
        </is>
      </c>
      <c r="K2121" s="27" t="inlineStr">
        <is>
          <t>Apoio</t>
        </is>
      </c>
      <c r="L2121" s="17" t="inlineStr">
        <is>
          <t>PDS-Abril(2).docx</t>
        </is>
      </c>
      <c r="M2121">
        <f>IF($A2121="","",TEXT($A2121,"mmmm/yyyy"))</f>
        <v/>
      </c>
      <c r="P2121">
        <f>IFERROR(_xludf.XLOOKUP($N2121,Base_Enderecos!$A:$A,Base_Enderecos!$B:$B,""),"")</f>
        <v/>
      </c>
      <c r="Q2121">
        <f>IFERROR(_xludf.XLOOKUP($N2121,Base_Enderecos!$A:$A,Base_Enderecos!$C:$C,""),"")</f>
        <v/>
      </c>
      <c r="R2121">
        <f>IF(OR(ISNUMBER(SEARCH("HDD",$F2121)),ISNUMBER(SEARCH("MND",$F2121)),ISNUMBER(SEARCH("PEAD",$F2121)),ISNUMBER(SEARCH("Puxe",$J2121)),ISNUMBER(SEARCH("Apoio HDD",$F2121))),"MND",IF(OR(ISNUMBER(SEARCH("VCA",$F2121)),ISNUMBER(SEARCH("PVC",$F2121)),ISNUMBER(SEARCH("vca",$J2121)),ISNUMBER(SEARCH("Transformação",$J2121))),"VCA",IF(OR(ISNUMBER(SEARCH("crava",$F2121)),ISNUMBER(SEARCH("tubo cravado",$F2121)),ISNUMBER(SEARCH("shaft",$J2121)),ISNUMBER(SEARCH("concreto",$F2121))),"TUBO CRAVADO","")))</f>
        <v/>
      </c>
      <c r="T2121">
        <f>IF($A2121="","",TEXT($A2121,"yyyymm")&amp;"|"&amp;$C2121&amp;"|"&amp;$F2121&amp;"|"&amp;$N2121&amp;"|"&amp;$R2121)</f>
        <v/>
      </c>
    </row>
    <row r="2122">
      <c r="A2122" s="11" t="n">
        <v>46142</v>
      </c>
      <c r="B2122" s="8" t="inlineStr">
        <is>
          <t>Quinta</t>
        </is>
      </c>
      <c r="C2122" s="7" t="n"/>
      <c r="D2122" s="7" t="n"/>
      <c r="E2122" s="24" t="inlineStr">
        <is>
          <t>Botelho Mourão – Henko</t>
        </is>
      </c>
      <c r="F2122" s="13" t="inlineStr">
        <is>
          <t>Apoio Vacal</t>
        </is>
      </c>
      <c r="J2122" s="27" t="inlineStr">
        <is>
          <t>Vacal</t>
        </is>
      </c>
      <c r="K2122" s="27" t="inlineStr">
        <is>
          <t>Apoio</t>
        </is>
      </c>
      <c r="L2122" s="17" t="inlineStr">
        <is>
          <t>PDS-Abril(2).docx</t>
        </is>
      </c>
      <c r="M2122">
        <f>IF($A2122="","",TEXT($A2122,"mmmm/yyyy"))</f>
        <v/>
      </c>
      <c r="P2122">
        <f>IFERROR(_xludf.XLOOKUP($N2122,Base_Enderecos!$A:$A,Base_Enderecos!$B:$B,""),"")</f>
        <v/>
      </c>
      <c r="Q2122">
        <f>IFERROR(_xludf.XLOOKUP($N2122,Base_Enderecos!$A:$A,Base_Enderecos!$C:$C,""),"")</f>
        <v/>
      </c>
      <c r="R2122">
        <f>IF(OR(ISNUMBER(SEARCH("HDD",$F2122)),ISNUMBER(SEARCH("MND",$F2122)),ISNUMBER(SEARCH("PEAD",$F2122)),ISNUMBER(SEARCH("Puxe",$J2122)),ISNUMBER(SEARCH("Apoio HDD",$F2122))),"MND",IF(OR(ISNUMBER(SEARCH("VCA",$F2122)),ISNUMBER(SEARCH("PVC",$F2122)),ISNUMBER(SEARCH("vca",$J2122)),ISNUMBER(SEARCH("Transformação",$J2122))),"VCA",IF(OR(ISNUMBER(SEARCH("crava",$F2122)),ISNUMBER(SEARCH("tubo cravado",$F2122)),ISNUMBER(SEARCH("shaft",$J2122)),ISNUMBER(SEARCH("concreto",$F2122))),"TUBO CRAVADO","")))</f>
        <v/>
      </c>
      <c r="T2122">
        <f>IF($A2122="","",TEXT($A2122,"yyyymm")&amp;"|"&amp;$C2122&amp;"|"&amp;$F2122&amp;"|"&amp;$N2122&amp;"|"&amp;$R2122)</f>
        <v/>
      </c>
    </row>
    <row r="2123">
      <c r="A2123" s="11" t="n">
        <v>46142</v>
      </c>
      <c r="B2123" s="8" t="inlineStr">
        <is>
          <t>Quinta</t>
        </is>
      </c>
      <c r="C2123" s="7" t="n"/>
      <c r="D2123" s="7" t="n"/>
      <c r="E2123" s="24" t="inlineStr">
        <is>
          <t>Água Vermelha ME – Hidrosol</t>
        </is>
      </c>
      <c r="F2123" s="13" t="inlineStr">
        <is>
          <t>Apoio Vacal</t>
        </is>
      </c>
      <c r="J2123" s="27" t="inlineStr">
        <is>
          <t>Vacal</t>
        </is>
      </c>
      <c r="K2123" s="27" t="inlineStr">
        <is>
          <t>Apoio</t>
        </is>
      </c>
      <c r="L2123" s="17" t="inlineStr">
        <is>
          <t>PDS-Abril(2).docx</t>
        </is>
      </c>
      <c r="M2123">
        <f>IF($A2123="","",TEXT($A2123,"mmmm/yyyy"))</f>
        <v/>
      </c>
      <c r="P2123">
        <f>IFERROR(_xludf.XLOOKUP($N2123,Base_Enderecos!$A:$A,Base_Enderecos!$B:$B,""),"")</f>
        <v/>
      </c>
      <c r="Q2123">
        <f>IFERROR(_xludf.XLOOKUP($N2123,Base_Enderecos!$A:$A,Base_Enderecos!$C:$C,""),"")</f>
        <v/>
      </c>
      <c r="R2123">
        <f>IF(OR(ISNUMBER(SEARCH("HDD",$F2123)),ISNUMBER(SEARCH("MND",$F2123)),ISNUMBER(SEARCH("PEAD",$F2123)),ISNUMBER(SEARCH("Puxe",$J2123)),ISNUMBER(SEARCH("Apoio HDD",$F2123))),"MND",IF(OR(ISNUMBER(SEARCH("VCA",$F2123)),ISNUMBER(SEARCH("PVC",$F2123)),ISNUMBER(SEARCH("vca",$J2123)),ISNUMBER(SEARCH("Transformação",$J2123))),"VCA",IF(OR(ISNUMBER(SEARCH("crava",$F2123)),ISNUMBER(SEARCH("tubo cravado",$F2123)),ISNUMBER(SEARCH("shaft",$J2123)),ISNUMBER(SEARCH("concreto",$F2123))),"TUBO CRAVADO","")))</f>
        <v/>
      </c>
      <c r="T2123">
        <f>IF($A2123="","",TEXT($A2123,"yyyymm")&amp;"|"&amp;$C2123&amp;"|"&amp;$F2123&amp;"|"&amp;$N2123&amp;"|"&amp;$R2123)</f>
        <v/>
      </c>
    </row>
    <row r="2124">
      <c r="A2124" s="11" t="n">
        <v>46142</v>
      </c>
      <c r="B2124" s="8" t="inlineStr">
        <is>
          <t>Quinta</t>
        </is>
      </c>
      <c r="C2124" s="7" t="inlineStr">
        <is>
          <t>CTS CONCEIÇÃO</t>
        </is>
      </c>
      <c r="D2124" s="7" t="inlineStr">
        <is>
          <t>LEANDRO</t>
        </is>
      </c>
      <c r="E2124" s="29" t="inlineStr">
        <is>
          <t>Emanuel</t>
        </is>
      </c>
      <c r="F2124" s="30" t="inlineStr">
        <is>
          <t>interligação PV10.2</t>
        </is>
      </c>
      <c r="G2124" s="29" t="inlineStr">
        <is>
          <t>10.2</t>
        </is>
      </c>
      <c r="I2124" s="29" t="inlineStr">
        <is>
          <t>10.2</t>
        </is>
      </c>
      <c r="J2124" s="24" t="inlineStr">
        <is>
          <t>Interligação</t>
        </is>
      </c>
      <c r="K2124" s="24" t="inlineStr">
        <is>
          <t>Planejamento</t>
        </is>
      </c>
      <c r="L2124" s="17" t="inlineStr">
        <is>
          <t>PDS-Abril(2).docx</t>
        </is>
      </c>
      <c r="M2124">
        <f>IF($A2124="","",TEXT($A2124,"mmmm/yyyy"))</f>
        <v/>
      </c>
      <c r="P2124">
        <f>IFERROR(_xludf.XLOOKUP($N2124,Base_Enderecos!$A:$A,Base_Enderecos!$B:$B,""),"")</f>
        <v/>
      </c>
      <c r="Q2124">
        <f>IFERROR(_xludf.XLOOKUP($N2124,Base_Enderecos!$A:$A,Base_Enderecos!$C:$C,""),"")</f>
        <v/>
      </c>
      <c r="R2124">
        <f>IF(OR(ISNUMBER(SEARCH("HDD",$F2124)),ISNUMBER(SEARCH("MND",$F2124)),ISNUMBER(SEARCH("PEAD",$F2124)),ISNUMBER(SEARCH("Puxe",$J2124)),ISNUMBER(SEARCH("Apoio HDD",$F2124))),"MND",IF(OR(ISNUMBER(SEARCH("VCA",$F2124)),ISNUMBER(SEARCH("PVC",$F2124)),ISNUMBER(SEARCH("vca",$J2124)),ISNUMBER(SEARCH("Transformação",$J2124))),"VCA",IF(OR(ISNUMBER(SEARCH("crava",$F2124)),ISNUMBER(SEARCH("tubo cravado",$F2124)),ISNUMBER(SEARCH("shaft",$J2124)),ISNUMBER(SEARCH("concreto",$F2124))),"TUBO CRAVADO","")))</f>
        <v/>
      </c>
      <c r="T2124">
        <f>IF($A2124="","",TEXT($A2124,"yyyymm")&amp;"|"&amp;$C2124&amp;"|"&amp;$F2124&amp;"|"&amp;$N2124&amp;"|"&amp;$R2124)</f>
        <v/>
      </c>
    </row>
    <row r="2125">
      <c r="A2125" s="11" t="n">
        <v>46142</v>
      </c>
      <c r="B2125" s="8" t="inlineStr">
        <is>
          <t>Quinta</t>
        </is>
      </c>
      <c r="C2125" s="7" t="inlineStr">
        <is>
          <t xml:space="preserve">CTS Agua Vermelha M.D </t>
        </is>
      </c>
      <c r="D2125" s="7" t="inlineStr">
        <is>
          <t>FABIO</t>
        </is>
      </c>
      <c r="E2125" s="24" t="inlineStr">
        <is>
          <t>Marcelo</t>
        </is>
      </c>
      <c r="F2125" s="25" t="inlineStr">
        <is>
          <t>acabamento nos pvs</t>
        </is>
      </c>
      <c r="G2125" s="24" t="inlineStr">
        <is>
          <t>pvs</t>
        </is>
      </c>
      <c r="I2125" s="24" t="inlineStr">
        <is>
          <t>pvs</t>
        </is>
      </c>
      <c r="J2125" s="24" t="inlineStr">
        <is>
          <t>acabamento</t>
        </is>
      </c>
      <c r="K2125" s="24" t="inlineStr">
        <is>
          <t>Planejamento</t>
        </is>
      </c>
      <c r="L2125" s="17" t="inlineStr">
        <is>
          <t>PDS-Abril(2).docx</t>
        </is>
      </c>
      <c r="M2125">
        <f>IF($A2125="","",TEXT($A2125,"mmmm/yyyy"))</f>
        <v/>
      </c>
      <c r="P2125">
        <f>IFERROR(_xludf.XLOOKUP($N2125,Base_Enderecos!$A:$A,Base_Enderecos!$B:$B,""),"")</f>
        <v/>
      </c>
      <c r="Q2125">
        <f>IFERROR(_xludf.XLOOKUP($N2125,Base_Enderecos!$A:$A,Base_Enderecos!$C:$C,""),"")</f>
        <v/>
      </c>
      <c r="R2125">
        <f>IF(OR(ISNUMBER(SEARCH("HDD",$F2125)),ISNUMBER(SEARCH("MND",$F2125)),ISNUMBER(SEARCH("PEAD",$F2125)),ISNUMBER(SEARCH("Puxe",$J2125)),ISNUMBER(SEARCH("Apoio HDD",$F2125))),"MND",IF(OR(ISNUMBER(SEARCH("VCA",$F2125)),ISNUMBER(SEARCH("PVC",$F2125)),ISNUMBER(SEARCH("vca",$J2125)),ISNUMBER(SEARCH("Transformação",$J2125))),"VCA",IF(OR(ISNUMBER(SEARCH("crava",$F2125)),ISNUMBER(SEARCH("tubo cravado",$F2125)),ISNUMBER(SEARCH("shaft",$J2125)),ISNUMBER(SEARCH("concreto",$F2125))),"TUBO CRAVADO","")))</f>
        <v/>
      </c>
      <c r="T2125">
        <f>IF($A2125="","",TEXT($A2125,"yyyymm")&amp;"|"&amp;$C2125&amp;"|"&amp;$F2125&amp;"|"&amp;$N2125&amp;"|"&amp;$R2125)</f>
        <v/>
      </c>
    </row>
    <row r="2126">
      <c r="A2126" s="11" t="n">
        <v>46142</v>
      </c>
      <c r="B2126" s="8" t="inlineStr">
        <is>
          <t>Quinta</t>
        </is>
      </c>
      <c r="C2126" s="7" t="inlineStr">
        <is>
          <t xml:space="preserve">CTS Agua Vermelha M.D </t>
        </is>
      </c>
      <c r="D2126" s="7" t="inlineStr">
        <is>
          <t>FABIO</t>
        </is>
      </c>
      <c r="E2126" s="24" t="inlineStr">
        <is>
          <t>Cesar</t>
        </is>
      </c>
      <c r="F2126" s="25" t="inlineStr">
        <is>
          <t>transformação PV17</t>
        </is>
      </c>
      <c r="G2126" s="24" t="n">
        <v>17</v>
      </c>
      <c r="I2126" s="24" t="n">
        <v>17</v>
      </c>
      <c r="J2126" s="24" t="inlineStr">
        <is>
          <t>Shaft</t>
        </is>
      </c>
      <c r="K2126" s="24" t="inlineStr">
        <is>
          <t>Planejamento</t>
        </is>
      </c>
      <c r="L2126" s="17" t="inlineStr">
        <is>
          <t>PDS-Abril(2).docx</t>
        </is>
      </c>
      <c r="M2126">
        <f>IF($A2126="","",TEXT($A2126,"mmmm/yyyy"))</f>
        <v/>
      </c>
      <c r="P2126">
        <f>IFERROR(_xludf.XLOOKUP($N2126,Base_Enderecos!$A:$A,Base_Enderecos!$B:$B,""),"")</f>
        <v/>
      </c>
      <c r="Q2126">
        <f>IFERROR(_xludf.XLOOKUP($N2126,Base_Enderecos!$A:$A,Base_Enderecos!$C:$C,""),"")</f>
        <v/>
      </c>
      <c r="R2126">
        <f>IF(OR(ISNUMBER(SEARCH("HDD",$F2126)),ISNUMBER(SEARCH("MND",$F2126)),ISNUMBER(SEARCH("PEAD",$F2126)),ISNUMBER(SEARCH("Puxe",$J2126)),ISNUMBER(SEARCH("Apoio HDD",$F2126))),"MND",IF(OR(ISNUMBER(SEARCH("VCA",$F2126)),ISNUMBER(SEARCH("PVC",$F2126)),ISNUMBER(SEARCH("vca",$J2126)),ISNUMBER(SEARCH("Transformação",$J2126))),"VCA",IF(OR(ISNUMBER(SEARCH("crava",$F2126)),ISNUMBER(SEARCH("tubo cravado",$F2126)),ISNUMBER(SEARCH("shaft",$J2126)),ISNUMBER(SEARCH("concreto",$F2126))),"TUBO CRAVADO","")))</f>
        <v/>
      </c>
      <c r="T2126">
        <f>IF($A2126="","",TEXT($A2126,"yyyymm")&amp;"|"&amp;$C2126&amp;"|"&amp;$F2126&amp;"|"&amp;$N2126&amp;"|"&amp;$R2126)</f>
        <v/>
      </c>
    </row>
    <row r="2127">
      <c r="A2127" s="11" t="n">
        <v>46142</v>
      </c>
      <c r="B2127" s="8" t="inlineStr">
        <is>
          <t>Quinta</t>
        </is>
      </c>
      <c r="C2127" s="7" t="inlineStr">
        <is>
          <t xml:space="preserve">CTS Agua Vermelha M.D </t>
        </is>
      </c>
      <c r="D2127" s="7" t="inlineStr">
        <is>
          <t>FABIO</t>
        </is>
      </c>
      <c r="E2127" s="24" t="inlineStr">
        <is>
          <t>Cesar</t>
        </is>
      </c>
      <c r="F2127" s="25" t="inlineStr">
        <is>
          <t>interligação PVD19</t>
        </is>
      </c>
      <c r="G2127" s="24" t="n">
        <v>19</v>
      </c>
      <c r="I2127" s="24" t="n">
        <v>19</v>
      </c>
      <c r="J2127" s="24" t="inlineStr">
        <is>
          <t>Interligação</t>
        </is>
      </c>
      <c r="K2127" s="24" t="inlineStr">
        <is>
          <t>Planejamento</t>
        </is>
      </c>
      <c r="L2127" s="17" t="inlineStr">
        <is>
          <t>PDS-Abril(2).docx</t>
        </is>
      </c>
      <c r="M2127">
        <f>IF($A2127="","",TEXT($A2127,"mmmm/yyyy"))</f>
        <v/>
      </c>
      <c r="P2127">
        <f>IFERROR(_xludf.XLOOKUP($N2127,Base_Enderecos!$A:$A,Base_Enderecos!$B:$B,""),"")</f>
        <v/>
      </c>
      <c r="Q2127">
        <f>IFERROR(_xludf.XLOOKUP($N2127,Base_Enderecos!$A:$A,Base_Enderecos!$C:$C,""),"")</f>
        <v/>
      </c>
      <c r="R2127">
        <f>IF(OR(ISNUMBER(SEARCH("HDD",$F2127)),ISNUMBER(SEARCH("MND",$F2127)),ISNUMBER(SEARCH("PEAD",$F2127)),ISNUMBER(SEARCH("Puxe",$J2127)),ISNUMBER(SEARCH("Apoio HDD",$F2127))),"MND",IF(OR(ISNUMBER(SEARCH("VCA",$F2127)),ISNUMBER(SEARCH("PVC",$F2127)),ISNUMBER(SEARCH("vca",$J2127)),ISNUMBER(SEARCH("Transformação",$J2127))),"VCA",IF(OR(ISNUMBER(SEARCH("crava",$F2127)),ISNUMBER(SEARCH("tubo cravado",$F2127)),ISNUMBER(SEARCH("shaft",$J2127)),ISNUMBER(SEARCH("concreto",$F2127))),"TUBO CRAVADO","")))</f>
        <v/>
      </c>
      <c r="T2127">
        <f>IF($A2127="","",TEXT($A2127,"yyyymm")&amp;"|"&amp;$C2127&amp;"|"&amp;$F2127&amp;"|"&amp;$N2127&amp;"|"&amp;$R2127)</f>
        <v/>
      </c>
    </row>
    <row r="2128">
      <c r="A2128" s="11" t="n">
        <v>46142</v>
      </c>
      <c r="B2128" s="8" t="inlineStr">
        <is>
          <t>Quinta</t>
        </is>
      </c>
      <c r="C2128" s="7" t="inlineStr">
        <is>
          <t>CTS Agua Vermelha M.E</t>
        </is>
      </c>
      <c r="D2128" s="7" t="inlineStr">
        <is>
          <t>VALMIR</t>
        </is>
      </c>
      <c r="E2128" s="24" t="inlineStr">
        <is>
          <t>Edivando</t>
        </is>
      </c>
      <c r="F2128" s="25" t="inlineStr">
        <is>
          <t>transformação PVE 6</t>
        </is>
      </c>
      <c r="G2128" s="24" t="n">
        <v>6</v>
      </c>
      <c r="I2128" s="24" t="n">
        <v>6</v>
      </c>
      <c r="J2128" s="24" t="inlineStr">
        <is>
          <t>Transformação</t>
        </is>
      </c>
      <c r="K2128" s="24" t="inlineStr">
        <is>
          <t>Planejamento</t>
        </is>
      </c>
      <c r="L2128" s="17" t="inlineStr">
        <is>
          <t>PDS-Abril(2).docx</t>
        </is>
      </c>
      <c r="M2128">
        <f>IF($A2128="","",TEXT($A2128,"mmmm/yyyy"))</f>
        <v/>
      </c>
      <c r="P2128">
        <f>IFERROR(_xludf.XLOOKUP($N2128,Base_Enderecos!$A:$A,Base_Enderecos!$B:$B,""),"")</f>
        <v/>
      </c>
      <c r="Q2128">
        <f>IFERROR(_xludf.XLOOKUP($N2128,Base_Enderecos!$A:$A,Base_Enderecos!$C:$C,""),"")</f>
        <v/>
      </c>
      <c r="R2128">
        <f>IF(OR(ISNUMBER(SEARCH("HDD",$F2128)),ISNUMBER(SEARCH("MND",$F2128)),ISNUMBER(SEARCH("PEAD",$F2128)),ISNUMBER(SEARCH("Puxe",$J2128)),ISNUMBER(SEARCH("Apoio HDD",$F2128))),"MND",IF(OR(ISNUMBER(SEARCH("VCA",$F2128)),ISNUMBER(SEARCH("PVC",$F2128)),ISNUMBER(SEARCH("vca",$J2128)),ISNUMBER(SEARCH("Transformação",$J2128))),"VCA",IF(OR(ISNUMBER(SEARCH("crava",$F2128)),ISNUMBER(SEARCH("tubo cravado",$F2128)),ISNUMBER(SEARCH("shaft",$J2128)),ISNUMBER(SEARCH("concreto",$F2128))),"TUBO CRAVADO","")))</f>
        <v/>
      </c>
      <c r="T2128">
        <f>IF($A2128="","",TEXT($A2128,"yyyymm")&amp;"|"&amp;$C2128&amp;"|"&amp;$F2128&amp;"|"&amp;$N2128&amp;"|"&amp;$R2128)</f>
        <v/>
      </c>
    </row>
    <row r="2129">
      <c r="A2129" s="11" t="n">
        <v>46142</v>
      </c>
      <c r="B2129" s="8" t="inlineStr">
        <is>
          <t>Quinta</t>
        </is>
      </c>
      <c r="C2129" s="7" t="inlineStr">
        <is>
          <t>CTS Agua Vermelha M.E</t>
        </is>
      </c>
      <c r="D2129" s="7" t="inlineStr">
        <is>
          <t>VALMIR</t>
        </is>
      </c>
      <c r="E2129" s="24" t="inlineStr">
        <is>
          <t xml:space="preserve">Ricardo </t>
        </is>
      </c>
      <c r="F2129" s="30" t="inlineStr">
        <is>
          <t>shaft PVE 5.1 e interligação PV5</t>
        </is>
      </c>
      <c r="G2129" s="29" t="inlineStr">
        <is>
          <t>5.1</t>
        </is>
      </c>
      <c r="H2129" s="24" t="n"/>
      <c r="I2129" s="29" t="inlineStr">
        <is>
          <t>5.1</t>
        </is>
      </c>
      <c r="J2129" s="29" t="inlineStr">
        <is>
          <t>shaft</t>
        </is>
      </c>
      <c r="K2129" s="24" t="inlineStr">
        <is>
          <t>Planejamento</t>
        </is>
      </c>
      <c r="L2129" s="17" t="inlineStr">
        <is>
          <t>PDS-Abril(2).docx</t>
        </is>
      </c>
      <c r="M2129">
        <f>IF($A2129="","",TEXT($A2129,"mmmm/yyyy"))</f>
        <v/>
      </c>
      <c r="P2129">
        <f>IFERROR(_xludf.XLOOKUP($N2129,Base_Enderecos!$A:$A,Base_Enderecos!$B:$B,""),"")</f>
        <v/>
      </c>
      <c r="Q2129">
        <f>IFERROR(_xludf.XLOOKUP($N2129,Base_Enderecos!$A:$A,Base_Enderecos!$C:$C,""),"")</f>
        <v/>
      </c>
      <c r="R2129">
        <f>IF(OR(ISNUMBER(SEARCH("HDD",$F2129)),ISNUMBER(SEARCH("MND",$F2129)),ISNUMBER(SEARCH("PEAD",$F2129)),ISNUMBER(SEARCH("Puxe",$J2129)),ISNUMBER(SEARCH("Apoio HDD",$F2129))),"MND",IF(OR(ISNUMBER(SEARCH("VCA",$F2129)),ISNUMBER(SEARCH("PVC",$F2129)),ISNUMBER(SEARCH("vca",$J2129)),ISNUMBER(SEARCH("Transformação",$J2129))),"VCA",IF(OR(ISNUMBER(SEARCH("crava",$F2129)),ISNUMBER(SEARCH("tubo cravado",$F2129)),ISNUMBER(SEARCH("shaft",$J2129)),ISNUMBER(SEARCH("concreto",$F2129))),"TUBO CRAVADO","")))</f>
        <v/>
      </c>
      <c r="T2129">
        <f>IF($A2129="","",TEXT($A2129,"yyyymm")&amp;"|"&amp;$C2129&amp;"|"&amp;$F2129&amp;"|"&amp;$N2129&amp;"|"&amp;$R2129)</f>
        <v/>
      </c>
    </row>
    <row r="2130">
      <c r="A2130" s="11" t="n">
        <v>46142</v>
      </c>
      <c r="B2130" s="8" t="inlineStr">
        <is>
          <t>Quinta</t>
        </is>
      </c>
      <c r="C2130" s="7" t="inlineStr">
        <is>
          <t>CTS MAR DE CORAL</t>
        </is>
      </c>
      <c r="D2130" s="7" t="inlineStr">
        <is>
          <t>SILVESTRE</t>
        </is>
      </c>
      <c r="E2130" s="24" t="inlineStr">
        <is>
          <t>Claudinei</t>
        </is>
      </c>
      <c r="F2130" s="25" t="inlineStr">
        <is>
          <t>vca e transformação de pvs entre pv5.11 ao pv 5.12</t>
        </is>
      </c>
      <c r="G2130" s="24" t="inlineStr">
        <is>
          <t>5.11</t>
        </is>
      </c>
      <c r="H2130" s="24" t="inlineStr">
        <is>
          <t>5.12</t>
        </is>
      </c>
      <c r="I2130" s="24" t="inlineStr">
        <is>
          <t>5.11,5.12</t>
        </is>
      </c>
      <c r="J2130" s="24" t="inlineStr">
        <is>
          <t>vca</t>
        </is>
      </c>
      <c r="K2130" s="24" t="inlineStr">
        <is>
          <t>Planejamento</t>
        </is>
      </c>
      <c r="L2130" s="17" t="inlineStr">
        <is>
          <t>PDS-Abril(2).docx</t>
        </is>
      </c>
      <c r="M2130">
        <f>IF($A2130="","",TEXT($A2130,"mmmm/yyyy"))</f>
        <v/>
      </c>
      <c r="P2130">
        <f>IFERROR(_xludf.XLOOKUP($N2130,Base_Enderecos!$A:$A,Base_Enderecos!$B:$B,""),"")</f>
        <v/>
      </c>
      <c r="Q2130">
        <f>IFERROR(_xludf.XLOOKUP($N2130,Base_Enderecos!$A:$A,Base_Enderecos!$C:$C,""),"")</f>
        <v/>
      </c>
      <c r="R2130">
        <f>IF(OR(ISNUMBER(SEARCH("HDD",$F2130)),ISNUMBER(SEARCH("MND",$F2130)),ISNUMBER(SEARCH("PEAD",$F2130)),ISNUMBER(SEARCH("Puxe",$J2130)),ISNUMBER(SEARCH("Apoio HDD",$F2130))),"MND",IF(OR(ISNUMBER(SEARCH("VCA",$F2130)),ISNUMBER(SEARCH("PVC",$F2130)),ISNUMBER(SEARCH("vca",$J2130)),ISNUMBER(SEARCH("Transformação",$J2130))),"VCA",IF(OR(ISNUMBER(SEARCH("crava",$F2130)),ISNUMBER(SEARCH("tubo cravado",$F2130)),ISNUMBER(SEARCH("shaft",$J2130)),ISNUMBER(SEARCH("concreto",$F2130))),"TUBO CRAVADO","")))</f>
        <v/>
      </c>
      <c r="T2130">
        <f>IF($A2130="","",TEXT($A2130,"yyyymm")&amp;"|"&amp;$C2130&amp;"|"&amp;$F2130&amp;"|"&amp;$N2130&amp;"|"&amp;$R2130)</f>
        <v/>
      </c>
    </row>
    <row r="2131">
      <c r="A2131" s="11" t="n">
        <v>46142</v>
      </c>
      <c r="B2131" s="8" t="inlineStr">
        <is>
          <t>Quinta</t>
        </is>
      </c>
      <c r="C2131" s="7" t="inlineStr">
        <is>
          <t>CTS MAR DE CORAL</t>
        </is>
      </c>
      <c r="D2131" s="7" t="inlineStr">
        <is>
          <t>SILVESTRE</t>
        </is>
      </c>
      <c r="E2131" s="24" t="inlineStr">
        <is>
          <t>Medeiros</t>
        </is>
      </c>
      <c r="F2131" s="25" t="inlineStr">
        <is>
          <t>vca e transformação de pvs entre pv5.10 ao pv 5.13</t>
        </is>
      </c>
      <c r="G2131" s="24" t="inlineStr">
        <is>
          <t>5.12</t>
        </is>
      </c>
      <c r="H2131" s="24" t="inlineStr">
        <is>
          <t>5.13</t>
        </is>
      </c>
      <c r="I2131" s="24" t="inlineStr">
        <is>
          <t>5.12,5.13</t>
        </is>
      </c>
      <c r="J2131" s="24" t="inlineStr">
        <is>
          <t>vca</t>
        </is>
      </c>
      <c r="K2131" s="24" t="inlineStr">
        <is>
          <t>Planejamento</t>
        </is>
      </c>
      <c r="L2131" s="17" t="inlineStr">
        <is>
          <t>PDS-Abril(2).docx</t>
        </is>
      </c>
      <c r="M2131">
        <f>IF($A2131="","",TEXT($A2131,"mmmm/yyyy"))</f>
        <v/>
      </c>
      <c r="P2131">
        <f>IFERROR(_xludf.XLOOKUP($N2131,Base_Enderecos!$A:$A,Base_Enderecos!$B:$B,""),"")</f>
        <v/>
      </c>
      <c r="Q2131">
        <f>IFERROR(_xludf.XLOOKUP($N2131,Base_Enderecos!$A:$A,Base_Enderecos!$C:$C,""),"")</f>
        <v/>
      </c>
      <c r="R2131">
        <f>IF(OR(ISNUMBER(SEARCH("HDD",$F2131)),ISNUMBER(SEARCH("MND",$F2131)),ISNUMBER(SEARCH("PEAD",$F2131)),ISNUMBER(SEARCH("Puxe",$J2131)),ISNUMBER(SEARCH("Apoio HDD",$F2131))),"MND",IF(OR(ISNUMBER(SEARCH("VCA",$F2131)),ISNUMBER(SEARCH("PVC",$F2131)),ISNUMBER(SEARCH("vca",$J2131)),ISNUMBER(SEARCH("Transformação",$J2131))),"VCA",IF(OR(ISNUMBER(SEARCH("crava",$F2131)),ISNUMBER(SEARCH("tubo cravado",$F2131)),ISNUMBER(SEARCH("shaft",$J2131)),ISNUMBER(SEARCH("concreto",$F2131))),"TUBO CRAVADO","")))</f>
        <v/>
      </c>
      <c r="T2131">
        <f>IF($A2131="","",TEXT($A2131,"yyyymm")&amp;"|"&amp;$C2131&amp;"|"&amp;$F2131&amp;"|"&amp;$N2131&amp;"|"&amp;$R2131)</f>
        <v/>
      </c>
    </row>
    <row r="2132">
      <c r="A2132" s="11" t="n">
        <v>46142</v>
      </c>
      <c r="B2132" s="8" t="inlineStr">
        <is>
          <t>Quinta</t>
        </is>
      </c>
      <c r="C2132" s="7" t="inlineStr">
        <is>
          <t>CTS MAR DE CORAL</t>
        </is>
      </c>
      <c r="D2132" s="7" t="inlineStr">
        <is>
          <t>SILVESTRE</t>
        </is>
      </c>
      <c r="E2132" s="24" t="inlineStr">
        <is>
          <t>cidão</t>
        </is>
      </c>
      <c r="F2132" s="25" t="inlineStr">
        <is>
          <t>transformação PV5.9.1</t>
        </is>
      </c>
      <c r="G2132" s="24" t="inlineStr">
        <is>
          <t>5.9.1</t>
        </is>
      </c>
      <c r="H2132" s="24" t="n"/>
      <c r="I2132" s="24" t="inlineStr">
        <is>
          <t>5.9.1</t>
        </is>
      </c>
      <c r="J2132" s="24" t="inlineStr">
        <is>
          <t>Transformação</t>
        </is>
      </c>
      <c r="K2132" s="24" t="inlineStr">
        <is>
          <t>Planejamento</t>
        </is>
      </c>
      <c r="L2132" s="17" t="inlineStr">
        <is>
          <t>PDS-Abril(2).docx</t>
        </is>
      </c>
      <c r="M2132">
        <f>IF($A2132="","",TEXT($A2132,"mmmm/yyyy"))</f>
        <v/>
      </c>
      <c r="P2132">
        <f>IFERROR(_xludf.XLOOKUP($N2132,Base_Enderecos!$A:$A,Base_Enderecos!$B:$B,""),"")</f>
        <v/>
      </c>
      <c r="Q2132">
        <f>IFERROR(_xludf.XLOOKUP($N2132,Base_Enderecos!$A:$A,Base_Enderecos!$C:$C,""),"")</f>
        <v/>
      </c>
      <c r="R2132">
        <f>IF(OR(ISNUMBER(SEARCH("HDD",$F2132)),ISNUMBER(SEARCH("MND",$F2132)),ISNUMBER(SEARCH("PEAD",$F2132)),ISNUMBER(SEARCH("Puxe",$J2132)),ISNUMBER(SEARCH("Apoio HDD",$F2132))),"MND",IF(OR(ISNUMBER(SEARCH("VCA",$F2132)),ISNUMBER(SEARCH("PVC",$F2132)),ISNUMBER(SEARCH("vca",$J2132)),ISNUMBER(SEARCH("Transformação",$J2132))),"VCA",IF(OR(ISNUMBER(SEARCH("crava",$F2132)),ISNUMBER(SEARCH("tubo cravado",$F2132)),ISNUMBER(SEARCH("shaft",$J2132)),ISNUMBER(SEARCH("concreto",$F2132))),"TUBO CRAVADO","")))</f>
        <v/>
      </c>
      <c r="T2132">
        <f>IF($A2132="","",TEXT($A2132,"yyyymm")&amp;"|"&amp;$C2132&amp;"|"&amp;$F2132&amp;"|"&amp;$N2132&amp;"|"&amp;$R2132)</f>
        <v/>
      </c>
    </row>
    <row r="2133">
      <c r="A2133" s="11" t="n">
        <v>46142</v>
      </c>
      <c r="B2133" s="8" t="inlineStr">
        <is>
          <t>Quinta</t>
        </is>
      </c>
      <c r="C2133" s="7" t="inlineStr">
        <is>
          <t>CTS MAR DE CORAL</t>
        </is>
      </c>
      <c r="D2133" s="7" t="inlineStr">
        <is>
          <t>SILVESTRE</t>
        </is>
      </c>
      <c r="E2133" s="24" t="inlineStr">
        <is>
          <t>Johnatham</t>
        </is>
      </c>
      <c r="F2133" s="25" t="inlineStr">
        <is>
          <t>transformação PV5.9</t>
        </is>
      </c>
      <c r="G2133" s="24" t="inlineStr">
        <is>
          <t>5.9</t>
        </is>
      </c>
      <c r="H2133" s="24" t="inlineStr">
        <is>
          <t>5.13</t>
        </is>
      </c>
      <c r="I2133" s="24" t="inlineStr">
        <is>
          <t>5.9</t>
        </is>
      </c>
      <c r="J2133" s="24" t="inlineStr">
        <is>
          <t>Transformação</t>
        </is>
      </c>
      <c r="K2133" s="24" t="inlineStr">
        <is>
          <t>Planejamento</t>
        </is>
      </c>
      <c r="L2133" s="17" t="inlineStr">
        <is>
          <t>PDS-Abril(2).docx</t>
        </is>
      </c>
      <c r="M2133">
        <f>IF($A2133="","",TEXT($A2133,"mmmm/yyyy"))</f>
        <v/>
      </c>
      <c r="P2133">
        <f>IFERROR(_xludf.XLOOKUP($N2133,Base_Enderecos!$A:$A,Base_Enderecos!$B:$B,""),"")</f>
        <v/>
      </c>
      <c r="Q2133">
        <f>IFERROR(_xludf.XLOOKUP($N2133,Base_Enderecos!$A:$A,Base_Enderecos!$C:$C,""),"")</f>
        <v/>
      </c>
      <c r="R2133">
        <f>IF(OR(ISNUMBER(SEARCH("HDD",$F2133)),ISNUMBER(SEARCH("MND",$F2133)),ISNUMBER(SEARCH("PEAD",$F2133)),ISNUMBER(SEARCH("Puxe",$J2133)),ISNUMBER(SEARCH("Apoio HDD",$F2133))),"MND",IF(OR(ISNUMBER(SEARCH("VCA",$F2133)),ISNUMBER(SEARCH("PVC",$F2133)),ISNUMBER(SEARCH("vca",$J2133)),ISNUMBER(SEARCH("Transformação",$J2133))),"VCA",IF(OR(ISNUMBER(SEARCH("crava",$F2133)),ISNUMBER(SEARCH("tubo cravado",$F2133)),ISNUMBER(SEARCH("shaft",$J2133)),ISNUMBER(SEARCH("concreto",$F2133))),"TUBO CRAVADO","")))</f>
        <v/>
      </c>
      <c r="T2133">
        <f>IF($A2133="","",TEXT($A2133,"yyyymm")&amp;"|"&amp;$C2133&amp;"|"&amp;$F2133&amp;"|"&amp;$N2133&amp;"|"&amp;$R2133)</f>
        <v/>
      </c>
    </row>
    <row r="2134">
      <c r="A2134" s="11" t="n">
        <v>46142</v>
      </c>
      <c r="B2134" s="8" t="inlineStr">
        <is>
          <t>Quinta</t>
        </is>
      </c>
      <c r="C2134" s="7" t="inlineStr">
        <is>
          <t>CTS LUIS BOTELHO MOURÃO</t>
        </is>
      </c>
      <c r="D2134" s="7" t="inlineStr">
        <is>
          <t>ROBSON</t>
        </is>
      </c>
      <c r="E2134" s="24" t="inlineStr">
        <is>
          <t>marcio</t>
        </is>
      </c>
      <c r="F2134" s="25" t="inlineStr">
        <is>
          <t>vca PV09 ao PV10</t>
        </is>
      </c>
      <c r="G2134" s="24" t="n">
        <v>9</v>
      </c>
      <c r="H2134" s="24" t="n"/>
      <c r="I2134" s="24" t="n">
        <v>10</v>
      </c>
      <c r="J2134" s="25" t="inlineStr">
        <is>
          <t>vca PV09 ao PV10</t>
        </is>
      </c>
      <c r="K2134" s="24" t="inlineStr">
        <is>
          <t>Planejamento</t>
        </is>
      </c>
      <c r="L2134" s="17" t="inlineStr">
        <is>
          <t>PDS-Abril(2).docx</t>
        </is>
      </c>
      <c r="M2134">
        <f>IF($A2134="","",TEXT($A2134,"mmmm/yyyy"))</f>
        <v/>
      </c>
      <c r="P2134">
        <f>IFERROR(_xludf.XLOOKUP($N2134,Base_Enderecos!$A:$A,Base_Enderecos!$B:$B,""),"")</f>
        <v/>
      </c>
      <c r="Q2134">
        <f>IFERROR(_xludf.XLOOKUP($N2134,Base_Enderecos!$A:$A,Base_Enderecos!$C:$C,""),"")</f>
        <v/>
      </c>
      <c r="R2134">
        <f>IF(OR(ISNUMBER(SEARCH("HDD",$F2134)),ISNUMBER(SEARCH("MND",$F2134)),ISNUMBER(SEARCH("PEAD",$F2134)),ISNUMBER(SEARCH("Puxe",$J2134)),ISNUMBER(SEARCH("Apoio HDD",$F2134))),"MND",IF(OR(ISNUMBER(SEARCH("VCA",$F2134)),ISNUMBER(SEARCH("PVC",$F2134)),ISNUMBER(SEARCH("vca",$J2134)),ISNUMBER(SEARCH("Transformação",$J2134))),"VCA",IF(OR(ISNUMBER(SEARCH("crava",$F2134)),ISNUMBER(SEARCH("tubo cravado",$F2134)),ISNUMBER(SEARCH("shaft",$J2134)),ISNUMBER(SEARCH("concreto",$F2134))),"TUBO CRAVADO","")))</f>
        <v/>
      </c>
      <c r="T2134">
        <f>IF($A2134="","",TEXT($A2134,"yyyymm")&amp;"|"&amp;$C2134&amp;"|"&amp;$F2134&amp;"|"&amp;$N2134&amp;"|"&amp;$R2134)</f>
        <v/>
      </c>
    </row>
    <row r="2135">
      <c r="A2135" s="11" t="n">
        <v>46142</v>
      </c>
      <c r="B2135" s="8" t="inlineStr">
        <is>
          <t>Quinta</t>
        </is>
      </c>
      <c r="C2135" s="7" t="inlineStr">
        <is>
          <t>CTS LUIS BOTELHO MOURÃO</t>
        </is>
      </c>
      <c r="D2135" s="7" t="inlineStr">
        <is>
          <t>ROBSON</t>
        </is>
      </c>
      <c r="E2135" s="24" t="inlineStr">
        <is>
          <t>Higor</t>
        </is>
      </c>
      <c r="F2135" s="25" t="inlineStr">
        <is>
          <t>vca PV08 ao PV09</t>
        </is>
      </c>
      <c r="G2135" s="24" t="n">
        <v>8</v>
      </c>
      <c r="H2135" s="24" t="n"/>
      <c r="I2135" s="24" t="n">
        <v>9</v>
      </c>
      <c r="J2135" s="25" t="inlineStr">
        <is>
          <t>vca PV09 ao PV09</t>
        </is>
      </c>
      <c r="K2135" s="24" t="inlineStr">
        <is>
          <t>Planejamento</t>
        </is>
      </c>
      <c r="L2135" s="17" t="inlineStr">
        <is>
          <t>PDS-Abril(2).docx</t>
        </is>
      </c>
      <c r="M2135">
        <f>IF($A2135="","",TEXT($A2135,"mmmm/yyyy"))</f>
        <v/>
      </c>
      <c r="P2135">
        <f>IFERROR(_xludf.XLOOKUP($N2135,Base_Enderecos!$A:$A,Base_Enderecos!$B:$B,""),"")</f>
        <v/>
      </c>
      <c r="Q2135">
        <f>IFERROR(_xludf.XLOOKUP($N2135,Base_Enderecos!$A:$A,Base_Enderecos!$C:$C,""),"")</f>
        <v/>
      </c>
      <c r="R2135">
        <f>IF(OR(ISNUMBER(SEARCH("HDD",$F2135)),ISNUMBER(SEARCH("MND",$F2135)),ISNUMBER(SEARCH("PEAD",$F2135)),ISNUMBER(SEARCH("Puxe",$J2135)),ISNUMBER(SEARCH("Apoio HDD",$F2135))),"MND",IF(OR(ISNUMBER(SEARCH("VCA",$F2135)),ISNUMBER(SEARCH("PVC",$F2135)),ISNUMBER(SEARCH("vca",$J2135)),ISNUMBER(SEARCH("Transformação",$J2135))),"VCA",IF(OR(ISNUMBER(SEARCH("crava",$F2135)),ISNUMBER(SEARCH("tubo cravado",$F2135)),ISNUMBER(SEARCH("shaft",$J2135)),ISNUMBER(SEARCH("concreto",$F2135))),"TUBO CRAVADO","")))</f>
        <v/>
      </c>
      <c r="T2135">
        <f>IF($A2135="","",TEXT($A2135,"yyyymm")&amp;"|"&amp;$C2135&amp;"|"&amp;$F2135&amp;"|"&amp;$N2135&amp;"|"&amp;$R2135)</f>
        <v/>
      </c>
    </row>
    <row r="2136">
      <c r="A2136" s="11" t="n">
        <v>46142</v>
      </c>
      <c r="B2136" s="8" t="inlineStr">
        <is>
          <t>Quinta</t>
        </is>
      </c>
      <c r="C2136" s="7" t="inlineStr">
        <is>
          <t>CTS LUIS BOTELHO MOURÃO</t>
        </is>
      </c>
      <c r="D2136" s="7" t="inlineStr">
        <is>
          <t>ROBSON</t>
        </is>
      </c>
      <c r="E2136" s="24" t="inlineStr">
        <is>
          <t>Bruno</t>
        </is>
      </c>
      <c r="F2136" s="25" t="inlineStr">
        <is>
          <t>acabamento PV05</t>
        </is>
      </c>
      <c r="G2136" s="24" t="n">
        <v>5</v>
      </c>
      <c r="H2136" s="24" t="n"/>
      <c r="I2136" s="24" t="n">
        <v>5</v>
      </c>
      <c r="J2136" s="24" t="inlineStr">
        <is>
          <t>Acabamento</t>
        </is>
      </c>
      <c r="K2136" s="24" t="inlineStr">
        <is>
          <t>Planejamento</t>
        </is>
      </c>
      <c r="L2136" s="17" t="inlineStr">
        <is>
          <t>PDS-Abril(2).docx</t>
        </is>
      </c>
      <c r="M2136">
        <f>IF($A2136="","",TEXT($A2136,"mmmm/yyyy"))</f>
        <v/>
      </c>
      <c r="P2136">
        <f>IFERROR(_xludf.XLOOKUP($N2136,Base_Enderecos!$A:$A,Base_Enderecos!$B:$B,""),"")</f>
        <v/>
      </c>
      <c r="Q2136">
        <f>IFERROR(_xludf.XLOOKUP($N2136,Base_Enderecos!$A:$A,Base_Enderecos!$C:$C,""),"")</f>
        <v/>
      </c>
      <c r="R2136">
        <f>IF(OR(ISNUMBER(SEARCH("HDD",$F2136)),ISNUMBER(SEARCH("MND",$F2136)),ISNUMBER(SEARCH("PEAD",$F2136)),ISNUMBER(SEARCH("Puxe",$J2136)),ISNUMBER(SEARCH("Apoio HDD",$F2136))),"MND",IF(OR(ISNUMBER(SEARCH("VCA",$F2136)),ISNUMBER(SEARCH("PVC",$F2136)),ISNUMBER(SEARCH("vca",$J2136)),ISNUMBER(SEARCH("Transformação",$J2136))),"VCA",IF(OR(ISNUMBER(SEARCH("crava",$F2136)),ISNUMBER(SEARCH("tubo cravado",$F2136)),ISNUMBER(SEARCH("shaft",$J2136)),ISNUMBER(SEARCH("concreto",$F2136))),"TUBO CRAVADO","")))</f>
        <v/>
      </c>
      <c r="T2136">
        <f>IF($A2136="","",TEXT($A2136,"yyyymm")&amp;"|"&amp;$C2136&amp;"|"&amp;$F2136&amp;"|"&amp;$N2136&amp;"|"&amp;$R2136)</f>
        <v/>
      </c>
    </row>
    <row r="2137">
      <c r="A2137" s="31" t="n">
        <v>46144</v>
      </c>
      <c r="B2137" s="32" t="inlineStr">
        <is>
          <t>Sábado</t>
        </is>
      </c>
      <c r="C2137" s="33" t="inlineStr">
        <is>
          <t>CTS MAR DE CORAL</t>
        </is>
      </c>
      <c r="D2137" s="33" t="inlineStr">
        <is>
          <t>CAROLINE E SILVESTRE</t>
        </is>
      </c>
      <c r="E2137" s="27" t="inlineStr">
        <is>
          <t>Claudinei</t>
        </is>
      </c>
      <c r="F2137" s="34" t="inlineStr">
        <is>
          <t>VCA e transformações de PVs entre PV 05.11 ao 5.12</t>
        </is>
      </c>
      <c r="G2137" s="27" t="inlineStr">
        <is>
          <t>5.11</t>
        </is>
      </c>
      <c r="H2137" s="27" t="inlineStr">
        <is>
          <t>5.12</t>
        </is>
      </c>
      <c r="I2137" s="27" t="inlineStr">
        <is>
          <t>5.11,5.12</t>
        </is>
      </c>
      <c r="J2137" s="27" t="inlineStr">
        <is>
          <t>VCA</t>
        </is>
      </c>
      <c r="K2137" s="27" t="inlineStr">
        <is>
          <t>Planejamento</t>
        </is>
      </c>
      <c r="L2137" s="35" t="inlineStr">
        <is>
          <t>PDS-Maio(1).docx</t>
        </is>
      </c>
      <c r="M2137">
        <f>IF($A2137="","",TEXT($A2137,"mmmm/yyyy"))</f>
        <v/>
      </c>
      <c r="P2137">
        <f>IFERROR(_xludf.XLOOKUP($N2137,Base_Enderecos!$A:$A,Base_Enderecos!$B:$B,""),"")</f>
        <v/>
      </c>
      <c r="Q2137">
        <f>IFERROR(_xludf.XLOOKUP($N2137,Base_Enderecos!$A:$A,Base_Enderecos!$C:$C,""),"")</f>
        <v/>
      </c>
      <c r="R2137">
        <f>IF(OR(ISNUMBER(SEARCH("HDD",$F2137)),ISNUMBER(SEARCH("MND",$F2137)),ISNUMBER(SEARCH("PEAD",$F2137)),ISNUMBER(SEARCH("Puxe",$J2137)),ISNUMBER(SEARCH("Apoio HDD",$F2137))),"MND",IF(OR(ISNUMBER(SEARCH("VCA",$F2137)),ISNUMBER(SEARCH("PVC",$F2137)),ISNUMBER(SEARCH("vca",$J2137)),ISNUMBER(SEARCH("Transformação",$J2137))),"VCA",IF(OR(ISNUMBER(SEARCH("crava",$F2137)),ISNUMBER(SEARCH("tubo cravado",$F2137)),ISNUMBER(SEARCH("shaft",$J2137)),ISNUMBER(SEARCH("concreto",$F2137))),"TUBO CRAVADO","")))</f>
        <v/>
      </c>
      <c r="T2137">
        <f>IF($A2137="","",TEXT($A2137,"yyyymm")&amp;"|"&amp;$C2137&amp;"|"&amp;$F2137&amp;"|"&amp;$N2137&amp;"|"&amp;$R2137)</f>
        <v/>
      </c>
    </row>
    <row r="2138">
      <c r="A2138" s="31" t="n">
        <v>46144</v>
      </c>
      <c r="B2138" s="32" t="inlineStr">
        <is>
          <t>Sábado</t>
        </is>
      </c>
      <c r="C2138" s="33" t="inlineStr">
        <is>
          <t>CTS MAR DE CORAL</t>
        </is>
      </c>
      <c r="D2138" s="33" t="inlineStr">
        <is>
          <t>CAROLINE E SILVESTRE</t>
        </is>
      </c>
      <c r="E2138" s="27" t="inlineStr">
        <is>
          <t>Cidão</t>
        </is>
      </c>
      <c r="F2138" s="34" t="inlineStr">
        <is>
          <t>Acabamento PV 5.9</t>
        </is>
      </c>
      <c r="G2138" s="27" t="inlineStr">
        <is>
          <t>5.9</t>
        </is>
      </c>
      <c r="H2138" s="27" t="n"/>
      <c r="I2138" s="27" t="inlineStr">
        <is>
          <t>5.9</t>
        </is>
      </c>
      <c r="J2138" s="27" t="inlineStr">
        <is>
          <t>Acabamento</t>
        </is>
      </c>
      <c r="K2138" s="27" t="inlineStr">
        <is>
          <t>Planejamento</t>
        </is>
      </c>
      <c r="L2138" s="35" t="inlineStr">
        <is>
          <t>PDS-Maio(1).docx</t>
        </is>
      </c>
      <c r="M2138">
        <f>IF($A2138="","",TEXT($A2138,"mmmm/yyyy"))</f>
        <v/>
      </c>
      <c r="P2138">
        <f>IFERROR(_xludf.XLOOKUP($N2138,Base_Enderecos!$A:$A,Base_Enderecos!$B:$B,""),"")</f>
        <v/>
      </c>
      <c r="Q2138">
        <f>IFERROR(_xludf.XLOOKUP($N2138,Base_Enderecos!$A:$A,Base_Enderecos!$C:$C,""),"")</f>
        <v/>
      </c>
      <c r="R2138">
        <f>IF(OR(ISNUMBER(SEARCH("HDD",$F2138)),ISNUMBER(SEARCH("MND",$F2138)),ISNUMBER(SEARCH("PEAD",$F2138)),ISNUMBER(SEARCH("Puxe",$J2138)),ISNUMBER(SEARCH("Apoio HDD",$F2138))),"MND",IF(OR(ISNUMBER(SEARCH("VCA",$F2138)),ISNUMBER(SEARCH("PVC",$F2138)),ISNUMBER(SEARCH("vca",$J2138)),ISNUMBER(SEARCH("Transformação",$J2138))),"VCA",IF(OR(ISNUMBER(SEARCH("crava",$F2138)),ISNUMBER(SEARCH("tubo cravado",$F2138)),ISNUMBER(SEARCH("shaft",$J2138)),ISNUMBER(SEARCH("concreto",$F2138))),"TUBO CRAVADO","")))</f>
        <v/>
      </c>
      <c r="T2138">
        <f>IF($A2138="","",TEXT($A2138,"yyyymm")&amp;"|"&amp;$C2138&amp;"|"&amp;$F2138&amp;"|"&amp;$N2138&amp;"|"&amp;$R2138)</f>
        <v/>
      </c>
    </row>
    <row r="2139">
      <c r="A2139" s="31" t="n">
        <v>46144</v>
      </c>
      <c r="B2139" s="32" t="inlineStr">
        <is>
          <t>Sábado</t>
        </is>
      </c>
      <c r="C2139" s="33" t="inlineStr">
        <is>
          <t>CTS LUIS BOTELHO MOURÃO</t>
        </is>
      </c>
      <c r="D2139" s="33" t="inlineStr">
        <is>
          <t>ROBSON</t>
        </is>
      </c>
      <c r="E2139" s="27" t="inlineStr">
        <is>
          <t>Marcio</t>
        </is>
      </c>
      <c r="F2139" s="34" t="inlineStr">
        <is>
          <t>VCA PV 09 ao PV 10</t>
        </is>
      </c>
      <c r="G2139" s="27" t="inlineStr">
        <is>
          <t>9</t>
        </is>
      </c>
      <c r="H2139" s="27" t="inlineStr">
        <is>
          <t>10</t>
        </is>
      </c>
      <c r="I2139" s="27" t="inlineStr">
        <is>
          <t>9,10</t>
        </is>
      </c>
      <c r="J2139" s="27" t="inlineStr">
        <is>
          <t>VCA</t>
        </is>
      </c>
      <c r="K2139" s="27" t="inlineStr">
        <is>
          <t>Planejamento</t>
        </is>
      </c>
      <c r="L2139" s="35" t="inlineStr">
        <is>
          <t>PDS-Maio(1).docx</t>
        </is>
      </c>
      <c r="M2139">
        <f>IF($A2139="","",TEXT($A2139,"mmmm/yyyy"))</f>
        <v/>
      </c>
      <c r="P2139">
        <f>IFERROR(_xludf.XLOOKUP($N2139,Base_Enderecos!$A:$A,Base_Enderecos!$B:$B,""),"")</f>
        <v/>
      </c>
      <c r="Q2139">
        <f>IFERROR(_xludf.XLOOKUP($N2139,Base_Enderecos!$A:$A,Base_Enderecos!$C:$C,""),"")</f>
        <v/>
      </c>
      <c r="R2139">
        <f>IF(OR(ISNUMBER(SEARCH("HDD",$F2139)),ISNUMBER(SEARCH("MND",$F2139)),ISNUMBER(SEARCH("PEAD",$F2139)),ISNUMBER(SEARCH("Puxe",$J2139)),ISNUMBER(SEARCH("Apoio HDD",$F2139))),"MND",IF(OR(ISNUMBER(SEARCH("VCA",$F2139)),ISNUMBER(SEARCH("PVC",$F2139)),ISNUMBER(SEARCH("vca",$J2139)),ISNUMBER(SEARCH("Transformação",$J2139))),"VCA",IF(OR(ISNUMBER(SEARCH("crava",$F2139)),ISNUMBER(SEARCH("tubo cravado",$F2139)),ISNUMBER(SEARCH("shaft",$J2139)),ISNUMBER(SEARCH("concreto",$F2139))),"TUBO CRAVADO","")))</f>
        <v/>
      </c>
      <c r="T2139">
        <f>IF($A2139="","",TEXT($A2139,"yyyymm")&amp;"|"&amp;$C2139&amp;"|"&amp;$F2139&amp;"|"&amp;$N2139&amp;"|"&amp;$R2139)</f>
        <v/>
      </c>
    </row>
    <row r="2140">
      <c r="A2140" s="31" t="n">
        <v>46144</v>
      </c>
      <c r="B2140" s="32" t="inlineStr">
        <is>
          <t>Sábado</t>
        </is>
      </c>
      <c r="C2140" s="33" t="inlineStr">
        <is>
          <t>CTS LUIS BOTELHO MOURÃO</t>
        </is>
      </c>
      <c r="D2140" s="33" t="inlineStr">
        <is>
          <t>ROBSON</t>
        </is>
      </c>
      <c r="E2140" s="27" t="inlineStr">
        <is>
          <t>Higor</t>
        </is>
      </c>
      <c r="F2140" s="34" t="inlineStr">
        <is>
          <t>VCA PV 08 ao PV 09</t>
        </is>
      </c>
      <c r="G2140" s="27" t="inlineStr">
        <is>
          <t>8</t>
        </is>
      </c>
      <c r="H2140" s="27" t="inlineStr">
        <is>
          <t>9</t>
        </is>
      </c>
      <c r="I2140" s="27" t="inlineStr">
        <is>
          <t>8,9</t>
        </is>
      </c>
      <c r="J2140" s="27" t="inlineStr">
        <is>
          <t>VCA</t>
        </is>
      </c>
      <c r="K2140" s="27" t="inlineStr">
        <is>
          <t>Planejamento</t>
        </is>
      </c>
      <c r="L2140" s="35" t="inlineStr">
        <is>
          <t>PDS-Maio(1).docx</t>
        </is>
      </c>
      <c r="M2140">
        <f>IF($A2140="","",TEXT($A2140,"mmmm/yyyy"))</f>
        <v/>
      </c>
      <c r="P2140">
        <f>IFERROR(_xludf.XLOOKUP($N2140,Base_Enderecos!$A:$A,Base_Enderecos!$B:$B,""),"")</f>
        <v/>
      </c>
      <c r="Q2140">
        <f>IFERROR(_xludf.XLOOKUP($N2140,Base_Enderecos!$A:$A,Base_Enderecos!$C:$C,""),"")</f>
        <v/>
      </c>
      <c r="R2140">
        <f>IF(OR(ISNUMBER(SEARCH("HDD",$F2140)),ISNUMBER(SEARCH("MND",$F2140)),ISNUMBER(SEARCH("PEAD",$F2140)),ISNUMBER(SEARCH("Puxe",$J2140)),ISNUMBER(SEARCH("Apoio HDD",$F2140))),"MND",IF(OR(ISNUMBER(SEARCH("VCA",$F2140)),ISNUMBER(SEARCH("PVC",$F2140)),ISNUMBER(SEARCH("vca",$J2140)),ISNUMBER(SEARCH("Transformação",$J2140))),"VCA",IF(OR(ISNUMBER(SEARCH("crava",$F2140)),ISNUMBER(SEARCH("tubo cravado",$F2140)),ISNUMBER(SEARCH("shaft",$J2140)),ISNUMBER(SEARCH("concreto",$F2140))),"TUBO CRAVADO","")))</f>
        <v/>
      </c>
      <c r="T2140">
        <f>IF($A2140="","",TEXT($A2140,"yyyymm")&amp;"|"&amp;$C2140&amp;"|"&amp;$F2140&amp;"|"&amp;$N2140&amp;"|"&amp;$R2140)</f>
        <v/>
      </c>
    </row>
    <row r="2141">
      <c r="A2141" s="31" t="n">
        <v>46144</v>
      </c>
      <c r="B2141" s="32" t="inlineStr">
        <is>
          <t>Sábado</t>
        </is>
      </c>
      <c r="C2141" s="33" t="inlineStr">
        <is>
          <t>Vacal</t>
        </is>
      </c>
      <c r="D2141" s="33" t="n"/>
      <c r="E2141" s="27" t="inlineStr">
        <is>
          <t>Botelho Mourão – Henko</t>
        </is>
      </c>
      <c r="F2141" s="34" t="inlineStr">
        <is>
          <t>Apoio Vacal</t>
        </is>
      </c>
      <c r="G2141" s="27" t="n"/>
      <c r="H2141" s="27" t="n"/>
      <c r="I2141" s="27" t="n"/>
      <c r="J2141" s="27" t="inlineStr">
        <is>
          <t>Vacal</t>
        </is>
      </c>
      <c r="K2141" s="27" t="inlineStr">
        <is>
          <t>Apoio</t>
        </is>
      </c>
      <c r="L2141" s="35" t="inlineStr">
        <is>
          <t>PDS-Maio(1).docx</t>
        </is>
      </c>
      <c r="M2141">
        <f>IF($A2141="","",TEXT($A2141,"mmmm/yyyy"))</f>
        <v/>
      </c>
      <c r="P2141">
        <f>IFERROR(_xludf.XLOOKUP($N2141,Base_Enderecos!$A:$A,Base_Enderecos!$B:$B,""),"")</f>
        <v/>
      </c>
      <c r="Q2141">
        <f>IFERROR(_xludf.XLOOKUP($N2141,Base_Enderecos!$A:$A,Base_Enderecos!$C:$C,""),"")</f>
        <v/>
      </c>
      <c r="R2141">
        <f>IF(OR(ISNUMBER(SEARCH("HDD",$F2141)),ISNUMBER(SEARCH("MND",$F2141)),ISNUMBER(SEARCH("PEAD",$F2141)),ISNUMBER(SEARCH("Puxe",$J2141)),ISNUMBER(SEARCH("Apoio HDD",$F2141))),"MND",IF(OR(ISNUMBER(SEARCH("VCA",$F2141)),ISNUMBER(SEARCH("PVC",$F2141)),ISNUMBER(SEARCH("vca",$J2141)),ISNUMBER(SEARCH("Transformação",$J2141))),"VCA",IF(OR(ISNUMBER(SEARCH("crava",$F2141)),ISNUMBER(SEARCH("tubo cravado",$F2141)),ISNUMBER(SEARCH("shaft",$J2141)),ISNUMBER(SEARCH("concreto",$F2141))),"TUBO CRAVADO","")))</f>
        <v/>
      </c>
      <c r="T2141">
        <f>IF($A2141="","",TEXT($A2141,"yyyymm")&amp;"|"&amp;$C2141&amp;"|"&amp;$F2141&amp;"|"&amp;$N2141&amp;"|"&amp;$R2141)</f>
        <v/>
      </c>
    </row>
    <row r="2142">
      <c r="A2142" s="31" t="n">
        <v>46144</v>
      </c>
      <c r="B2142" s="32" t="inlineStr">
        <is>
          <t>Sábado</t>
        </is>
      </c>
      <c r="C2142" s="33" t="inlineStr">
        <is>
          <t>Guindauto</t>
        </is>
      </c>
      <c r="D2142" s="33" t="n"/>
      <c r="E2142" s="27" t="inlineStr">
        <is>
          <t>Luiz Carlos</t>
        </is>
      </c>
      <c r="F2142" s="34" t="inlineStr">
        <is>
          <t>Apoio as equipes</t>
        </is>
      </c>
      <c r="G2142" s="27" t="n"/>
      <c r="H2142" s="27" t="n"/>
      <c r="I2142" s="27" t="n"/>
      <c r="J2142" s="27" t="inlineStr">
        <is>
          <t>Apoio as equipes</t>
        </is>
      </c>
      <c r="K2142" s="27" t="inlineStr">
        <is>
          <t>Apoio</t>
        </is>
      </c>
      <c r="L2142" s="35" t="inlineStr">
        <is>
          <t>PDS-Maio(1).docx</t>
        </is>
      </c>
      <c r="M2142">
        <f>IF($A2142="","",TEXT($A2142,"mmmm/yyyy"))</f>
        <v/>
      </c>
      <c r="P2142">
        <f>IFERROR(_xludf.XLOOKUP($N2142,Base_Enderecos!$A:$A,Base_Enderecos!$B:$B,""),"")</f>
        <v/>
      </c>
      <c r="Q2142">
        <f>IFERROR(_xludf.XLOOKUP($N2142,Base_Enderecos!$A:$A,Base_Enderecos!$C:$C,""),"")</f>
        <v/>
      </c>
      <c r="R2142">
        <f>IF(OR(ISNUMBER(SEARCH("HDD",$F2142)),ISNUMBER(SEARCH("MND",$F2142)),ISNUMBER(SEARCH("PEAD",$F2142)),ISNUMBER(SEARCH("Puxe",$J2142)),ISNUMBER(SEARCH("Apoio HDD",$F2142))),"MND",IF(OR(ISNUMBER(SEARCH("VCA",$F2142)),ISNUMBER(SEARCH("PVC",$F2142)),ISNUMBER(SEARCH("vca",$J2142)),ISNUMBER(SEARCH("Transformação",$J2142))),"VCA",IF(OR(ISNUMBER(SEARCH("crava",$F2142)),ISNUMBER(SEARCH("tubo cravado",$F2142)),ISNUMBER(SEARCH("shaft",$J2142)),ISNUMBER(SEARCH("concreto",$F2142))),"TUBO CRAVADO","")))</f>
        <v/>
      </c>
      <c r="T2142">
        <f>IF($A2142="","",TEXT($A2142,"yyyymm")&amp;"|"&amp;$C2142&amp;"|"&amp;$F2142&amp;"|"&amp;$N2142&amp;"|"&amp;$R2142)</f>
        <v/>
      </c>
    </row>
    <row r="2143">
      <c r="A2143" s="31" t="n">
        <v>46146</v>
      </c>
      <c r="B2143" s="32" t="inlineStr">
        <is>
          <t>Segunda</t>
        </is>
      </c>
      <c r="C2143" s="33" t="inlineStr">
        <is>
          <t>CT JOÃO CANZI</t>
        </is>
      </c>
      <c r="D2143" s="33" t="inlineStr">
        <is>
          <t>LEANDRO</t>
        </is>
      </c>
      <c r="E2143" s="27" t="inlineStr">
        <is>
          <t>Emanuel GO-01</t>
        </is>
      </c>
      <c r="F2143" s="34" t="inlineStr">
        <is>
          <t>Shaft PV 01</t>
        </is>
      </c>
      <c r="G2143" s="27" t="inlineStr">
        <is>
          <t>1</t>
        </is>
      </c>
      <c r="H2143" s="27" t="n"/>
      <c r="I2143" s="27" t="inlineStr">
        <is>
          <t>1</t>
        </is>
      </c>
      <c r="J2143" s="27" t="inlineStr">
        <is>
          <t>Shaft</t>
        </is>
      </c>
      <c r="K2143" s="27" t="inlineStr">
        <is>
          <t>Planejamento</t>
        </is>
      </c>
      <c r="L2143" s="35" t="inlineStr">
        <is>
          <t>PDS-Maio(1).docx</t>
        </is>
      </c>
      <c r="M2143">
        <f>IF($A2143="","",TEXT($A2143,"mmmm/yyyy"))</f>
        <v/>
      </c>
      <c r="P2143">
        <f>IFERROR(_xludf.XLOOKUP($N2143,Base_Enderecos!$A:$A,Base_Enderecos!$B:$B,""),"")</f>
        <v/>
      </c>
      <c r="Q2143">
        <f>IFERROR(_xludf.XLOOKUP($N2143,Base_Enderecos!$A:$A,Base_Enderecos!$C:$C,""),"")</f>
        <v/>
      </c>
      <c r="R2143">
        <f>IF(OR(ISNUMBER(SEARCH("HDD",$F2143)),ISNUMBER(SEARCH("MND",$F2143)),ISNUMBER(SEARCH("PEAD",$F2143)),ISNUMBER(SEARCH("Puxe",$J2143)),ISNUMBER(SEARCH("Apoio HDD",$F2143))),"MND",IF(OR(ISNUMBER(SEARCH("VCA",$F2143)),ISNUMBER(SEARCH("PVC",$F2143)),ISNUMBER(SEARCH("vca",$J2143)),ISNUMBER(SEARCH("Transformação",$J2143))),"VCA",IF(OR(ISNUMBER(SEARCH("crava",$F2143)),ISNUMBER(SEARCH("tubo cravado",$F2143)),ISNUMBER(SEARCH("shaft",$J2143)),ISNUMBER(SEARCH("concreto",$F2143))),"TUBO CRAVADO","")))</f>
        <v/>
      </c>
      <c r="T2143">
        <f>IF($A2143="","",TEXT($A2143,"yyyymm")&amp;"|"&amp;$C2143&amp;"|"&amp;$F2143&amp;"|"&amp;$N2143&amp;"|"&amp;$R2143)</f>
        <v/>
      </c>
    </row>
    <row r="2144">
      <c r="A2144" s="31" t="n">
        <v>46146</v>
      </c>
      <c r="B2144" s="32" t="inlineStr">
        <is>
          <t>Segunda</t>
        </is>
      </c>
      <c r="C2144" s="33" t="inlineStr">
        <is>
          <t>CT JOÃO CANZI</t>
        </is>
      </c>
      <c r="D2144" s="33" t="inlineStr">
        <is>
          <t>LEANDRO</t>
        </is>
      </c>
      <c r="E2144" s="27" t="inlineStr">
        <is>
          <t>Paulo GO-02</t>
        </is>
      </c>
      <c r="F2144" s="34" t="inlineStr">
        <is>
          <t>Shaft PV 03</t>
        </is>
      </c>
      <c r="G2144" s="27" t="inlineStr">
        <is>
          <t>3</t>
        </is>
      </c>
      <c r="H2144" s="27" t="n"/>
      <c r="I2144" s="27" t="inlineStr">
        <is>
          <t>3</t>
        </is>
      </c>
      <c r="J2144" s="27" t="inlineStr">
        <is>
          <t>Shaft</t>
        </is>
      </c>
      <c r="K2144" s="27" t="inlineStr">
        <is>
          <t>Planejamento</t>
        </is>
      </c>
      <c r="L2144" s="35" t="inlineStr">
        <is>
          <t>PDS-Maio(1).docx</t>
        </is>
      </c>
      <c r="M2144">
        <f>IF($A2144="","",TEXT($A2144,"mmmm/yyyy"))</f>
        <v/>
      </c>
      <c r="P2144">
        <f>IFERROR(_xludf.XLOOKUP($N2144,Base_Enderecos!$A:$A,Base_Enderecos!$B:$B,""),"")</f>
        <v/>
      </c>
      <c r="Q2144">
        <f>IFERROR(_xludf.XLOOKUP($N2144,Base_Enderecos!$A:$A,Base_Enderecos!$C:$C,""),"")</f>
        <v/>
      </c>
      <c r="R2144">
        <f>IF(OR(ISNUMBER(SEARCH("HDD",$F2144)),ISNUMBER(SEARCH("MND",$F2144)),ISNUMBER(SEARCH("PEAD",$F2144)),ISNUMBER(SEARCH("Puxe",$J2144)),ISNUMBER(SEARCH("Apoio HDD",$F2144))),"MND",IF(OR(ISNUMBER(SEARCH("VCA",$F2144)),ISNUMBER(SEARCH("PVC",$F2144)),ISNUMBER(SEARCH("vca",$J2144)),ISNUMBER(SEARCH("Transformação",$J2144))),"VCA",IF(OR(ISNUMBER(SEARCH("crava",$F2144)),ISNUMBER(SEARCH("tubo cravado",$F2144)),ISNUMBER(SEARCH("shaft",$J2144)),ISNUMBER(SEARCH("concreto",$F2144))),"TUBO CRAVADO","")))</f>
        <v/>
      </c>
      <c r="T2144">
        <f>IF($A2144="","",TEXT($A2144,"yyyymm")&amp;"|"&amp;$C2144&amp;"|"&amp;$F2144&amp;"|"&amp;$N2144&amp;"|"&amp;$R2144)</f>
        <v/>
      </c>
    </row>
    <row r="2145">
      <c r="A2145" s="31" t="n">
        <v>46146</v>
      </c>
      <c r="B2145" s="32" t="inlineStr">
        <is>
          <t>Segunda</t>
        </is>
      </c>
      <c r="C2145" s="33" t="inlineStr">
        <is>
          <t>CT JOÃO CANZI</t>
        </is>
      </c>
      <c r="D2145" s="33" t="inlineStr">
        <is>
          <t>LEANDRO</t>
        </is>
      </c>
      <c r="E2145" s="27" t="inlineStr">
        <is>
          <t>Bruno</t>
        </is>
      </c>
      <c r="F2145" s="34" t="inlineStr">
        <is>
          <t>Shaft PV 04</t>
        </is>
      </c>
      <c r="G2145" s="27" t="inlineStr">
        <is>
          <t>4</t>
        </is>
      </c>
      <c r="H2145" s="27" t="n"/>
      <c r="I2145" s="27" t="inlineStr">
        <is>
          <t>4</t>
        </is>
      </c>
      <c r="J2145" s="27" t="inlineStr">
        <is>
          <t>Shaft</t>
        </is>
      </c>
      <c r="K2145" s="27" t="inlineStr">
        <is>
          <t>Planejamento</t>
        </is>
      </c>
      <c r="L2145" s="35" t="inlineStr">
        <is>
          <t>PDS-Maio(1).docx</t>
        </is>
      </c>
      <c r="M2145">
        <f>IF($A2145="","",TEXT($A2145,"mmmm/yyyy"))</f>
        <v/>
      </c>
      <c r="P2145">
        <f>IFERROR(_xludf.XLOOKUP($N2145,Base_Enderecos!$A:$A,Base_Enderecos!$B:$B,""),"")</f>
        <v/>
      </c>
      <c r="Q2145">
        <f>IFERROR(_xludf.XLOOKUP($N2145,Base_Enderecos!$A:$A,Base_Enderecos!$C:$C,""),"")</f>
        <v/>
      </c>
      <c r="R2145">
        <f>IF(OR(ISNUMBER(SEARCH("HDD",$F2145)),ISNUMBER(SEARCH("MND",$F2145)),ISNUMBER(SEARCH("PEAD",$F2145)),ISNUMBER(SEARCH("Puxe",$J2145)),ISNUMBER(SEARCH("Apoio HDD",$F2145))),"MND",IF(OR(ISNUMBER(SEARCH("VCA",$F2145)),ISNUMBER(SEARCH("PVC",$F2145)),ISNUMBER(SEARCH("vca",$J2145)),ISNUMBER(SEARCH("Transformação",$J2145))),"VCA",IF(OR(ISNUMBER(SEARCH("crava",$F2145)),ISNUMBER(SEARCH("tubo cravado",$F2145)),ISNUMBER(SEARCH("shaft",$J2145)),ISNUMBER(SEARCH("concreto",$F2145))),"TUBO CRAVADO","")))</f>
        <v/>
      </c>
      <c r="T2145">
        <f>IF($A2145="","",TEXT($A2145,"yyyymm")&amp;"|"&amp;$C2145&amp;"|"&amp;$F2145&amp;"|"&amp;$N2145&amp;"|"&amp;$R2145)</f>
        <v/>
      </c>
    </row>
    <row r="2146">
      <c r="A2146" s="31" t="n">
        <v>46146</v>
      </c>
      <c r="B2146" s="32" t="inlineStr">
        <is>
          <t>Segunda</t>
        </is>
      </c>
      <c r="C2146" s="33" t="inlineStr">
        <is>
          <t>CT JOÃO CANZI</t>
        </is>
      </c>
      <c r="D2146" s="33" t="inlineStr">
        <is>
          <t>LEANDRO</t>
        </is>
      </c>
      <c r="E2146" s="27" t="inlineStr">
        <is>
          <t>Valter</t>
        </is>
      </c>
      <c r="F2146" s="34" t="inlineStr">
        <is>
          <t>Shaft PV 05</t>
        </is>
      </c>
      <c r="G2146" s="27" t="inlineStr">
        <is>
          <t>5</t>
        </is>
      </c>
      <c r="H2146" s="27" t="n"/>
      <c r="I2146" s="27" t="inlineStr">
        <is>
          <t>5</t>
        </is>
      </c>
      <c r="J2146" s="27" t="inlineStr">
        <is>
          <t>Shaft</t>
        </is>
      </c>
      <c r="K2146" s="27" t="inlineStr">
        <is>
          <t>Planejamento</t>
        </is>
      </c>
      <c r="L2146" s="35" t="inlineStr">
        <is>
          <t>PDS-Maio(1).docx</t>
        </is>
      </c>
      <c r="M2146">
        <f>IF($A2146="","",TEXT($A2146,"mmmm/yyyy"))</f>
        <v/>
      </c>
      <c r="P2146">
        <f>IFERROR(_xludf.XLOOKUP($N2146,Base_Enderecos!$A:$A,Base_Enderecos!$B:$B,""),"")</f>
        <v/>
      </c>
      <c r="Q2146">
        <f>IFERROR(_xludf.XLOOKUP($N2146,Base_Enderecos!$A:$A,Base_Enderecos!$C:$C,""),"")</f>
        <v/>
      </c>
      <c r="R2146">
        <f>IF(OR(ISNUMBER(SEARCH("HDD",$F2146)),ISNUMBER(SEARCH("MND",$F2146)),ISNUMBER(SEARCH("PEAD",$F2146)),ISNUMBER(SEARCH("Puxe",$J2146)),ISNUMBER(SEARCH("Apoio HDD",$F2146))),"MND",IF(OR(ISNUMBER(SEARCH("VCA",$F2146)),ISNUMBER(SEARCH("PVC",$F2146)),ISNUMBER(SEARCH("vca",$J2146)),ISNUMBER(SEARCH("Transformação",$J2146))),"VCA",IF(OR(ISNUMBER(SEARCH("crava",$F2146)),ISNUMBER(SEARCH("tubo cravado",$F2146)),ISNUMBER(SEARCH("shaft",$J2146)),ISNUMBER(SEARCH("concreto",$F2146))),"TUBO CRAVADO","")))</f>
        <v/>
      </c>
      <c r="T2146">
        <f>IF($A2146="","",TEXT($A2146,"yyyymm")&amp;"|"&amp;$C2146&amp;"|"&amp;$F2146&amp;"|"&amp;$N2146&amp;"|"&amp;$R2146)</f>
        <v/>
      </c>
    </row>
    <row r="2147">
      <c r="A2147" s="31" t="n">
        <v>46146</v>
      </c>
      <c r="B2147" s="32" t="inlineStr">
        <is>
          <t>Segunda</t>
        </is>
      </c>
      <c r="C2147" s="33" t="inlineStr">
        <is>
          <t>CT JOÃO CANZI</t>
        </is>
      </c>
      <c r="D2147" s="33" t="inlineStr">
        <is>
          <t>LEANDRO</t>
        </is>
      </c>
      <c r="E2147" s="27" t="inlineStr">
        <is>
          <t>Carlos</t>
        </is>
      </c>
      <c r="F2147" s="34" t="inlineStr">
        <is>
          <t>Shaft PV 06</t>
        </is>
      </c>
      <c r="G2147" s="27" t="inlineStr">
        <is>
          <t>6</t>
        </is>
      </c>
      <c r="H2147" s="27" t="n"/>
      <c r="I2147" s="27" t="inlineStr">
        <is>
          <t>6</t>
        </is>
      </c>
      <c r="J2147" s="27" t="inlineStr">
        <is>
          <t>Shaft</t>
        </is>
      </c>
      <c r="K2147" s="27" t="inlineStr">
        <is>
          <t>Planejamento</t>
        </is>
      </c>
      <c r="L2147" s="35" t="inlineStr">
        <is>
          <t>PDS-Maio(1).docx</t>
        </is>
      </c>
      <c r="M2147">
        <f>IF($A2147="","",TEXT($A2147,"mmmm/yyyy"))</f>
        <v/>
      </c>
      <c r="P2147">
        <f>IFERROR(_xludf.XLOOKUP($N2147,Base_Enderecos!$A:$A,Base_Enderecos!$B:$B,""),"")</f>
        <v/>
      </c>
      <c r="Q2147">
        <f>IFERROR(_xludf.XLOOKUP($N2147,Base_Enderecos!$A:$A,Base_Enderecos!$C:$C,""),"")</f>
        <v/>
      </c>
      <c r="R2147">
        <f>IF(OR(ISNUMBER(SEARCH("HDD",$F2147)),ISNUMBER(SEARCH("MND",$F2147)),ISNUMBER(SEARCH("PEAD",$F2147)),ISNUMBER(SEARCH("Puxe",$J2147)),ISNUMBER(SEARCH("Apoio HDD",$F2147))),"MND",IF(OR(ISNUMBER(SEARCH("VCA",$F2147)),ISNUMBER(SEARCH("PVC",$F2147)),ISNUMBER(SEARCH("vca",$J2147)),ISNUMBER(SEARCH("Transformação",$J2147))),"VCA",IF(OR(ISNUMBER(SEARCH("crava",$F2147)),ISNUMBER(SEARCH("tubo cravado",$F2147)),ISNUMBER(SEARCH("shaft",$J2147)),ISNUMBER(SEARCH("concreto",$F2147))),"TUBO CRAVADO","")))</f>
        <v/>
      </c>
      <c r="T2147">
        <f>IF($A2147="","",TEXT($A2147,"yyyymm")&amp;"|"&amp;$C2147&amp;"|"&amp;$F2147&amp;"|"&amp;$N2147&amp;"|"&amp;$R2147)</f>
        <v/>
      </c>
    </row>
    <row r="2148">
      <c r="A2148" s="31" t="n">
        <v>46146</v>
      </c>
      <c r="B2148" s="32" t="inlineStr">
        <is>
          <t>Segunda</t>
        </is>
      </c>
      <c r="C2148" s="33" t="inlineStr">
        <is>
          <t>CTS MAR DE CORAL</t>
        </is>
      </c>
      <c r="D2148" s="33" t="inlineStr">
        <is>
          <t>SILVESTRE</t>
        </is>
      </c>
      <c r="E2148" s="27" t="inlineStr">
        <is>
          <t>Edvando</t>
        </is>
      </c>
      <c r="F2148" s="34" t="inlineStr">
        <is>
          <t>VCA e transformações de PVs entre PV 22.2 ao 22.4</t>
        </is>
      </c>
      <c r="G2148" s="27" t="inlineStr">
        <is>
          <t>22.2</t>
        </is>
      </c>
      <c r="H2148" s="27" t="inlineStr">
        <is>
          <t>22.4</t>
        </is>
      </c>
      <c r="I2148" s="27" t="inlineStr">
        <is>
          <t>22.2,22.4</t>
        </is>
      </c>
      <c r="J2148" s="27" t="inlineStr">
        <is>
          <t>VCA</t>
        </is>
      </c>
      <c r="K2148" s="27" t="inlineStr">
        <is>
          <t>Planejamento</t>
        </is>
      </c>
      <c r="L2148" s="35" t="inlineStr">
        <is>
          <t>PDS-Maio(1).docx</t>
        </is>
      </c>
      <c r="M2148">
        <f>IF($A2148="","",TEXT($A2148,"mmmm/yyyy"))</f>
        <v/>
      </c>
      <c r="P2148">
        <f>IFERROR(_xludf.XLOOKUP($N2148,Base_Enderecos!$A:$A,Base_Enderecos!$B:$B,""),"")</f>
        <v/>
      </c>
      <c r="Q2148">
        <f>IFERROR(_xludf.XLOOKUP($N2148,Base_Enderecos!$A:$A,Base_Enderecos!$C:$C,""),"")</f>
        <v/>
      </c>
      <c r="R2148">
        <f>IF(OR(ISNUMBER(SEARCH("HDD",$F2148)),ISNUMBER(SEARCH("MND",$F2148)),ISNUMBER(SEARCH("PEAD",$F2148)),ISNUMBER(SEARCH("Puxe",$J2148)),ISNUMBER(SEARCH("Apoio HDD",$F2148))),"MND",IF(OR(ISNUMBER(SEARCH("VCA",$F2148)),ISNUMBER(SEARCH("PVC",$F2148)),ISNUMBER(SEARCH("vca",$J2148)),ISNUMBER(SEARCH("Transformação",$J2148))),"VCA",IF(OR(ISNUMBER(SEARCH("crava",$F2148)),ISNUMBER(SEARCH("tubo cravado",$F2148)),ISNUMBER(SEARCH("shaft",$J2148)),ISNUMBER(SEARCH("concreto",$F2148))),"TUBO CRAVADO","")))</f>
        <v/>
      </c>
      <c r="T2148">
        <f>IF($A2148="","",TEXT($A2148,"yyyymm")&amp;"|"&amp;$C2148&amp;"|"&amp;$F2148&amp;"|"&amp;$N2148&amp;"|"&amp;$R2148)</f>
        <v/>
      </c>
    </row>
    <row r="2149">
      <c r="A2149" s="31" t="n">
        <v>46146</v>
      </c>
      <c r="B2149" s="32" t="inlineStr">
        <is>
          <t>Segunda</t>
        </is>
      </c>
      <c r="C2149" s="33" t="inlineStr">
        <is>
          <t>CTS MAR DE CORAL</t>
        </is>
      </c>
      <c r="D2149" s="33" t="inlineStr">
        <is>
          <t>SILVESTRE</t>
        </is>
      </c>
      <c r="E2149" s="27" t="inlineStr">
        <is>
          <t>Cidão</t>
        </is>
      </c>
      <c r="F2149" s="34" t="inlineStr">
        <is>
          <t>Acabamentos</t>
        </is>
      </c>
      <c r="G2149" s="27" t="n"/>
      <c r="H2149" s="27" t="n"/>
      <c r="I2149" s="27" t="n"/>
      <c r="J2149" s="27" t="inlineStr">
        <is>
          <t>Acabamento</t>
        </is>
      </c>
      <c r="K2149" s="27" t="inlineStr">
        <is>
          <t>Planejamento</t>
        </is>
      </c>
      <c r="L2149" s="35" t="inlineStr">
        <is>
          <t>PDS-Maio(1).docx</t>
        </is>
      </c>
      <c r="M2149">
        <f>IF($A2149="","",TEXT($A2149,"mmmm/yyyy"))</f>
        <v/>
      </c>
      <c r="P2149">
        <f>IFERROR(_xludf.XLOOKUP($N2149,Base_Enderecos!$A:$A,Base_Enderecos!$B:$B,""),"")</f>
        <v/>
      </c>
      <c r="Q2149">
        <f>IFERROR(_xludf.XLOOKUP($N2149,Base_Enderecos!$A:$A,Base_Enderecos!$C:$C,""),"")</f>
        <v/>
      </c>
      <c r="R2149">
        <f>IF(OR(ISNUMBER(SEARCH("HDD",$F2149)),ISNUMBER(SEARCH("MND",$F2149)),ISNUMBER(SEARCH("PEAD",$F2149)),ISNUMBER(SEARCH("Puxe",$J2149)),ISNUMBER(SEARCH("Apoio HDD",$F2149))),"MND",IF(OR(ISNUMBER(SEARCH("VCA",$F2149)),ISNUMBER(SEARCH("PVC",$F2149)),ISNUMBER(SEARCH("vca",$J2149)),ISNUMBER(SEARCH("Transformação",$J2149))),"VCA",IF(OR(ISNUMBER(SEARCH("crava",$F2149)),ISNUMBER(SEARCH("tubo cravado",$F2149)),ISNUMBER(SEARCH("shaft",$J2149)),ISNUMBER(SEARCH("concreto",$F2149))),"TUBO CRAVADO","")))</f>
        <v/>
      </c>
      <c r="T2149">
        <f>IF($A2149="","",TEXT($A2149,"yyyymm")&amp;"|"&amp;$C2149&amp;"|"&amp;$F2149&amp;"|"&amp;$N2149&amp;"|"&amp;$R2149)</f>
        <v/>
      </c>
    </row>
    <row r="2150">
      <c r="A2150" s="31" t="n">
        <v>46146</v>
      </c>
      <c r="B2150" s="32" t="inlineStr">
        <is>
          <t>Segunda</t>
        </is>
      </c>
      <c r="C2150" s="33" t="inlineStr">
        <is>
          <t>CTS LOURDES</t>
        </is>
      </c>
      <c r="D2150" s="33" t="n"/>
      <c r="E2150" s="27" t="inlineStr">
        <is>
          <t>Marcelo</t>
        </is>
      </c>
      <c r="F2150" s="34" t="inlineStr">
        <is>
          <t>Shaft PV 17</t>
        </is>
      </c>
      <c r="G2150" s="27" t="inlineStr">
        <is>
          <t>17</t>
        </is>
      </c>
      <c r="H2150" s="27" t="n"/>
      <c r="I2150" s="27" t="inlineStr">
        <is>
          <t>17</t>
        </is>
      </c>
      <c r="J2150" s="27" t="inlineStr">
        <is>
          <t>Shaft</t>
        </is>
      </c>
      <c r="K2150" s="27" t="inlineStr">
        <is>
          <t>Planejamento</t>
        </is>
      </c>
      <c r="L2150" s="35" t="inlineStr">
        <is>
          <t>PDS-Maio(1).docx</t>
        </is>
      </c>
      <c r="M2150">
        <f>IF($A2150="","",TEXT($A2150,"mmmm/yyyy"))</f>
        <v/>
      </c>
      <c r="P2150">
        <f>IFERROR(_xludf.XLOOKUP($N2150,Base_Enderecos!$A:$A,Base_Enderecos!$B:$B,""),"")</f>
        <v/>
      </c>
      <c r="Q2150">
        <f>IFERROR(_xludf.XLOOKUP($N2150,Base_Enderecos!$A:$A,Base_Enderecos!$C:$C,""),"")</f>
        <v/>
      </c>
      <c r="R2150">
        <f>IF(OR(ISNUMBER(SEARCH("HDD",$F2150)),ISNUMBER(SEARCH("MND",$F2150)),ISNUMBER(SEARCH("PEAD",$F2150)),ISNUMBER(SEARCH("Puxe",$J2150)),ISNUMBER(SEARCH("Apoio HDD",$F2150))),"MND",IF(OR(ISNUMBER(SEARCH("VCA",$F2150)),ISNUMBER(SEARCH("PVC",$F2150)),ISNUMBER(SEARCH("vca",$J2150)),ISNUMBER(SEARCH("Transformação",$J2150))),"VCA",IF(OR(ISNUMBER(SEARCH("crava",$F2150)),ISNUMBER(SEARCH("tubo cravado",$F2150)),ISNUMBER(SEARCH("shaft",$J2150)),ISNUMBER(SEARCH("concreto",$F2150))),"TUBO CRAVADO","")))</f>
        <v/>
      </c>
      <c r="T2150">
        <f>IF($A2150="","",TEXT($A2150,"yyyymm")&amp;"|"&amp;$C2150&amp;"|"&amp;$F2150&amp;"|"&amp;$N2150&amp;"|"&amp;$R2150)</f>
        <v/>
      </c>
    </row>
    <row r="2151">
      <c r="A2151" s="31" t="n">
        <v>46146</v>
      </c>
      <c r="B2151" s="32" t="inlineStr">
        <is>
          <t>Segunda</t>
        </is>
      </c>
      <c r="C2151" s="33" t="inlineStr">
        <is>
          <t>CTS LUIS BOTELHO MOURÃO</t>
        </is>
      </c>
      <c r="D2151" s="33" t="inlineStr">
        <is>
          <t>ROBSON</t>
        </is>
      </c>
      <c r="E2151" s="27" t="inlineStr">
        <is>
          <t>Marcio</t>
        </is>
      </c>
      <c r="F2151" s="34" t="inlineStr">
        <is>
          <t>Lavagem da rede</t>
        </is>
      </c>
      <c r="G2151" s="27" t="n"/>
      <c r="H2151" s="27" t="n"/>
      <c r="I2151" s="27" t="n"/>
      <c r="J2151" s="27" t="inlineStr">
        <is>
          <t>Limpeza/Lavagem</t>
        </is>
      </c>
      <c r="K2151" s="27" t="inlineStr">
        <is>
          <t>Planejamento</t>
        </is>
      </c>
      <c r="L2151" s="35" t="inlineStr">
        <is>
          <t>PDS-Maio(1).docx</t>
        </is>
      </c>
      <c r="M2151">
        <f>IF($A2151="","",TEXT($A2151,"mmmm/yyyy"))</f>
        <v/>
      </c>
      <c r="P2151">
        <f>IFERROR(_xludf.XLOOKUP($N2151,Base_Enderecos!$A:$A,Base_Enderecos!$B:$B,""),"")</f>
        <v/>
      </c>
      <c r="Q2151">
        <f>IFERROR(_xludf.XLOOKUP($N2151,Base_Enderecos!$A:$A,Base_Enderecos!$C:$C,""),"")</f>
        <v/>
      </c>
      <c r="R2151">
        <f>IF(OR(ISNUMBER(SEARCH("HDD",$F2151)),ISNUMBER(SEARCH("MND",$F2151)),ISNUMBER(SEARCH("PEAD",$F2151)),ISNUMBER(SEARCH("Puxe",$J2151)),ISNUMBER(SEARCH("Apoio HDD",$F2151))),"MND",IF(OR(ISNUMBER(SEARCH("VCA",$F2151)),ISNUMBER(SEARCH("PVC",$F2151)),ISNUMBER(SEARCH("vca",$J2151)),ISNUMBER(SEARCH("Transformação",$J2151))),"VCA",IF(OR(ISNUMBER(SEARCH("crava",$F2151)),ISNUMBER(SEARCH("tubo cravado",$F2151)),ISNUMBER(SEARCH("shaft",$J2151)),ISNUMBER(SEARCH("concreto",$F2151))),"TUBO CRAVADO","")))</f>
        <v/>
      </c>
      <c r="T2151">
        <f>IF($A2151="","",TEXT($A2151,"yyyymm")&amp;"|"&amp;$C2151&amp;"|"&amp;$F2151&amp;"|"&amp;$N2151&amp;"|"&amp;$R2151)</f>
        <v/>
      </c>
    </row>
    <row r="2152">
      <c r="A2152" s="31" t="n">
        <v>46146</v>
      </c>
      <c r="B2152" s="32" t="inlineStr">
        <is>
          <t>Segunda</t>
        </is>
      </c>
      <c r="C2152" s="33" t="inlineStr">
        <is>
          <t>CTS LUIS BOTELHO MOURÃO</t>
        </is>
      </c>
      <c r="D2152" s="33" t="inlineStr">
        <is>
          <t>ROBSON</t>
        </is>
      </c>
      <c r="E2152" s="27" t="inlineStr">
        <is>
          <t>Higor</t>
        </is>
      </c>
      <c r="F2152" s="34" t="inlineStr">
        <is>
          <t>Acabamento PV 08 ao PV 09</t>
        </is>
      </c>
      <c r="G2152" s="27" t="inlineStr">
        <is>
          <t>8</t>
        </is>
      </c>
      <c r="H2152" s="27" t="inlineStr">
        <is>
          <t>9</t>
        </is>
      </c>
      <c r="I2152" s="27" t="inlineStr">
        <is>
          <t>8,9</t>
        </is>
      </c>
      <c r="J2152" s="27" t="inlineStr">
        <is>
          <t>Acabamento</t>
        </is>
      </c>
      <c r="K2152" s="27" t="inlineStr">
        <is>
          <t>Planejamento</t>
        </is>
      </c>
      <c r="L2152" s="35" t="inlineStr">
        <is>
          <t>PDS-Maio(1).docx</t>
        </is>
      </c>
      <c r="M2152">
        <f>IF($A2152="","",TEXT($A2152,"mmmm/yyyy"))</f>
        <v/>
      </c>
      <c r="P2152">
        <f>IFERROR(_xludf.XLOOKUP($N2152,Base_Enderecos!$A:$A,Base_Enderecos!$B:$B,""),"")</f>
        <v/>
      </c>
      <c r="Q2152">
        <f>IFERROR(_xludf.XLOOKUP($N2152,Base_Enderecos!$A:$A,Base_Enderecos!$C:$C,""),"")</f>
        <v/>
      </c>
      <c r="R2152">
        <f>IF(OR(ISNUMBER(SEARCH("HDD",$F2152)),ISNUMBER(SEARCH("MND",$F2152)),ISNUMBER(SEARCH("PEAD",$F2152)),ISNUMBER(SEARCH("Puxe",$J2152)),ISNUMBER(SEARCH("Apoio HDD",$F2152))),"MND",IF(OR(ISNUMBER(SEARCH("VCA",$F2152)),ISNUMBER(SEARCH("PVC",$F2152)),ISNUMBER(SEARCH("vca",$J2152)),ISNUMBER(SEARCH("Transformação",$J2152))),"VCA",IF(OR(ISNUMBER(SEARCH("crava",$F2152)),ISNUMBER(SEARCH("tubo cravado",$F2152)),ISNUMBER(SEARCH("shaft",$J2152)),ISNUMBER(SEARCH("concreto",$F2152))),"TUBO CRAVADO","")))</f>
        <v/>
      </c>
      <c r="T2152">
        <f>IF($A2152="","",TEXT($A2152,"yyyymm")&amp;"|"&amp;$C2152&amp;"|"&amp;$F2152&amp;"|"&amp;$N2152&amp;"|"&amp;$R2152)</f>
        <v/>
      </c>
    </row>
    <row r="2153">
      <c r="A2153" s="31" t="n">
        <v>46146</v>
      </c>
      <c r="B2153" s="32" t="inlineStr">
        <is>
          <t>Segunda</t>
        </is>
      </c>
      <c r="C2153" s="33" t="inlineStr">
        <is>
          <t>CTS LUIS BOTELHO MOURÃO</t>
        </is>
      </c>
      <c r="D2153" s="33" t="inlineStr">
        <is>
          <t>ROBSON</t>
        </is>
      </c>
      <c r="E2153" s="27" t="inlineStr">
        <is>
          <t>Jhonatan</t>
        </is>
      </c>
      <c r="F2153" s="34" t="inlineStr">
        <is>
          <t>Acabamento PV 05 ao PV 07</t>
        </is>
      </c>
      <c r="G2153" s="27" t="inlineStr">
        <is>
          <t>5</t>
        </is>
      </c>
      <c r="H2153" s="27" t="inlineStr">
        <is>
          <t>7</t>
        </is>
      </c>
      <c r="I2153" s="27" t="inlineStr">
        <is>
          <t>5,7</t>
        </is>
      </c>
      <c r="J2153" s="27" t="inlineStr">
        <is>
          <t>Acabamento</t>
        </is>
      </c>
      <c r="K2153" s="27" t="inlineStr">
        <is>
          <t>Planejamento</t>
        </is>
      </c>
      <c r="L2153" s="35" t="inlineStr">
        <is>
          <t>PDS-Maio(1).docx</t>
        </is>
      </c>
      <c r="M2153">
        <f>IF($A2153="","",TEXT($A2153,"mmmm/yyyy"))</f>
        <v/>
      </c>
      <c r="P2153">
        <f>IFERROR(_xludf.XLOOKUP($N2153,Base_Enderecos!$A:$A,Base_Enderecos!$B:$B,""),"")</f>
        <v/>
      </c>
      <c r="Q2153">
        <f>IFERROR(_xludf.XLOOKUP($N2153,Base_Enderecos!$A:$A,Base_Enderecos!$C:$C,""),"")</f>
        <v/>
      </c>
      <c r="R2153">
        <f>IF(OR(ISNUMBER(SEARCH("HDD",$F2153)),ISNUMBER(SEARCH("MND",$F2153)),ISNUMBER(SEARCH("PEAD",$F2153)),ISNUMBER(SEARCH("Puxe",$J2153)),ISNUMBER(SEARCH("Apoio HDD",$F2153))),"MND",IF(OR(ISNUMBER(SEARCH("VCA",$F2153)),ISNUMBER(SEARCH("PVC",$F2153)),ISNUMBER(SEARCH("vca",$J2153)),ISNUMBER(SEARCH("Transformação",$J2153))),"VCA",IF(OR(ISNUMBER(SEARCH("crava",$F2153)),ISNUMBER(SEARCH("tubo cravado",$F2153)),ISNUMBER(SEARCH("shaft",$J2153)),ISNUMBER(SEARCH("concreto",$F2153))),"TUBO CRAVADO","")))</f>
        <v/>
      </c>
      <c r="T2153">
        <f>IF($A2153="","",TEXT($A2153,"yyyymm")&amp;"|"&amp;$C2153&amp;"|"&amp;$F2153&amp;"|"&amp;$N2153&amp;"|"&amp;$R2153)</f>
        <v/>
      </c>
    </row>
    <row r="2154">
      <c r="A2154" s="31" t="n">
        <v>46146</v>
      </c>
      <c r="B2154" s="32" t="inlineStr">
        <is>
          <t>Segunda</t>
        </is>
      </c>
      <c r="C2154" s="33" t="inlineStr">
        <is>
          <t>RCE SÃO LUCAS</t>
        </is>
      </c>
      <c r="D2154" s="33" t="inlineStr">
        <is>
          <t>FÁBIO</t>
        </is>
      </c>
      <c r="E2154" s="27" t="inlineStr">
        <is>
          <t>Antonio</t>
        </is>
      </c>
      <c r="F2154" s="34" t="inlineStr">
        <is>
          <t>VCA, PVs e Ligações</t>
        </is>
      </c>
      <c r="G2154" s="27" t="n"/>
      <c r="H2154" s="27" t="n"/>
      <c r="I2154" s="27" t="n"/>
      <c r="J2154" s="27" t="inlineStr">
        <is>
          <t>VCA</t>
        </is>
      </c>
      <c r="K2154" s="27" t="inlineStr">
        <is>
          <t>Planejamento</t>
        </is>
      </c>
      <c r="L2154" s="35" t="inlineStr">
        <is>
          <t>PDS-Maio(1).docx</t>
        </is>
      </c>
      <c r="M2154">
        <f>IF($A2154="","",TEXT($A2154,"mmmm/yyyy"))</f>
        <v/>
      </c>
      <c r="P2154">
        <f>IFERROR(_xludf.XLOOKUP($N2154,Base_Enderecos!$A:$A,Base_Enderecos!$B:$B,""),"")</f>
        <v/>
      </c>
      <c r="Q2154">
        <f>IFERROR(_xludf.XLOOKUP($N2154,Base_Enderecos!$A:$A,Base_Enderecos!$C:$C,""),"")</f>
        <v/>
      </c>
      <c r="R2154">
        <f>IF(OR(ISNUMBER(SEARCH("HDD",$F2154)),ISNUMBER(SEARCH("MND",$F2154)),ISNUMBER(SEARCH("PEAD",$F2154)),ISNUMBER(SEARCH("Puxe",$J2154)),ISNUMBER(SEARCH("Apoio HDD",$F2154))),"MND",IF(OR(ISNUMBER(SEARCH("VCA",$F2154)),ISNUMBER(SEARCH("PVC",$F2154)),ISNUMBER(SEARCH("vca",$J2154)),ISNUMBER(SEARCH("Transformação",$J2154))),"VCA",IF(OR(ISNUMBER(SEARCH("crava",$F2154)),ISNUMBER(SEARCH("tubo cravado",$F2154)),ISNUMBER(SEARCH("shaft",$J2154)),ISNUMBER(SEARCH("concreto",$F2154))),"TUBO CRAVADO","")))</f>
        <v/>
      </c>
      <c r="T2154">
        <f>IF($A2154="","",TEXT($A2154,"yyyymm")&amp;"|"&amp;$C2154&amp;"|"&amp;$F2154&amp;"|"&amp;$N2154&amp;"|"&amp;$R2154)</f>
        <v/>
      </c>
    </row>
    <row r="2155">
      <c r="A2155" s="31" t="n">
        <v>46146</v>
      </c>
      <c r="B2155" s="32" t="inlineStr">
        <is>
          <t>Segunda</t>
        </is>
      </c>
      <c r="C2155" s="33" t="inlineStr">
        <is>
          <t>RCE SÃO LUCAS</t>
        </is>
      </c>
      <c r="D2155" s="33" t="inlineStr">
        <is>
          <t>FÁBIO</t>
        </is>
      </c>
      <c r="E2155" s="27" t="inlineStr">
        <is>
          <t>Medeiros</t>
        </is>
      </c>
      <c r="F2155" s="34" t="inlineStr">
        <is>
          <t>VCA, PVs e Ligações</t>
        </is>
      </c>
      <c r="G2155" s="27" t="n"/>
      <c r="H2155" s="27" t="n"/>
      <c r="I2155" s="27" t="n"/>
      <c r="J2155" s="27" t="inlineStr">
        <is>
          <t>VCA</t>
        </is>
      </c>
      <c r="K2155" s="27" t="inlineStr">
        <is>
          <t>Planejamento</t>
        </is>
      </c>
      <c r="L2155" s="35" t="inlineStr">
        <is>
          <t>PDS-Maio(1).docx</t>
        </is>
      </c>
      <c r="M2155">
        <f>IF($A2155="","",TEXT($A2155,"mmmm/yyyy"))</f>
        <v/>
      </c>
      <c r="P2155">
        <f>IFERROR(_xludf.XLOOKUP($N2155,Base_Enderecos!$A:$A,Base_Enderecos!$B:$B,""),"")</f>
        <v/>
      </c>
      <c r="Q2155">
        <f>IFERROR(_xludf.XLOOKUP($N2155,Base_Enderecos!$A:$A,Base_Enderecos!$C:$C,""),"")</f>
        <v/>
      </c>
      <c r="R2155">
        <f>IF(OR(ISNUMBER(SEARCH("HDD",$F2155)),ISNUMBER(SEARCH("MND",$F2155)),ISNUMBER(SEARCH("PEAD",$F2155)),ISNUMBER(SEARCH("Puxe",$J2155)),ISNUMBER(SEARCH("Apoio HDD",$F2155))),"MND",IF(OR(ISNUMBER(SEARCH("VCA",$F2155)),ISNUMBER(SEARCH("PVC",$F2155)),ISNUMBER(SEARCH("vca",$J2155)),ISNUMBER(SEARCH("Transformação",$J2155))),"VCA",IF(OR(ISNUMBER(SEARCH("crava",$F2155)),ISNUMBER(SEARCH("tubo cravado",$F2155)),ISNUMBER(SEARCH("shaft",$J2155)),ISNUMBER(SEARCH("concreto",$F2155))),"TUBO CRAVADO","")))</f>
        <v/>
      </c>
      <c r="T2155">
        <f>IF($A2155="","",TEXT($A2155,"yyyymm")&amp;"|"&amp;$C2155&amp;"|"&amp;$F2155&amp;"|"&amp;$N2155&amp;"|"&amp;$R2155)</f>
        <v/>
      </c>
    </row>
    <row r="2156">
      <c r="A2156" s="31" t="n">
        <v>46146</v>
      </c>
      <c r="B2156" s="32" t="inlineStr">
        <is>
          <t>Segunda</t>
        </is>
      </c>
      <c r="C2156" s="33" t="inlineStr">
        <is>
          <t>RCE SÃO LUCAS</t>
        </is>
      </c>
      <c r="D2156" s="33" t="inlineStr">
        <is>
          <t>FÁBIO</t>
        </is>
      </c>
      <c r="E2156" s="27" t="inlineStr">
        <is>
          <t>Ricardo</t>
        </is>
      </c>
      <c r="F2156" s="34" t="inlineStr">
        <is>
          <t>VCA, PVs e Ligações</t>
        </is>
      </c>
      <c r="G2156" s="27" t="n"/>
      <c r="H2156" s="27" t="n"/>
      <c r="I2156" s="27" t="n"/>
      <c r="J2156" s="27" t="inlineStr">
        <is>
          <t>VCA</t>
        </is>
      </c>
      <c r="K2156" s="27" t="inlineStr">
        <is>
          <t>Planejamento</t>
        </is>
      </c>
      <c r="L2156" s="35" t="inlineStr">
        <is>
          <t>PDS-Maio(1).docx</t>
        </is>
      </c>
      <c r="M2156">
        <f>IF($A2156="","",TEXT($A2156,"mmmm/yyyy"))</f>
        <v/>
      </c>
      <c r="P2156">
        <f>IFERROR(_xludf.XLOOKUP($N2156,Base_Enderecos!$A:$A,Base_Enderecos!$B:$B,""),"")</f>
        <v/>
      </c>
      <c r="Q2156">
        <f>IFERROR(_xludf.XLOOKUP($N2156,Base_Enderecos!$A:$A,Base_Enderecos!$C:$C,""),"")</f>
        <v/>
      </c>
      <c r="R2156">
        <f>IF(OR(ISNUMBER(SEARCH("HDD",$F2156)),ISNUMBER(SEARCH("MND",$F2156)),ISNUMBER(SEARCH("PEAD",$F2156)),ISNUMBER(SEARCH("Puxe",$J2156)),ISNUMBER(SEARCH("Apoio HDD",$F2156))),"MND",IF(OR(ISNUMBER(SEARCH("VCA",$F2156)),ISNUMBER(SEARCH("PVC",$F2156)),ISNUMBER(SEARCH("vca",$J2156)),ISNUMBER(SEARCH("Transformação",$J2156))),"VCA",IF(OR(ISNUMBER(SEARCH("crava",$F2156)),ISNUMBER(SEARCH("tubo cravado",$F2156)),ISNUMBER(SEARCH("shaft",$J2156)),ISNUMBER(SEARCH("concreto",$F2156))),"TUBO CRAVADO","")))</f>
        <v/>
      </c>
      <c r="T2156">
        <f>IF($A2156="","",TEXT($A2156,"yyyymm")&amp;"|"&amp;$C2156&amp;"|"&amp;$F2156&amp;"|"&amp;$N2156&amp;"|"&amp;$R2156)</f>
        <v/>
      </c>
    </row>
    <row r="2157">
      <c r="A2157" s="31" t="n">
        <v>46146</v>
      </c>
      <c r="B2157" s="32" t="inlineStr">
        <is>
          <t>Segunda</t>
        </is>
      </c>
      <c r="C2157" s="33" t="inlineStr">
        <is>
          <t>RCE SÃO LUCAS</t>
        </is>
      </c>
      <c r="D2157" s="33" t="inlineStr">
        <is>
          <t>FÁBIO</t>
        </is>
      </c>
      <c r="E2157" s="27" t="inlineStr">
        <is>
          <t>Claudinei</t>
        </is>
      </c>
      <c r="F2157" s="34" t="inlineStr">
        <is>
          <t>VCA, PVs e Ligações</t>
        </is>
      </c>
      <c r="G2157" s="27" t="n"/>
      <c r="H2157" s="27" t="n"/>
      <c r="I2157" s="27" t="n"/>
      <c r="J2157" s="27" t="inlineStr">
        <is>
          <t>VCA</t>
        </is>
      </c>
      <c r="K2157" s="27" t="inlineStr">
        <is>
          <t>Planejamento</t>
        </is>
      </c>
      <c r="L2157" s="35" t="inlineStr">
        <is>
          <t>PDS-Maio(1).docx</t>
        </is>
      </c>
      <c r="M2157">
        <f>IF($A2157="","",TEXT($A2157,"mmmm/yyyy"))</f>
        <v/>
      </c>
      <c r="P2157">
        <f>IFERROR(_xludf.XLOOKUP($N2157,Base_Enderecos!$A:$A,Base_Enderecos!$B:$B,""),"")</f>
        <v/>
      </c>
      <c r="Q2157">
        <f>IFERROR(_xludf.XLOOKUP($N2157,Base_Enderecos!$A:$A,Base_Enderecos!$C:$C,""),"")</f>
        <v/>
      </c>
      <c r="R2157">
        <f>IF(OR(ISNUMBER(SEARCH("HDD",$F2157)),ISNUMBER(SEARCH("MND",$F2157)),ISNUMBER(SEARCH("PEAD",$F2157)),ISNUMBER(SEARCH("Puxe",$J2157)),ISNUMBER(SEARCH("Apoio HDD",$F2157))),"MND",IF(OR(ISNUMBER(SEARCH("VCA",$F2157)),ISNUMBER(SEARCH("PVC",$F2157)),ISNUMBER(SEARCH("vca",$J2157)),ISNUMBER(SEARCH("Transformação",$J2157))),"VCA",IF(OR(ISNUMBER(SEARCH("crava",$F2157)),ISNUMBER(SEARCH("tubo cravado",$F2157)),ISNUMBER(SEARCH("shaft",$J2157)),ISNUMBER(SEARCH("concreto",$F2157))),"TUBO CRAVADO","")))</f>
        <v/>
      </c>
      <c r="T2157">
        <f>IF($A2157="","",TEXT($A2157,"yyyymm")&amp;"|"&amp;$C2157&amp;"|"&amp;$F2157&amp;"|"&amp;$N2157&amp;"|"&amp;$R2157)</f>
        <v/>
      </c>
    </row>
    <row r="2158">
      <c r="A2158" s="31" t="n">
        <v>46146</v>
      </c>
      <c r="B2158" s="32" t="inlineStr">
        <is>
          <t>Segunda</t>
        </is>
      </c>
      <c r="C2158" s="33" t="inlineStr">
        <is>
          <t>RCE BARÃO DE ARARIBA</t>
        </is>
      </c>
      <c r="D2158" s="33" t="inlineStr">
        <is>
          <t>ELOÍZIO E VALMIR</t>
        </is>
      </c>
      <c r="E2158" s="27" t="inlineStr">
        <is>
          <t>Cesar</t>
        </is>
      </c>
      <c r="F2158" s="34" t="inlineStr">
        <is>
          <t>HDD, VCA, PVs e Ligações</t>
        </is>
      </c>
      <c r="G2158" s="27" t="n"/>
      <c r="H2158" s="27" t="n"/>
      <c r="I2158" s="27" t="n"/>
      <c r="J2158" s="27" t="inlineStr">
        <is>
          <t>HDD</t>
        </is>
      </c>
      <c r="K2158" s="27" t="inlineStr">
        <is>
          <t>Planejamento</t>
        </is>
      </c>
      <c r="L2158" s="35" t="inlineStr">
        <is>
          <t>PDS-Maio(1).docx</t>
        </is>
      </c>
      <c r="M2158">
        <f>IF($A2158="","",TEXT($A2158,"mmmm/yyyy"))</f>
        <v/>
      </c>
      <c r="P2158">
        <f>IFERROR(_xludf.XLOOKUP($N2158,Base_Enderecos!$A:$A,Base_Enderecos!$B:$B,""),"")</f>
        <v/>
      </c>
      <c r="Q2158">
        <f>IFERROR(_xludf.XLOOKUP($N2158,Base_Enderecos!$A:$A,Base_Enderecos!$C:$C,""),"")</f>
        <v/>
      </c>
      <c r="R2158">
        <f>IF(OR(ISNUMBER(SEARCH("HDD",$F2158)),ISNUMBER(SEARCH("MND",$F2158)),ISNUMBER(SEARCH("PEAD",$F2158)),ISNUMBER(SEARCH("Puxe",$J2158)),ISNUMBER(SEARCH("Apoio HDD",$F2158))),"MND",IF(OR(ISNUMBER(SEARCH("VCA",$F2158)),ISNUMBER(SEARCH("PVC",$F2158)),ISNUMBER(SEARCH("vca",$J2158)),ISNUMBER(SEARCH("Transformação",$J2158))),"VCA",IF(OR(ISNUMBER(SEARCH("crava",$F2158)),ISNUMBER(SEARCH("tubo cravado",$F2158)),ISNUMBER(SEARCH("shaft",$J2158)),ISNUMBER(SEARCH("concreto",$F2158))),"TUBO CRAVADO","")))</f>
        <v/>
      </c>
      <c r="T2158">
        <f>IF($A2158="","",TEXT($A2158,"yyyymm")&amp;"|"&amp;$C2158&amp;"|"&amp;$F2158&amp;"|"&amp;$N2158&amp;"|"&amp;$R2158)</f>
        <v/>
      </c>
    </row>
    <row r="2159">
      <c r="A2159" s="31" t="n">
        <v>46146</v>
      </c>
      <c r="B2159" s="32" t="inlineStr">
        <is>
          <t>Segunda</t>
        </is>
      </c>
      <c r="C2159" s="33" t="inlineStr">
        <is>
          <t>Vacal</t>
        </is>
      </c>
      <c r="D2159" s="33" t="n"/>
      <c r="E2159" s="27" t="inlineStr">
        <is>
          <t>Botelho Mourão – Henko</t>
        </is>
      </c>
      <c r="F2159" s="34" t="inlineStr">
        <is>
          <t>Apoio Vacal</t>
        </is>
      </c>
      <c r="G2159" s="27" t="n"/>
      <c r="H2159" s="27" t="n"/>
      <c r="I2159" s="27" t="n"/>
      <c r="J2159" s="27" t="inlineStr">
        <is>
          <t>Vacal</t>
        </is>
      </c>
      <c r="K2159" s="27" t="inlineStr">
        <is>
          <t>Apoio</t>
        </is>
      </c>
      <c r="L2159" s="35" t="inlineStr">
        <is>
          <t>PDS-Maio(1).docx</t>
        </is>
      </c>
      <c r="M2159">
        <f>IF($A2159="","",TEXT($A2159,"mmmm/yyyy"))</f>
        <v/>
      </c>
      <c r="P2159">
        <f>IFERROR(_xludf.XLOOKUP($N2159,Base_Enderecos!$A:$A,Base_Enderecos!$B:$B,""),"")</f>
        <v/>
      </c>
      <c r="Q2159">
        <f>IFERROR(_xludf.XLOOKUP($N2159,Base_Enderecos!$A:$A,Base_Enderecos!$C:$C,""),"")</f>
        <v/>
      </c>
      <c r="R2159">
        <f>IF(OR(ISNUMBER(SEARCH("HDD",$F2159)),ISNUMBER(SEARCH("MND",$F2159)),ISNUMBER(SEARCH("PEAD",$F2159)),ISNUMBER(SEARCH("Puxe",$J2159)),ISNUMBER(SEARCH("Apoio HDD",$F2159))),"MND",IF(OR(ISNUMBER(SEARCH("VCA",$F2159)),ISNUMBER(SEARCH("PVC",$F2159)),ISNUMBER(SEARCH("vca",$J2159)),ISNUMBER(SEARCH("Transformação",$J2159))),"VCA",IF(OR(ISNUMBER(SEARCH("crava",$F2159)),ISNUMBER(SEARCH("tubo cravado",$F2159)),ISNUMBER(SEARCH("shaft",$J2159)),ISNUMBER(SEARCH("concreto",$F2159))),"TUBO CRAVADO","")))</f>
        <v/>
      </c>
      <c r="T2159">
        <f>IF($A2159="","",TEXT($A2159,"yyyymm")&amp;"|"&amp;$C2159&amp;"|"&amp;$F2159&amp;"|"&amp;$N2159&amp;"|"&amp;$R2159)</f>
        <v/>
      </c>
    </row>
    <row r="2160">
      <c r="A2160" s="31" t="n">
        <v>46146</v>
      </c>
      <c r="B2160" s="32" t="inlineStr">
        <is>
          <t>Segunda</t>
        </is>
      </c>
      <c r="C2160" s="33" t="inlineStr">
        <is>
          <t>Vacal</t>
        </is>
      </c>
      <c r="D2160" s="33" t="n"/>
      <c r="E2160" s="27" t="inlineStr">
        <is>
          <t>Botelho Mourão – Henko</t>
        </is>
      </c>
      <c r="F2160" s="34" t="inlineStr">
        <is>
          <t>Apoio Vacal</t>
        </is>
      </c>
      <c r="G2160" s="27" t="n"/>
      <c r="H2160" s="27" t="n"/>
      <c r="I2160" s="27" t="n"/>
      <c r="J2160" s="27" t="inlineStr">
        <is>
          <t>Vacal</t>
        </is>
      </c>
      <c r="K2160" s="27" t="inlineStr">
        <is>
          <t>Apoio</t>
        </is>
      </c>
      <c r="L2160" s="35" t="inlineStr">
        <is>
          <t>PDS-Maio(1).docx</t>
        </is>
      </c>
      <c r="M2160">
        <f>IF($A2160="","",TEXT($A2160,"mmmm/yyyy"))</f>
        <v/>
      </c>
      <c r="P2160">
        <f>IFERROR(_xludf.XLOOKUP($N2160,Base_Enderecos!$A:$A,Base_Enderecos!$B:$B,""),"")</f>
        <v/>
      </c>
      <c r="Q2160">
        <f>IFERROR(_xludf.XLOOKUP($N2160,Base_Enderecos!$A:$A,Base_Enderecos!$C:$C,""),"")</f>
        <v/>
      </c>
      <c r="R2160">
        <f>IF(OR(ISNUMBER(SEARCH("HDD",$F2160)),ISNUMBER(SEARCH("MND",$F2160)),ISNUMBER(SEARCH("PEAD",$F2160)),ISNUMBER(SEARCH("Puxe",$J2160)),ISNUMBER(SEARCH("Apoio HDD",$F2160))),"MND",IF(OR(ISNUMBER(SEARCH("VCA",$F2160)),ISNUMBER(SEARCH("PVC",$F2160)),ISNUMBER(SEARCH("vca",$J2160)),ISNUMBER(SEARCH("Transformação",$J2160))),"VCA",IF(OR(ISNUMBER(SEARCH("crava",$F2160)),ISNUMBER(SEARCH("tubo cravado",$F2160)),ISNUMBER(SEARCH("shaft",$J2160)),ISNUMBER(SEARCH("concreto",$F2160))),"TUBO CRAVADO","")))</f>
        <v/>
      </c>
      <c r="T2160">
        <f>IF($A2160="","",TEXT($A2160,"yyyymm")&amp;"|"&amp;$C2160&amp;"|"&amp;$F2160&amp;"|"&amp;$N2160&amp;"|"&amp;$R2160)</f>
        <v/>
      </c>
    </row>
    <row r="2161">
      <c r="A2161" s="31" t="n">
        <v>46146</v>
      </c>
      <c r="B2161" s="32" t="inlineStr">
        <is>
          <t>Segunda</t>
        </is>
      </c>
      <c r="C2161" s="33" t="inlineStr">
        <is>
          <t>Vacal</t>
        </is>
      </c>
      <c r="D2161" s="33" t="n"/>
      <c r="E2161" s="27" t="inlineStr">
        <is>
          <t>Botelho Mourão – Hidrosol</t>
        </is>
      </c>
      <c r="F2161" s="34" t="inlineStr">
        <is>
          <t>Apoio Vacal</t>
        </is>
      </c>
      <c r="G2161" s="27" t="n"/>
      <c r="H2161" s="27" t="n"/>
      <c r="I2161" s="27" t="n"/>
      <c r="J2161" s="27" t="inlineStr">
        <is>
          <t>Vacal</t>
        </is>
      </c>
      <c r="K2161" s="27" t="inlineStr">
        <is>
          <t>Apoio</t>
        </is>
      </c>
      <c r="L2161" s="35" t="inlineStr">
        <is>
          <t>PDS-Maio(1).docx</t>
        </is>
      </c>
      <c r="M2161">
        <f>IF($A2161="","",TEXT($A2161,"mmmm/yyyy"))</f>
        <v/>
      </c>
      <c r="P2161">
        <f>IFERROR(_xludf.XLOOKUP($N2161,Base_Enderecos!$A:$A,Base_Enderecos!$B:$B,""),"")</f>
        <v/>
      </c>
      <c r="Q2161">
        <f>IFERROR(_xludf.XLOOKUP($N2161,Base_Enderecos!$A:$A,Base_Enderecos!$C:$C,""),"")</f>
        <v/>
      </c>
      <c r="R2161">
        <f>IF(OR(ISNUMBER(SEARCH("HDD",$F2161)),ISNUMBER(SEARCH("MND",$F2161)),ISNUMBER(SEARCH("PEAD",$F2161)),ISNUMBER(SEARCH("Puxe",$J2161)),ISNUMBER(SEARCH("Apoio HDD",$F2161))),"MND",IF(OR(ISNUMBER(SEARCH("VCA",$F2161)),ISNUMBER(SEARCH("PVC",$F2161)),ISNUMBER(SEARCH("vca",$J2161)),ISNUMBER(SEARCH("Transformação",$J2161))),"VCA",IF(OR(ISNUMBER(SEARCH("crava",$F2161)),ISNUMBER(SEARCH("tubo cravado",$F2161)),ISNUMBER(SEARCH("shaft",$J2161)),ISNUMBER(SEARCH("concreto",$F2161))),"TUBO CRAVADO","")))</f>
        <v/>
      </c>
      <c r="T2161">
        <f>IF($A2161="","",TEXT($A2161,"yyyymm")&amp;"|"&amp;$C2161&amp;"|"&amp;$F2161&amp;"|"&amp;$N2161&amp;"|"&amp;$R2161)</f>
        <v/>
      </c>
    </row>
    <row r="2162">
      <c r="A2162" s="31" t="n">
        <v>46146</v>
      </c>
      <c r="B2162" s="32" t="inlineStr">
        <is>
          <t>Segunda</t>
        </is>
      </c>
      <c r="C2162" s="33" t="inlineStr">
        <is>
          <t>Vacal</t>
        </is>
      </c>
      <c r="D2162" s="33" t="n"/>
      <c r="E2162" s="27" t="inlineStr">
        <is>
          <t>Água Vermelha MD – Renasce</t>
        </is>
      </c>
      <c r="F2162" s="34" t="inlineStr">
        <is>
          <t>Apoio Vacal</t>
        </is>
      </c>
      <c r="G2162" s="27" t="n"/>
      <c r="H2162" s="27" t="n"/>
      <c r="I2162" s="27" t="n"/>
      <c r="J2162" s="27" t="inlineStr">
        <is>
          <t>Vacal</t>
        </is>
      </c>
      <c r="K2162" s="27" t="inlineStr">
        <is>
          <t>Apoio</t>
        </is>
      </c>
      <c r="L2162" s="35" t="inlineStr">
        <is>
          <t>PDS-Maio(1).docx</t>
        </is>
      </c>
      <c r="M2162">
        <f>IF($A2162="","",TEXT($A2162,"mmmm/yyyy"))</f>
        <v/>
      </c>
      <c r="P2162">
        <f>IFERROR(_xludf.XLOOKUP($N2162,Base_Enderecos!$A:$A,Base_Enderecos!$B:$B,""),"")</f>
        <v/>
      </c>
      <c r="Q2162">
        <f>IFERROR(_xludf.XLOOKUP($N2162,Base_Enderecos!$A:$A,Base_Enderecos!$C:$C,""),"")</f>
        <v/>
      </c>
      <c r="R2162">
        <f>IF(OR(ISNUMBER(SEARCH("HDD",$F2162)),ISNUMBER(SEARCH("MND",$F2162)),ISNUMBER(SEARCH("PEAD",$F2162)),ISNUMBER(SEARCH("Puxe",$J2162)),ISNUMBER(SEARCH("Apoio HDD",$F2162))),"MND",IF(OR(ISNUMBER(SEARCH("VCA",$F2162)),ISNUMBER(SEARCH("PVC",$F2162)),ISNUMBER(SEARCH("vca",$J2162)),ISNUMBER(SEARCH("Transformação",$J2162))),"VCA",IF(OR(ISNUMBER(SEARCH("crava",$F2162)),ISNUMBER(SEARCH("tubo cravado",$F2162)),ISNUMBER(SEARCH("shaft",$J2162)),ISNUMBER(SEARCH("concreto",$F2162))),"TUBO CRAVADO","")))</f>
        <v/>
      </c>
      <c r="T2162">
        <f>IF($A2162="","",TEXT($A2162,"yyyymm")&amp;"|"&amp;$C2162&amp;"|"&amp;$F2162&amp;"|"&amp;$N2162&amp;"|"&amp;$R2162)</f>
        <v/>
      </c>
    </row>
    <row r="2163">
      <c r="A2163" s="31" t="n">
        <v>46146</v>
      </c>
      <c r="B2163" s="32" t="inlineStr">
        <is>
          <t>Segunda</t>
        </is>
      </c>
      <c r="C2163" s="33" t="inlineStr">
        <is>
          <t>Vacal</t>
        </is>
      </c>
      <c r="D2163" s="33" t="n"/>
      <c r="E2163" s="27" t="inlineStr">
        <is>
          <t>Conceição – Renasce</t>
        </is>
      </c>
      <c r="F2163" s="34" t="inlineStr">
        <is>
          <t>Apoio Vacal</t>
        </is>
      </c>
      <c r="G2163" s="27" t="n"/>
      <c r="H2163" s="27" t="n"/>
      <c r="I2163" s="27" t="n"/>
      <c r="J2163" s="27" t="inlineStr">
        <is>
          <t>Vacal</t>
        </is>
      </c>
      <c r="K2163" s="27" t="inlineStr">
        <is>
          <t>Apoio</t>
        </is>
      </c>
      <c r="L2163" s="35" t="inlineStr">
        <is>
          <t>PDS-Maio(1).docx</t>
        </is>
      </c>
      <c r="M2163">
        <f>IF($A2163="","",TEXT($A2163,"mmmm/yyyy"))</f>
        <v/>
      </c>
      <c r="P2163">
        <f>IFERROR(_xludf.XLOOKUP($N2163,Base_Enderecos!$A:$A,Base_Enderecos!$B:$B,""),"")</f>
        <v/>
      </c>
      <c r="Q2163">
        <f>IFERROR(_xludf.XLOOKUP($N2163,Base_Enderecos!$A:$A,Base_Enderecos!$C:$C,""),"")</f>
        <v/>
      </c>
      <c r="R2163">
        <f>IF(OR(ISNUMBER(SEARCH("HDD",$F2163)),ISNUMBER(SEARCH("MND",$F2163)),ISNUMBER(SEARCH("PEAD",$F2163)),ISNUMBER(SEARCH("Puxe",$J2163)),ISNUMBER(SEARCH("Apoio HDD",$F2163))),"MND",IF(OR(ISNUMBER(SEARCH("VCA",$F2163)),ISNUMBER(SEARCH("PVC",$F2163)),ISNUMBER(SEARCH("vca",$J2163)),ISNUMBER(SEARCH("Transformação",$J2163))),"VCA",IF(OR(ISNUMBER(SEARCH("crava",$F2163)),ISNUMBER(SEARCH("tubo cravado",$F2163)),ISNUMBER(SEARCH("shaft",$J2163)),ISNUMBER(SEARCH("concreto",$F2163))),"TUBO CRAVADO","")))</f>
        <v/>
      </c>
      <c r="T2163">
        <f>IF($A2163="","",TEXT($A2163,"yyyymm")&amp;"|"&amp;$C2163&amp;"|"&amp;$F2163&amp;"|"&amp;$N2163&amp;"|"&amp;$R2163)</f>
        <v/>
      </c>
    </row>
    <row r="2164">
      <c r="A2164" s="31" t="n">
        <v>46146</v>
      </c>
      <c r="B2164" s="32" t="inlineStr">
        <is>
          <t>Segunda</t>
        </is>
      </c>
      <c r="C2164" s="33" t="inlineStr">
        <is>
          <t>Guindauto</t>
        </is>
      </c>
      <c r="D2164" s="33" t="n"/>
      <c r="E2164" s="27" t="inlineStr">
        <is>
          <t>Marcio</t>
        </is>
      </c>
      <c r="F2164" s="34" t="inlineStr">
        <is>
          <t>Apoio as equipes</t>
        </is>
      </c>
      <c r="G2164" s="27" t="n"/>
      <c r="H2164" s="27" t="n"/>
      <c r="I2164" s="27" t="n"/>
      <c r="J2164" s="27" t="inlineStr">
        <is>
          <t>Apoio as equipes</t>
        </is>
      </c>
      <c r="K2164" s="27" t="inlineStr">
        <is>
          <t>Apoio</t>
        </is>
      </c>
      <c r="L2164" s="35" t="inlineStr">
        <is>
          <t>PDS-Maio(1).docx</t>
        </is>
      </c>
      <c r="M2164">
        <f>IF($A2164="","",TEXT($A2164,"mmmm/yyyy"))</f>
        <v/>
      </c>
      <c r="P2164">
        <f>IFERROR(_xludf.XLOOKUP($N2164,Base_Enderecos!$A:$A,Base_Enderecos!$B:$B,""),"")</f>
        <v/>
      </c>
      <c r="Q2164">
        <f>IFERROR(_xludf.XLOOKUP($N2164,Base_Enderecos!$A:$A,Base_Enderecos!$C:$C,""),"")</f>
        <v/>
      </c>
      <c r="R2164">
        <f>IF(OR(ISNUMBER(SEARCH("HDD",$F2164)),ISNUMBER(SEARCH("MND",$F2164)),ISNUMBER(SEARCH("PEAD",$F2164)),ISNUMBER(SEARCH("Puxe",$J2164)),ISNUMBER(SEARCH("Apoio HDD",$F2164))),"MND",IF(OR(ISNUMBER(SEARCH("VCA",$F2164)),ISNUMBER(SEARCH("PVC",$F2164)),ISNUMBER(SEARCH("vca",$J2164)),ISNUMBER(SEARCH("Transformação",$J2164))),"VCA",IF(OR(ISNUMBER(SEARCH("crava",$F2164)),ISNUMBER(SEARCH("tubo cravado",$F2164)),ISNUMBER(SEARCH("shaft",$J2164)),ISNUMBER(SEARCH("concreto",$F2164))),"TUBO CRAVADO","")))</f>
        <v/>
      </c>
      <c r="T2164">
        <f>IF($A2164="","",TEXT($A2164,"yyyymm")&amp;"|"&amp;$C2164&amp;"|"&amp;$F2164&amp;"|"&amp;$N2164&amp;"|"&amp;$R2164)</f>
        <v/>
      </c>
    </row>
    <row r="2165">
      <c r="A2165" s="31" t="n">
        <v>46146</v>
      </c>
      <c r="B2165" s="32" t="inlineStr">
        <is>
          <t>Segunda</t>
        </is>
      </c>
      <c r="C2165" s="33" t="inlineStr">
        <is>
          <t>Guindauto</t>
        </is>
      </c>
      <c r="D2165" s="33" t="n"/>
      <c r="E2165" s="27" t="inlineStr">
        <is>
          <t>Luiz Carlos</t>
        </is>
      </c>
      <c r="F2165" s="34" t="inlineStr">
        <is>
          <t>Apoio as equipes</t>
        </is>
      </c>
      <c r="G2165" s="27" t="n"/>
      <c r="H2165" s="27" t="n"/>
      <c r="I2165" s="27" t="n"/>
      <c r="J2165" s="27" t="inlineStr">
        <is>
          <t>Apoio as equipes</t>
        </is>
      </c>
      <c r="K2165" s="27" t="inlineStr">
        <is>
          <t>Apoio</t>
        </is>
      </c>
      <c r="L2165" s="35" t="inlineStr">
        <is>
          <t>PDS-Maio(1).docx</t>
        </is>
      </c>
      <c r="M2165">
        <f>IF($A2165="","",TEXT($A2165,"mmmm/yyyy"))</f>
        <v/>
      </c>
      <c r="P2165">
        <f>IFERROR(_xludf.XLOOKUP($N2165,Base_Enderecos!$A:$A,Base_Enderecos!$B:$B,""),"")</f>
        <v/>
      </c>
      <c r="Q2165">
        <f>IFERROR(_xludf.XLOOKUP($N2165,Base_Enderecos!$A:$A,Base_Enderecos!$C:$C,""),"")</f>
        <v/>
      </c>
      <c r="R2165">
        <f>IF(OR(ISNUMBER(SEARCH("HDD",$F2165)),ISNUMBER(SEARCH("MND",$F2165)),ISNUMBER(SEARCH("PEAD",$F2165)),ISNUMBER(SEARCH("Puxe",$J2165)),ISNUMBER(SEARCH("Apoio HDD",$F2165))),"MND",IF(OR(ISNUMBER(SEARCH("VCA",$F2165)),ISNUMBER(SEARCH("PVC",$F2165)),ISNUMBER(SEARCH("vca",$J2165)),ISNUMBER(SEARCH("Transformação",$J2165))),"VCA",IF(OR(ISNUMBER(SEARCH("crava",$F2165)),ISNUMBER(SEARCH("tubo cravado",$F2165)),ISNUMBER(SEARCH("shaft",$J2165)),ISNUMBER(SEARCH("concreto",$F2165))),"TUBO CRAVADO","")))</f>
        <v/>
      </c>
      <c r="T2165">
        <f>IF($A2165="","",TEXT($A2165,"yyyymm")&amp;"|"&amp;$C2165&amp;"|"&amp;$F2165&amp;"|"&amp;$N2165&amp;"|"&amp;$R2165)</f>
        <v/>
      </c>
    </row>
    <row r="2166">
      <c r="A2166" s="31" t="n">
        <v>46147</v>
      </c>
      <c r="B2166" s="8" t="inlineStr">
        <is>
          <t>Terça</t>
        </is>
      </c>
      <c r="C2166" s="33" t="inlineStr">
        <is>
          <t>CT JOÃO CANZI</t>
        </is>
      </c>
      <c r="D2166" s="33" t="inlineStr">
        <is>
          <t>LEANDRO</t>
        </is>
      </c>
      <c r="E2166" s="27" t="inlineStr">
        <is>
          <t>Emanuel GO-01</t>
        </is>
      </c>
      <c r="F2166" s="25" t="inlineStr">
        <is>
          <t>Shaft PV 06</t>
        </is>
      </c>
      <c r="G2166" s="27" t="n">
        <v>6</v>
      </c>
      <c r="H2166" s="27" t="n"/>
      <c r="I2166" s="27" t="n">
        <v>6</v>
      </c>
      <c r="J2166" s="27" t="inlineStr">
        <is>
          <t>Shaft</t>
        </is>
      </c>
      <c r="K2166" s="27" t="inlineStr">
        <is>
          <t>Planejamento</t>
        </is>
      </c>
      <c r="L2166" s="17" t="inlineStr">
        <is>
          <t>abril</t>
        </is>
      </c>
      <c r="M2166">
        <f>IF($A2166="","",TEXT($A2166,"mmmm/yyyy"))</f>
        <v/>
      </c>
      <c r="P2166">
        <f>IFERROR(_xludf.XLOOKUP($N2166,Base_Enderecos!$A:$A,Base_Enderecos!$B:$B,""),"")</f>
        <v/>
      </c>
      <c r="Q2166">
        <f>IFERROR(_xludf.XLOOKUP($N2166,Base_Enderecos!$A:$A,Base_Enderecos!$C:$C,""),"")</f>
        <v/>
      </c>
      <c r="R2166">
        <f>IF(OR(ISNUMBER(SEARCH("HDD",$F2166)),ISNUMBER(SEARCH("MND",$F2166)),ISNUMBER(SEARCH("PEAD",$F2166)),ISNUMBER(SEARCH("Puxe",$J2166)),ISNUMBER(SEARCH("Apoio HDD",$F2166))),"MND",IF(OR(ISNUMBER(SEARCH("VCA",$F2166)),ISNUMBER(SEARCH("PVC",$F2166)),ISNUMBER(SEARCH("vca",$J2166)),ISNUMBER(SEARCH("Transformação",$J2166))),"VCA",IF(OR(ISNUMBER(SEARCH("crava",$F2166)),ISNUMBER(SEARCH("tubo cravado",$F2166)),ISNUMBER(SEARCH("shaft",$J2166)),ISNUMBER(SEARCH("concreto",$F2166))),"TUBO CRAVADO","")))</f>
        <v/>
      </c>
      <c r="T2166">
        <f>IF($A2166="","",TEXT($A2166,"yyyymm")&amp;"|"&amp;$C2166&amp;"|"&amp;$F2166&amp;"|"&amp;$N2166&amp;"|"&amp;$R2166)</f>
        <v/>
      </c>
    </row>
    <row r="2167">
      <c r="A2167" s="31" t="n">
        <v>46147</v>
      </c>
      <c r="B2167" s="8" t="inlineStr">
        <is>
          <t>Terça</t>
        </is>
      </c>
      <c r="C2167" s="33" t="inlineStr">
        <is>
          <t>CT JOÃO CANZI</t>
        </is>
      </c>
      <c r="D2167" s="33" t="inlineStr">
        <is>
          <t>LEANDRO</t>
        </is>
      </c>
      <c r="E2167" s="27" t="inlineStr">
        <is>
          <t>Paulo GO-02</t>
        </is>
      </c>
      <c r="F2167" s="25" t="inlineStr">
        <is>
          <t>Shaft PV 11</t>
        </is>
      </c>
      <c r="G2167" s="27" t="n">
        <v>11</v>
      </c>
      <c r="H2167" s="27" t="n"/>
      <c r="I2167" s="27" t="n">
        <v>11</v>
      </c>
      <c r="J2167" s="27" t="inlineStr">
        <is>
          <t>Shaft</t>
        </is>
      </c>
      <c r="K2167" s="27" t="inlineStr">
        <is>
          <t>Planejamento</t>
        </is>
      </c>
      <c r="L2167" s="17" t="inlineStr">
        <is>
          <t>abril</t>
        </is>
      </c>
      <c r="M2167">
        <f>IF($A2167="","",TEXT($A2167,"mmmm/yyyy"))</f>
        <v/>
      </c>
      <c r="P2167">
        <f>IFERROR(_xludf.XLOOKUP($N2167,Base_Enderecos!$A:$A,Base_Enderecos!$B:$B,""),"")</f>
        <v/>
      </c>
      <c r="Q2167">
        <f>IFERROR(_xludf.XLOOKUP($N2167,Base_Enderecos!$A:$A,Base_Enderecos!$C:$C,""),"")</f>
        <v/>
      </c>
      <c r="R2167">
        <f>IF(OR(ISNUMBER(SEARCH("HDD",$F2167)),ISNUMBER(SEARCH("MND",$F2167)),ISNUMBER(SEARCH("PEAD",$F2167)),ISNUMBER(SEARCH("Puxe",$J2167)),ISNUMBER(SEARCH("Apoio HDD",$F2167))),"MND",IF(OR(ISNUMBER(SEARCH("VCA",$F2167)),ISNUMBER(SEARCH("PVC",$F2167)),ISNUMBER(SEARCH("vca",$J2167)),ISNUMBER(SEARCH("Transformação",$J2167))),"VCA",IF(OR(ISNUMBER(SEARCH("crava",$F2167)),ISNUMBER(SEARCH("tubo cravado",$F2167)),ISNUMBER(SEARCH("shaft",$J2167)),ISNUMBER(SEARCH("concreto",$F2167))),"TUBO CRAVADO","")))</f>
        <v/>
      </c>
      <c r="T2167">
        <f>IF($A2167="","",TEXT($A2167,"yyyymm")&amp;"|"&amp;$C2167&amp;"|"&amp;$F2167&amp;"|"&amp;$N2167&amp;"|"&amp;$R2167)</f>
        <v/>
      </c>
    </row>
    <row r="2168">
      <c r="A2168" s="31" t="n">
        <v>46147</v>
      </c>
      <c r="B2168" s="8" t="inlineStr">
        <is>
          <t>Terça</t>
        </is>
      </c>
      <c r="C2168" s="33" t="inlineStr">
        <is>
          <t>CT JOÃO CANZI</t>
        </is>
      </c>
      <c r="D2168" s="33" t="inlineStr">
        <is>
          <t>LEANDRO</t>
        </is>
      </c>
      <c r="E2168" s="27" t="inlineStr">
        <is>
          <t>Bruno</t>
        </is>
      </c>
      <c r="F2168" s="25" t="inlineStr">
        <is>
          <t>Shaft PV 13</t>
        </is>
      </c>
      <c r="G2168" s="27" t="n">
        <v>13</v>
      </c>
      <c r="H2168" s="27" t="n"/>
      <c r="I2168" s="27" t="n">
        <v>13</v>
      </c>
      <c r="J2168" s="27" t="inlineStr">
        <is>
          <t>Shaft</t>
        </is>
      </c>
      <c r="K2168" s="27" t="inlineStr">
        <is>
          <t>Planejamento</t>
        </is>
      </c>
      <c r="L2168" s="17" t="inlineStr">
        <is>
          <t>abril</t>
        </is>
      </c>
      <c r="M2168">
        <f>IF($A2168="","",TEXT($A2168,"mmmm/yyyy"))</f>
        <v/>
      </c>
      <c r="P2168">
        <f>IFERROR(_xludf.XLOOKUP($N2168,Base_Enderecos!$A:$A,Base_Enderecos!$B:$B,""),"")</f>
        <v/>
      </c>
      <c r="Q2168">
        <f>IFERROR(_xludf.XLOOKUP($N2168,Base_Enderecos!$A:$A,Base_Enderecos!$C:$C,""),"")</f>
        <v/>
      </c>
      <c r="R2168">
        <f>IF(OR(ISNUMBER(SEARCH("HDD",$F2168)),ISNUMBER(SEARCH("MND",$F2168)),ISNUMBER(SEARCH("PEAD",$F2168)),ISNUMBER(SEARCH("Puxe",$J2168)),ISNUMBER(SEARCH("Apoio HDD",$F2168))),"MND",IF(OR(ISNUMBER(SEARCH("VCA",$F2168)),ISNUMBER(SEARCH("PVC",$F2168)),ISNUMBER(SEARCH("vca",$J2168)),ISNUMBER(SEARCH("Transformação",$J2168))),"VCA",IF(OR(ISNUMBER(SEARCH("crava",$F2168)),ISNUMBER(SEARCH("tubo cravado",$F2168)),ISNUMBER(SEARCH("shaft",$J2168)),ISNUMBER(SEARCH("concreto",$F2168))),"TUBO CRAVADO","")))</f>
        <v/>
      </c>
      <c r="T2168">
        <f>IF($A2168="","",TEXT($A2168,"yyyymm")&amp;"|"&amp;$C2168&amp;"|"&amp;$F2168&amp;"|"&amp;$N2168&amp;"|"&amp;$R2168)</f>
        <v/>
      </c>
    </row>
    <row r="2169">
      <c r="A2169" s="31" t="n">
        <v>46147</v>
      </c>
      <c r="B2169" s="8" t="inlineStr">
        <is>
          <t>Terça</t>
        </is>
      </c>
      <c r="C2169" s="33" t="inlineStr">
        <is>
          <t>CT JOÃO CANZI</t>
        </is>
      </c>
      <c r="D2169" s="33" t="inlineStr">
        <is>
          <t>LEANDRO</t>
        </is>
      </c>
      <c r="E2169" s="27" t="inlineStr">
        <is>
          <t>Valter</t>
        </is>
      </c>
      <c r="F2169" s="25" t="inlineStr">
        <is>
          <t>Shaft PV 14</t>
        </is>
      </c>
      <c r="G2169" s="27" t="n">
        <v>14</v>
      </c>
      <c r="H2169" s="27" t="n"/>
      <c r="I2169" s="27" t="n">
        <v>14</v>
      </c>
      <c r="J2169" s="27" t="inlineStr">
        <is>
          <t>Shaft</t>
        </is>
      </c>
      <c r="K2169" s="27" t="inlineStr">
        <is>
          <t>Planejamento</t>
        </is>
      </c>
      <c r="L2169" s="17" t="inlineStr">
        <is>
          <t>abril</t>
        </is>
      </c>
      <c r="M2169">
        <f>IF($A2169="","",TEXT($A2169,"mmmm/yyyy"))</f>
        <v/>
      </c>
      <c r="P2169">
        <f>IFERROR(_xludf.XLOOKUP($N2169,Base_Enderecos!$A:$A,Base_Enderecos!$B:$B,""),"")</f>
        <v/>
      </c>
      <c r="Q2169">
        <f>IFERROR(_xludf.XLOOKUP($N2169,Base_Enderecos!$A:$A,Base_Enderecos!$C:$C,""),"")</f>
        <v/>
      </c>
      <c r="R2169">
        <f>IF(OR(ISNUMBER(SEARCH("HDD",$F2169)),ISNUMBER(SEARCH("MND",$F2169)),ISNUMBER(SEARCH("PEAD",$F2169)),ISNUMBER(SEARCH("Puxe",$J2169)),ISNUMBER(SEARCH("Apoio HDD",$F2169))),"MND",IF(OR(ISNUMBER(SEARCH("VCA",$F2169)),ISNUMBER(SEARCH("PVC",$F2169)),ISNUMBER(SEARCH("vca",$J2169)),ISNUMBER(SEARCH("Transformação",$J2169))),"VCA",IF(OR(ISNUMBER(SEARCH("crava",$F2169)),ISNUMBER(SEARCH("tubo cravado",$F2169)),ISNUMBER(SEARCH("shaft",$J2169)),ISNUMBER(SEARCH("concreto",$F2169))),"TUBO CRAVADO","")))</f>
        <v/>
      </c>
      <c r="T2169">
        <f>IF($A2169="","",TEXT($A2169,"yyyymm")&amp;"|"&amp;$C2169&amp;"|"&amp;$F2169&amp;"|"&amp;$N2169&amp;"|"&amp;$R2169)</f>
        <v/>
      </c>
    </row>
    <row r="2170">
      <c r="A2170" s="31" t="n">
        <v>46147</v>
      </c>
      <c r="B2170" s="8" t="inlineStr">
        <is>
          <t>Terça</t>
        </is>
      </c>
      <c r="C2170" s="33" t="inlineStr">
        <is>
          <t>CT JOÃO CANZI</t>
        </is>
      </c>
      <c r="D2170" s="33" t="inlineStr">
        <is>
          <t>LEANDRO</t>
        </is>
      </c>
      <c r="E2170" s="27" t="inlineStr">
        <is>
          <t>Carlos</t>
        </is>
      </c>
      <c r="F2170" s="25" t="inlineStr">
        <is>
          <t>Shaft PV 08</t>
        </is>
      </c>
      <c r="G2170" s="27" t="n">
        <v>8</v>
      </c>
      <c r="H2170" s="27" t="n"/>
      <c r="I2170" s="27" t="n">
        <v>8</v>
      </c>
      <c r="J2170" s="27" t="inlineStr">
        <is>
          <t>Shaft</t>
        </is>
      </c>
      <c r="K2170" s="27" t="inlineStr">
        <is>
          <t>Planejamento</t>
        </is>
      </c>
      <c r="L2170" s="17" t="inlineStr">
        <is>
          <t>abril</t>
        </is>
      </c>
      <c r="M2170">
        <f>IF($A2170="","",TEXT($A2170,"mmmm/yyyy"))</f>
        <v/>
      </c>
      <c r="P2170">
        <f>IFERROR(_xludf.XLOOKUP($N2170,Base_Enderecos!$A:$A,Base_Enderecos!$B:$B,""),"")</f>
        <v/>
      </c>
      <c r="Q2170">
        <f>IFERROR(_xludf.XLOOKUP($N2170,Base_Enderecos!$A:$A,Base_Enderecos!$C:$C,""),"")</f>
        <v/>
      </c>
      <c r="R2170">
        <f>IF(OR(ISNUMBER(SEARCH("HDD",$F2170)),ISNUMBER(SEARCH("MND",$F2170)),ISNUMBER(SEARCH("PEAD",$F2170)),ISNUMBER(SEARCH("Puxe",$J2170)),ISNUMBER(SEARCH("Apoio HDD",$F2170))),"MND",IF(OR(ISNUMBER(SEARCH("VCA",$F2170)),ISNUMBER(SEARCH("PVC",$F2170)),ISNUMBER(SEARCH("vca",$J2170)),ISNUMBER(SEARCH("Transformação",$J2170))),"VCA",IF(OR(ISNUMBER(SEARCH("crava",$F2170)),ISNUMBER(SEARCH("tubo cravado",$F2170)),ISNUMBER(SEARCH("shaft",$J2170)),ISNUMBER(SEARCH("concreto",$F2170))),"TUBO CRAVADO","")))</f>
        <v/>
      </c>
      <c r="T2170">
        <f>IF($A2170="","",TEXT($A2170,"yyyymm")&amp;"|"&amp;$C2170&amp;"|"&amp;$F2170&amp;"|"&amp;$N2170&amp;"|"&amp;$R2170)</f>
        <v/>
      </c>
    </row>
    <row r="2171">
      <c r="A2171" s="31" t="n">
        <v>46147</v>
      </c>
      <c r="B2171" s="8" t="inlineStr">
        <is>
          <t>Terça</t>
        </is>
      </c>
      <c r="C2171" s="33" t="inlineStr">
        <is>
          <t>CTS MAR DE CORAL</t>
        </is>
      </c>
      <c r="D2171" s="33" t="inlineStr">
        <is>
          <t>SILVESTRE</t>
        </is>
      </c>
      <c r="E2171" s="27" t="inlineStr">
        <is>
          <t>Edvando</t>
        </is>
      </c>
      <c r="F2171" s="34" t="inlineStr">
        <is>
          <t>VCA e transformações de PVs entre PV 22.2 ao 22.4</t>
        </is>
      </c>
      <c r="G2171" s="27" t="inlineStr">
        <is>
          <t>22.2</t>
        </is>
      </c>
      <c r="H2171" s="27" t="inlineStr">
        <is>
          <t>22.4</t>
        </is>
      </c>
      <c r="I2171" s="27" t="inlineStr">
        <is>
          <t>22.2,22.4</t>
        </is>
      </c>
      <c r="J2171" s="27" t="inlineStr">
        <is>
          <t>VCA</t>
        </is>
      </c>
      <c r="K2171" s="27" t="inlineStr">
        <is>
          <t>Planejamento</t>
        </is>
      </c>
      <c r="L2171" s="17" t="inlineStr">
        <is>
          <t>abril</t>
        </is>
      </c>
      <c r="M2171">
        <f>IF($A2171="","",TEXT($A2171,"mmmm/yyyy"))</f>
        <v/>
      </c>
      <c r="P2171">
        <f>IFERROR(_xludf.XLOOKUP($N2171,Base_Enderecos!$A:$A,Base_Enderecos!$B:$B,""),"")</f>
        <v/>
      </c>
      <c r="Q2171">
        <f>IFERROR(_xludf.XLOOKUP($N2171,Base_Enderecos!$A:$A,Base_Enderecos!$C:$C,""),"")</f>
        <v/>
      </c>
      <c r="R2171">
        <f>IF(OR(ISNUMBER(SEARCH("HDD",$F2171)),ISNUMBER(SEARCH("MND",$F2171)),ISNUMBER(SEARCH("PEAD",$F2171)),ISNUMBER(SEARCH("Puxe",$J2171)),ISNUMBER(SEARCH("Apoio HDD",$F2171))),"MND",IF(OR(ISNUMBER(SEARCH("VCA",$F2171)),ISNUMBER(SEARCH("PVC",$F2171)),ISNUMBER(SEARCH("vca",$J2171)),ISNUMBER(SEARCH("Transformação",$J2171))),"VCA",IF(OR(ISNUMBER(SEARCH("crava",$F2171)),ISNUMBER(SEARCH("tubo cravado",$F2171)),ISNUMBER(SEARCH("shaft",$J2171)),ISNUMBER(SEARCH("concreto",$F2171))),"TUBO CRAVADO","")))</f>
        <v/>
      </c>
      <c r="T2171">
        <f>IF($A2171="","",TEXT($A2171,"yyyymm")&amp;"|"&amp;$C2171&amp;"|"&amp;$F2171&amp;"|"&amp;$N2171&amp;"|"&amp;$R2171)</f>
        <v/>
      </c>
    </row>
    <row r="2172">
      <c r="A2172" s="31" t="n">
        <v>46147</v>
      </c>
      <c r="B2172" s="8" t="inlineStr">
        <is>
          <t>Terça</t>
        </is>
      </c>
      <c r="C2172" s="33" t="inlineStr">
        <is>
          <t>CTS MAR DE CORAL</t>
        </is>
      </c>
      <c r="D2172" s="33" t="inlineStr">
        <is>
          <t>SILVESTRE</t>
        </is>
      </c>
      <c r="E2172" s="27" t="inlineStr">
        <is>
          <t>Cidão</t>
        </is>
      </c>
      <c r="F2172" s="34" t="inlineStr">
        <is>
          <t>Acabamentos</t>
        </is>
      </c>
      <c r="G2172" s="24" t="inlineStr">
        <is>
          <t>5.10</t>
        </is>
      </c>
      <c r="H2172" s="27" t="n"/>
      <c r="I2172" s="24" t="inlineStr">
        <is>
          <t>5.10</t>
        </is>
      </c>
      <c r="J2172" s="27" t="inlineStr">
        <is>
          <t>Acabamento</t>
        </is>
      </c>
      <c r="K2172" s="27" t="inlineStr">
        <is>
          <t>Planejamento</t>
        </is>
      </c>
      <c r="L2172" s="17" t="inlineStr">
        <is>
          <t>abril</t>
        </is>
      </c>
      <c r="M2172">
        <f>IF($A2172="","",TEXT($A2172,"mmmm/yyyy"))</f>
        <v/>
      </c>
      <c r="P2172">
        <f>IFERROR(_xludf.XLOOKUP($N2172,Base_Enderecos!$A:$A,Base_Enderecos!$B:$B,""),"")</f>
        <v/>
      </c>
      <c r="Q2172">
        <f>IFERROR(_xludf.XLOOKUP($N2172,Base_Enderecos!$A:$A,Base_Enderecos!$C:$C,""),"")</f>
        <v/>
      </c>
      <c r="R2172">
        <f>IF(OR(ISNUMBER(SEARCH("HDD",$F2172)),ISNUMBER(SEARCH("MND",$F2172)),ISNUMBER(SEARCH("PEAD",$F2172)),ISNUMBER(SEARCH("Puxe",$J2172)),ISNUMBER(SEARCH("Apoio HDD",$F2172))),"MND",IF(OR(ISNUMBER(SEARCH("VCA",$F2172)),ISNUMBER(SEARCH("PVC",$F2172)),ISNUMBER(SEARCH("vca",$J2172)),ISNUMBER(SEARCH("Transformação",$J2172))),"VCA",IF(OR(ISNUMBER(SEARCH("crava",$F2172)),ISNUMBER(SEARCH("tubo cravado",$F2172)),ISNUMBER(SEARCH("shaft",$J2172)),ISNUMBER(SEARCH("concreto",$F2172))),"TUBO CRAVADO","")))</f>
        <v/>
      </c>
      <c r="T2172">
        <f>IF($A2172="","",TEXT($A2172,"yyyymm")&amp;"|"&amp;$C2172&amp;"|"&amp;$F2172&amp;"|"&amp;$N2172&amp;"|"&amp;$R2172)</f>
        <v/>
      </c>
    </row>
    <row r="2173">
      <c r="A2173" s="31" t="n">
        <v>46147</v>
      </c>
      <c r="B2173" s="8" t="inlineStr">
        <is>
          <t>Terça</t>
        </is>
      </c>
      <c r="C2173" s="33" t="inlineStr">
        <is>
          <t>CTS LUIS BOTELHO MOURÃO</t>
        </is>
      </c>
      <c r="D2173" s="33" t="inlineStr">
        <is>
          <t>ROBSON</t>
        </is>
      </c>
      <c r="E2173" s="27" t="inlineStr">
        <is>
          <t>Marcio</t>
        </is>
      </c>
      <c r="F2173" s="34" t="inlineStr">
        <is>
          <t>Lavagem da rede</t>
        </is>
      </c>
      <c r="G2173" s="27" t="n"/>
      <c r="H2173" s="27" t="n"/>
      <c r="I2173" s="27" t="n"/>
      <c r="J2173" s="27" t="inlineStr">
        <is>
          <t>Limpeza/Lavagem</t>
        </is>
      </c>
      <c r="K2173" s="27" t="inlineStr">
        <is>
          <t>Planejamento</t>
        </is>
      </c>
      <c r="L2173" s="17" t="inlineStr">
        <is>
          <t>abril</t>
        </is>
      </c>
      <c r="M2173">
        <f>IF($A2173="","",TEXT($A2173,"mmmm/yyyy"))</f>
        <v/>
      </c>
      <c r="P2173">
        <f>IFERROR(_xludf.XLOOKUP($N2173,Base_Enderecos!$A:$A,Base_Enderecos!$B:$B,""),"")</f>
        <v/>
      </c>
      <c r="Q2173">
        <f>IFERROR(_xludf.XLOOKUP($N2173,Base_Enderecos!$A:$A,Base_Enderecos!$C:$C,""),"")</f>
        <v/>
      </c>
      <c r="R2173">
        <f>IF(OR(ISNUMBER(SEARCH("HDD",$F2173)),ISNUMBER(SEARCH("MND",$F2173)),ISNUMBER(SEARCH("PEAD",$F2173)),ISNUMBER(SEARCH("Puxe",$J2173)),ISNUMBER(SEARCH("Apoio HDD",$F2173))),"MND",IF(OR(ISNUMBER(SEARCH("VCA",$F2173)),ISNUMBER(SEARCH("PVC",$F2173)),ISNUMBER(SEARCH("vca",$J2173)),ISNUMBER(SEARCH("Transformação",$J2173))),"VCA",IF(OR(ISNUMBER(SEARCH("crava",$F2173)),ISNUMBER(SEARCH("tubo cravado",$F2173)),ISNUMBER(SEARCH("shaft",$J2173)),ISNUMBER(SEARCH("concreto",$F2173))),"TUBO CRAVADO","")))</f>
        <v/>
      </c>
      <c r="T2173">
        <f>IF($A2173="","",TEXT($A2173,"yyyymm")&amp;"|"&amp;$C2173&amp;"|"&amp;$F2173&amp;"|"&amp;$N2173&amp;"|"&amp;$R2173)</f>
        <v/>
      </c>
    </row>
    <row r="2174">
      <c r="A2174" s="31" t="n">
        <v>46147</v>
      </c>
      <c r="B2174" s="8" t="inlineStr">
        <is>
          <t>Terça</t>
        </is>
      </c>
      <c r="C2174" s="33" t="inlineStr">
        <is>
          <t>CTS LUIS BOTELHO MOURÃO</t>
        </is>
      </c>
      <c r="D2174" s="33" t="inlineStr">
        <is>
          <t>ROBSON</t>
        </is>
      </c>
      <c r="E2174" s="27" t="inlineStr">
        <is>
          <t>Higor</t>
        </is>
      </c>
      <c r="F2174" s="34" t="inlineStr">
        <is>
          <t>Acabamento PV 08 ao PV 09</t>
        </is>
      </c>
      <c r="G2174" s="27" t="inlineStr">
        <is>
          <t>8</t>
        </is>
      </c>
      <c r="H2174" s="27" t="inlineStr">
        <is>
          <t>9</t>
        </is>
      </c>
      <c r="I2174" s="27" t="inlineStr">
        <is>
          <t>8,9</t>
        </is>
      </c>
      <c r="J2174" s="27" t="inlineStr">
        <is>
          <t>Acabamento</t>
        </is>
      </c>
      <c r="K2174" s="27" t="inlineStr">
        <is>
          <t>Planejamento</t>
        </is>
      </c>
      <c r="L2174" s="17" t="inlineStr">
        <is>
          <t>abril</t>
        </is>
      </c>
      <c r="M2174">
        <f>IF($A2174="","",TEXT($A2174,"mmmm/yyyy"))</f>
        <v/>
      </c>
      <c r="P2174">
        <f>IFERROR(_xludf.XLOOKUP($N2174,Base_Enderecos!$A:$A,Base_Enderecos!$B:$B,""),"")</f>
        <v/>
      </c>
      <c r="Q2174">
        <f>IFERROR(_xludf.XLOOKUP($N2174,Base_Enderecos!$A:$A,Base_Enderecos!$C:$C,""),"")</f>
        <v/>
      </c>
      <c r="R2174">
        <f>IF(OR(ISNUMBER(SEARCH("HDD",$F2174)),ISNUMBER(SEARCH("MND",$F2174)),ISNUMBER(SEARCH("PEAD",$F2174)),ISNUMBER(SEARCH("Puxe",$J2174)),ISNUMBER(SEARCH("Apoio HDD",$F2174))),"MND",IF(OR(ISNUMBER(SEARCH("VCA",$F2174)),ISNUMBER(SEARCH("PVC",$F2174)),ISNUMBER(SEARCH("vca",$J2174)),ISNUMBER(SEARCH("Transformação",$J2174))),"VCA",IF(OR(ISNUMBER(SEARCH("crava",$F2174)),ISNUMBER(SEARCH("tubo cravado",$F2174)),ISNUMBER(SEARCH("shaft",$J2174)),ISNUMBER(SEARCH("concreto",$F2174))),"TUBO CRAVADO","")))</f>
        <v/>
      </c>
      <c r="T2174">
        <f>IF($A2174="","",TEXT($A2174,"yyyymm")&amp;"|"&amp;$C2174&amp;"|"&amp;$F2174&amp;"|"&amp;$N2174&amp;"|"&amp;$R2174)</f>
        <v/>
      </c>
    </row>
    <row r="2175">
      <c r="A2175" s="31" t="n">
        <v>46147</v>
      </c>
      <c r="B2175" s="8" t="inlineStr">
        <is>
          <t>Terça</t>
        </is>
      </c>
      <c r="C2175" s="33" t="inlineStr">
        <is>
          <t>CTS LUIS BOTELHO MOURÃO</t>
        </is>
      </c>
      <c r="D2175" s="33" t="inlineStr">
        <is>
          <t>ROBSON</t>
        </is>
      </c>
      <c r="E2175" s="27" t="inlineStr">
        <is>
          <t>Jhonatan</t>
        </is>
      </c>
      <c r="F2175" s="25" t="inlineStr">
        <is>
          <t>Substituição de rede PV 05 ao PVE</t>
        </is>
      </c>
      <c r="G2175" s="27" t="inlineStr">
        <is>
          <t>5</t>
        </is>
      </c>
      <c r="H2175" s="24" t="inlineStr">
        <is>
          <t>PVE</t>
        </is>
      </c>
      <c r="I2175" s="24" t="inlineStr">
        <is>
          <t>5,PVE</t>
        </is>
      </c>
      <c r="J2175" s="27" t="inlineStr">
        <is>
          <t>Substituição de rede</t>
        </is>
      </c>
      <c r="K2175" s="27" t="inlineStr">
        <is>
          <t>Planejamento</t>
        </is>
      </c>
      <c r="L2175" s="17" t="inlineStr">
        <is>
          <t>abril</t>
        </is>
      </c>
      <c r="M2175">
        <f>IF($A2175="","",TEXT($A2175,"mmmm/yyyy"))</f>
        <v/>
      </c>
      <c r="P2175">
        <f>IFERROR(_xludf.XLOOKUP($N2175,Base_Enderecos!$A:$A,Base_Enderecos!$B:$B,""),"")</f>
        <v/>
      </c>
      <c r="Q2175">
        <f>IFERROR(_xludf.XLOOKUP($N2175,Base_Enderecos!$A:$A,Base_Enderecos!$C:$C,""),"")</f>
        <v/>
      </c>
      <c r="R2175">
        <f>IF(OR(ISNUMBER(SEARCH("HDD",$F2175)),ISNUMBER(SEARCH("MND",$F2175)),ISNUMBER(SEARCH("PEAD",$F2175)),ISNUMBER(SEARCH("Puxe",$J2175)),ISNUMBER(SEARCH("Apoio HDD",$F2175))),"MND",IF(OR(ISNUMBER(SEARCH("VCA",$F2175)),ISNUMBER(SEARCH("PVC",$F2175)),ISNUMBER(SEARCH("vca",$J2175)),ISNUMBER(SEARCH("Transformação",$J2175))),"VCA",IF(OR(ISNUMBER(SEARCH("crava",$F2175)),ISNUMBER(SEARCH("tubo cravado",$F2175)),ISNUMBER(SEARCH("shaft",$J2175)),ISNUMBER(SEARCH("concreto",$F2175))),"TUBO CRAVADO","")))</f>
        <v/>
      </c>
      <c r="T2175">
        <f>IF($A2175="","",TEXT($A2175,"yyyymm")&amp;"|"&amp;$C2175&amp;"|"&amp;$F2175&amp;"|"&amp;$N2175&amp;"|"&amp;$R2175)</f>
        <v/>
      </c>
    </row>
    <row r="2176">
      <c r="A2176" s="31" t="n">
        <v>46147</v>
      </c>
      <c r="B2176" s="8" t="inlineStr">
        <is>
          <t>Terça</t>
        </is>
      </c>
      <c r="C2176" s="33" t="inlineStr">
        <is>
          <t>RCE SÃO LUCAS</t>
        </is>
      </c>
      <c r="D2176" s="33" t="inlineStr">
        <is>
          <t>FÁBIO</t>
        </is>
      </c>
      <c r="E2176" s="27" t="inlineStr">
        <is>
          <t>Antonio</t>
        </is>
      </c>
      <c r="F2176" s="34" t="inlineStr">
        <is>
          <t>VCA, PVs e Ligações</t>
        </is>
      </c>
      <c r="G2176" s="27" t="n"/>
      <c r="H2176" s="27" t="n"/>
      <c r="I2176" s="27" t="n"/>
      <c r="J2176" s="27" t="inlineStr">
        <is>
          <t>VCA</t>
        </is>
      </c>
      <c r="K2176" s="27" t="inlineStr">
        <is>
          <t>Planejamento</t>
        </is>
      </c>
      <c r="L2176" s="17" t="inlineStr">
        <is>
          <t>abril</t>
        </is>
      </c>
      <c r="M2176">
        <f>IF($A2176="","",TEXT($A2176,"mmmm/yyyy"))</f>
        <v/>
      </c>
      <c r="P2176">
        <f>IFERROR(_xludf.XLOOKUP($N2176,Base_Enderecos!$A:$A,Base_Enderecos!$B:$B,""),"")</f>
        <v/>
      </c>
      <c r="Q2176">
        <f>IFERROR(_xludf.XLOOKUP($N2176,Base_Enderecos!$A:$A,Base_Enderecos!$C:$C,""),"")</f>
        <v/>
      </c>
      <c r="R2176">
        <f>IF(OR(ISNUMBER(SEARCH("HDD",$F2176)),ISNUMBER(SEARCH("MND",$F2176)),ISNUMBER(SEARCH("PEAD",$F2176)),ISNUMBER(SEARCH("Puxe",$J2176)),ISNUMBER(SEARCH("Apoio HDD",$F2176))),"MND",IF(OR(ISNUMBER(SEARCH("VCA",$F2176)),ISNUMBER(SEARCH("PVC",$F2176)),ISNUMBER(SEARCH("vca",$J2176)),ISNUMBER(SEARCH("Transformação",$J2176))),"VCA",IF(OR(ISNUMBER(SEARCH("crava",$F2176)),ISNUMBER(SEARCH("tubo cravado",$F2176)),ISNUMBER(SEARCH("shaft",$J2176)),ISNUMBER(SEARCH("concreto",$F2176))),"TUBO CRAVADO","")))</f>
        <v/>
      </c>
      <c r="T2176">
        <f>IF($A2176="","",TEXT($A2176,"yyyymm")&amp;"|"&amp;$C2176&amp;"|"&amp;$F2176&amp;"|"&amp;$N2176&amp;"|"&amp;$R2176)</f>
        <v/>
      </c>
    </row>
    <row r="2177">
      <c r="A2177" s="31" t="n">
        <v>46147</v>
      </c>
      <c r="B2177" s="8" t="inlineStr">
        <is>
          <t>Terça</t>
        </is>
      </c>
      <c r="C2177" s="33" t="inlineStr">
        <is>
          <t>RCE SÃO LUCAS</t>
        </is>
      </c>
      <c r="D2177" s="33" t="inlineStr">
        <is>
          <t>FÁBIO</t>
        </is>
      </c>
      <c r="E2177" s="27" t="inlineStr">
        <is>
          <t>Medeiros</t>
        </is>
      </c>
      <c r="F2177" s="34" t="inlineStr">
        <is>
          <t>VCA, PVs e Ligações</t>
        </is>
      </c>
      <c r="G2177" s="27" t="n"/>
      <c r="H2177" s="27" t="n"/>
      <c r="I2177" s="27" t="n"/>
      <c r="J2177" s="27" t="inlineStr">
        <is>
          <t>VCA</t>
        </is>
      </c>
      <c r="K2177" s="27" t="inlineStr">
        <is>
          <t>Planejamento</t>
        </is>
      </c>
      <c r="L2177" s="17" t="inlineStr">
        <is>
          <t>abril</t>
        </is>
      </c>
      <c r="M2177">
        <f>IF($A2177="","",TEXT($A2177,"mmmm/yyyy"))</f>
        <v/>
      </c>
      <c r="P2177">
        <f>IFERROR(_xludf.XLOOKUP($N2177,Base_Enderecos!$A:$A,Base_Enderecos!$B:$B,""),"")</f>
        <v/>
      </c>
      <c r="Q2177">
        <f>IFERROR(_xludf.XLOOKUP($N2177,Base_Enderecos!$A:$A,Base_Enderecos!$C:$C,""),"")</f>
        <v/>
      </c>
      <c r="R2177">
        <f>IF(OR(ISNUMBER(SEARCH("HDD",$F2177)),ISNUMBER(SEARCH("MND",$F2177)),ISNUMBER(SEARCH("PEAD",$F2177)),ISNUMBER(SEARCH("Puxe",$J2177)),ISNUMBER(SEARCH("Apoio HDD",$F2177))),"MND",IF(OR(ISNUMBER(SEARCH("VCA",$F2177)),ISNUMBER(SEARCH("PVC",$F2177)),ISNUMBER(SEARCH("vca",$J2177)),ISNUMBER(SEARCH("Transformação",$J2177))),"VCA",IF(OR(ISNUMBER(SEARCH("crava",$F2177)),ISNUMBER(SEARCH("tubo cravado",$F2177)),ISNUMBER(SEARCH("shaft",$J2177)),ISNUMBER(SEARCH("concreto",$F2177))),"TUBO CRAVADO","")))</f>
        <v/>
      </c>
      <c r="T2177">
        <f>IF($A2177="","",TEXT($A2177,"yyyymm")&amp;"|"&amp;$C2177&amp;"|"&amp;$F2177&amp;"|"&amp;$N2177&amp;"|"&amp;$R2177)</f>
        <v/>
      </c>
    </row>
    <row r="2178">
      <c r="A2178" s="31" t="n">
        <v>46147</v>
      </c>
      <c r="B2178" s="8" t="inlineStr">
        <is>
          <t>Terça</t>
        </is>
      </c>
      <c r="C2178" s="33" t="inlineStr">
        <is>
          <t>RCE SÃO LUCAS</t>
        </is>
      </c>
      <c r="D2178" s="33" t="inlineStr">
        <is>
          <t>FÁBIO</t>
        </is>
      </c>
      <c r="E2178" s="27" t="inlineStr">
        <is>
          <t>Ricardo</t>
        </is>
      </c>
      <c r="F2178" s="34" t="inlineStr">
        <is>
          <t>VCA, PVs e Ligações</t>
        </is>
      </c>
      <c r="G2178" s="27" t="n"/>
      <c r="H2178" s="27" t="n"/>
      <c r="I2178" s="27" t="n"/>
      <c r="J2178" s="27" t="inlineStr">
        <is>
          <t>VCA</t>
        </is>
      </c>
      <c r="K2178" s="27" t="inlineStr">
        <is>
          <t>Planejamento</t>
        </is>
      </c>
      <c r="L2178" s="17" t="inlineStr">
        <is>
          <t>abril</t>
        </is>
      </c>
      <c r="M2178">
        <f>IF($A2178="","",TEXT($A2178,"mmmm/yyyy"))</f>
        <v/>
      </c>
      <c r="P2178">
        <f>IFERROR(_xludf.XLOOKUP($N2178,Base_Enderecos!$A:$A,Base_Enderecos!$B:$B,""),"")</f>
        <v/>
      </c>
      <c r="Q2178">
        <f>IFERROR(_xludf.XLOOKUP($N2178,Base_Enderecos!$A:$A,Base_Enderecos!$C:$C,""),"")</f>
        <v/>
      </c>
      <c r="R2178">
        <f>IF(OR(ISNUMBER(SEARCH("HDD",$F2178)),ISNUMBER(SEARCH("MND",$F2178)),ISNUMBER(SEARCH("PEAD",$F2178)),ISNUMBER(SEARCH("Puxe",$J2178)),ISNUMBER(SEARCH("Apoio HDD",$F2178))),"MND",IF(OR(ISNUMBER(SEARCH("VCA",$F2178)),ISNUMBER(SEARCH("PVC",$F2178)),ISNUMBER(SEARCH("vca",$J2178)),ISNUMBER(SEARCH("Transformação",$J2178))),"VCA",IF(OR(ISNUMBER(SEARCH("crava",$F2178)),ISNUMBER(SEARCH("tubo cravado",$F2178)),ISNUMBER(SEARCH("shaft",$J2178)),ISNUMBER(SEARCH("concreto",$F2178))),"TUBO CRAVADO","")))</f>
        <v/>
      </c>
      <c r="T2178">
        <f>IF($A2178="","",TEXT($A2178,"yyyymm")&amp;"|"&amp;$C2178&amp;"|"&amp;$F2178&amp;"|"&amp;$N2178&amp;"|"&amp;$R2178)</f>
        <v/>
      </c>
    </row>
    <row r="2179">
      <c r="A2179" s="31" t="n">
        <v>46147</v>
      </c>
      <c r="B2179" s="8" t="inlineStr">
        <is>
          <t>Terça</t>
        </is>
      </c>
      <c r="C2179" s="33" t="inlineStr">
        <is>
          <t>RCE SÃO LUCAS</t>
        </is>
      </c>
      <c r="D2179" s="33" t="inlineStr">
        <is>
          <t>FÁBIO</t>
        </is>
      </c>
      <c r="E2179" s="27" t="inlineStr">
        <is>
          <t>Claudinei</t>
        </is>
      </c>
      <c r="F2179" s="34" t="inlineStr">
        <is>
          <t>VCA, PVs e Ligações</t>
        </is>
      </c>
      <c r="G2179" s="27" t="n"/>
      <c r="H2179" s="27" t="n"/>
      <c r="I2179" s="27" t="n"/>
      <c r="J2179" s="27" t="inlineStr">
        <is>
          <t>VCA</t>
        </is>
      </c>
      <c r="K2179" s="27" t="inlineStr">
        <is>
          <t>Planejamento</t>
        </is>
      </c>
      <c r="L2179" s="17" t="inlineStr">
        <is>
          <t>abril</t>
        </is>
      </c>
      <c r="M2179">
        <f>IF($A2179="","",TEXT($A2179,"mmmm/yyyy"))</f>
        <v/>
      </c>
      <c r="P2179">
        <f>IFERROR(_xludf.XLOOKUP($N2179,Base_Enderecos!$A:$A,Base_Enderecos!$B:$B,""),"")</f>
        <v/>
      </c>
      <c r="Q2179">
        <f>IFERROR(_xludf.XLOOKUP($N2179,Base_Enderecos!$A:$A,Base_Enderecos!$C:$C,""),"")</f>
        <v/>
      </c>
      <c r="R2179">
        <f>IF(OR(ISNUMBER(SEARCH("HDD",$F2179)),ISNUMBER(SEARCH("MND",$F2179)),ISNUMBER(SEARCH("PEAD",$F2179)),ISNUMBER(SEARCH("Puxe",$J2179)),ISNUMBER(SEARCH("Apoio HDD",$F2179))),"MND",IF(OR(ISNUMBER(SEARCH("VCA",$F2179)),ISNUMBER(SEARCH("PVC",$F2179)),ISNUMBER(SEARCH("vca",$J2179)),ISNUMBER(SEARCH("Transformação",$J2179))),"VCA",IF(OR(ISNUMBER(SEARCH("crava",$F2179)),ISNUMBER(SEARCH("tubo cravado",$F2179)),ISNUMBER(SEARCH("shaft",$J2179)),ISNUMBER(SEARCH("concreto",$F2179))),"TUBO CRAVADO","")))</f>
        <v/>
      </c>
      <c r="T2179">
        <f>IF($A2179="","",TEXT($A2179,"yyyymm")&amp;"|"&amp;$C2179&amp;"|"&amp;$F2179&amp;"|"&amp;$N2179&amp;"|"&amp;$R2179)</f>
        <v/>
      </c>
    </row>
    <row r="2180">
      <c r="A2180" s="31" t="n">
        <v>46147</v>
      </c>
      <c r="B2180" s="8" t="inlineStr">
        <is>
          <t>Terça</t>
        </is>
      </c>
      <c r="C2180" s="33" t="inlineStr">
        <is>
          <t>RCE SÃO LUCAS</t>
        </is>
      </c>
      <c r="D2180" s="33" t="inlineStr">
        <is>
          <t>FÁBIO</t>
        </is>
      </c>
      <c r="E2180" s="27" t="inlineStr">
        <is>
          <t>Marcelo</t>
        </is>
      </c>
      <c r="F2180" s="34" t="inlineStr">
        <is>
          <t>VCA, PVs e Ligações</t>
        </is>
      </c>
      <c r="G2180" s="27" t="inlineStr">
        <is>
          <t>17</t>
        </is>
      </c>
      <c r="H2180" s="27" t="n"/>
      <c r="I2180" s="27" t="inlineStr">
        <is>
          <t>17</t>
        </is>
      </c>
      <c r="J2180" s="27" t="inlineStr">
        <is>
          <t>Shaft</t>
        </is>
      </c>
      <c r="K2180" s="27" t="inlineStr">
        <is>
          <t>Planejamento</t>
        </is>
      </c>
      <c r="L2180" s="17" t="inlineStr">
        <is>
          <t>abril</t>
        </is>
      </c>
      <c r="M2180">
        <f>IF($A2180="","",TEXT($A2180,"mmmm/yyyy"))</f>
        <v/>
      </c>
      <c r="P2180">
        <f>IFERROR(_xludf.XLOOKUP($N2180,Base_Enderecos!$A:$A,Base_Enderecos!$B:$B,""),"")</f>
        <v/>
      </c>
      <c r="Q2180">
        <f>IFERROR(_xludf.XLOOKUP($N2180,Base_Enderecos!$A:$A,Base_Enderecos!$C:$C,""),"")</f>
        <v/>
      </c>
      <c r="R2180">
        <f>IF(OR(ISNUMBER(SEARCH("HDD",$F2180)),ISNUMBER(SEARCH("MND",$F2180)),ISNUMBER(SEARCH("PEAD",$F2180)),ISNUMBER(SEARCH("Puxe",$J2180)),ISNUMBER(SEARCH("Apoio HDD",$F2180))),"MND",IF(OR(ISNUMBER(SEARCH("VCA",$F2180)),ISNUMBER(SEARCH("PVC",$F2180)),ISNUMBER(SEARCH("vca",$J2180)),ISNUMBER(SEARCH("Transformação",$J2180))),"VCA",IF(OR(ISNUMBER(SEARCH("crava",$F2180)),ISNUMBER(SEARCH("tubo cravado",$F2180)),ISNUMBER(SEARCH("shaft",$J2180)),ISNUMBER(SEARCH("concreto",$F2180))),"TUBO CRAVADO","")))</f>
        <v/>
      </c>
      <c r="T2180">
        <f>IF($A2180="","",TEXT($A2180,"yyyymm")&amp;"|"&amp;$C2180&amp;"|"&amp;$F2180&amp;"|"&amp;$N2180&amp;"|"&amp;$R2180)</f>
        <v/>
      </c>
    </row>
    <row r="2181">
      <c r="A2181" s="31" t="n">
        <v>46147</v>
      </c>
      <c r="B2181" s="8" t="inlineStr">
        <is>
          <t>Terça</t>
        </is>
      </c>
      <c r="C2181" s="33" t="inlineStr">
        <is>
          <t>RCE BARÃO DE ARARIBA</t>
        </is>
      </c>
      <c r="D2181" s="33" t="inlineStr">
        <is>
          <t>ELOÍZIO E VALMIR</t>
        </is>
      </c>
      <c r="E2181" s="27" t="inlineStr">
        <is>
          <t>Cesar</t>
        </is>
      </c>
      <c r="F2181" s="25" t="inlineStr">
        <is>
          <t>Shaft PV 10</t>
        </is>
      </c>
      <c r="G2181" s="27" t="n">
        <v>10</v>
      </c>
      <c r="H2181" s="27" t="n"/>
      <c r="I2181" s="27" t="n">
        <v>10</v>
      </c>
      <c r="J2181" s="27" t="inlineStr">
        <is>
          <t>Shaft</t>
        </is>
      </c>
      <c r="K2181" s="27" t="inlineStr">
        <is>
          <t>Planejamento</t>
        </is>
      </c>
      <c r="L2181" s="17" t="inlineStr">
        <is>
          <t>abril</t>
        </is>
      </c>
      <c r="M2181">
        <f>IF($A2181="","",TEXT($A2181,"mmmm/yyyy"))</f>
        <v/>
      </c>
      <c r="P2181">
        <f>IFERROR(_xludf.XLOOKUP($N2181,Base_Enderecos!$A:$A,Base_Enderecos!$B:$B,""),"")</f>
        <v/>
      </c>
      <c r="Q2181">
        <f>IFERROR(_xludf.XLOOKUP($N2181,Base_Enderecos!$A:$A,Base_Enderecos!$C:$C,""),"")</f>
        <v/>
      </c>
      <c r="R2181">
        <f>IF(OR(ISNUMBER(SEARCH("HDD",$F2181)),ISNUMBER(SEARCH("MND",$F2181)),ISNUMBER(SEARCH("PEAD",$F2181)),ISNUMBER(SEARCH("Puxe",$J2181)),ISNUMBER(SEARCH("Apoio HDD",$F2181))),"MND",IF(OR(ISNUMBER(SEARCH("VCA",$F2181)),ISNUMBER(SEARCH("PVC",$F2181)),ISNUMBER(SEARCH("vca",$J2181)),ISNUMBER(SEARCH("Transformação",$J2181))),"VCA",IF(OR(ISNUMBER(SEARCH("crava",$F2181)),ISNUMBER(SEARCH("tubo cravado",$F2181)),ISNUMBER(SEARCH("shaft",$J2181)),ISNUMBER(SEARCH("concreto",$F2181))),"TUBO CRAVADO","")))</f>
        <v/>
      </c>
      <c r="T2181">
        <f>IF($A2181="","",TEXT($A2181,"yyyymm")&amp;"|"&amp;$C2181&amp;"|"&amp;$F2181&amp;"|"&amp;$N2181&amp;"|"&amp;$R2181)</f>
        <v/>
      </c>
    </row>
    <row r="2182">
      <c r="A2182" s="31" t="n">
        <v>46147</v>
      </c>
      <c r="B2182" s="8" t="inlineStr">
        <is>
          <t>Terça</t>
        </is>
      </c>
      <c r="C2182" s="33" t="inlineStr">
        <is>
          <t>Vacal</t>
        </is>
      </c>
      <c r="D2182" s="33" t="n"/>
      <c r="E2182" s="27" t="inlineStr">
        <is>
          <t>Botelho Mourão – Henko</t>
        </is>
      </c>
      <c r="F2182" s="34" t="inlineStr">
        <is>
          <t>Apoio Vacal</t>
        </is>
      </c>
      <c r="G2182" s="27" t="n"/>
      <c r="H2182" s="27" t="n"/>
      <c r="I2182" s="27" t="n"/>
      <c r="J2182" s="27" t="inlineStr">
        <is>
          <t>Vacal</t>
        </is>
      </c>
      <c r="K2182" s="27" t="inlineStr">
        <is>
          <t>Apoio</t>
        </is>
      </c>
      <c r="L2182" s="17" t="inlineStr">
        <is>
          <t>abril</t>
        </is>
      </c>
      <c r="M2182">
        <f>IF($A2182="","",TEXT($A2182,"mmmm/yyyy"))</f>
        <v/>
      </c>
      <c r="P2182">
        <f>IFERROR(_xludf.XLOOKUP($N2182,Base_Enderecos!$A:$A,Base_Enderecos!$B:$B,""),"")</f>
        <v/>
      </c>
      <c r="Q2182">
        <f>IFERROR(_xludf.XLOOKUP($N2182,Base_Enderecos!$A:$A,Base_Enderecos!$C:$C,""),"")</f>
        <v/>
      </c>
      <c r="R2182">
        <f>IF(OR(ISNUMBER(SEARCH("HDD",$F2182)),ISNUMBER(SEARCH("MND",$F2182)),ISNUMBER(SEARCH("PEAD",$F2182)),ISNUMBER(SEARCH("Puxe",$J2182)),ISNUMBER(SEARCH("Apoio HDD",$F2182))),"MND",IF(OR(ISNUMBER(SEARCH("VCA",$F2182)),ISNUMBER(SEARCH("PVC",$F2182)),ISNUMBER(SEARCH("vca",$J2182)),ISNUMBER(SEARCH("Transformação",$J2182))),"VCA",IF(OR(ISNUMBER(SEARCH("crava",$F2182)),ISNUMBER(SEARCH("tubo cravado",$F2182)),ISNUMBER(SEARCH("shaft",$J2182)),ISNUMBER(SEARCH("concreto",$F2182))),"TUBO CRAVADO","")))</f>
        <v/>
      </c>
      <c r="T2182">
        <f>IF($A2182="","",TEXT($A2182,"yyyymm")&amp;"|"&amp;$C2182&amp;"|"&amp;$F2182&amp;"|"&amp;$N2182&amp;"|"&amp;$R2182)</f>
        <v/>
      </c>
    </row>
    <row r="2183">
      <c r="A2183" s="31" t="n">
        <v>46147</v>
      </c>
      <c r="B2183" s="8" t="inlineStr">
        <is>
          <t>Terça</t>
        </is>
      </c>
      <c r="C2183" s="33" t="inlineStr">
        <is>
          <t>Vacal</t>
        </is>
      </c>
      <c r="D2183" s="33" t="n"/>
      <c r="E2183" s="27" t="inlineStr">
        <is>
          <t>Botelho Mourão – Henko</t>
        </is>
      </c>
      <c r="F2183" s="34" t="inlineStr">
        <is>
          <t>Apoio Vacal</t>
        </is>
      </c>
      <c r="G2183" s="27" t="n"/>
      <c r="H2183" s="27" t="n"/>
      <c r="I2183" s="27" t="n"/>
      <c r="J2183" s="27" t="inlineStr">
        <is>
          <t>Vacal</t>
        </is>
      </c>
      <c r="K2183" s="27" t="inlineStr">
        <is>
          <t>Apoio</t>
        </is>
      </c>
      <c r="L2183" s="17" t="inlineStr">
        <is>
          <t>abril</t>
        </is>
      </c>
      <c r="M2183">
        <f>IF($A2183="","",TEXT($A2183,"mmmm/yyyy"))</f>
        <v/>
      </c>
      <c r="P2183">
        <f>IFERROR(_xludf.XLOOKUP($N2183,Base_Enderecos!$A:$A,Base_Enderecos!$B:$B,""),"")</f>
        <v/>
      </c>
      <c r="Q2183">
        <f>IFERROR(_xludf.XLOOKUP($N2183,Base_Enderecos!$A:$A,Base_Enderecos!$C:$C,""),"")</f>
        <v/>
      </c>
      <c r="R2183">
        <f>IF(OR(ISNUMBER(SEARCH("HDD",$F2183)),ISNUMBER(SEARCH("MND",$F2183)),ISNUMBER(SEARCH("PEAD",$F2183)),ISNUMBER(SEARCH("Puxe",$J2183)),ISNUMBER(SEARCH("Apoio HDD",$F2183))),"MND",IF(OR(ISNUMBER(SEARCH("VCA",$F2183)),ISNUMBER(SEARCH("PVC",$F2183)),ISNUMBER(SEARCH("vca",$J2183)),ISNUMBER(SEARCH("Transformação",$J2183))),"VCA",IF(OR(ISNUMBER(SEARCH("crava",$F2183)),ISNUMBER(SEARCH("tubo cravado",$F2183)),ISNUMBER(SEARCH("shaft",$J2183)),ISNUMBER(SEARCH("concreto",$F2183))),"TUBO CRAVADO","")))</f>
        <v/>
      </c>
      <c r="T2183">
        <f>IF($A2183="","",TEXT($A2183,"yyyymm")&amp;"|"&amp;$C2183&amp;"|"&amp;$F2183&amp;"|"&amp;$N2183&amp;"|"&amp;$R2183)</f>
        <v/>
      </c>
    </row>
    <row r="2184">
      <c r="A2184" s="31" t="n">
        <v>46147</v>
      </c>
      <c r="B2184" s="8" t="inlineStr">
        <is>
          <t>Terça</t>
        </is>
      </c>
      <c r="C2184" s="33" t="inlineStr">
        <is>
          <t>Vacal</t>
        </is>
      </c>
      <c r="D2184" s="33" t="n"/>
      <c r="E2184" s="27" t="inlineStr">
        <is>
          <t>Botelho Mourão – Hidrosol</t>
        </is>
      </c>
      <c r="F2184" s="34" t="inlineStr">
        <is>
          <t>Apoio Vacal</t>
        </is>
      </c>
      <c r="G2184" s="27" t="n"/>
      <c r="H2184" s="27" t="n"/>
      <c r="I2184" s="27" t="n"/>
      <c r="J2184" s="27" t="inlineStr">
        <is>
          <t>Vacal</t>
        </is>
      </c>
      <c r="K2184" s="27" t="inlineStr">
        <is>
          <t>Apoio</t>
        </is>
      </c>
      <c r="L2184" s="17" t="inlineStr">
        <is>
          <t>abril</t>
        </is>
      </c>
      <c r="M2184">
        <f>IF($A2184="","",TEXT($A2184,"mmmm/yyyy"))</f>
        <v/>
      </c>
      <c r="P2184">
        <f>IFERROR(_xludf.XLOOKUP($N2184,Base_Enderecos!$A:$A,Base_Enderecos!$B:$B,""),"")</f>
        <v/>
      </c>
      <c r="Q2184">
        <f>IFERROR(_xludf.XLOOKUP($N2184,Base_Enderecos!$A:$A,Base_Enderecos!$C:$C,""),"")</f>
        <v/>
      </c>
      <c r="R2184">
        <f>IF(OR(ISNUMBER(SEARCH("HDD",$F2184)),ISNUMBER(SEARCH("MND",$F2184)),ISNUMBER(SEARCH("PEAD",$F2184)),ISNUMBER(SEARCH("Puxe",$J2184)),ISNUMBER(SEARCH("Apoio HDD",$F2184))),"MND",IF(OR(ISNUMBER(SEARCH("VCA",$F2184)),ISNUMBER(SEARCH("PVC",$F2184)),ISNUMBER(SEARCH("vca",$J2184)),ISNUMBER(SEARCH("Transformação",$J2184))),"VCA",IF(OR(ISNUMBER(SEARCH("crava",$F2184)),ISNUMBER(SEARCH("tubo cravado",$F2184)),ISNUMBER(SEARCH("shaft",$J2184)),ISNUMBER(SEARCH("concreto",$F2184))),"TUBO CRAVADO","")))</f>
        <v/>
      </c>
      <c r="T2184">
        <f>IF($A2184="","",TEXT($A2184,"yyyymm")&amp;"|"&amp;$C2184&amp;"|"&amp;$F2184&amp;"|"&amp;$N2184&amp;"|"&amp;$R2184)</f>
        <v/>
      </c>
    </row>
    <row r="2185">
      <c r="A2185" s="31" t="n">
        <v>46147</v>
      </c>
      <c r="B2185" s="8" t="inlineStr">
        <is>
          <t>Terça</t>
        </is>
      </c>
      <c r="C2185" s="33" t="inlineStr">
        <is>
          <t>Vacal</t>
        </is>
      </c>
      <c r="D2185" s="33" t="n"/>
      <c r="E2185" s="24" t="inlineStr">
        <is>
          <t>Botelho Mourão – Renasce</t>
        </is>
      </c>
      <c r="F2185" s="34" t="inlineStr">
        <is>
          <t>Apoio Vacal</t>
        </is>
      </c>
      <c r="G2185" s="27" t="n"/>
      <c r="H2185" s="27" t="n"/>
      <c r="I2185" s="27" t="n"/>
      <c r="J2185" s="27" t="inlineStr">
        <is>
          <t>Vacal</t>
        </is>
      </c>
      <c r="K2185" s="27" t="inlineStr">
        <is>
          <t>Apoio</t>
        </is>
      </c>
      <c r="L2185" s="17" t="inlineStr">
        <is>
          <t>abril</t>
        </is>
      </c>
      <c r="M2185">
        <f>IF($A2185="","",TEXT($A2185,"mmmm/yyyy"))</f>
        <v/>
      </c>
      <c r="P2185">
        <f>IFERROR(_xludf.XLOOKUP($N2185,Base_Enderecos!$A:$A,Base_Enderecos!$B:$B,""),"")</f>
        <v/>
      </c>
      <c r="Q2185">
        <f>IFERROR(_xludf.XLOOKUP($N2185,Base_Enderecos!$A:$A,Base_Enderecos!$C:$C,""),"")</f>
        <v/>
      </c>
      <c r="R2185">
        <f>IF(OR(ISNUMBER(SEARCH("HDD",$F2185)),ISNUMBER(SEARCH("MND",$F2185)),ISNUMBER(SEARCH("PEAD",$F2185)),ISNUMBER(SEARCH("Puxe",$J2185)),ISNUMBER(SEARCH("Apoio HDD",$F2185))),"MND",IF(OR(ISNUMBER(SEARCH("VCA",$F2185)),ISNUMBER(SEARCH("PVC",$F2185)),ISNUMBER(SEARCH("vca",$J2185)),ISNUMBER(SEARCH("Transformação",$J2185))),"VCA",IF(OR(ISNUMBER(SEARCH("crava",$F2185)),ISNUMBER(SEARCH("tubo cravado",$F2185)),ISNUMBER(SEARCH("shaft",$J2185)),ISNUMBER(SEARCH("concreto",$F2185))),"TUBO CRAVADO","")))</f>
        <v/>
      </c>
      <c r="T2185">
        <f>IF($A2185="","",TEXT($A2185,"yyyymm")&amp;"|"&amp;$C2185&amp;"|"&amp;$F2185&amp;"|"&amp;$N2185&amp;"|"&amp;$R2185)</f>
        <v/>
      </c>
    </row>
    <row r="2186">
      <c r="A2186" s="31" t="n">
        <v>46147</v>
      </c>
      <c r="B2186" s="8" t="inlineStr">
        <is>
          <t>Terça</t>
        </is>
      </c>
      <c r="C2186" s="33" t="inlineStr">
        <is>
          <t>Guindauto</t>
        </is>
      </c>
      <c r="D2186" s="33" t="n"/>
      <c r="E2186" s="27" t="inlineStr">
        <is>
          <t>Marcio</t>
        </is>
      </c>
      <c r="F2186" s="34" t="inlineStr">
        <is>
          <t>Apoio as equipes</t>
        </is>
      </c>
      <c r="G2186" s="27" t="n"/>
      <c r="H2186" s="27" t="n"/>
      <c r="I2186" s="27" t="n"/>
      <c r="J2186" s="27" t="inlineStr">
        <is>
          <t>Apoio as equipes</t>
        </is>
      </c>
      <c r="K2186" s="27" t="inlineStr">
        <is>
          <t>Apoio</t>
        </is>
      </c>
      <c r="L2186" s="17" t="inlineStr">
        <is>
          <t>abril</t>
        </is>
      </c>
      <c r="M2186">
        <f>IF($A2186="","",TEXT($A2186,"mmmm/yyyy"))</f>
        <v/>
      </c>
      <c r="P2186">
        <f>IFERROR(_xludf.XLOOKUP($N2186,Base_Enderecos!$A:$A,Base_Enderecos!$B:$B,""),"")</f>
        <v/>
      </c>
      <c r="Q2186">
        <f>IFERROR(_xludf.XLOOKUP($N2186,Base_Enderecos!$A:$A,Base_Enderecos!$C:$C,""),"")</f>
        <v/>
      </c>
      <c r="R2186">
        <f>IF(OR(ISNUMBER(SEARCH("HDD",$F2186)),ISNUMBER(SEARCH("MND",$F2186)),ISNUMBER(SEARCH("PEAD",$F2186)),ISNUMBER(SEARCH("Puxe",$J2186)),ISNUMBER(SEARCH("Apoio HDD",$F2186))),"MND",IF(OR(ISNUMBER(SEARCH("VCA",$F2186)),ISNUMBER(SEARCH("PVC",$F2186)),ISNUMBER(SEARCH("vca",$J2186)),ISNUMBER(SEARCH("Transformação",$J2186))),"VCA",IF(OR(ISNUMBER(SEARCH("crava",$F2186)),ISNUMBER(SEARCH("tubo cravado",$F2186)),ISNUMBER(SEARCH("shaft",$J2186)),ISNUMBER(SEARCH("concreto",$F2186))),"TUBO CRAVADO","")))</f>
        <v/>
      </c>
      <c r="T2186">
        <f>IF($A2186="","",TEXT($A2186,"yyyymm")&amp;"|"&amp;$C2186&amp;"|"&amp;$F2186&amp;"|"&amp;$N2186&amp;"|"&amp;$R2186)</f>
        <v/>
      </c>
    </row>
    <row r="2187">
      <c r="A2187" s="31" t="n">
        <v>46147</v>
      </c>
      <c r="B2187" s="8" t="inlineStr">
        <is>
          <t>Terça</t>
        </is>
      </c>
      <c r="C2187" s="33" t="inlineStr">
        <is>
          <t>Guindauto</t>
        </is>
      </c>
      <c r="D2187" s="33" t="n"/>
      <c r="E2187" s="27" t="inlineStr">
        <is>
          <t>Luiz Carlos</t>
        </is>
      </c>
      <c r="F2187" s="34" t="inlineStr">
        <is>
          <t>Apoio as equipes</t>
        </is>
      </c>
      <c r="G2187" s="27" t="n"/>
      <c r="H2187" s="27" t="n"/>
      <c r="I2187" s="27" t="n"/>
      <c r="J2187" s="27" t="inlineStr">
        <is>
          <t>Apoio as equipes</t>
        </is>
      </c>
      <c r="K2187" s="27" t="inlineStr">
        <is>
          <t>Apoio</t>
        </is>
      </c>
      <c r="L2187" s="17" t="inlineStr">
        <is>
          <t>abril</t>
        </is>
      </c>
      <c r="M2187">
        <f>IF($A2187="","",TEXT($A2187,"mmmm/yyyy"))</f>
        <v/>
      </c>
      <c r="P2187">
        <f>IFERROR(_xludf.XLOOKUP($N2187,Base_Enderecos!$A:$A,Base_Enderecos!$B:$B,""),"")</f>
        <v/>
      </c>
      <c r="Q2187">
        <f>IFERROR(_xludf.XLOOKUP($N2187,Base_Enderecos!$A:$A,Base_Enderecos!$C:$C,""),"")</f>
        <v/>
      </c>
      <c r="R2187">
        <f>IF(OR(ISNUMBER(SEARCH("HDD",$F2187)),ISNUMBER(SEARCH("MND",$F2187)),ISNUMBER(SEARCH("PEAD",$F2187)),ISNUMBER(SEARCH("Puxe",$J2187)),ISNUMBER(SEARCH("Apoio HDD",$F2187))),"MND",IF(OR(ISNUMBER(SEARCH("VCA",$F2187)),ISNUMBER(SEARCH("PVC",$F2187)),ISNUMBER(SEARCH("vca",$J2187)),ISNUMBER(SEARCH("Transformação",$J2187))),"VCA",IF(OR(ISNUMBER(SEARCH("crava",$F2187)),ISNUMBER(SEARCH("tubo cravado",$F2187)),ISNUMBER(SEARCH("shaft",$J2187)),ISNUMBER(SEARCH("concreto",$F2187))),"TUBO CRAVADO","")))</f>
        <v/>
      </c>
      <c r="T2187">
        <f>IF($A2187="","",TEXT($A2187,"yyyymm")&amp;"|"&amp;$C2187&amp;"|"&amp;$F2187&amp;"|"&amp;$N2187&amp;"|"&amp;$R2187)</f>
        <v/>
      </c>
    </row>
    <row r="2188">
      <c r="A2188" s="36" t="n">
        <v>46113</v>
      </c>
      <c r="B2188" t="inlineStr">
        <is>
          <t>Quarta</t>
        </is>
      </c>
      <c r="C2188" t="inlineStr">
        <is>
          <t>CT Conceição</t>
        </is>
      </c>
      <c r="D2188" t="inlineStr">
        <is>
          <t>Leandro</t>
        </is>
      </c>
      <c r="E2188" t="inlineStr">
        <is>
          <t>Gr Drill</t>
        </is>
      </c>
      <c r="F2188" t="inlineStr">
        <is>
          <t>Piloto e puxe entre PV 09 ao 10.1</t>
        </is>
      </c>
      <c r="G2188" t="inlineStr">
        <is>
          <t>09</t>
        </is>
      </c>
      <c r="H2188" t="inlineStr">
        <is>
          <t>10.1</t>
        </is>
      </c>
      <c r="I2188" t="inlineStr">
        <is>
          <t>09 ao 10.1</t>
        </is>
      </c>
      <c r="J2188" t="inlineStr">
        <is>
          <t>HDD</t>
        </is>
      </c>
      <c r="K2188" t="inlineStr">
        <is>
          <t>Planejamento</t>
        </is>
      </c>
      <c r="L2188" t="inlineStr">
        <is>
          <t>PDS-Março.docx</t>
        </is>
      </c>
      <c r="M2188">
        <f>IF($A2283="","",TEXT($A2283,"mmmm/yyyy"))</f>
        <v/>
      </c>
      <c r="P2188">
        <f>IFERROR(XLOOKUP($N2283,Base_Enderecos!$A:$A,Base_Enderecos!$B:$B,""),"")</f>
        <v/>
      </c>
      <c r="Q2188">
        <f>IFERROR(XLOOKUP($N2283,Base_Enderecos!$A:$A,Base_Enderecos!$C:$C,""),"")</f>
        <v/>
      </c>
      <c r="R2188">
        <f>IF(ISNUMBER(SEARCH("HDD",$F2283)),"HDD",IF(ISNUMBER(SEARCH("VCA",$F2283)),"VCA","MND"))</f>
        <v/>
      </c>
      <c r="T2188">
        <f>TEXT($A2283,"yyyy-mm")&amp;"|"&amp;$C2283&amp;"|"&amp;$I2283</f>
        <v/>
      </c>
    </row>
    <row r="2189">
      <c r="A2189" s="36" t="n">
        <v>46113</v>
      </c>
      <c r="B2189" t="inlineStr">
        <is>
          <t>Quarta</t>
        </is>
      </c>
      <c r="C2189" t="inlineStr">
        <is>
          <t>CT Conceição</t>
        </is>
      </c>
      <c r="D2189" t="inlineStr">
        <is>
          <t>Leandro</t>
        </is>
      </c>
      <c r="E2189" t="inlineStr">
        <is>
          <t>Medeiros</t>
        </is>
      </c>
      <c r="F2189" t="inlineStr">
        <is>
          <t>Apoio HDD entre PV 09 ao 10.1</t>
        </is>
      </c>
      <c r="G2189" t="inlineStr">
        <is>
          <t>09</t>
        </is>
      </c>
      <c r="H2189" t="inlineStr">
        <is>
          <t>10.1</t>
        </is>
      </c>
      <c r="I2189" t="inlineStr">
        <is>
          <t>09 ao 10.1</t>
        </is>
      </c>
      <c r="J2189" t="inlineStr">
        <is>
          <t>HDD</t>
        </is>
      </c>
      <c r="K2189" t="inlineStr">
        <is>
          <t>Planejamento</t>
        </is>
      </c>
      <c r="L2189" t="inlineStr">
        <is>
          <t>PDS-Março.docx</t>
        </is>
      </c>
      <c r="M2189">
        <f>IF($A2284="","",TEXT($A2284,"mmmm/yyyy"))</f>
        <v/>
      </c>
      <c r="P2189">
        <f>IFERROR(XLOOKUP($N2284,Base_Enderecos!$A:$A,Base_Enderecos!$B:$B,""),"")</f>
        <v/>
      </c>
      <c r="Q2189">
        <f>IFERROR(XLOOKUP($N2284,Base_Enderecos!$A:$A,Base_Enderecos!$C:$C,""),"")</f>
        <v/>
      </c>
      <c r="R2189">
        <f>IF(ISNUMBER(SEARCH("HDD",$F2284)),"HDD",IF(ISNUMBER(SEARCH("VCA",$F2284)),"VCA","MND"))</f>
        <v/>
      </c>
      <c r="T2189">
        <f>TEXT($A2284,"yyyy-mm")&amp;"|"&amp;$C2284&amp;"|"&amp;$I2284</f>
        <v/>
      </c>
    </row>
    <row r="2190">
      <c r="A2190" s="36" t="n">
        <v>46113</v>
      </c>
      <c r="B2190" t="inlineStr">
        <is>
          <t>Quarta</t>
        </is>
      </c>
      <c r="C2190" t="inlineStr">
        <is>
          <t>CT Conceição</t>
        </is>
      </c>
      <c r="D2190" t="inlineStr">
        <is>
          <t>Leandro</t>
        </is>
      </c>
      <c r="E2190" t="inlineStr">
        <is>
          <t>Cesar</t>
        </is>
      </c>
      <c r="F2190" t="inlineStr">
        <is>
          <t>Transformação PV 08</t>
        </is>
      </c>
      <c r="G2190" t="inlineStr">
        <is>
          <t>08</t>
        </is>
      </c>
      <c r="I2190" t="inlineStr">
        <is>
          <t>08</t>
        </is>
      </c>
      <c r="J2190" t="inlineStr">
        <is>
          <t>Transformação</t>
        </is>
      </c>
      <c r="K2190" t="inlineStr">
        <is>
          <t>Planejamento</t>
        </is>
      </c>
      <c r="L2190" t="inlineStr">
        <is>
          <t>PDS-Março.docx</t>
        </is>
      </c>
      <c r="M2190">
        <f>IF($A2285="","",TEXT($A2285,"mmmm/yyyy"))</f>
        <v/>
      </c>
      <c r="P2190">
        <f>IFERROR(XLOOKUP($N2285,Base_Enderecos!$A:$A,Base_Enderecos!$B:$B,""),"")</f>
        <v/>
      </c>
      <c r="Q2190">
        <f>IFERROR(XLOOKUP($N2285,Base_Enderecos!$A:$A,Base_Enderecos!$C:$C,""),"")</f>
        <v/>
      </c>
      <c r="R2190">
        <f>IF(ISNUMBER(SEARCH("HDD",$F2285)),"HDD",IF(ISNUMBER(SEARCH("VCA",$F2285)),"VCA","MND"))</f>
        <v/>
      </c>
      <c r="T2190">
        <f>TEXT($A2285,"yyyy-mm")&amp;"|"&amp;$C2285&amp;"|"&amp;$I2285</f>
        <v/>
      </c>
    </row>
    <row r="2191">
      <c r="A2191" s="36" t="n">
        <v>46113</v>
      </c>
      <c r="B2191" t="inlineStr">
        <is>
          <t>Quarta</t>
        </is>
      </c>
      <c r="C2191" t="inlineStr">
        <is>
          <t>CT Água Vermelha M.d. E M.e</t>
        </is>
      </c>
      <c r="D2191" t="inlineStr">
        <is>
          <t>Fabio</t>
        </is>
      </c>
      <c r="E2191" t="inlineStr">
        <is>
          <t>Johnatan</t>
        </is>
      </c>
      <c r="F2191" t="inlineStr">
        <is>
          <t>Transformação PVD 07</t>
        </is>
      </c>
      <c r="J2191" t="inlineStr">
        <is>
          <t>Transformação</t>
        </is>
      </c>
      <c r="K2191" t="inlineStr">
        <is>
          <t>Planejamento</t>
        </is>
      </c>
      <c r="L2191" t="inlineStr">
        <is>
          <t>PDS-Março.docx</t>
        </is>
      </c>
      <c r="M2191">
        <f>IF($A2286="","",TEXT($A2286,"mmmm/yyyy"))</f>
        <v/>
      </c>
      <c r="P2191">
        <f>IFERROR(XLOOKUP($N2286,Base_Enderecos!$A:$A,Base_Enderecos!$B:$B,""),"")</f>
        <v/>
      </c>
      <c r="Q2191">
        <f>IFERROR(XLOOKUP($N2286,Base_Enderecos!$A:$A,Base_Enderecos!$C:$C,""),"")</f>
        <v/>
      </c>
      <c r="R2191">
        <f>IF(ISNUMBER(SEARCH("HDD",$F2286)),"HDD",IF(ISNUMBER(SEARCH("VCA",$F2286)),"VCA","MND"))</f>
        <v/>
      </c>
      <c r="T2191">
        <f>TEXT($A2286,"yyyy-mm")&amp;"|"&amp;$C2286&amp;"|"&amp;$I2286</f>
        <v/>
      </c>
    </row>
    <row r="2192">
      <c r="A2192" s="36" t="n">
        <v>46113</v>
      </c>
      <c r="B2192" t="inlineStr">
        <is>
          <t>Quarta</t>
        </is>
      </c>
      <c r="C2192" t="inlineStr">
        <is>
          <t>CT Água Vermelha M.d. E M.e</t>
        </is>
      </c>
      <c r="D2192" t="inlineStr">
        <is>
          <t>Fabio</t>
        </is>
      </c>
      <c r="E2192" t="inlineStr">
        <is>
          <t>Claudinei</t>
        </is>
      </c>
      <c r="F2192" t="inlineStr">
        <is>
          <t>Apoio casa (PVD 7)</t>
        </is>
      </c>
      <c r="J2192" t="inlineStr">
        <is>
          <t>Atividade</t>
        </is>
      </c>
      <c r="K2192" t="inlineStr">
        <is>
          <t>Planejamento</t>
        </is>
      </c>
      <c r="L2192" t="inlineStr">
        <is>
          <t>PDS-Março.docx</t>
        </is>
      </c>
      <c r="M2192">
        <f>IF($A2287="","",TEXT($A2287,"mmmm/yyyy"))</f>
        <v/>
      </c>
      <c r="P2192">
        <f>IFERROR(XLOOKUP($N2287,Base_Enderecos!$A:$A,Base_Enderecos!$B:$B,""),"")</f>
        <v/>
      </c>
      <c r="Q2192">
        <f>IFERROR(XLOOKUP($N2287,Base_Enderecos!$A:$A,Base_Enderecos!$C:$C,""),"")</f>
        <v/>
      </c>
      <c r="R2192">
        <f>IF(ISNUMBER(SEARCH("HDD",$F2287)),"HDD",IF(ISNUMBER(SEARCH("VCA",$F2287)),"VCA","MND"))</f>
        <v/>
      </c>
      <c r="T2192">
        <f>TEXT($A2287,"yyyy-mm")&amp;"|"&amp;$C2287&amp;"|"&amp;$I2287</f>
        <v/>
      </c>
    </row>
    <row r="2193">
      <c r="A2193" s="36" t="n">
        <v>46113</v>
      </c>
      <c r="B2193" t="inlineStr">
        <is>
          <t>Quarta</t>
        </is>
      </c>
      <c r="C2193" t="inlineStr">
        <is>
          <t>CT Água Vermelha M.d. E M.e</t>
        </is>
      </c>
      <c r="D2193" t="inlineStr">
        <is>
          <t>Fabio</t>
        </is>
      </c>
      <c r="E2193" t="inlineStr">
        <is>
          <t>Marcelo</t>
        </is>
      </c>
      <c r="F2193" t="inlineStr">
        <is>
          <t>Transformação PVE 16</t>
        </is>
      </c>
      <c r="G2193" t="inlineStr">
        <is>
          <t>16</t>
        </is>
      </c>
      <c r="I2193" t="inlineStr">
        <is>
          <t>16</t>
        </is>
      </c>
      <c r="J2193" t="inlineStr">
        <is>
          <t>Transformação</t>
        </is>
      </c>
      <c r="K2193" t="inlineStr">
        <is>
          <t>Planejamento</t>
        </is>
      </c>
      <c r="L2193" t="inlineStr">
        <is>
          <t>PDS-Março.docx</t>
        </is>
      </c>
      <c r="M2193">
        <f>IF($A2288="","",TEXT($A2288,"mmmm/yyyy"))</f>
        <v/>
      </c>
      <c r="P2193">
        <f>IFERROR(XLOOKUP($N2288,Base_Enderecos!$A:$A,Base_Enderecos!$B:$B,""),"")</f>
        <v/>
      </c>
      <c r="Q2193">
        <f>IFERROR(XLOOKUP($N2288,Base_Enderecos!$A:$A,Base_Enderecos!$C:$C,""),"")</f>
        <v/>
      </c>
      <c r="R2193">
        <f>IF(ISNUMBER(SEARCH("HDD",$F2288)),"HDD",IF(ISNUMBER(SEARCH("VCA",$F2288)),"VCA","MND"))</f>
        <v/>
      </c>
      <c r="T2193">
        <f>TEXT($A2288,"yyyy-mm")&amp;"|"&amp;$C2288&amp;"|"&amp;$I2288</f>
        <v/>
      </c>
    </row>
    <row r="2194">
      <c r="A2194" s="36" t="n">
        <v>46113</v>
      </c>
      <c r="B2194" t="inlineStr">
        <is>
          <t>Quarta</t>
        </is>
      </c>
      <c r="C2194" t="inlineStr">
        <is>
          <t>CT Água Vermelha M.d. E M.e</t>
        </is>
      </c>
      <c r="D2194" t="inlineStr">
        <is>
          <t>Fabio</t>
        </is>
      </c>
      <c r="E2194" t="inlineStr">
        <is>
          <t>Edivando</t>
        </is>
      </c>
      <c r="F2194" t="inlineStr">
        <is>
          <t>Transformação PV.10.1</t>
        </is>
      </c>
      <c r="J2194" t="inlineStr">
        <is>
          <t>Transformação</t>
        </is>
      </c>
      <c r="K2194" t="inlineStr">
        <is>
          <t>Planejamento</t>
        </is>
      </c>
      <c r="L2194" t="inlineStr">
        <is>
          <t>PDS-Março.docx</t>
        </is>
      </c>
      <c r="M2194">
        <f>IF($A2289="","",TEXT($A2289,"mmmm/yyyy"))</f>
        <v/>
      </c>
      <c r="P2194">
        <f>IFERROR(XLOOKUP($N2289,Base_Enderecos!$A:$A,Base_Enderecos!$B:$B,""),"")</f>
        <v/>
      </c>
      <c r="Q2194">
        <f>IFERROR(XLOOKUP($N2289,Base_Enderecos!$A:$A,Base_Enderecos!$C:$C,""),"")</f>
        <v/>
      </c>
      <c r="R2194">
        <f>IF(ISNUMBER(SEARCH("HDD",$F2289)),"HDD",IF(ISNUMBER(SEARCH("VCA",$F2289)),"VCA","MND"))</f>
        <v/>
      </c>
      <c r="T2194">
        <f>TEXT($A2289,"yyyy-mm")&amp;"|"&amp;$C2289&amp;"|"&amp;$I2289</f>
        <v/>
      </c>
    </row>
    <row r="2195">
      <c r="A2195" s="36" t="n">
        <v>46113</v>
      </c>
      <c r="B2195" t="inlineStr">
        <is>
          <t>Quarta</t>
        </is>
      </c>
      <c r="C2195" t="inlineStr">
        <is>
          <t>CT Água Vermelha M.d. E M.e</t>
        </is>
      </c>
      <c r="D2195" t="inlineStr">
        <is>
          <t>Fabio</t>
        </is>
      </c>
      <c r="E2195" t="inlineStr">
        <is>
          <t>Edivando</t>
        </is>
      </c>
      <c r="F2195" t="inlineStr">
        <is>
          <t>Int. ÁGUA BOA – VALMIR</t>
        </is>
      </c>
      <c r="J2195" t="inlineStr">
        <is>
          <t>Atividade</t>
        </is>
      </c>
      <c r="K2195" t="inlineStr">
        <is>
          <t>Planejamento</t>
        </is>
      </c>
      <c r="L2195" t="inlineStr">
        <is>
          <t>PDS-Março.docx</t>
        </is>
      </c>
      <c r="M2195">
        <f>IF($A2290="","",TEXT($A2290,"mmmm/yyyy"))</f>
        <v/>
      </c>
      <c r="P2195">
        <f>IFERROR(XLOOKUP($N2290,Base_Enderecos!$A:$A,Base_Enderecos!$B:$B,""),"")</f>
        <v/>
      </c>
      <c r="Q2195">
        <f>IFERROR(XLOOKUP($N2290,Base_Enderecos!$A:$A,Base_Enderecos!$C:$C,""),"")</f>
        <v/>
      </c>
      <c r="R2195">
        <f>IF(ISNUMBER(SEARCH("HDD",$F2290)),"HDD",IF(ISNUMBER(SEARCH("VCA",$F2290)),"VCA","MND"))</f>
        <v/>
      </c>
      <c r="T2195">
        <f>TEXT($A2290,"yyyy-mm")&amp;"|"&amp;$C2290&amp;"|"&amp;$I2290</f>
        <v/>
      </c>
    </row>
    <row r="2196">
      <c r="A2196" s="36" t="n">
        <v>46113</v>
      </c>
      <c r="B2196" t="inlineStr">
        <is>
          <t>Quarta</t>
        </is>
      </c>
      <c r="C2196" t="inlineStr">
        <is>
          <t>CT Água Vermelha M.d. E M.e</t>
        </is>
      </c>
      <c r="D2196" t="inlineStr">
        <is>
          <t>Fabio</t>
        </is>
      </c>
      <c r="E2196" t="inlineStr">
        <is>
          <t>Wj 02</t>
        </is>
      </c>
      <c r="F2196" t="inlineStr">
        <is>
          <t>Furo piloto e puxe PV 04 ao PV 03</t>
        </is>
      </c>
      <c r="G2196" t="inlineStr">
        <is>
          <t>04</t>
        </is>
      </c>
      <c r="H2196" t="inlineStr">
        <is>
          <t>03</t>
        </is>
      </c>
      <c r="I2196" t="inlineStr">
        <is>
          <t>04 ao 03</t>
        </is>
      </c>
      <c r="J2196" t="inlineStr">
        <is>
          <t>HDD</t>
        </is>
      </c>
      <c r="K2196" t="inlineStr">
        <is>
          <t>Planejamento</t>
        </is>
      </c>
      <c r="L2196" t="inlineStr">
        <is>
          <t>PDS-Março.docx</t>
        </is>
      </c>
      <c r="M2196">
        <f>IF($A2291="","",TEXT($A2291,"mmmm/yyyy"))</f>
        <v/>
      </c>
      <c r="P2196">
        <f>IFERROR(XLOOKUP($N2291,Base_Enderecos!$A:$A,Base_Enderecos!$B:$B,""),"")</f>
        <v/>
      </c>
      <c r="Q2196">
        <f>IFERROR(XLOOKUP($N2291,Base_Enderecos!$A:$A,Base_Enderecos!$C:$C,""),"")</f>
        <v/>
      </c>
      <c r="R2196">
        <f>IF(ISNUMBER(SEARCH("HDD",$F2291)),"HDD",IF(ISNUMBER(SEARCH("VCA",$F2291)),"VCA","MND"))</f>
        <v/>
      </c>
      <c r="T2196">
        <f>TEXT($A2291,"yyyy-mm")&amp;"|"&amp;$C2291&amp;"|"&amp;$I2291</f>
        <v/>
      </c>
    </row>
    <row r="2197">
      <c r="A2197" s="36" t="n">
        <v>46113</v>
      </c>
      <c r="B2197" t="inlineStr">
        <is>
          <t>Quarta</t>
        </is>
      </c>
      <c r="C2197" t="inlineStr">
        <is>
          <t>CT Água Vermelha M.d. E M.e</t>
        </is>
      </c>
      <c r="D2197" t="inlineStr">
        <is>
          <t>Fabio</t>
        </is>
      </c>
      <c r="E2197" t="inlineStr">
        <is>
          <t>Antônio</t>
        </is>
      </c>
      <c r="F2197" t="inlineStr">
        <is>
          <t>Apoio HDD PV 04 ao PV 03</t>
        </is>
      </c>
      <c r="G2197" t="inlineStr">
        <is>
          <t>04</t>
        </is>
      </c>
      <c r="H2197" t="inlineStr">
        <is>
          <t>03</t>
        </is>
      </c>
      <c r="I2197" t="inlineStr">
        <is>
          <t>04 ao 03</t>
        </is>
      </c>
      <c r="J2197" t="inlineStr">
        <is>
          <t>HDD</t>
        </is>
      </c>
      <c r="K2197" t="inlineStr">
        <is>
          <t>Planejamento</t>
        </is>
      </c>
      <c r="L2197" t="inlineStr">
        <is>
          <t>PDS-Março.docx</t>
        </is>
      </c>
      <c r="M2197">
        <f>IF($A2292="","",TEXT($A2292,"mmmm/yyyy"))</f>
        <v/>
      </c>
      <c r="P2197">
        <f>IFERROR(XLOOKUP($N2292,Base_Enderecos!$A:$A,Base_Enderecos!$B:$B,""),"")</f>
        <v/>
      </c>
      <c r="Q2197">
        <f>IFERROR(XLOOKUP($N2292,Base_Enderecos!$A:$A,Base_Enderecos!$C:$C,""),"")</f>
        <v/>
      </c>
      <c r="R2197">
        <f>IF(ISNUMBER(SEARCH("HDD",$F2292)),"HDD",IF(ISNUMBER(SEARCH("VCA",$F2292)),"VCA","MND"))</f>
        <v/>
      </c>
      <c r="T2197">
        <f>TEXT($A2292,"yyyy-mm")&amp;"|"&amp;$C2292&amp;"|"&amp;$I2292</f>
        <v/>
      </c>
    </row>
    <row r="2198">
      <c r="A2198" s="36" t="n">
        <v>46113</v>
      </c>
      <c r="B2198" t="inlineStr">
        <is>
          <t>Quarta</t>
        </is>
      </c>
      <c r="C2198" t="inlineStr">
        <is>
          <t>RCE Fco. Souto Maior</t>
        </is>
      </c>
      <c r="D2198" t="inlineStr">
        <is>
          <t>Silvestre</t>
        </is>
      </c>
      <c r="E2198" t="inlineStr">
        <is>
          <t>Valter</t>
        </is>
      </c>
      <c r="F2198" t="inlineStr">
        <is>
          <t>VCA e Ligações – Rua Canto da Serra</t>
        </is>
      </c>
      <c r="J2198" t="inlineStr">
        <is>
          <t>VCA</t>
        </is>
      </c>
      <c r="K2198" t="inlineStr">
        <is>
          <t>Planejamento</t>
        </is>
      </c>
      <c r="L2198" t="inlineStr">
        <is>
          <t>PDS-Março.docx</t>
        </is>
      </c>
      <c r="M2198">
        <f>IF($A2293="","",TEXT($A2293,"mmmm/yyyy"))</f>
        <v/>
      </c>
      <c r="P2198">
        <f>IFERROR(XLOOKUP($N2293,Base_Enderecos!$A:$A,Base_Enderecos!$B:$B,""),"")</f>
        <v/>
      </c>
      <c r="Q2198">
        <f>IFERROR(XLOOKUP($N2293,Base_Enderecos!$A:$A,Base_Enderecos!$C:$C,""),"")</f>
        <v/>
      </c>
      <c r="R2198">
        <f>IF(ISNUMBER(SEARCH("HDD",$F2293)),"HDD",IF(ISNUMBER(SEARCH("VCA",$F2293)),"VCA","MND"))</f>
        <v/>
      </c>
      <c r="T2198">
        <f>TEXT($A2293,"yyyy-mm")&amp;"|"&amp;$C2293&amp;"|"&amp;$I2293</f>
        <v/>
      </c>
    </row>
    <row r="2199">
      <c r="A2199" s="36" t="n">
        <v>46113</v>
      </c>
      <c r="B2199" t="inlineStr">
        <is>
          <t>Quarta</t>
        </is>
      </c>
      <c r="C2199" t="inlineStr">
        <is>
          <t>RCE Fco. Souto Maior</t>
        </is>
      </c>
      <c r="D2199" t="inlineStr">
        <is>
          <t>Silvestre</t>
        </is>
      </c>
      <c r="E2199" t="inlineStr">
        <is>
          <t>Ricardo</t>
        </is>
      </c>
      <c r="F2199" t="inlineStr">
        <is>
          <t>VCA e Ligações – Rua Canto da Serra</t>
        </is>
      </c>
      <c r="J2199" t="inlineStr">
        <is>
          <t>VCA</t>
        </is>
      </c>
      <c r="K2199" t="inlineStr">
        <is>
          <t>Planejamento</t>
        </is>
      </c>
      <c r="L2199" t="inlineStr">
        <is>
          <t>PDS-Março.docx</t>
        </is>
      </c>
      <c r="M2199">
        <f>IF($A2294="","",TEXT($A2294,"mmmm/yyyy"))</f>
        <v/>
      </c>
      <c r="P2199">
        <f>IFERROR(XLOOKUP($N2294,Base_Enderecos!$A:$A,Base_Enderecos!$B:$B,""),"")</f>
        <v/>
      </c>
      <c r="Q2199">
        <f>IFERROR(XLOOKUP($N2294,Base_Enderecos!$A:$A,Base_Enderecos!$C:$C,""),"")</f>
        <v/>
      </c>
      <c r="R2199">
        <f>IF(ISNUMBER(SEARCH("HDD",$F2294)),"HDD",IF(ISNUMBER(SEARCH("VCA",$F2294)),"VCA","MND"))</f>
        <v/>
      </c>
      <c r="T2199">
        <f>TEXT($A2294,"yyyy-mm")&amp;"|"&amp;$C2294&amp;"|"&amp;$I2294</f>
        <v/>
      </c>
    </row>
    <row r="2200">
      <c r="A2200" s="36" t="n">
        <v>46113</v>
      </c>
      <c r="B2200" t="inlineStr">
        <is>
          <t>Quarta</t>
        </is>
      </c>
      <c r="C2200" t="inlineStr">
        <is>
          <t>CTS Luis Botelho Mourão</t>
        </is>
      </c>
      <c r="D2200" t="inlineStr">
        <is>
          <t>Robson</t>
        </is>
      </c>
      <c r="E2200" t="inlineStr">
        <is>
          <t>Goiania Drill</t>
        </is>
      </c>
      <c r="F2200" t="inlineStr">
        <is>
          <t>Piloto e puxe PV 04 ao PV 05</t>
        </is>
      </c>
      <c r="G2200" t="inlineStr">
        <is>
          <t>04</t>
        </is>
      </c>
      <c r="H2200" t="inlineStr">
        <is>
          <t>05</t>
        </is>
      </c>
      <c r="I2200" t="inlineStr">
        <is>
          <t>04 ao 05</t>
        </is>
      </c>
      <c r="J2200" t="inlineStr">
        <is>
          <t>HDD</t>
        </is>
      </c>
      <c r="K2200" t="inlineStr">
        <is>
          <t>Planejamento</t>
        </is>
      </c>
      <c r="L2200" t="inlineStr">
        <is>
          <t>PDS-Março.docx</t>
        </is>
      </c>
      <c r="M2200">
        <f>IF($A2295="","",TEXT($A2295,"mmmm/yyyy"))</f>
        <v/>
      </c>
      <c r="P2200">
        <f>IFERROR(XLOOKUP($N2295,Base_Enderecos!$A:$A,Base_Enderecos!$B:$B,""),"")</f>
        <v/>
      </c>
      <c r="Q2200">
        <f>IFERROR(XLOOKUP($N2295,Base_Enderecos!$A:$A,Base_Enderecos!$C:$C,""),"")</f>
        <v/>
      </c>
      <c r="R2200">
        <f>IF(ISNUMBER(SEARCH("HDD",$F2295)),"HDD",IF(ISNUMBER(SEARCH("VCA",$F2295)),"VCA","MND"))</f>
        <v/>
      </c>
      <c r="T2200">
        <f>TEXT($A2295,"yyyy-mm")&amp;"|"&amp;$C2295&amp;"|"&amp;$I2295</f>
        <v/>
      </c>
    </row>
    <row r="2201">
      <c r="A2201" s="36" t="n">
        <v>46113</v>
      </c>
      <c r="B2201" t="inlineStr">
        <is>
          <t>Quarta</t>
        </is>
      </c>
      <c r="C2201" t="inlineStr">
        <is>
          <t>CTS Luis Botelho Mourão</t>
        </is>
      </c>
      <c r="D2201" t="inlineStr">
        <is>
          <t>Robson</t>
        </is>
      </c>
      <c r="E2201" t="inlineStr">
        <is>
          <t>Bruno</t>
        </is>
      </c>
      <c r="F2201" t="inlineStr">
        <is>
          <t>Apoio HDD PV 04 ao PV 05</t>
        </is>
      </c>
      <c r="G2201" t="inlineStr">
        <is>
          <t>04</t>
        </is>
      </c>
      <c r="H2201" t="inlineStr">
        <is>
          <t>05</t>
        </is>
      </c>
      <c r="I2201" t="inlineStr">
        <is>
          <t>04 ao 05</t>
        </is>
      </c>
      <c r="J2201" t="inlineStr">
        <is>
          <t>HDD</t>
        </is>
      </c>
      <c r="K2201" t="inlineStr">
        <is>
          <t>Planejamento</t>
        </is>
      </c>
      <c r="L2201" t="inlineStr">
        <is>
          <t>PDS-Março.docx</t>
        </is>
      </c>
      <c r="M2201">
        <f>IF($A2296="","",TEXT($A2296,"mmmm/yyyy"))</f>
        <v/>
      </c>
      <c r="P2201">
        <f>IFERROR(XLOOKUP($N2296,Base_Enderecos!$A:$A,Base_Enderecos!$B:$B,""),"")</f>
        <v/>
      </c>
      <c r="Q2201">
        <f>IFERROR(XLOOKUP($N2296,Base_Enderecos!$A:$A,Base_Enderecos!$C:$C,""),"")</f>
        <v/>
      </c>
      <c r="R2201">
        <f>IF(ISNUMBER(SEARCH("HDD",$F2296)),"HDD",IF(ISNUMBER(SEARCH("VCA",$F2296)),"VCA","MND"))</f>
        <v/>
      </c>
      <c r="T2201">
        <f>TEXT($A2296,"yyyy-mm")&amp;"|"&amp;$C2296&amp;"|"&amp;$I2296</f>
        <v/>
      </c>
    </row>
    <row r="2202">
      <c r="A2202" s="36" t="n">
        <v>46113</v>
      </c>
      <c r="B2202" t="inlineStr">
        <is>
          <t>Quarta</t>
        </is>
      </c>
      <c r="C2202" t="inlineStr">
        <is>
          <t>CTS Luis Botelho Mourão</t>
        </is>
      </c>
      <c r="D2202" t="inlineStr">
        <is>
          <t>Robson</t>
        </is>
      </c>
      <c r="E2202" t="inlineStr">
        <is>
          <t>Marcio</t>
        </is>
      </c>
      <c r="F2202" t="inlineStr">
        <is>
          <t>Shaft PV 07</t>
        </is>
      </c>
      <c r="G2202" t="inlineStr">
        <is>
          <t>07</t>
        </is>
      </c>
      <c r="I2202" t="inlineStr">
        <is>
          <t>07</t>
        </is>
      </c>
      <c r="J2202" t="inlineStr">
        <is>
          <t>Shaft</t>
        </is>
      </c>
      <c r="K2202" t="inlineStr">
        <is>
          <t>Planejamento</t>
        </is>
      </c>
      <c r="L2202" t="inlineStr">
        <is>
          <t>PDS-Março.docx</t>
        </is>
      </c>
      <c r="M2202">
        <f>IF($A2297="","",TEXT($A2297,"mmmm/yyyy"))</f>
        <v/>
      </c>
      <c r="P2202">
        <f>IFERROR(XLOOKUP($N2297,Base_Enderecos!$A:$A,Base_Enderecos!$B:$B,""),"")</f>
        <v/>
      </c>
      <c r="Q2202">
        <f>IFERROR(XLOOKUP($N2297,Base_Enderecos!$A:$A,Base_Enderecos!$C:$C,""),"")</f>
        <v/>
      </c>
      <c r="R2202">
        <f>IF(ISNUMBER(SEARCH("HDD",$F2297)),"HDD",IF(ISNUMBER(SEARCH("VCA",$F2297)),"VCA","MND"))</f>
        <v/>
      </c>
      <c r="T2202">
        <f>TEXT($A2297,"yyyy-mm")&amp;"|"&amp;$C2297&amp;"|"&amp;$I2297</f>
        <v/>
      </c>
    </row>
    <row r="2203">
      <c r="A2203" s="36" t="n">
        <v>46113</v>
      </c>
      <c r="B2203" t="inlineStr">
        <is>
          <t>Quarta</t>
        </is>
      </c>
      <c r="C2203" t="inlineStr">
        <is>
          <t>CTS Luis Botelho Mourão</t>
        </is>
      </c>
      <c r="D2203" t="inlineStr">
        <is>
          <t>Robson</t>
        </is>
      </c>
      <c r="E2203" t="inlineStr">
        <is>
          <t>Cidão</t>
        </is>
      </c>
      <c r="F2203" t="inlineStr">
        <is>
          <t>Shaft PV 08</t>
        </is>
      </c>
      <c r="G2203" t="inlineStr">
        <is>
          <t>08</t>
        </is>
      </c>
      <c r="I2203" t="inlineStr">
        <is>
          <t>08</t>
        </is>
      </c>
      <c r="J2203" t="inlineStr">
        <is>
          <t>Shaft</t>
        </is>
      </c>
      <c r="K2203" t="inlineStr">
        <is>
          <t>Planejamento</t>
        </is>
      </c>
      <c r="L2203" t="inlineStr">
        <is>
          <t>PDS-Março.docx</t>
        </is>
      </c>
      <c r="M2203">
        <f>IF($A2298="","",TEXT($A2298,"mmmm/yyyy"))</f>
        <v/>
      </c>
      <c r="P2203">
        <f>IFERROR(XLOOKUP($N2298,Base_Enderecos!$A:$A,Base_Enderecos!$B:$B,""),"")</f>
        <v/>
      </c>
      <c r="Q2203">
        <f>IFERROR(XLOOKUP($N2298,Base_Enderecos!$A:$A,Base_Enderecos!$C:$C,""),"")</f>
        <v/>
      </c>
      <c r="R2203">
        <f>IF(ISNUMBER(SEARCH("HDD",$F2298)),"HDD",IF(ISNUMBER(SEARCH("VCA",$F2298)),"VCA","MND"))</f>
        <v/>
      </c>
      <c r="T2203">
        <f>TEXT($A2298,"yyyy-mm")&amp;"|"&amp;$C2298&amp;"|"&amp;$I2298</f>
        <v/>
      </c>
    </row>
    <row r="2204">
      <c r="A2204" s="36" t="n">
        <v>46113</v>
      </c>
      <c r="B2204" t="inlineStr">
        <is>
          <t>Quarta</t>
        </is>
      </c>
      <c r="C2204" t="inlineStr">
        <is>
          <t>CTS Luis Botelho Mourão</t>
        </is>
      </c>
      <c r="D2204" t="inlineStr">
        <is>
          <t>Robson</t>
        </is>
      </c>
      <c r="E2204" t="inlineStr">
        <is>
          <t>Higor</t>
        </is>
      </c>
      <c r="F2204" t="inlineStr">
        <is>
          <t>Shaft PV 03</t>
        </is>
      </c>
      <c r="G2204" t="inlineStr">
        <is>
          <t>03</t>
        </is>
      </c>
      <c r="I2204" t="inlineStr">
        <is>
          <t>03</t>
        </is>
      </c>
      <c r="J2204" t="inlineStr">
        <is>
          <t>Shaft</t>
        </is>
      </c>
      <c r="K2204" t="inlineStr">
        <is>
          <t>Planejamento</t>
        </is>
      </c>
      <c r="L2204" t="inlineStr">
        <is>
          <t>PDS-Março.docx</t>
        </is>
      </c>
      <c r="M2204">
        <f>IF($A2299="","",TEXT($A2299,"mmmm/yyyy"))</f>
        <v/>
      </c>
      <c r="P2204">
        <f>IFERROR(XLOOKUP($N2299,Base_Enderecos!$A:$A,Base_Enderecos!$B:$B,""),"")</f>
        <v/>
      </c>
      <c r="Q2204">
        <f>IFERROR(XLOOKUP($N2299,Base_Enderecos!$A:$A,Base_Enderecos!$C:$C,""),"")</f>
        <v/>
      </c>
      <c r="R2204">
        <f>IF(ISNUMBER(SEARCH("HDD",$F2299)),"HDD",IF(ISNUMBER(SEARCH("VCA",$F2299)),"VCA","MND"))</f>
        <v/>
      </c>
      <c r="T2204">
        <f>TEXT($A2299,"yyyy-mm")&amp;"|"&amp;$C2299&amp;"|"&amp;$I2299</f>
        <v/>
      </c>
    </row>
    <row r="2205">
      <c r="A2205" s="36" t="n">
        <v>46113</v>
      </c>
      <c r="B2205" t="inlineStr">
        <is>
          <t>Quarta</t>
        </is>
      </c>
      <c r="C2205" t="inlineStr">
        <is>
          <t>Conceição</t>
        </is>
      </c>
      <c r="E2205" t="inlineStr">
        <is>
          <t>Vacal</t>
        </is>
      </c>
      <c r="F2205" t="inlineStr">
        <is>
          <t>Conceição – Renasce</t>
        </is>
      </c>
      <c r="J2205" t="inlineStr">
        <is>
          <t>Atividade</t>
        </is>
      </c>
      <c r="K2205" t="inlineStr">
        <is>
          <t>Apoio</t>
        </is>
      </c>
      <c r="L2205" t="inlineStr">
        <is>
          <t>PDS-Março.docx</t>
        </is>
      </c>
      <c r="M2205">
        <f>IF($A2300="","",TEXT($A2300,"mmmm/yyyy"))</f>
        <v/>
      </c>
      <c r="P2205">
        <f>IFERROR(XLOOKUP($N2300,Base_Enderecos!$A:$A,Base_Enderecos!$B:$B,""),"")</f>
        <v/>
      </c>
      <c r="Q2205">
        <f>IFERROR(XLOOKUP($N2300,Base_Enderecos!$A:$A,Base_Enderecos!$C:$C,""),"")</f>
        <v/>
      </c>
      <c r="R2205">
        <f>IF(ISNUMBER(SEARCH("HDD",$F2300)),"HDD",IF(ISNUMBER(SEARCH("VCA",$F2300)),"VCA","MND"))</f>
        <v/>
      </c>
      <c r="T2205">
        <f>TEXT($A2300,"yyyy-mm")&amp;"|"&amp;$C2300&amp;"|"&amp;$I2300</f>
        <v/>
      </c>
    </row>
    <row r="2206">
      <c r="A2206" s="36" t="n">
        <v>46113</v>
      </c>
      <c r="B2206" t="inlineStr">
        <is>
          <t>Quarta</t>
        </is>
      </c>
      <c r="C2206" t="inlineStr">
        <is>
          <t>Água Vermelha</t>
        </is>
      </c>
      <c r="E2206" t="inlineStr">
        <is>
          <t>Vacal</t>
        </is>
      </c>
      <c r="F2206" t="inlineStr">
        <is>
          <t>Água Vermelha - Renasce</t>
        </is>
      </c>
      <c r="J2206" t="inlineStr">
        <is>
          <t>Atividade</t>
        </is>
      </c>
      <c r="K2206" t="inlineStr">
        <is>
          <t>Apoio</t>
        </is>
      </c>
      <c r="L2206" t="inlineStr">
        <is>
          <t>PDS-Março.docx</t>
        </is>
      </c>
      <c r="M2206">
        <f>IF($A2301="","",TEXT($A2301,"mmmm/yyyy"))</f>
        <v/>
      </c>
      <c r="P2206">
        <f>IFERROR(XLOOKUP($N2301,Base_Enderecos!$A:$A,Base_Enderecos!$B:$B,""),"")</f>
        <v/>
      </c>
      <c r="Q2206">
        <f>IFERROR(XLOOKUP($N2301,Base_Enderecos!$A:$A,Base_Enderecos!$C:$C,""),"")</f>
        <v/>
      </c>
      <c r="R2206">
        <f>IF(ISNUMBER(SEARCH("HDD",$F2301)),"HDD",IF(ISNUMBER(SEARCH("VCA",$F2301)),"VCA","MND"))</f>
        <v/>
      </c>
      <c r="T2206">
        <f>TEXT($A2301,"yyyy-mm")&amp;"|"&amp;$C2301&amp;"|"&amp;$I2301</f>
        <v/>
      </c>
    </row>
    <row r="2207">
      <c r="A2207" s="36" t="n">
        <v>46113</v>
      </c>
      <c r="B2207" t="inlineStr">
        <is>
          <t>Quarta</t>
        </is>
      </c>
      <c r="C2207" t="inlineStr">
        <is>
          <t>Botelho Mourão</t>
        </is>
      </c>
      <c r="E2207" t="inlineStr">
        <is>
          <t>Vacal</t>
        </is>
      </c>
      <c r="F2207" t="inlineStr">
        <is>
          <t>Botelho Mourão - Renasce</t>
        </is>
      </c>
      <c r="J2207" t="inlineStr">
        <is>
          <t>Atividade</t>
        </is>
      </c>
      <c r="K2207" t="inlineStr">
        <is>
          <t>Apoio</t>
        </is>
      </c>
      <c r="L2207" t="inlineStr">
        <is>
          <t>PDS-Março.docx</t>
        </is>
      </c>
      <c r="M2207">
        <f>IF($A2302="","",TEXT($A2302,"mmmm/yyyy"))</f>
        <v/>
      </c>
      <c r="P2207">
        <f>IFERROR(XLOOKUP($N2302,Base_Enderecos!$A:$A,Base_Enderecos!$B:$B,""),"")</f>
        <v/>
      </c>
      <c r="Q2207">
        <f>IFERROR(XLOOKUP($N2302,Base_Enderecos!$A:$A,Base_Enderecos!$C:$C,""),"")</f>
        <v/>
      </c>
      <c r="R2207">
        <f>IF(ISNUMBER(SEARCH("HDD",$F2302)),"HDD",IF(ISNUMBER(SEARCH("VCA",$F2302)),"VCA","MND"))</f>
        <v/>
      </c>
      <c r="T2207">
        <f>TEXT($A2302,"yyyy-mm")&amp;"|"&amp;$C2302&amp;"|"&amp;$I2302</f>
        <v/>
      </c>
    </row>
    <row r="2208">
      <c r="A2208" s="36" t="n">
        <v>46113</v>
      </c>
      <c r="B2208" t="inlineStr">
        <is>
          <t>Quarta</t>
        </is>
      </c>
      <c r="C2208" t="inlineStr">
        <is>
          <t>Água Boa</t>
        </is>
      </c>
      <c r="E2208" t="inlineStr">
        <is>
          <t>Vacal</t>
        </is>
      </c>
      <c r="F2208" t="inlineStr">
        <is>
          <t>Água Boa - BRD</t>
        </is>
      </c>
      <c r="J2208" t="inlineStr">
        <is>
          <t>Atividade</t>
        </is>
      </c>
      <c r="K2208" t="inlineStr">
        <is>
          <t>Apoio</t>
        </is>
      </c>
      <c r="L2208" t="inlineStr">
        <is>
          <t>PDS-Março.docx</t>
        </is>
      </c>
      <c r="M2208">
        <f>IF($A2303="","",TEXT($A2303,"mmmm/yyyy"))</f>
        <v/>
      </c>
      <c r="P2208">
        <f>IFERROR(XLOOKUP($N2303,Base_Enderecos!$A:$A,Base_Enderecos!$B:$B,""),"")</f>
        <v/>
      </c>
      <c r="Q2208">
        <f>IFERROR(XLOOKUP($N2303,Base_Enderecos!$A:$A,Base_Enderecos!$C:$C,""),"")</f>
        <v/>
      </c>
      <c r="R2208">
        <f>IF(ISNUMBER(SEARCH("HDD",$F2303)),"HDD",IF(ISNUMBER(SEARCH("VCA",$F2303)),"VCA","MND"))</f>
        <v/>
      </c>
      <c r="T2208">
        <f>TEXT($A2303,"yyyy-mm")&amp;"|"&amp;$C2303&amp;"|"&amp;$I2303</f>
        <v/>
      </c>
    </row>
    <row r="2209">
      <c r="A2209" s="36" t="n">
        <v>46113</v>
      </c>
      <c r="B2209" t="inlineStr">
        <is>
          <t>Quarta</t>
        </is>
      </c>
      <c r="C2209" t="inlineStr">
        <is>
          <t>Iti 15</t>
        </is>
      </c>
      <c r="E2209" t="inlineStr">
        <is>
          <t>Vacal</t>
        </is>
      </c>
      <c r="F2209" t="inlineStr">
        <is>
          <t>ITI 15 – Renasce</t>
        </is>
      </c>
      <c r="J2209" t="inlineStr">
        <is>
          <t>Atividade</t>
        </is>
      </c>
      <c r="K2209" t="inlineStr">
        <is>
          <t>Apoio</t>
        </is>
      </c>
      <c r="L2209" t="inlineStr">
        <is>
          <t>PDS-Março.docx</t>
        </is>
      </c>
      <c r="M2209">
        <f>IF($A2304="","",TEXT($A2304,"mmmm/yyyy"))</f>
        <v/>
      </c>
      <c r="P2209">
        <f>IFERROR(XLOOKUP($N2304,Base_Enderecos!$A:$A,Base_Enderecos!$B:$B,""),"")</f>
        <v/>
      </c>
      <c r="Q2209">
        <f>IFERROR(XLOOKUP($N2304,Base_Enderecos!$A:$A,Base_Enderecos!$C:$C,""),"")</f>
        <v/>
      </c>
      <c r="R2209">
        <f>IF(ISNUMBER(SEARCH("HDD",$F2304)),"HDD",IF(ISNUMBER(SEARCH("VCA",$F2304)),"VCA","MND"))</f>
        <v/>
      </c>
      <c r="T2209">
        <f>TEXT($A2304,"yyyy-mm")&amp;"|"&amp;$C2304&amp;"|"&amp;$I2304</f>
        <v/>
      </c>
    </row>
    <row r="2210">
      <c r="A2210" s="36" t="n">
        <v>46113</v>
      </c>
      <c r="B2210" t="inlineStr">
        <is>
          <t>Quarta</t>
        </is>
      </c>
      <c r="C2210" t="inlineStr">
        <is>
          <t>Guindauto</t>
        </is>
      </c>
      <c r="E2210" t="inlineStr">
        <is>
          <t>Guindauto</t>
        </is>
      </c>
      <c r="F2210" t="inlineStr">
        <is>
          <t>Rodrigo - Apoio as equipes</t>
        </is>
      </c>
      <c r="J2210" t="inlineStr">
        <is>
          <t>Atividade</t>
        </is>
      </c>
      <c r="K2210" t="inlineStr">
        <is>
          <t>Apoio</t>
        </is>
      </c>
      <c r="L2210" t="inlineStr">
        <is>
          <t>PDS-Março.docx</t>
        </is>
      </c>
      <c r="M2210">
        <f>IF($A2305="","",TEXT($A2305,"mmmm/yyyy"))</f>
        <v/>
      </c>
      <c r="P2210">
        <f>IFERROR(XLOOKUP($N2305,Base_Enderecos!$A:$A,Base_Enderecos!$B:$B,""),"")</f>
        <v/>
      </c>
      <c r="Q2210">
        <f>IFERROR(XLOOKUP($N2305,Base_Enderecos!$A:$A,Base_Enderecos!$C:$C,""),"")</f>
        <v/>
      </c>
      <c r="R2210">
        <f>IF(ISNUMBER(SEARCH("HDD",$F2305)),"HDD",IF(ISNUMBER(SEARCH("VCA",$F2305)),"VCA","MND"))</f>
        <v/>
      </c>
      <c r="T2210">
        <f>TEXT($A2305,"yyyy-mm")&amp;"|"&amp;$C2305&amp;"|"&amp;$I2305</f>
        <v/>
      </c>
    </row>
    <row r="2211">
      <c r="A2211" s="36" t="n">
        <v>46113</v>
      </c>
      <c r="B2211" t="inlineStr">
        <is>
          <t>Quarta</t>
        </is>
      </c>
      <c r="C2211" t="inlineStr">
        <is>
          <t>Guindauto</t>
        </is>
      </c>
      <c r="E2211" t="inlineStr">
        <is>
          <t>Guindauto</t>
        </is>
      </c>
      <c r="F2211" t="inlineStr">
        <is>
          <t>Marcio - Apoio as equipes</t>
        </is>
      </c>
      <c r="J2211" t="inlineStr">
        <is>
          <t>Atividade</t>
        </is>
      </c>
      <c r="K2211" t="inlineStr">
        <is>
          <t>Apoio</t>
        </is>
      </c>
      <c r="L2211" t="inlineStr">
        <is>
          <t>PDS-Março.docx</t>
        </is>
      </c>
      <c r="M2211">
        <f>IF($A2306="","",TEXT($A2306,"mmmm/yyyy"))</f>
        <v/>
      </c>
      <c r="P2211">
        <f>IFERROR(XLOOKUP($N2306,Base_Enderecos!$A:$A,Base_Enderecos!$B:$B,""),"")</f>
        <v/>
      </c>
      <c r="Q2211">
        <f>IFERROR(XLOOKUP($N2306,Base_Enderecos!$A:$A,Base_Enderecos!$C:$C,""),"")</f>
        <v/>
      </c>
      <c r="R2211">
        <f>IF(ISNUMBER(SEARCH("HDD",$F2306)),"HDD",IF(ISNUMBER(SEARCH("VCA",$F2306)),"VCA","MND"))</f>
        <v/>
      </c>
      <c r="T2211">
        <f>TEXT($A2306,"yyyy-mm")&amp;"|"&amp;$C2306&amp;"|"&amp;$I2306</f>
        <v/>
      </c>
    </row>
    <row r="2212">
      <c r="A2212" s="36" t="n">
        <v>46149</v>
      </c>
      <c r="B2212" t="inlineStr">
        <is>
          <t>Quinta</t>
        </is>
      </c>
      <c r="C2212" t="inlineStr">
        <is>
          <t>CT João Canzi</t>
        </is>
      </c>
      <c r="D2212" t="inlineStr">
        <is>
          <t>Leandro</t>
        </is>
      </c>
      <c r="E2212" t="inlineStr">
        <is>
          <t>Goiânia Drill</t>
        </is>
      </c>
      <c r="F2212" t="inlineStr">
        <is>
          <t>Furo piloto e puxe do PV-06 ao PV-08</t>
        </is>
      </c>
      <c r="G2212" t="inlineStr">
        <is>
          <t>06</t>
        </is>
      </c>
      <c r="H2212" t="inlineStr">
        <is>
          <t>08</t>
        </is>
      </c>
      <c r="I2212" t="inlineStr">
        <is>
          <t>06 ao 08</t>
        </is>
      </c>
      <c r="J2212" t="inlineStr">
        <is>
          <t>HDD</t>
        </is>
      </c>
      <c r="K2212" t="inlineStr">
        <is>
          <t>Planejamento</t>
        </is>
      </c>
      <c r="L2212" t="inlineStr">
        <is>
          <t>PDS-Abril.docx</t>
        </is>
      </c>
      <c r="M2212">
        <f>IF($A2234="","",TEXT($A2234,"mmmm/yyyy"))</f>
        <v/>
      </c>
      <c r="P2212">
        <f>IFERROR(XLOOKUP($N2234,Base_Enderecos!$A:$A,Base_Enderecos!$B:$B,""),"")</f>
        <v/>
      </c>
      <c r="Q2212">
        <f>IFERROR(XLOOKUP($N2234,Base_Enderecos!$A:$A,Base_Enderecos!$C:$C,""),"")</f>
        <v/>
      </c>
      <c r="R2212">
        <f>IF(ISNUMBER(SEARCH("HDD",$F2234)),"HDD",IF(ISNUMBER(SEARCH("VCA",$F2234)),"VCA","MND"))</f>
        <v/>
      </c>
      <c r="T2212">
        <f>TEXT($A2234,"yyyy-mm")&amp;"|"&amp;$C2234&amp;"|"&amp;$I2234</f>
        <v/>
      </c>
    </row>
    <row r="2213">
      <c r="A2213" s="36" t="n">
        <v>46149</v>
      </c>
      <c r="B2213" t="inlineStr">
        <is>
          <t>Quinta</t>
        </is>
      </c>
      <c r="C2213" t="inlineStr">
        <is>
          <t>CT João Canzi</t>
        </is>
      </c>
      <c r="D2213" t="inlineStr">
        <is>
          <t>Leandro</t>
        </is>
      </c>
      <c r="E2213" t="inlineStr">
        <is>
          <t>Bruno</t>
        </is>
      </c>
      <c r="F2213" t="inlineStr">
        <is>
          <t>Apoio ao HDD</t>
        </is>
      </c>
      <c r="J2213" t="inlineStr">
        <is>
          <t>HDD</t>
        </is>
      </c>
      <c r="K2213" t="inlineStr">
        <is>
          <t>Planejamento</t>
        </is>
      </c>
      <c r="L2213" t="inlineStr">
        <is>
          <t>PDS-Abril.docx</t>
        </is>
      </c>
      <c r="M2213">
        <f>IF($A2235="","",TEXT($A2235,"mmmm/yyyy"))</f>
        <v/>
      </c>
      <c r="P2213">
        <f>IFERROR(XLOOKUP($N2235,Base_Enderecos!$A:$A,Base_Enderecos!$B:$B,""),"")</f>
        <v/>
      </c>
      <c r="Q2213">
        <f>IFERROR(XLOOKUP($N2235,Base_Enderecos!$A:$A,Base_Enderecos!$C:$C,""),"")</f>
        <v/>
      </c>
      <c r="R2213">
        <f>IF(ISNUMBER(SEARCH("HDD",$F2235)),"HDD",IF(ISNUMBER(SEARCH("VCA",$F2235)),"VCA","MND"))</f>
        <v/>
      </c>
      <c r="T2213">
        <f>TEXT($A2235,"yyyy-mm")&amp;"|"&amp;$C2235&amp;"|"&amp;$I2235</f>
        <v/>
      </c>
    </row>
    <row r="2214">
      <c r="A2214" s="36" t="n">
        <v>46149</v>
      </c>
      <c r="B2214" t="inlineStr">
        <is>
          <t>Quinta</t>
        </is>
      </c>
      <c r="C2214" t="inlineStr">
        <is>
          <t>CT João Canzi</t>
        </is>
      </c>
      <c r="D2214" t="inlineStr">
        <is>
          <t>Leandro</t>
        </is>
      </c>
      <c r="E2214" t="inlineStr">
        <is>
          <t>Miro Go-02</t>
        </is>
      </c>
      <c r="F2214" t="inlineStr">
        <is>
          <t>Shaft PV 11</t>
        </is>
      </c>
      <c r="G2214" t="inlineStr">
        <is>
          <t>11</t>
        </is>
      </c>
      <c r="I2214" t="inlineStr">
        <is>
          <t>11</t>
        </is>
      </c>
      <c r="J2214" t="inlineStr">
        <is>
          <t>Shaft</t>
        </is>
      </c>
      <c r="K2214" t="inlineStr">
        <is>
          <t>Planejamento</t>
        </is>
      </c>
      <c r="L2214" t="inlineStr">
        <is>
          <t>PDS-Abril.docx</t>
        </is>
      </c>
      <c r="M2214">
        <f>IF($A2236="","",TEXT($A2236,"mmmm/yyyy"))</f>
        <v/>
      </c>
      <c r="P2214">
        <f>IFERROR(XLOOKUP($N2236,Base_Enderecos!$A:$A,Base_Enderecos!$B:$B,""),"")</f>
        <v/>
      </c>
      <c r="Q2214">
        <f>IFERROR(XLOOKUP($N2236,Base_Enderecos!$A:$A,Base_Enderecos!$C:$C,""),"")</f>
        <v/>
      </c>
      <c r="R2214">
        <f>IF(ISNUMBER(SEARCH("HDD",$F2236)),"HDD",IF(ISNUMBER(SEARCH("VCA",$F2236)),"VCA","MND"))</f>
        <v/>
      </c>
      <c r="T2214">
        <f>TEXT($A2236,"yyyy-mm")&amp;"|"&amp;$C2236&amp;"|"&amp;$I2236</f>
        <v/>
      </c>
    </row>
    <row r="2215">
      <c r="A2215" s="36" t="n">
        <v>46149</v>
      </c>
      <c r="B2215" t="inlineStr">
        <is>
          <t>Quinta</t>
        </is>
      </c>
      <c r="C2215" t="inlineStr">
        <is>
          <t>CT João Canzi</t>
        </is>
      </c>
      <c r="D2215" t="inlineStr">
        <is>
          <t>Leandro</t>
        </is>
      </c>
      <c r="E2215" t="inlineStr">
        <is>
          <t>Valter</t>
        </is>
      </c>
      <c r="F2215" t="inlineStr">
        <is>
          <t>Shaft PV 15</t>
        </is>
      </c>
      <c r="G2215" t="inlineStr">
        <is>
          <t>15</t>
        </is>
      </c>
      <c r="I2215" t="inlineStr">
        <is>
          <t>15</t>
        </is>
      </c>
      <c r="J2215" t="inlineStr">
        <is>
          <t>Shaft</t>
        </is>
      </c>
      <c r="K2215" t="inlineStr">
        <is>
          <t>Planejamento</t>
        </is>
      </c>
      <c r="L2215" t="inlineStr">
        <is>
          <t>PDS-Abril.docx</t>
        </is>
      </c>
      <c r="M2215">
        <f>IF($A2237="","",TEXT($A2237,"mmmm/yyyy"))</f>
        <v/>
      </c>
      <c r="P2215">
        <f>IFERROR(XLOOKUP($N2237,Base_Enderecos!$A:$A,Base_Enderecos!$B:$B,""),"")</f>
        <v/>
      </c>
      <c r="Q2215">
        <f>IFERROR(XLOOKUP($N2237,Base_Enderecos!$A:$A,Base_Enderecos!$C:$C,""),"")</f>
        <v/>
      </c>
      <c r="R2215">
        <f>IF(ISNUMBER(SEARCH("HDD",$F2237)),"HDD",IF(ISNUMBER(SEARCH("VCA",$F2237)),"VCA","MND"))</f>
        <v/>
      </c>
      <c r="T2215">
        <f>TEXT($A2237,"yyyy-mm")&amp;"|"&amp;$C2237&amp;"|"&amp;$I2237</f>
        <v/>
      </c>
    </row>
    <row r="2216">
      <c r="A2216" s="36" t="n">
        <v>46149</v>
      </c>
      <c r="B2216" t="inlineStr">
        <is>
          <t>Quinta</t>
        </is>
      </c>
      <c r="C2216" t="inlineStr">
        <is>
          <t>CT João Canzi</t>
        </is>
      </c>
      <c r="D2216" t="inlineStr">
        <is>
          <t>Leandro</t>
        </is>
      </c>
      <c r="E2216" t="inlineStr">
        <is>
          <t>Carlos</t>
        </is>
      </c>
      <c r="F2216" t="inlineStr">
        <is>
          <t>Shaft PV 16</t>
        </is>
      </c>
      <c r="G2216" t="inlineStr">
        <is>
          <t>16</t>
        </is>
      </c>
      <c r="I2216" t="inlineStr">
        <is>
          <t>16</t>
        </is>
      </c>
      <c r="J2216" t="inlineStr">
        <is>
          <t>Shaft</t>
        </is>
      </c>
      <c r="K2216" t="inlineStr">
        <is>
          <t>Planejamento</t>
        </is>
      </c>
      <c r="L2216" t="inlineStr">
        <is>
          <t>PDS-Abril.docx</t>
        </is>
      </c>
      <c r="M2216">
        <f>IF($A2238="","",TEXT($A2238,"mmmm/yyyy"))</f>
        <v/>
      </c>
      <c r="P2216">
        <f>IFERROR(XLOOKUP($N2238,Base_Enderecos!$A:$A,Base_Enderecos!$B:$B,""),"")</f>
        <v/>
      </c>
      <c r="Q2216">
        <f>IFERROR(XLOOKUP($N2238,Base_Enderecos!$A:$A,Base_Enderecos!$C:$C,""),"")</f>
        <v/>
      </c>
      <c r="R2216">
        <f>IF(ISNUMBER(SEARCH("HDD",$F2238)),"HDD",IF(ISNUMBER(SEARCH("VCA",$F2238)),"VCA","MND"))</f>
        <v/>
      </c>
      <c r="T2216">
        <f>TEXT($A2238,"yyyy-mm")&amp;"|"&amp;$C2238&amp;"|"&amp;$I2238</f>
        <v/>
      </c>
    </row>
    <row r="2217">
      <c r="A2217" s="36" t="n">
        <v>46149</v>
      </c>
      <c r="B2217" t="inlineStr">
        <is>
          <t>Quinta</t>
        </is>
      </c>
      <c r="C2217" t="inlineStr">
        <is>
          <t>CTS Mar De Coral</t>
        </is>
      </c>
      <c r="D2217" t="inlineStr">
        <is>
          <t>Valmir</t>
        </is>
      </c>
      <c r="E2217" t="inlineStr">
        <is>
          <t>Edvando</t>
        </is>
      </c>
      <c r="F2217" t="inlineStr">
        <is>
          <t>VCA e transformações de PVs entre PV 22.2 ao 22.4</t>
        </is>
      </c>
      <c r="G2217" t="inlineStr">
        <is>
          <t>22.2</t>
        </is>
      </c>
      <c r="H2217" t="inlineStr">
        <is>
          <t>22.4</t>
        </is>
      </c>
      <c r="I2217" t="inlineStr">
        <is>
          <t>22.2 ao 22.4</t>
        </is>
      </c>
      <c r="J2217" t="inlineStr">
        <is>
          <t>Transformação</t>
        </is>
      </c>
      <c r="K2217" t="inlineStr">
        <is>
          <t>Planejamento</t>
        </is>
      </c>
      <c r="L2217" t="inlineStr">
        <is>
          <t>PDS-Abril.docx</t>
        </is>
      </c>
      <c r="M2217">
        <f>IF($A2239="","",TEXT($A2239,"mmmm/yyyy"))</f>
        <v/>
      </c>
      <c r="P2217">
        <f>IFERROR(XLOOKUP($N2239,Base_Enderecos!$A:$A,Base_Enderecos!$B:$B,""),"")</f>
        <v/>
      </c>
      <c r="Q2217">
        <f>IFERROR(XLOOKUP($N2239,Base_Enderecos!$A:$A,Base_Enderecos!$C:$C,""),"")</f>
        <v/>
      </c>
      <c r="R2217">
        <f>IF(ISNUMBER(SEARCH("HDD",$F2239)),"HDD",IF(ISNUMBER(SEARCH("VCA",$F2239)),"VCA","MND"))</f>
        <v/>
      </c>
      <c r="T2217">
        <f>TEXT($A2239,"yyyy-mm")&amp;"|"&amp;$C2239&amp;"|"&amp;$I2239</f>
        <v/>
      </c>
    </row>
    <row r="2218">
      <c r="A2218" s="36" t="n">
        <v>46149</v>
      </c>
      <c r="B2218" t="inlineStr">
        <is>
          <t>Quinta</t>
        </is>
      </c>
      <c r="C2218" t="inlineStr">
        <is>
          <t>CTS Mar De Coral</t>
        </is>
      </c>
      <c r="D2218" t="inlineStr">
        <is>
          <t>Valmir</t>
        </is>
      </c>
      <c r="E2218" t="inlineStr">
        <is>
          <t>Cidão</t>
        </is>
      </c>
      <c r="F2218" t="inlineStr">
        <is>
          <t>Adequação VCA PVs 5.10 ao PV 5.11</t>
        </is>
      </c>
      <c r="G2218" t="inlineStr">
        <is>
          <t>5.10</t>
        </is>
      </c>
      <c r="H2218" t="inlineStr">
        <is>
          <t>5.11</t>
        </is>
      </c>
      <c r="I2218" t="inlineStr">
        <is>
          <t>5.10 ao 5.11</t>
        </is>
      </c>
      <c r="J2218" t="inlineStr">
        <is>
          <t>VCA</t>
        </is>
      </c>
      <c r="K2218" t="inlineStr">
        <is>
          <t>Planejamento</t>
        </is>
      </c>
      <c r="L2218" t="inlineStr">
        <is>
          <t>PDS-Abril.docx</t>
        </is>
      </c>
      <c r="M2218">
        <f>IF($A2240="","",TEXT($A2240,"mmmm/yyyy"))</f>
        <v/>
      </c>
      <c r="P2218">
        <f>IFERROR(XLOOKUP($N2240,Base_Enderecos!$A:$A,Base_Enderecos!$B:$B,""),"")</f>
        <v/>
      </c>
      <c r="Q2218">
        <f>IFERROR(XLOOKUP($N2240,Base_Enderecos!$A:$A,Base_Enderecos!$C:$C,""),"")</f>
        <v/>
      </c>
      <c r="R2218">
        <f>IF(ISNUMBER(SEARCH("HDD",$F2240)),"HDD",IF(ISNUMBER(SEARCH("VCA",$F2240)),"VCA","MND"))</f>
        <v/>
      </c>
      <c r="T2218">
        <f>TEXT($A2240,"yyyy-mm")&amp;"|"&amp;$C2240&amp;"|"&amp;$I2240</f>
        <v/>
      </c>
    </row>
    <row r="2219">
      <c r="A2219" s="36" t="n">
        <v>46149</v>
      </c>
      <c r="B2219" t="inlineStr">
        <is>
          <t>Quinta</t>
        </is>
      </c>
      <c r="C2219" t="inlineStr">
        <is>
          <t>CTS Luis Botelho Mourão</t>
        </is>
      </c>
      <c r="D2219" t="inlineStr">
        <is>
          <t>Robson</t>
        </is>
      </c>
      <c r="E2219" t="inlineStr">
        <is>
          <t>Higor</t>
        </is>
      </c>
      <c r="F2219" t="inlineStr">
        <is>
          <t>Reparo calçadas, guias e sarjetas</t>
        </is>
      </c>
      <c r="J2219" t="inlineStr">
        <is>
          <t>Atividade</t>
        </is>
      </c>
      <c r="K2219" t="inlineStr">
        <is>
          <t>Planejamento</t>
        </is>
      </c>
      <c r="L2219" t="inlineStr">
        <is>
          <t>PDS-Abril.docx</t>
        </is>
      </c>
      <c r="M2219">
        <f>IF($A2241="","",TEXT($A2241,"mmmm/yyyy"))</f>
        <v/>
      </c>
      <c r="P2219">
        <f>IFERROR(XLOOKUP($N2241,Base_Enderecos!$A:$A,Base_Enderecos!$B:$B,""),"")</f>
        <v/>
      </c>
      <c r="Q2219">
        <f>IFERROR(XLOOKUP($N2241,Base_Enderecos!$A:$A,Base_Enderecos!$C:$C,""),"")</f>
        <v/>
      </c>
      <c r="R2219">
        <f>IF(ISNUMBER(SEARCH("HDD",$F2241)),"HDD",IF(ISNUMBER(SEARCH("VCA",$F2241)),"VCA","MND"))</f>
        <v/>
      </c>
      <c r="T2219">
        <f>TEXT($A2241,"yyyy-mm")&amp;"|"&amp;$C2241&amp;"|"&amp;$I2241</f>
        <v/>
      </c>
    </row>
    <row r="2220">
      <c r="A2220" s="36" t="n">
        <v>46149</v>
      </c>
      <c r="B2220" t="inlineStr">
        <is>
          <t>Quinta</t>
        </is>
      </c>
      <c r="C2220" t="inlineStr">
        <is>
          <t>CTS Luis Botelho Mourão</t>
        </is>
      </c>
      <c r="D2220" t="inlineStr">
        <is>
          <t>Robson</t>
        </is>
      </c>
      <c r="E2220" t="inlineStr">
        <is>
          <t>Jhonatan</t>
        </is>
      </c>
      <c r="F2220" t="inlineStr">
        <is>
          <t>Acabamentos</t>
        </is>
      </c>
      <c r="J2220" t="inlineStr">
        <is>
          <t>Acabamento</t>
        </is>
      </c>
      <c r="K2220" t="inlineStr">
        <is>
          <t>Planejamento</t>
        </is>
      </c>
      <c r="L2220" t="inlineStr">
        <is>
          <t>PDS-Abril.docx</t>
        </is>
      </c>
      <c r="M2220">
        <f>IF($A2242="","",TEXT($A2242,"mmmm/yyyy"))</f>
        <v/>
      </c>
      <c r="P2220">
        <f>IFERROR(XLOOKUP($N2242,Base_Enderecos!$A:$A,Base_Enderecos!$B:$B,""),"")</f>
        <v/>
      </c>
      <c r="Q2220">
        <f>IFERROR(XLOOKUP($N2242,Base_Enderecos!$A:$A,Base_Enderecos!$C:$C,""),"")</f>
        <v/>
      </c>
      <c r="R2220">
        <f>IF(ISNUMBER(SEARCH("HDD",$F2242)),"HDD",IF(ISNUMBER(SEARCH("VCA",$F2242)),"VCA","MND"))</f>
        <v/>
      </c>
      <c r="T2220">
        <f>TEXT($A2242,"yyyy-mm")&amp;"|"&amp;$C2242&amp;"|"&amp;$I2242</f>
        <v/>
      </c>
    </row>
    <row r="2221">
      <c r="A2221" s="36" t="n">
        <v>46149</v>
      </c>
      <c r="B2221" t="inlineStr">
        <is>
          <t>Quinta</t>
        </is>
      </c>
      <c r="C2221" t="inlineStr">
        <is>
          <t>RCE São Lucas</t>
        </is>
      </c>
      <c r="D2221" t="inlineStr">
        <is>
          <t>Fábio</t>
        </is>
      </c>
      <c r="E2221" t="inlineStr">
        <is>
          <t>Antonio</t>
        </is>
      </c>
      <c r="F2221" t="inlineStr">
        <is>
          <t>VCA, PVs e Ligações</t>
        </is>
      </c>
      <c r="J2221" t="inlineStr">
        <is>
          <t>VCA</t>
        </is>
      </c>
      <c r="K2221" t="inlineStr">
        <is>
          <t>Planejamento</t>
        </is>
      </c>
      <c r="L2221" t="inlineStr">
        <is>
          <t>PDS-Abril.docx</t>
        </is>
      </c>
      <c r="M2221">
        <f>IF($A2243="","",TEXT($A2243,"mmmm/yyyy"))</f>
        <v/>
      </c>
      <c r="P2221">
        <f>IFERROR(XLOOKUP($N2243,Base_Enderecos!$A:$A,Base_Enderecos!$B:$B,""),"")</f>
        <v/>
      </c>
      <c r="Q2221">
        <f>IFERROR(XLOOKUP($N2243,Base_Enderecos!$A:$A,Base_Enderecos!$C:$C,""),"")</f>
        <v/>
      </c>
      <c r="R2221">
        <f>IF(ISNUMBER(SEARCH("HDD",$F2243)),"HDD",IF(ISNUMBER(SEARCH("VCA",$F2243)),"VCA","MND"))</f>
        <v/>
      </c>
      <c r="T2221">
        <f>TEXT($A2243,"yyyy-mm")&amp;"|"&amp;$C2243&amp;"|"&amp;$I2243</f>
        <v/>
      </c>
    </row>
    <row r="2222">
      <c r="A2222" s="36" t="n">
        <v>46149</v>
      </c>
      <c r="B2222" t="inlineStr">
        <is>
          <t>Quinta</t>
        </is>
      </c>
      <c r="C2222" t="inlineStr">
        <is>
          <t>RCE São Lucas</t>
        </is>
      </c>
      <c r="D2222" t="inlineStr">
        <is>
          <t>Fábio</t>
        </is>
      </c>
      <c r="E2222" t="inlineStr">
        <is>
          <t>Medeiros</t>
        </is>
      </c>
      <c r="F2222" t="inlineStr">
        <is>
          <t>VCA, PVs e Ligações</t>
        </is>
      </c>
      <c r="J2222" t="inlineStr">
        <is>
          <t>VCA</t>
        </is>
      </c>
      <c r="K2222" t="inlineStr">
        <is>
          <t>Planejamento</t>
        </is>
      </c>
      <c r="L2222" t="inlineStr">
        <is>
          <t>PDS-Abril.docx</t>
        </is>
      </c>
      <c r="M2222">
        <f>IF($A2244="","",TEXT($A2244,"mmmm/yyyy"))</f>
        <v/>
      </c>
      <c r="P2222">
        <f>IFERROR(XLOOKUP($N2244,Base_Enderecos!$A:$A,Base_Enderecos!$B:$B,""),"")</f>
        <v/>
      </c>
      <c r="Q2222">
        <f>IFERROR(XLOOKUP($N2244,Base_Enderecos!$A:$A,Base_Enderecos!$C:$C,""),"")</f>
        <v/>
      </c>
      <c r="R2222">
        <f>IF(ISNUMBER(SEARCH("HDD",$F2244)),"HDD",IF(ISNUMBER(SEARCH("VCA",$F2244)),"VCA","MND"))</f>
        <v/>
      </c>
      <c r="T2222">
        <f>TEXT($A2244,"yyyy-mm")&amp;"|"&amp;$C2244&amp;"|"&amp;$I2244</f>
        <v/>
      </c>
    </row>
    <row r="2223">
      <c r="A2223" s="36" t="n">
        <v>46149</v>
      </c>
      <c r="B2223" t="inlineStr">
        <is>
          <t>Quinta</t>
        </is>
      </c>
      <c r="C2223" t="inlineStr">
        <is>
          <t>RCE São Lucas</t>
        </is>
      </c>
      <c r="D2223" t="inlineStr">
        <is>
          <t>Fábio</t>
        </is>
      </c>
      <c r="E2223" t="inlineStr">
        <is>
          <t>Ricardo</t>
        </is>
      </c>
      <c r="F2223" t="inlineStr">
        <is>
          <t>VCA, PVs e Ligações</t>
        </is>
      </c>
      <c r="J2223" t="inlineStr">
        <is>
          <t>VCA</t>
        </is>
      </c>
      <c r="K2223" t="inlineStr">
        <is>
          <t>Planejamento</t>
        </is>
      </c>
      <c r="L2223" t="inlineStr">
        <is>
          <t>PDS-Abril.docx</t>
        </is>
      </c>
      <c r="M2223">
        <f>IF($A2245="","",TEXT($A2245,"mmmm/yyyy"))</f>
        <v/>
      </c>
      <c r="P2223">
        <f>IFERROR(XLOOKUP($N2245,Base_Enderecos!$A:$A,Base_Enderecos!$B:$B,""),"")</f>
        <v/>
      </c>
      <c r="Q2223">
        <f>IFERROR(XLOOKUP($N2245,Base_Enderecos!$A:$A,Base_Enderecos!$C:$C,""),"")</f>
        <v/>
      </c>
      <c r="R2223">
        <f>IF(ISNUMBER(SEARCH("HDD",$F2245)),"HDD",IF(ISNUMBER(SEARCH("VCA",$F2245)),"VCA","MND"))</f>
        <v/>
      </c>
      <c r="T2223">
        <f>TEXT($A2245,"yyyy-mm")&amp;"|"&amp;$C2245&amp;"|"&amp;$I2245</f>
        <v/>
      </c>
    </row>
    <row r="2224">
      <c r="A2224" s="36" t="n">
        <v>46149</v>
      </c>
      <c r="B2224" t="inlineStr">
        <is>
          <t>Quinta</t>
        </is>
      </c>
      <c r="C2224" t="inlineStr">
        <is>
          <t>RCE São Lucas</t>
        </is>
      </c>
      <c r="D2224" t="inlineStr">
        <is>
          <t>Fábio</t>
        </is>
      </c>
      <c r="E2224" t="inlineStr">
        <is>
          <t>Claudinei</t>
        </is>
      </c>
      <c r="F2224" t="inlineStr">
        <is>
          <t>VCA, PVs e Ligações</t>
        </is>
      </c>
      <c r="J2224" t="inlineStr">
        <is>
          <t>VCA</t>
        </is>
      </c>
      <c r="K2224" t="inlineStr">
        <is>
          <t>Planejamento</t>
        </is>
      </c>
      <c r="L2224" t="inlineStr">
        <is>
          <t>PDS-Abril.docx</t>
        </is>
      </c>
      <c r="M2224">
        <f>IF($A2246="","",TEXT($A2246,"mmmm/yyyy"))</f>
        <v/>
      </c>
      <c r="P2224">
        <f>IFERROR(XLOOKUP($N2246,Base_Enderecos!$A:$A,Base_Enderecos!$B:$B,""),"")</f>
        <v/>
      </c>
      <c r="Q2224">
        <f>IFERROR(XLOOKUP($N2246,Base_Enderecos!$A:$A,Base_Enderecos!$C:$C,""),"")</f>
        <v/>
      </c>
      <c r="R2224">
        <f>IF(ISNUMBER(SEARCH("HDD",$F2246)),"HDD",IF(ISNUMBER(SEARCH("VCA",$F2246)),"VCA","MND"))</f>
        <v/>
      </c>
      <c r="T2224">
        <f>TEXT($A2246,"yyyy-mm")&amp;"|"&amp;$C2246&amp;"|"&amp;$I2246</f>
        <v/>
      </c>
    </row>
    <row r="2225">
      <c r="A2225" s="36" t="n">
        <v>46149</v>
      </c>
      <c r="B2225" t="inlineStr">
        <is>
          <t>Quinta</t>
        </is>
      </c>
      <c r="C2225" t="inlineStr">
        <is>
          <t>RCE São Lucas</t>
        </is>
      </c>
      <c r="D2225" t="inlineStr">
        <is>
          <t>Fábio</t>
        </is>
      </c>
      <c r="E2225" t="inlineStr">
        <is>
          <t>Marcelo</t>
        </is>
      </c>
      <c r="F2225" t="inlineStr">
        <is>
          <t>VCA, PVs e Ligações</t>
        </is>
      </c>
      <c r="J2225" t="inlineStr">
        <is>
          <t>VCA</t>
        </is>
      </c>
      <c r="K2225" t="inlineStr">
        <is>
          <t>Planejamento</t>
        </is>
      </c>
      <c r="L2225" t="inlineStr">
        <is>
          <t>PDS-Abril.docx</t>
        </is>
      </c>
      <c r="M2225">
        <f>IF($A2247="","",TEXT($A2247,"mmmm/yyyy"))</f>
        <v/>
      </c>
      <c r="P2225">
        <f>IFERROR(XLOOKUP($N2247,Base_Enderecos!$A:$A,Base_Enderecos!$B:$B,""),"")</f>
        <v/>
      </c>
      <c r="Q2225">
        <f>IFERROR(XLOOKUP($N2247,Base_Enderecos!$A:$A,Base_Enderecos!$C:$C,""),"")</f>
        <v/>
      </c>
      <c r="R2225">
        <f>IF(ISNUMBER(SEARCH("HDD",$F2247)),"HDD",IF(ISNUMBER(SEARCH("VCA",$F2247)),"VCA","MND"))</f>
        <v/>
      </c>
      <c r="T2225">
        <f>TEXT($A2247,"yyyy-mm")&amp;"|"&amp;$C2247&amp;"|"&amp;$I2247</f>
        <v/>
      </c>
    </row>
    <row r="2226">
      <c r="A2226" s="36" t="n">
        <v>46149</v>
      </c>
      <c r="B2226" t="inlineStr">
        <is>
          <t>Quinta</t>
        </is>
      </c>
      <c r="C2226" t="inlineStr">
        <is>
          <t>CTS Conceicão</t>
        </is>
      </c>
      <c r="D2226" t="inlineStr">
        <is>
          <t>Valmir / Leandro</t>
        </is>
      </c>
      <c r="E2226" t="inlineStr">
        <is>
          <t>Cesar</t>
        </is>
      </c>
      <c r="F2226" t="inlineStr">
        <is>
          <t>Tubo de queda PVE</t>
        </is>
      </c>
      <c r="J2226" t="inlineStr">
        <is>
          <t>Tubo</t>
        </is>
      </c>
      <c r="K2226" t="inlineStr">
        <is>
          <t>Planejamento</t>
        </is>
      </c>
      <c r="L2226" t="inlineStr">
        <is>
          <t>PDS-Abril.docx</t>
        </is>
      </c>
      <c r="M2226">
        <f>IF($A2248="","",TEXT($A2248,"mmmm/yyyy"))</f>
        <v/>
      </c>
      <c r="P2226">
        <f>IFERROR(XLOOKUP($N2248,Base_Enderecos!$A:$A,Base_Enderecos!$B:$B,""),"")</f>
        <v/>
      </c>
      <c r="Q2226">
        <f>IFERROR(XLOOKUP($N2248,Base_Enderecos!$A:$A,Base_Enderecos!$C:$C,""),"")</f>
        <v/>
      </c>
      <c r="R2226">
        <f>IF(ISNUMBER(SEARCH("HDD",$F2248)),"HDD",IF(ISNUMBER(SEARCH("VCA",$F2248)),"VCA","MND"))</f>
        <v/>
      </c>
      <c r="T2226">
        <f>TEXT($A2248,"yyyy-mm")&amp;"|"&amp;$C2248&amp;"|"&amp;$I2248</f>
        <v/>
      </c>
    </row>
    <row r="2227">
      <c r="A2227" s="36" t="n">
        <v>46149</v>
      </c>
      <c r="B2227" t="inlineStr">
        <is>
          <t>Quinta</t>
        </is>
      </c>
      <c r="C2227" t="inlineStr">
        <is>
          <t>CTS Conceicão</t>
        </is>
      </c>
      <c r="D2227" t="inlineStr">
        <is>
          <t>Valmir / Leandro</t>
        </is>
      </c>
      <c r="E2227" t="inlineStr">
        <is>
          <t>Emanuel Go-01</t>
        </is>
      </c>
      <c r="F2227" t="inlineStr">
        <is>
          <t>Shaft PV 10.2.1</t>
        </is>
      </c>
      <c r="G2227" t="inlineStr">
        <is>
          <t>10.2.1</t>
        </is>
      </c>
      <c r="I2227" t="inlineStr">
        <is>
          <t>10.2.1</t>
        </is>
      </c>
      <c r="J2227" t="inlineStr">
        <is>
          <t>Shaft</t>
        </is>
      </c>
      <c r="K2227" t="inlineStr">
        <is>
          <t>Planejamento</t>
        </is>
      </c>
      <c r="L2227" t="inlineStr">
        <is>
          <t>PDS-Abril.docx</t>
        </is>
      </c>
      <c r="M2227">
        <f>IF($A2249="","",TEXT($A2249,"mmmm/yyyy"))</f>
        <v/>
      </c>
      <c r="P2227">
        <f>IFERROR(XLOOKUP($N2249,Base_Enderecos!$A:$A,Base_Enderecos!$B:$B,""),"")</f>
        <v/>
      </c>
      <c r="Q2227">
        <f>IFERROR(XLOOKUP($N2249,Base_Enderecos!$A:$A,Base_Enderecos!$C:$C,""),"")</f>
        <v/>
      </c>
      <c r="R2227">
        <f>IF(ISNUMBER(SEARCH("HDD",$F2249)),"HDD",IF(ISNUMBER(SEARCH("VCA",$F2249)),"VCA","MND"))</f>
        <v/>
      </c>
      <c r="T2227">
        <f>TEXT($A2249,"yyyy-mm")&amp;"|"&amp;$C2249&amp;"|"&amp;$I2249</f>
        <v/>
      </c>
    </row>
    <row r="2228">
      <c r="A2228" s="36" t="n">
        <v>46149</v>
      </c>
      <c r="B2228" t="inlineStr">
        <is>
          <t>Quinta</t>
        </is>
      </c>
      <c r="C2228" t="inlineStr">
        <is>
          <t>Botelho Mourão</t>
        </is>
      </c>
      <c r="E2228" t="inlineStr">
        <is>
          <t>Vacal</t>
        </is>
      </c>
      <c r="F2228" t="inlineStr">
        <is>
          <t>Botelho Mourão – Henko</t>
        </is>
      </c>
      <c r="J2228" t="inlineStr">
        <is>
          <t>Atividade</t>
        </is>
      </c>
      <c r="K2228" t="inlineStr">
        <is>
          <t>Apoio</t>
        </is>
      </c>
      <c r="L2228" t="inlineStr">
        <is>
          <t>PDS-Abril.docx</t>
        </is>
      </c>
      <c r="M2228">
        <f>IF($A2250="","",TEXT($A2250,"mmmm/yyyy"))</f>
        <v/>
      </c>
      <c r="P2228">
        <f>IFERROR(XLOOKUP($N2250,Base_Enderecos!$A:$A,Base_Enderecos!$B:$B,""),"")</f>
        <v/>
      </c>
      <c r="Q2228">
        <f>IFERROR(XLOOKUP($N2250,Base_Enderecos!$A:$A,Base_Enderecos!$C:$C,""),"")</f>
        <v/>
      </c>
      <c r="R2228">
        <f>IF(ISNUMBER(SEARCH("HDD",$F2250)),"HDD",IF(ISNUMBER(SEARCH("VCA",$F2250)),"VCA","MND"))</f>
        <v/>
      </c>
      <c r="T2228">
        <f>TEXT($A2250,"yyyy-mm")&amp;"|"&amp;$C2250&amp;"|"&amp;$I2250</f>
        <v/>
      </c>
    </row>
    <row r="2229">
      <c r="A2229" s="36" t="n">
        <v>46149</v>
      </c>
      <c r="B2229" t="inlineStr">
        <is>
          <t>Quinta</t>
        </is>
      </c>
      <c r="C2229" t="inlineStr">
        <is>
          <t>Botelho Mourão</t>
        </is>
      </c>
      <c r="E2229" t="inlineStr">
        <is>
          <t>Vacal</t>
        </is>
      </c>
      <c r="F2229" t="inlineStr">
        <is>
          <t>Botelho Mourão – Hidrosol</t>
        </is>
      </c>
      <c r="J2229" t="inlineStr">
        <is>
          <t>Atividade</t>
        </is>
      </c>
      <c r="K2229" t="inlineStr">
        <is>
          <t>Apoio</t>
        </is>
      </c>
      <c r="L2229" t="inlineStr">
        <is>
          <t>PDS-Abril.docx</t>
        </is>
      </c>
      <c r="M2229">
        <f>IF($A2251="","",TEXT($A2251,"mmmm/yyyy"))</f>
        <v/>
      </c>
      <c r="P2229">
        <f>IFERROR(XLOOKUP($N2251,Base_Enderecos!$A:$A,Base_Enderecos!$B:$B,""),"")</f>
        <v/>
      </c>
      <c r="Q2229">
        <f>IFERROR(XLOOKUP($N2251,Base_Enderecos!$A:$A,Base_Enderecos!$C:$C,""),"")</f>
        <v/>
      </c>
      <c r="R2229">
        <f>IF(ISNUMBER(SEARCH("HDD",$F2251)),"HDD",IF(ISNUMBER(SEARCH("VCA",$F2251)),"VCA","MND"))</f>
        <v/>
      </c>
      <c r="T2229">
        <f>TEXT($A2251,"yyyy-mm")&amp;"|"&amp;$C2251&amp;"|"&amp;$I2251</f>
        <v/>
      </c>
    </row>
    <row r="2230">
      <c r="A2230" s="36" t="n">
        <v>46149</v>
      </c>
      <c r="B2230" t="inlineStr">
        <is>
          <t>Quinta</t>
        </is>
      </c>
      <c r="C2230" t="inlineStr">
        <is>
          <t>Água Vermelha</t>
        </is>
      </c>
      <c r="E2230" t="inlineStr">
        <is>
          <t>Vacal</t>
        </is>
      </c>
      <c r="F2230" t="inlineStr">
        <is>
          <t>Água Vermelha – Renasce</t>
        </is>
      </c>
      <c r="J2230" t="inlineStr">
        <is>
          <t>Atividade</t>
        </is>
      </c>
      <c r="K2230" t="inlineStr">
        <is>
          <t>Apoio</t>
        </is>
      </c>
      <c r="L2230" t="inlineStr">
        <is>
          <t>PDS-Abril.docx</t>
        </is>
      </c>
      <c r="M2230">
        <f>IF($A2252="","",TEXT($A2252,"mmmm/yyyy"))</f>
        <v/>
      </c>
      <c r="P2230">
        <f>IFERROR(XLOOKUP($N2252,Base_Enderecos!$A:$A,Base_Enderecos!$B:$B,""),"")</f>
        <v/>
      </c>
      <c r="Q2230">
        <f>IFERROR(XLOOKUP($N2252,Base_Enderecos!$A:$A,Base_Enderecos!$C:$C,""),"")</f>
        <v/>
      </c>
      <c r="R2230">
        <f>IF(ISNUMBER(SEARCH("HDD",$F2252)),"HDD",IF(ISNUMBER(SEARCH("VCA",$F2252)),"VCA","MND"))</f>
        <v/>
      </c>
      <c r="T2230">
        <f>TEXT($A2252,"yyyy-mm")&amp;"|"&amp;$C2252&amp;"|"&amp;$I2252</f>
        <v/>
      </c>
    </row>
    <row r="2231">
      <c r="A2231" s="36" t="n">
        <v>46149</v>
      </c>
      <c r="B2231" t="inlineStr">
        <is>
          <t>Quinta</t>
        </is>
      </c>
      <c r="C2231" t="inlineStr">
        <is>
          <t>João Canzi</t>
        </is>
      </c>
      <c r="E2231" t="inlineStr">
        <is>
          <t>Vacal</t>
        </is>
      </c>
      <c r="F2231" t="inlineStr">
        <is>
          <t>João Canzi – Renasce</t>
        </is>
      </c>
      <c r="J2231" t="inlineStr">
        <is>
          <t>Atividade</t>
        </is>
      </c>
      <c r="K2231" t="inlineStr">
        <is>
          <t>Apoio</t>
        </is>
      </c>
      <c r="L2231" t="inlineStr">
        <is>
          <t>PDS-Abril.docx</t>
        </is>
      </c>
      <c r="M2231">
        <f>IF($A2253="","",TEXT($A2253,"mmmm/yyyy"))</f>
        <v/>
      </c>
      <c r="P2231">
        <f>IFERROR(XLOOKUP($N2253,Base_Enderecos!$A:$A,Base_Enderecos!$B:$B,""),"")</f>
        <v/>
      </c>
      <c r="Q2231">
        <f>IFERROR(XLOOKUP($N2253,Base_Enderecos!$A:$A,Base_Enderecos!$C:$C,""),"")</f>
        <v/>
      </c>
      <c r="R2231">
        <f>IF(ISNUMBER(SEARCH("HDD",$F2253)),"HDD",IF(ISNUMBER(SEARCH("VCA",$F2253)),"VCA","MND"))</f>
        <v/>
      </c>
      <c r="T2231">
        <f>TEXT($A2253,"yyyy-mm")&amp;"|"&amp;$C2253&amp;"|"&amp;$I2253</f>
        <v/>
      </c>
    </row>
    <row r="2232">
      <c r="A2232" s="36" t="n">
        <v>46149</v>
      </c>
      <c r="B2232" t="inlineStr">
        <is>
          <t>Quinta</t>
        </is>
      </c>
      <c r="C2232" t="inlineStr">
        <is>
          <t>Guindauto</t>
        </is>
      </c>
      <c r="E2232" t="inlineStr">
        <is>
          <t>Guindauto</t>
        </is>
      </c>
      <c r="F2232" t="inlineStr">
        <is>
          <t>Marcio - Apoio as equipes</t>
        </is>
      </c>
      <c r="J2232" t="inlineStr">
        <is>
          <t>Atividade</t>
        </is>
      </c>
      <c r="K2232" t="inlineStr">
        <is>
          <t>Apoio</t>
        </is>
      </c>
      <c r="L2232" t="inlineStr">
        <is>
          <t>PDS-Abril.docx</t>
        </is>
      </c>
      <c r="M2232">
        <f>IF($A2254="","",TEXT($A2254,"mmmm/yyyy"))</f>
        <v/>
      </c>
      <c r="P2232">
        <f>IFERROR(XLOOKUP($N2254,Base_Enderecos!$A:$A,Base_Enderecos!$B:$B,""),"")</f>
        <v/>
      </c>
      <c r="Q2232">
        <f>IFERROR(XLOOKUP($N2254,Base_Enderecos!$A:$A,Base_Enderecos!$C:$C,""),"")</f>
        <v/>
      </c>
      <c r="R2232">
        <f>IF(ISNUMBER(SEARCH("HDD",$F2254)),"HDD",IF(ISNUMBER(SEARCH("VCA",$F2254)),"VCA","MND"))</f>
        <v/>
      </c>
      <c r="T2232">
        <f>TEXT($A2254,"yyyy-mm")&amp;"|"&amp;$C2254&amp;"|"&amp;$I2254</f>
        <v/>
      </c>
    </row>
    <row r="2233">
      <c r="A2233" s="36" t="n">
        <v>46149</v>
      </c>
      <c r="B2233" t="inlineStr">
        <is>
          <t>Quinta</t>
        </is>
      </c>
      <c r="C2233" t="inlineStr">
        <is>
          <t>Guindauto</t>
        </is>
      </c>
      <c r="E2233" t="inlineStr">
        <is>
          <t>Guindauto</t>
        </is>
      </c>
      <c r="F2233" t="inlineStr">
        <is>
          <t>Luiz Carlos - Apoio as equipes</t>
        </is>
      </c>
      <c r="J2233" t="inlineStr">
        <is>
          <t>Atividade</t>
        </is>
      </c>
      <c r="K2233" t="inlineStr">
        <is>
          <t>Apoio</t>
        </is>
      </c>
      <c r="L2233" t="inlineStr">
        <is>
          <t>PDS-Abril.docx</t>
        </is>
      </c>
      <c r="M2233">
        <f>IF($A2255="","",TEXT($A2255,"mmmm/yyyy"))</f>
        <v/>
      </c>
      <c r="P2233">
        <f>IFERROR(XLOOKUP($N2255,Base_Enderecos!$A:$A,Base_Enderecos!$B:$B,""),"")</f>
        <v/>
      </c>
      <c r="Q2233">
        <f>IFERROR(XLOOKUP($N2255,Base_Enderecos!$A:$A,Base_Enderecos!$C:$C,""),"")</f>
        <v/>
      </c>
      <c r="R2233">
        <f>IF(ISNUMBER(SEARCH("HDD",$F2255)),"HDD",IF(ISNUMBER(SEARCH("VCA",$F2255)),"VCA","MND"))</f>
        <v/>
      </c>
      <c r="T2233">
        <f>TEXT($A2255,"yyyy-mm")&amp;"|"&amp;$C2255&amp;"|"&amp;$I2255</f>
        <v/>
      </c>
    </row>
    <row r="2234">
      <c r="A2234" s="36" t="n">
        <v>46144</v>
      </c>
      <c r="B2234" t="inlineStr">
        <is>
          <t>Sábado</t>
        </is>
      </c>
      <c r="C2234" t="inlineStr">
        <is>
          <t>CTS Mar De Coral</t>
        </is>
      </c>
      <c r="D2234" t="inlineStr">
        <is>
          <t>Caroline E Silvestre</t>
        </is>
      </c>
      <c r="E2234" t="inlineStr">
        <is>
          <t>Claudinei</t>
        </is>
      </c>
      <c r="F2234" t="inlineStr">
        <is>
          <t>VCA e transformações de PVs entre PV 05.11 ao 5.12</t>
        </is>
      </c>
      <c r="G2234" t="inlineStr">
        <is>
          <t>05.11</t>
        </is>
      </c>
      <c r="H2234" t="inlineStr">
        <is>
          <t>5.12</t>
        </is>
      </c>
      <c r="I2234" t="inlineStr">
        <is>
          <t>05.11 ao 5.12</t>
        </is>
      </c>
      <c r="J2234" t="inlineStr">
        <is>
          <t>Transformação</t>
        </is>
      </c>
      <c r="K2234" t="inlineStr">
        <is>
          <t>Planejamento</t>
        </is>
      </c>
      <c r="L2234" t="inlineStr">
        <is>
          <t>PDS-Maio.docx</t>
        </is>
      </c>
      <c r="M2234">
        <f>IF($A2234="","",TEXT($A2234,"mmmm/yyyy"))</f>
        <v/>
      </c>
      <c r="P2234">
        <f>IFERROR(XLOOKUP($N2234,Base_Enderecos!$A:$A,Base_Enderecos!$B:$B,""),"")</f>
        <v/>
      </c>
      <c r="Q2234">
        <f>IFERROR(XLOOKUP($N2234,Base_Enderecos!$A:$A,Base_Enderecos!$C:$C,""),"")</f>
        <v/>
      </c>
      <c r="R2234">
        <f>IF(ISNUMBER(SEARCH("HDD",$F2234)),"HDD",IF(ISNUMBER(SEARCH("VCA",$F2234)),"VCA","MND"))</f>
        <v/>
      </c>
      <c r="T2234">
        <f>TEXT($A2234,"yyyy-mm")&amp;"|"&amp;$C2234&amp;"|"&amp;$I2234</f>
        <v/>
      </c>
    </row>
    <row r="2235">
      <c r="A2235" s="36" t="n">
        <v>46144</v>
      </c>
      <c r="B2235" t="inlineStr">
        <is>
          <t>Sábado</t>
        </is>
      </c>
      <c r="C2235" t="inlineStr">
        <is>
          <t>CTS Mar De Coral</t>
        </is>
      </c>
      <c r="D2235" t="inlineStr">
        <is>
          <t>Caroline E Silvestre</t>
        </is>
      </c>
      <c r="E2235" t="inlineStr">
        <is>
          <t>Cidão</t>
        </is>
      </c>
      <c r="F2235" t="inlineStr">
        <is>
          <t>Acabamento PV 5.9</t>
        </is>
      </c>
      <c r="G2235" t="inlineStr">
        <is>
          <t>5.9</t>
        </is>
      </c>
      <c r="I2235" t="inlineStr">
        <is>
          <t>5.9</t>
        </is>
      </c>
      <c r="J2235" t="inlineStr">
        <is>
          <t>Acabamento</t>
        </is>
      </c>
      <c r="K2235" t="inlineStr">
        <is>
          <t>Planejamento</t>
        </is>
      </c>
      <c r="L2235" t="inlineStr">
        <is>
          <t>PDS-Maio.docx</t>
        </is>
      </c>
      <c r="M2235">
        <f>IF($A2235="","",TEXT($A2235,"mmmm/yyyy"))</f>
        <v/>
      </c>
      <c r="P2235">
        <f>IFERROR(XLOOKUP($N2235,Base_Enderecos!$A:$A,Base_Enderecos!$B:$B,""),"")</f>
        <v/>
      </c>
      <c r="Q2235">
        <f>IFERROR(XLOOKUP($N2235,Base_Enderecos!$A:$A,Base_Enderecos!$C:$C,""),"")</f>
        <v/>
      </c>
      <c r="R2235">
        <f>IF(ISNUMBER(SEARCH("HDD",$F2235)),"HDD",IF(ISNUMBER(SEARCH("VCA",$F2235)),"VCA","MND"))</f>
        <v/>
      </c>
      <c r="T2235">
        <f>TEXT($A2235,"yyyy-mm")&amp;"|"&amp;$C2235&amp;"|"&amp;$I2235</f>
        <v/>
      </c>
    </row>
    <row r="2236">
      <c r="A2236" s="36" t="n">
        <v>46144</v>
      </c>
      <c r="B2236" t="inlineStr">
        <is>
          <t>Sábado</t>
        </is>
      </c>
      <c r="C2236" t="inlineStr">
        <is>
          <t>CTS Luis Botelho Mourão</t>
        </is>
      </c>
      <c r="D2236" t="inlineStr">
        <is>
          <t>Robson</t>
        </is>
      </c>
      <c r="E2236" t="inlineStr">
        <is>
          <t>Marcio</t>
        </is>
      </c>
      <c r="F2236" t="inlineStr">
        <is>
          <t>VCA PV 09 ao PV 10</t>
        </is>
      </c>
      <c r="G2236" t="inlineStr">
        <is>
          <t>09</t>
        </is>
      </c>
      <c r="H2236" t="inlineStr">
        <is>
          <t>10</t>
        </is>
      </c>
      <c r="I2236" t="inlineStr">
        <is>
          <t>09 ao 10</t>
        </is>
      </c>
      <c r="J2236" t="inlineStr">
        <is>
          <t>VCA</t>
        </is>
      </c>
      <c r="K2236" t="inlineStr">
        <is>
          <t>Planejamento</t>
        </is>
      </c>
      <c r="L2236" t="inlineStr">
        <is>
          <t>PDS-Maio.docx</t>
        </is>
      </c>
      <c r="M2236">
        <f>IF($A2236="","",TEXT($A2236,"mmmm/yyyy"))</f>
        <v/>
      </c>
      <c r="P2236">
        <f>IFERROR(XLOOKUP($N2236,Base_Enderecos!$A:$A,Base_Enderecos!$B:$B,""),"")</f>
        <v/>
      </c>
      <c r="Q2236">
        <f>IFERROR(XLOOKUP($N2236,Base_Enderecos!$A:$A,Base_Enderecos!$C:$C,""),"")</f>
        <v/>
      </c>
      <c r="R2236">
        <f>IF(ISNUMBER(SEARCH("HDD",$F2236)),"HDD",IF(ISNUMBER(SEARCH("VCA",$F2236)),"VCA","MND"))</f>
        <v/>
      </c>
      <c r="T2236">
        <f>TEXT($A2236,"yyyy-mm")&amp;"|"&amp;$C2236&amp;"|"&amp;$I2236</f>
        <v/>
      </c>
    </row>
    <row r="2237">
      <c r="A2237" s="36" t="n">
        <v>46144</v>
      </c>
      <c r="B2237" t="inlineStr">
        <is>
          <t>Sábado</t>
        </is>
      </c>
      <c r="C2237" t="inlineStr">
        <is>
          <t>CTS Luis Botelho Mourão</t>
        </is>
      </c>
      <c r="D2237" t="inlineStr">
        <is>
          <t>Robson</t>
        </is>
      </c>
      <c r="E2237" t="inlineStr">
        <is>
          <t>Higor</t>
        </is>
      </c>
      <c r="F2237" t="inlineStr">
        <is>
          <t>VCA PV 08 ao PV 09</t>
        </is>
      </c>
      <c r="G2237" t="inlineStr">
        <is>
          <t>08</t>
        </is>
      </c>
      <c r="H2237" t="inlineStr">
        <is>
          <t>09</t>
        </is>
      </c>
      <c r="I2237" t="inlineStr">
        <is>
          <t>08 ao 09</t>
        </is>
      </c>
      <c r="J2237" t="inlineStr">
        <is>
          <t>VCA</t>
        </is>
      </c>
      <c r="K2237" t="inlineStr">
        <is>
          <t>Planejamento</t>
        </is>
      </c>
      <c r="L2237" t="inlineStr">
        <is>
          <t>PDS-Maio.docx</t>
        </is>
      </c>
      <c r="M2237">
        <f>IF($A2237="","",TEXT($A2237,"mmmm/yyyy"))</f>
        <v/>
      </c>
      <c r="P2237">
        <f>IFERROR(XLOOKUP($N2237,Base_Enderecos!$A:$A,Base_Enderecos!$B:$B,""),"")</f>
        <v/>
      </c>
      <c r="Q2237">
        <f>IFERROR(XLOOKUP($N2237,Base_Enderecos!$A:$A,Base_Enderecos!$C:$C,""),"")</f>
        <v/>
      </c>
      <c r="R2237">
        <f>IF(ISNUMBER(SEARCH("HDD",$F2237)),"HDD",IF(ISNUMBER(SEARCH("VCA",$F2237)),"VCA","MND"))</f>
        <v/>
      </c>
      <c r="T2237">
        <f>TEXT($A2237,"yyyy-mm")&amp;"|"&amp;$C2237&amp;"|"&amp;$I2237</f>
        <v/>
      </c>
    </row>
    <row r="2238">
      <c r="A2238" s="36" t="n">
        <v>46144</v>
      </c>
      <c r="B2238" t="inlineStr">
        <is>
          <t>Sábado</t>
        </is>
      </c>
      <c r="C2238" t="inlineStr">
        <is>
          <t>Botelho Mourão</t>
        </is>
      </c>
      <c r="E2238" t="inlineStr">
        <is>
          <t>Vacal</t>
        </is>
      </c>
      <c r="F2238" t="inlineStr">
        <is>
          <t>Botelho Mourão – Henko</t>
        </is>
      </c>
      <c r="J2238" t="inlineStr">
        <is>
          <t>Atividade</t>
        </is>
      </c>
      <c r="K2238" t="inlineStr">
        <is>
          <t>Apoio</t>
        </is>
      </c>
      <c r="L2238" t="inlineStr">
        <is>
          <t>PDS-Maio.docx</t>
        </is>
      </c>
      <c r="M2238">
        <f>IF($A2238="","",TEXT($A2238,"mmmm/yyyy"))</f>
        <v/>
      </c>
      <c r="P2238">
        <f>IFERROR(XLOOKUP($N2238,Base_Enderecos!$A:$A,Base_Enderecos!$B:$B,""),"")</f>
        <v/>
      </c>
      <c r="Q2238">
        <f>IFERROR(XLOOKUP($N2238,Base_Enderecos!$A:$A,Base_Enderecos!$C:$C,""),"")</f>
        <v/>
      </c>
      <c r="R2238">
        <f>IF(ISNUMBER(SEARCH("HDD",$F2238)),"HDD",IF(ISNUMBER(SEARCH("VCA",$F2238)),"VCA","MND"))</f>
        <v/>
      </c>
      <c r="T2238">
        <f>TEXT($A2238,"yyyy-mm")&amp;"|"&amp;$C2238&amp;"|"&amp;$I2238</f>
        <v/>
      </c>
    </row>
    <row r="2239">
      <c r="A2239" s="36" t="n">
        <v>46144</v>
      </c>
      <c r="B2239" t="inlineStr">
        <is>
          <t>Sábado</t>
        </is>
      </c>
      <c r="C2239" t="inlineStr">
        <is>
          <t>Guindauto</t>
        </is>
      </c>
      <c r="E2239" t="inlineStr">
        <is>
          <t>Guindauto</t>
        </is>
      </c>
      <c r="F2239" t="inlineStr">
        <is>
          <t>Luiz Carlos - Apoio as equipes</t>
        </is>
      </c>
      <c r="J2239" t="inlineStr">
        <is>
          <t>Atividade</t>
        </is>
      </c>
      <c r="K2239" t="inlineStr">
        <is>
          <t>Apoio</t>
        </is>
      </c>
      <c r="L2239" t="inlineStr">
        <is>
          <t>PDS-Maio.docx</t>
        </is>
      </c>
      <c r="M2239">
        <f>IF($A2239="","",TEXT($A2239,"mmmm/yyyy"))</f>
        <v/>
      </c>
      <c r="P2239">
        <f>IFERROR(XLOOKUP($N2239,Base_Enderecos!$A:$A,Base_Enderecos!$B:$B,""),"")</f>
        <v/>
      </c>
      <c r="Q2239">
        <f>IFERROR(XLOOKUP($N2239,Base_Enderecos!$A:$A,Base_Enderecos!$C:$C,""),"")</f>
        <v/>
      </c>
      <c r="R2239">
        <f>IF(ISNUMBER(SEARCH("HDD",$F2239)),"HDD",IF(ISNUMBER(SEARCH("VCA",$F2239)),"VCA","MND"))</f>
        <v/>
      </c>
      <c r="T2239">
        <f>TEXT($A2239,"yyyy-mm")&amp;"|"&amp;$C2239&amp;"|"&amp;$I2239</f>
        <v/>
      </c>
    </row>
    <row r="2240">
      <c r="A2240" s="36" t="n">
        <v>46144</v>
      </c>
      <c r="B2240" t="inlineStr">
        <is>
          <t>Sábado</t>
        </is>
      </c>
      <c r="C2240" t="inlineStr">
        <is>
          <t>CTS Luis Botelho Mourão</t>
        </is>
      </c>
      <c r="D2240" t="inlineStr">
        <is>
          <t>Robson</t>
        </is>
      </c>
      <c r="E2240" t="inlineStr">
        <is>
          <t>Higor</t>
        </is>
      </c>
      <c r="F2240" t="inlineStr">
        <is>
          <t>Integra 6A</t>
        </is>
      </c>
      <c r="J2240" t="inlineStr">
        <is>
          <t>Atividade</t>
        </is>
      </c>
      <c r="K2240" t="inlineStr">
        <is>
          <t>Planejamento</t>
        </is>
      </c>
      <c r="L2240" t="inlineStr">
        <is>
          <t>PDS-Maio.docx</t>
        </is>
      </c>
      <c r="M2240">
        <f>IF($A2240="","",TEXT($A2240,"mmmm/yyyy"))</f>
        <v/>
      </c>
      <c r="P2240">
        <f>IFERROR(XLOOKUP($N2240,Base_Enderecos!$A:$A,Base_Enderecos!$B:$B,""),"")</f>
        <v/>
      </c>
      <c r="Q2240">
        <f>IFERROR(XLOOKUP($N2240,Base_Enderecos!$A:$A,Base_Enderecos!$C:$C,""),"")</f>
        <v/>
      </c>
      <c r="R2240">
        <f>IF(ISNUMBER(SEARCH("HDD",$F2240)),"HDD",IF(ISNUMBER(SEARCH("VCA",$F2240)),"VCA","MND"))</f>
        <v/>
      </c>
      <c r="T2240">
        <f>TEXT($A2240,"yyyy-mm")&amp;"|"&amp;$C2240&amp;"|"&amp;$I2240</f>
        <v/>
      </c>
    </row>
    <row r="2241">
      <c r="A2241" s="36" t="n">
        <v>46146</v>
      </c>
      <c r="B2241" t="inlineStr">
        <is>
          <t>Segunda</t>
        </is>
      </c>
      <c r="C2241" t="inlineStr">
        <is>
          <t>CT João Canzi</t>
        </is>
      </c>
      <c r="D2241" t="inlineStr">
        <is>
          <t>Leandro</t>
        </is>
      </c>
      <c r="E2241" t="inlineStr">
        <is>
          <t>Emanuel Go-01</t>
        </is>
      </c>
      <c r="F2241" t="inlineStr">
        <is>
          <t>Shaft PV 01</t>
        </is>
      </c>
      <c r="G2241" t="inlineStr">
        <is>
          <t>01</t>
        </is>
      </c>
      <c r="I2241" t="inlineStr">
        <is>
          <t>01</t>
        </is>
      </c>
      <c r="J2241" t="inlineStr">
        <is>
          <t>Shaft</t>
        </is>
      </c>
      <c r="K2241" t="inlineStr">
        <is>
          <t>Planejamento</t>
        </is>
      </c>
      <c r="L2241" t="inlineStr">
        <is>
          <t>PDS-Maio.docx</t>
        </is>
      </c>
      <c r="M2241">
        <f>IF($A2241="","",TEXT($A2241,"mmmm/yyyy"))</f>
        <v/>
      </c>
      <c r="P2241">
        <f>IFERROR(XLOOKUP($N2241,Base_Enderecos!$A:$A,Base_Enderecos!$B:$B,""),"")</f>
        <v/>
      </c>
      <c r="Q2241">
        <f>IFERROR(XLOOKUP($N2241,Base_Enderecos!$A:$A,Base_Enderecos!$C:$C,""),"")</f>
        <v/>
      </c>
      <c r="R2241">
        <f>IF(ISNUMBER(SEARCH("HDD",$F2241)),"HDD",IF(ISNUMBER(SEARCH("VCA",$F2241)),"VCA","MND"))</f>
        <v/>
      </c>
      <c r="T2241">
        <f>TEXT($A2241,"yyyy-mm")&amp;"|"&amp;$C2241&amp;"|"&amp;$I2241</f>
        <v/>
      </c>
    </row>
    <row r="2242">
      <c r="A2242" s="36" t="n">
        <v>46146</v>
      </c>
      <c r="B2242" t="inlineStr">
        <is>
          <t>Segunda</t>
        </is>
      </c>
      <c r="C2242" t="inlineStr">
        <is>
          <t>CT João Canzi</t>
        </is>
      </c>
      <c r="D2242" t="inlineStr">
        <is>
          <t>Leandro</t>
        </is>
      </c>
      <c r="E2242" t="inlineStr">
        <is>
          <t>Paulo Go-02</t>
        </is>
      </c>
      <c r="F2242" t="inlineStr">
        <is>
          <t>Shaft PV 03</t>
        </is>
      </c>
      <c r="G2242" t="inlineStr">
        <is>
          <t>03</t>
        </is>
      </c>
      <c r="I2242" t="inlineStr">
        <is>
          <t>03</t>
        </is>
      </c>
      <c r="J2242" t="inlineStr">
        <is>
          <t>Shaft</t>
        </is>
      </c>
      <c r="K2242" t="inlineStr">
        <is>
          <t>Planejamento</t>
        </is>
      </c>
      <c r="L2242" t="inlineStr">
        <is>
          <t>PDS-Maio.docx</t>
        </is>
      </c>
      <c r="M2242">
        <f>IF($A2242="","",TEXT($A2242,"mmmm/yyyy"))</f>
        <v/>
      </c>
      <c r="P2242">
        <f>IFERROR(XLOOKUP($N2242,Base_Enderecos!$A:$A,Base_Enderecos!$B:$B,""),"")</f>
        <v/>
      </c>
      <c r="Q2242">
        <f>IFERROR(XLOOKUP($N2242,Base_Enderecos!$A:$A,Base_Enderecos!$C:$C,""),"")</f>
        <v/>
      </c>
      <c r="R2242">
        <f>IF(ISNUMBER(SEARCH("HDD",$F2242)),"HDD",IF(ISNUMBER(SEARCH("VCA",$F2242)),"VCA","MND"))</f>
        <v/>
      </c>
      <c r="T2242">
        <f>TEXT($A2242,"yyyy-mm")&amp;"|"&amp;$C2242&amp;"|"&amp;$I2242</f>
        <v/>
      </c>
    </row>
    <row r="2243">
      <c r="A2243" s="36" t="n">
        <v>46146</v>
      </c>
      <c r="B2243" t="inlineStr">
        <is>
          <t>Segunda</t>
        </is>
      </c>
      <c r="C2243" t="inlineStr">
        <is>
          <t>CT João Canzi</t>
        </is>
      </c>
      <c r="D2243" t="inlineStr">
        <is>
          <t>Leandro</t>
        </is>
      </c>
      <c r="E2243" t="inlineStr">
        <is>
          <t>Bruno</t>
        </is>
      </c>
      <c r="F2243" t="inlineStr">
        <is>
          <t>Shaft PV 04</t>
        </is>
      </c>
      <c r="G2243" t="inlineStr">
        <is>
          <t>04</t>
        </is>
      </c>
      <c r="I2243" t="inlineStr">
        <is>
          <t>04</t>
        </is>
      </c>
      <c r="J2243" t="inlineStr">
        <is>
          <t>Shaft</t>
        </is>
      </c>
      <c r="K2243" t="inlineStr">
        <is>
          <t>Planejamento</t>
        </is>
      </c>
      <c r="L2243" t="inlineStr">
        <is>
          <t>PDS-Maio.docx</t>
        </is>
      </c>
      <c r="M2243">
        <f>IF($A2243="","",TEXT($A2243,"mmmm/yyyy"))</f>
        <v/>
      </c>
      <c r="P2243">
        <f>IFERROR(XLOOKUP($N2243,Base_Enderecos!$A:$A,Base_Enderecos!$B:$B,""),"")</f>
        <v/>
      </c>
      <c r="Q2243">
        <f>IFERROR(XLOOKUP($N2243,Base_Enderecos!$A:$A,Base_Enderecos!$C:$C,""),"")</f>
        <v/>
      </c>
      <c r="R2243">
        <f>IF(ISNUMBER(SEARCH("HDD",$F2243)),"HDD",IF(ISNUMBER(SEARCH("VCA",$F2243)),"VCA","MND"))</f>
        <v/>
      </c>
      <c r="T2243">
        <f>TEXT($A2243,"yyyy-mm")&amp;"|"&amp;$C2243&amp;"|"&amp;$I2243</f>
        <v/>
      </c>
    </row>
    <row r="2244">
      <c r="A2244" s="36" t="n">
        <v>46146</v>
      </c>
      <c r="B2244" t="inlineStr">
        <is>
          <t>Segunda</t>
        </is>
      </c>
      <c r="C2244" t="inlineStr">
        <is>
          <t>CT João Canzi</t>
        </is>
      </c>
      <c r="D2244" t="inlineStr">
        <is>
          <t>Leandro</t>
        </is>
      </c>
      <c r="E2244" t="inlineStr">
        <is>
          <t>Valter</t>
        </is>
      </c>
      <c r="F2244" t="inlineStr">
        <is>
          <t>Shaft PV 05</t>
        </is>
      </c>
      <c r="G2244" t="inlineStr">
        <is>
          <t>05</t>
        </is>
      </c>
      <c r="I2244" t="inlineStr">
        <is>
          <t>05</t>
        </is>
      </c>
      <c r="J2244" t="inlineStr">
        <is>
          <t>Shaft</t>
        </is>
      </c>
      <c r="K2244" t="inlineStr">
        <is>
          <t>Planejamento</t>
        </is>
      </c>
      <c r="L2244" t="inlineStr">
        <is>
          <t>PDS-Maio.docx</t>
        </is>
      </c>
      <c r="M2244">
        <f>IF($A2244="","",TEXT($A2244,"mmmm/yyyy"))</f>
        <v/>
      </c>
      <c r="P2244">
        <f>IFERROR(XLOOKUP($N2244,Base_Enderecos!$A:$A,Base_Enderecos!$B:$B,""),"")</f>
        <v/>
      </c>
      <c r="Q2244">
        <f>IFERROR(XLOOKUP($N2244,Base_Enderecos!$A:$A,Base_Enderecos!$C:$C,""),"")</f>
        <v/>
      </c>
      <c r="R2244">
        <f>IF(ISNUMBER(SEARCH("HDD",$F2244)),"HDD",IF(ISNUMBER(SEARCH("VCA",$F2244)),"VCA","MND"))</f>
        <v/>
      </c>
      <c r="T2244">
        <f>TEXT($A2244,"yyyy-mm")&amp;"|"&amp;$C2244&amp;"|"&amp;$I2244</f>
        <v/>
      </c>
    </row>
    <row r="2245">
      <c r="A2245" s="36" t="n">
        <v>46146</v>
      </c>
      <c r="B2245" t="inlineStr">
        <is>
          <t>Segunda</t>
        </is>
      </c>
      <c r="C2245" t="inlineStr">
        <is>
          <t>CT João Canzi</t>
        </is>
      </c>
      <c r="D2245" t="inlineStr">
        <is>
          <t>Leandro</t>
        </is>
      </c>
      <c r="E2245" t="inlineStr">
        <is>
          <t>Carlos</t>
        </is>
      </c>
      <c r="F2245" t="inlineStr">
        <is>
          <t>Shaft PV 06</t>
        </is>
      </c>
      <c r="G2245" t="inlineStr">
        <is>
          <t>06</t>
        </is>
      </c>
      <c r="I2245" t="inlineStr">
        <is>
          <t>06</t>
        </is>
      </c>
      <c r="J2245" t="inlineStr">
        <is>
          <t>Shaft</t>
        </is>
      </c>
      <c r="K2245" t="inlineStr">
        <is>
          <t>Planejamento</t>
        </is>
      </c>
      <c r="L2245" t="inlineStr">
        <is>
          <t>PDS-Maio.docx</t>
        </is>
      </c>
      <c r="M2245">
        <f>IF($A2245="","",TEXT($A2245,"mmmm/yyyy"))</f>
        <v/>
      </c>
      <c r="P2245">
        <f>IFERROR(XLOOKUP($N2245,Base_Enderecos!$A:$A,Base_Enderecos!$B:$B,""),"")</f>
        <v/>
      </c>
      <c r="Q2245">
        <f>IFERROR(XLOOKUP($N2245,Base_Enderecos!$A:$A,Base_Enderecos!$C:$C,""),"")</f>
        <v/>
      </c>
      <c r="R2245">
        <f>IF(ISNUMBER(SEARCH("HDD",$F2245)),"HDD",IF(ISNUMBER(SEARCH("VCA",$F2245)),"VCA","MND"))</f>
        <v/>
      </c>
      <c r="T2245">
        <f>TEXT($A2245,"yyyy-mm")&amp;"|"&amp;$C2245&amp;"|"&amp;$I2245</f>
        <v/>
      </c>
    </row>
    <row r="2246">
      <c r="A2246" s="36" t="n">
        <v>46146</v>
      </c>
      <c r="B2246" t="inlineStr">
        <is>
          <t>Segunda</t>
        </is>
      </c>
      <c r="C2246" t="inlineStr">
        <is>
          <t>CTS Mar De Coral</t>
        </is>
      </c>
      <c r="D2246" t="inlineStr">
        <is>
          <t>Silvestre</t>
        </is>
      </c>
      <c r="E2246" t="inlineStr">
        <is>
          <t>Edvando</t>
        </is>
      </c>
      <c r="F2246" t="inlineStr">
        <is>
          <t>VCA e transformações de PVs entre PV 22.2 ao 22.4</t>
        </is>
      </c>
      <c r="G2246" t="inlineStr">
        <is>
          <t>22.2</t>
        </is>
      </c>
      <c r="H2246" t="inlineStr">
        <is>
          <t>22.4</t>
        </is>
      </c>
      <c r="I2246" t="inlineStr">
        <is>
          <t>22.2 ao 22.4</t>
        </is>
      </c>
      <c r="J2246" t="inlineStr">
        <is>
          <t>Transformação</t>
        </is>
      </c>
      <c r="K2246" t="inlineStr">
        <is>
          <t>Planejamento</t>
        </is>
      </c>
      <c r="L2246" t="inlineStr">
        <is>
          <t>PDS-Maio.docx</t>
        </is>
      </c>
      <c r="M2246">
        <f>IF($A2246="","",TEXT($A2246,"mmmm/yyyy"))</f>
        <v/>
      </c>
      <c r="P2246">
        <f>IFERROR(XLOOKUP($N2246,Base_Enderecos!$A:$A,Base_Enderecos!$B:$B,""),"")</f>
        <v/>
      </c>
      <c r="Q2246">
        <f>IFERROR(XLOOKUP($N2246,Base_Enderecos!$A:$A,Base_Enderecos!$C:$C,""),"")</f>
        <v/>
      </c>
      <c r="R2246">
        <f>IF(ISNUMBER(SEARCH("HDD",$F2246)),"HDD",IF(ISNUMBER(SEARCH("VCA",$F2246)),"VCA","MND"))</f>
        <v/>
      </c>
      <c r="T2246">
        <f>TEXT($A2246,"yyyy-mm")&amp;"|"&amp;$C2246&amp;"|"&amp;$I2246</f>
        <v/>
      </c>
    </row>
    <row r="2247">
      <c r="A2247" s="36" t="n">
        <v>46146</v>
      </c>
      <c r="B2247" t="inlineStr">
        <is>
          <t>Segunda</t>
        </is>
      </c>
      <c r="C2247" t="inlineStr">
        <is>
          <t>CTS Mar De Coral</t>
        </is>
      </c>
      <c r="D2247" t="inlineStr">
        <is>
          <t>Silvestre</t>
        </is>
      </c>
      <c r="E2247" t="inlineStr">
        <is>
          <t>Cidão</t>
        </is>
      </c>
      <c r="F2247" t="inlineStr">
        <is>
          <t>Acabamentos</t>
        </is>
      </c>
      <c r="J2247" t="inlineStr">
        <is>
          <t>Acabamento</t>
        </is>
      </c>
      <c r="K2247" t="inlineStr">
        <is>
          <t>Planejamento</t>
        </is>
      </c>
      <c r="L2247" t="inlineStr">
        <is>
          <t>PDS-Maio.docx</t>
        </is>
      </c>
      <c r="M2247">
        <f>IF($A2247="","",TEXT($A2247,"mmmm/yyyy"))</f>
        <v/>
      </c>
      <c r="P2247">
        <f>IFERROR(XLOOKUP($N2247,Base_Enderecos!$A:$A,Base_Enderecos!$B:$B,""),"")</f>
        <v/>
      </c>
      <c r="Q2247">
        <f>IFERROR(XLOOKUP($N2247,Base_Enderecos!$A:$A,Base_Enderecos!$C:$C,""),"")</f>
        <v/>
      </c>
      <c r="R2247">
        <f>IF(ISNUMBER(SEARCH("HDD",$F2247)),"HDD",IF(ISNUMBER(SEARCH("VCA",$F2247)),"VCA","MND"))</f>
        <v/>
      </c>
      <c r="T2247">
        <f>TEXT($A2247,"yyyy-mm")&amp;"|"&amp;$C2247&amp;"|"&amp;$I2247</f>
        <v/>
      </c>
    </row>
    <row r="2248">
      <c r="A2248" s="36" t="n">
        <v>46146</v>
      </c>
      <c r="B2248" t="inlineStr">
        <is>
          <t>Segunda</t>
        </is>
      </c>
      <c r="C2248" t="inlineStr">
        <is>
          <t>CTS Lourdes</t>
        </is>
      </c>
      <c r="E2248" t="inlineStr">
        <is>
          <t>Marcelo</t>
        </is>
      </c>
      <c r="F2248" t="inlineStr">
        <is>
          <t>Shaft PV 17</t>
        </is>
      </c>
      <c r="G2248" t="inlineStr">
        <is>
          <t>17</t>
        </is>
      </c>
      <c r="I2248" t="inlineStr">
        <is>
          <t>17</t>
        </is>
      </c>
      <c r="J2248" t="inlineStr">
        <is>
          <t>Shaft</t>
        </is>
      </c>
      <c r="K2248" t="inlineStr">
        <is>
          <t>Planejamento</t>
        </is>
      </c>
      <c r="L2248" t="inlineStr">
        <is>
          <t>PDS-Maio.docx</t>
        </is>
      </c>
      <c r="M2248">
        <f>IF($A2248="","",TEXT($A2248,"mmmm/yyyy"))</f>
        <v/>
      </c>
      <c r="P2248">
        <f>IFERROR(XLOOKUP($N2248,Base_Enderecos!$A:$A,Base_Enderecos!$B:$B,""),"")</f>
        <v/>
      </c>
      <c r="Q2248">
        <f>IFERROR(XLOOKUP($N2248,Base_Enderecos!$A:$A,Base_Enderecos!$C:$C,""),"")</f>
        <v/>
      </c>
      <c r="R2248">
        <f>IF(ISNUMBER(SEARCH("HDD",$F2248)),"HDD",IF(ISNUMBER(SEARCH("VCA",$F2248)),"VCA","MND"))</f>
        <v/>
      </c>
      <c r="T2248">
        <f>TEXT($A2248,"yyyy-mm")&amp;"|"&amp;$C2248&amp;"|"&amp;$I2248</f>
        <v/>
      </c>
    </row>
    <row r="2249">
      <c r="A2249" s="36" t="n">
        <v>46146</v>
      </c>
      <c r="B2249" t="inlineStr">
        <is>
          <t>Segunda</t>
        </is>
      </c>
      <c r="C2249" t="inlineStr">
        <is>
          <t>CTS Luis Botelho Mourão</t>
        </is>
      </c>
      <c r="D2249" t="inlineStr">
        <is>
          <t>Robson</t>
        </is>
      </c>
      <c r="E2249" t="inlineStr">
        <is>
          <t>Marcio</t>
        </is>
      </c>
      <c r="F2249" t="inlineStr">
        <is>
          <t>Lavagem da rede</t>
        </is>
      </c>
      <c r="J2249" t="inlineStr">
        <is>
          <t>Lavagem</t>
        </is>
      </c>
      <c r="K2249" t="inlineStr">
        <is>
          <t>Planejamento</t>
        </is>
      </c>
      <c r="L2249" t="inlineStr">
        <is>
          <t>PDS-Maio.docx</t>
        </is>
      </c>
      <c r="M2249">
        <f>IF($A2249="","",TEXT($A2249,"mmmm/yyyy"))</f>
        <v/>
      </c>
      <c r="P2249">
        <f>IFERROR(XLOOKUP($N2249,Base_Enderecos!$A:$A,Base_Enderecos!$B:$B,""),"")</f>
        <v/>
      </c>
      <c r="Q2249">
        <f>IFERROR(XLOOKUP($N2249,Base_Enderecos!$A:$A,Base_Enderecos!$C:$C,""),"")</f>
        <v/>
      </c>
      <c r="R2249">
        <f>IF(ISNUMBER(SEARCH("HDD",$F2249)),"HDD",IF(ISNUMBER(SEARCH("VCA",$F2249)),"VCA","MND"))</f>
        <v/>
      </c>
      <c r="T2249">
        <f>TEXT($A2249,"yyyy-mm")&amp;"|"&amp;$C2249&amp;"|"&amp;$I2249</f>
        <v/>
      </c>
    </row>
    <row r="2250">
      <c r="A2250" s="36" t="n">
        <v>46146</v>
      </c>
      <c r="B2250" t="inlineStr">
        <is>
          <t>Segunda</t>
        </is>
      </c>
      <c r="C2250" t="inlineStr">
        <is>
          <t>CTS Luis Botelho Mourão</t>
        </is>
      </c>
      <c r="D2250" t="inlineStr">
        <is>
          <t>Robson</t>
        </is>
      </c>
      <c r="E2250" t="inlineStr">
        <is>
          <t>Higor</t>
        </is>
      </c>
      <c r="F2250" t="inlineStr">
        <is>
          <t>Acabamento PV 08 ao PV 09</t>
        </is>
      </c>
      <c r="G2250" t="inlineStr">
        <is>
          <t>08</t>
        </is>
      </c>
      <c r="H2250" t="inlineStr">
        <is>
          <t>09</t>
        </is>
      </c>
      <c r="I2250" t="inlineStr">
        <is>
          <t>08 ao 09</t>
        </is>
      </c>
      <c r="J2250" t="inlineStr">
        <is>
          <t>Acabamento</t>
        </is>
      </c>
      <c r="K2250" t="inlineStr">
        <is>
          <t>Planejamento</t>
        </is>
      </c>
      <c r="L2250" t="inlineStr">
        <is>
          <t>PDS-Maio.docx</t>
        </is>
      </c>
      <c r="M2250">
        <f>IF($A2250="","",TEXT($A2250,"mmmm/yyyy"))</f>
        <v/>
      </c>
      <c r="P2250">
        <f>IFERROR(XLOOKUP($N2250,Base_Enderecos!$A:$A,Base_Enderecos!$B:$B,""),"")</f>
        <v/>
      </c>
      <c r="Q2250">
        <f>IFERROR(XLOOKUP($N2250,Base_Enderecos!$A:$A,Base_Enderecos!$C:$C,""),"")</f>
        <v/>
      </c>
      <c r="R2250">
        <f>IF(ISNUMBER(SEARCH("HDD",$F2250)),"HDD",IF(ISNUMBER(SEARCH("VCA",$F2250)),"VCA","MND"))</f>
        <v/>
      </c>
      <c r="T2250">
        <f>TEXT($A2250,"yyyy-mm")&amp;"|"&amp;$C2250&amp;"|"&amp;$I2250</f>
        <v/>
      </c>
    </row>
    <row r="2251">
      <c r="A2251" s="36" t="n">
        <v>46146</v>
      </c>
      <c r="B2251" t="inlineStr">
        <is>
          <t>Segunda</t>
        </is>
      </c>
      <c r="C2251" t="inlineStr">
        <is>
          <t>CTS Luis Botelho Mourão</t>
        </is>
      </c>
      <c r="D2251" t="inlineStr">
        <is>
          <t>Robson</t>
        </is>
      </c>
      <c r="E2251" t="inlineStr">
        <is>
          <t>Jhonatan</t>
        </is>
      </c>
      <c r="F2251" t="inlineStr">
        <is>
          <t>Acabamento PV 05 ao PV 07</t>
        </is>
      </c>
      <c r="G2251" t="inlineStr">
        <is>
          <t>05</t>
        </is>
      </c>
      <c r="H2251" t="inlineStr">
        <is>
          <t>07</t>
        </is>
      </c>
      <c r="I2251" t="inlineStr">
        <is>
          <t>05 ao 07</t>
        </is>
      </c>
      <c r="J2251" t="inlineStr">
        <is>
          <t>Acabamento</t>
        </is>
      </c>
      <c r="K2251" t="inlineStr">
        <is>
          <t>Planejamento</t>
        </is>
      </c>
      <c r="L2251" t="inlineStr">
        <is>
          <t>PDS-Maio.docx</t>
        </is>
      </c>
      <c r="M2251">
        <f>IF($A2251="","",TEXT($A2251,"mmmm/yyyy"))</f>
        <v/>
      </c>
      <c r="P2251">
        <f>IFERROR(XLOOKUP($N2251,Base_Enderecos!$A:$A,Base_Enderecos!$B:$B,""),"")</f>
        <v/>
      </c>
      <c r="Q2251">
        <f>IFERROR(XLOOKUP($N2251,Base_Enderecos!$A:$A,Base_Enderecos!$C:$C,""),"")</f>
        <v/>
      </c>
      <c r="R2251">
        <f>IF(ISNUMBER(SEARCH("HDD",$F2251)),"HDD",IF(ISNUMBER(SEARCH("VCA",$F2251)),"VCA","MND"))</f>
        <v/>
      </c>
      <c r="T2251">
        <f>TEXT($A2251,"yyyy-mm")&amp;"|"&amp;$C2251&amp;"|"&amp;$I2251</f>
        <v/>
      </c>
    </row>
    <row r="2252">
      <c r="A2252" s="36" t="n">
        <v>46146</v>
      </c>
      <c r="B2252" t="inlineStr">
        <is>
          <t>Segunda</t>
        </is>
      </c>
      <c r="C2252" t="inlineStr">
        <is>
          <t>RCE São Lucas</t>
        </is>
      </c>
      <c r="D2252" t="inlineStr">
        <is>
          <t>Fábio</t>
        </is>
      </c>
      <c r="E2252" t="inlineStr">
        <is>
          <t>Antonio</t>
        </is>
      </c>
      <c r="F2252" t="inlineStr">
        <is>
          <t>VCA, PVs e Ligações</t>
        </is>
      </c>
      <c r="J2252" t="inlineStr">
        <is>
          <t>VCA</t>
        </is>
      </c>
      <c r="K2252" t="inlineStr">
        <is>
          <t>Planejamento</t>
        </is>
      </c>
      <c r="L2252" t="inlineStr">
        <is>
          <t>PDS-Maio.docx</t>
        </is>
      </c>
      <c r="M2252">
        <f>IF($A2252="","",TEXT($A2252,"mmmm/yyyy"))</f>
        <v/>
      </c>
      <c r="P2252">
        <f>IFERROR(XLOOKUP($N2252,Base_Enderecos!$A:$A,Base_Enderecos!$B:$B,""),"")</f>
        <v/>
      </c>
      <c r="Q2252">
        <f>IFERROR(XLOOKUP($N2252,Base_Enderecos!$A:$A,Base_Enderecos!$C:$C,""),"")</f>
        <v/>
      </c>
      <c r="R2252">
        <f>IF(ISNUMBER(SEARCH("HDD",$F2252)),"HDD",IF(ISNUMBER(SEARCH("VCA",$F2252)),"VCA","MND"))</f>
        <v/>
      </c>
      <c r="T2252">
        <f>TEXT($A2252,"yyyy-mm")&amp;"|"&amp;$C2252&amp;"|"&amp;$I2252</f>
        <v/>
      </c>
    </row>
    <row r="2253">
      <c r="A2253" s="36" t="n">
        <v>46146</v>
      </c>
      <c r="B2253" t="inlineStr">
        <is>
          <t>Segunda</t>
        </is>
      </c>
      <c r="C2253" t="inlineStr">
        <is>
          <t>RCE São Lucas</t>
        </is>
      </c>
      <c r="D2253" t="inlineStr">
        <is>
          <t>Fábio</t>
        </is>
      </c>
      <c r="E2253" t="inlineStr">
        <is>
          <t>Medeiros</t>
        </is>
      </c>
      <c r="F2253" t="inlineStr">
        <is>
          <t>VCA, PVs e Ligações</t>
        </is>
      </c>
      <c r="J2253" t="inlineStr">
        <is>
          <t>VCA</t>
        </is>
      </c>
      <c r="K2253" t="inlineStr">
        <is>
          <t>Planejamento</t>
        </is>
      </c>
      <c r="L2253" t="inlineStr">
        <is>
          <t>PDS-Maio.docx</t>
        </is>
      </c>
      <c r="M2253">
        <f>IF($A2253="","",TEXT($A2253,"mmmm/yyyy"))</f>
        <v/>
      </c>
      <c r="P2253">
        <f>IFERROR(XLOOKUP($N2253,Base_Enderecos!$A:$A,Base_Enderecos!$B:$B,""),"")</f>
        <v/>
      </c>
      <c r="Q2253">
        <f>IFERROR(XLOOKUP($N2253,Base_Enderecos!$A:$A,Base_Enderecos!$C:$C,""),"")</f>
        <v/>
      </c>
      <c r="R2253">
        <f>IF(ISNUMBER(SEARCH("HDD",$F2253)),"HDD",IF(ISNUMBER(SEARCH("VCA",$F2253)),"VCA","MND"))</f>
        <v/>
      </c>
      <c r="T2253">
        <f>TEXT($A2253,"yyyy-mm")&amp;"|"&amp;$C2253&amp;"|"&amp;$I2253</f>
        <v/>
      </c>
    </row>
    <row r="2254">
      <c r="A2254" s="36" t="n">
        <v>46146</v>
      </c>
      <c r="B2254" t="inlineStr">
        <is>
          <t>Segunda</t>
        </is>
      </c>
      <c r="C2254" t="inlineStr">
        <is>
          <t>RCE São Lucas</t>
        </is>
      </c>
      <c r="D2254" t="inlineStr">
        <is>
          <t>Fábio</t>
        </is>
      </c>
      <c r="E2254" t="inlineStr">
        <is>
          <t>Ricardo</t>
        </is>
      </c>
      <c r="F2254" t="inlineStr">
        <is>
          <t>VCA, PVs e Ligações</t>
        </is>
      </c>
      <c r="J2254" t="inlineStr">
        <is>
          <t>VCA</t>
        </is>
      </c>
      <c r="K2254" t="inlineStr">
        <is>
          <t>Planejamento</t>
        </is>
      </c>
      <c r="L2254" t="inlineStr">
        <is>
          <t>PDS-Maio.docx</t>
        </is>
      </c>
      <c r="M2254">
        <f>IF($A2254="","",TEXT($A2254,"mmmm/yyyy"))</f>
        <v/>
      </c>
      <c r="P2254">
        <f>IFERROR(XLOOKUP($N2254,Base_Enderecos!$A:$A,Base_Enderecos!$B:$B,""),"")</f>
        <v/>
      </c>
      <c r="Q2254">
        <f>IFERROR(XLOOKUP($N2254,Base_Enderecos!$A:$A,Base_Enderecos!$C:$C,""),"")</f>
        <v/>
      </c>
      <c r="R2254">
        <f>IF(ISNUMBER(SEARCH("HDD",$F2254)),"HDD",IF(ISNUMBER(SEARCH("VCA",$F2254)),"VCA","MND"))</f>
        <v/>
      </c>
      <c r="T2254">
        <f>TEXT($A2254,"yyyy-mm")&amp;"|"&amp;$C2254&amp;"|"&amp;$I2254</f>
        <v/>
      </c>
    </row>
    <row r="2255">
      <c r="A2255" s="36" t="n">
        <v>46146</v>
      </c>
      <c r="B2255" t="inlineStr">
        <is>
          <t>Segunda</t>
        </is>
      </c>
      <c r="C2255" t="inlineStr">
        <is>
          <t>RCE São Lucas</t>
        </is>
      </c>
      <c r="D2255" t="inlineStr">
        <is>
          <t>Fábio</t>
        </is>
      </c>
      <c r="E2255" t="inlineStr">
        <is>
          <t>Claudinei</t>
        </is>
      </c>
      <c r="F2255" t="inlineStr">
        <is>
          <t>VCA, PVs e Ligações</t>
        </is>
      </c>
      <c r="J2255" t="inlineStr">
        <is>
          <t>VCA</t>
        </is>
      </c>
      <c r="K2255" t="inlineStr">
        <is>
          <t>Planejamento</t>
        </is>
      </c>
      <c r="L2255" t="inlineStr">
        <is>
          <t>PDS-Maio.docx</t>
        </is>
      </c>
      <c r="M2255">
        <f>IF($A2255="","",TEXT($A2255,"mmmm/yyyy"))</f>
        <v/>
      </c>
      <c r="P2255">
        <f>IFERROR(XLOOKUP($N2255,Base_Enderecos!$A:$A,Base_Enderecos!$B:$B,""),"")</f>
        <v/>
      </c>
      <c r="Q2255">
        <f>IFERROR(XLOOKUP($N2255,Base_Enderecos!$A:$A,Base_Enderecos!$C:$C,""),"")</f>
        <v/>
      </c>
      <c r="R2255">
        <f>IF(ISNUMBER(SEARCH("HDD",$F2255)),"HDD",IF(ISNUMBER(SEARCH("VCA",$F2255)),"VCA","MND"))</f>
        <v/>
      </c>
      <c r="T2255">
        <f>TEXT($A2255,"yyyy-mm")&amp;"|"&amp;$C2255&amp;"|"&amp;$I2255</f>
        <v/>
      </c>
    </row>
    <row r="2256">
      <c r="A2256" s="36" t="n">
        <v>46146</v>
      </c>
      <c r="B2256" t="inlineStr">
        <is>
          <t>Segunda</t>
        </is>
      </c>
      <c r="C2256" t="inlineStr">
        <is>
          <t>RCE Barão De Arariba</t>
        </is>
      </c>
      <c r="D2256" t="inlineStr">
        <is>
          <t>Eloízio E Valmir</t>
        </is>
      </c>
      <c r="E2256" t="inlineStr">
        <is>
          <t>Cesar</t>
        </is>
      </c>
      <c r="F2256" t="inlineStr">
        <is>
          <t>HDD, VCA, PVs e Ligações</t>
        </is>
      </c>
      <c r="J2256" t="inlineStr">
        <is>
          <t>HDD</t>
        </is>
      </c>
      <c r="K2256" t="inlineStr">
        <is>
          <t>Planejamento</t>
        </is>
      </c>
      <c r="L2256" t="inlineStr">
        <is>
          <t>PDS-Maio.docx</t>
        </is>
      </c>
      <c r="M2256">
        <f>IF($A2256="","",TEXT($A2256,"mmmm/yyyy"))</f>
        <v/>
      </c>
      <c r="P2256">
        <f>IFERROR(XLOOKUP($N2256,Base_Enderecos!$A:$A,Base_Enderecos!$B:$B,""),"")</f>
        <v/>
      </c>
      <c r="Q2256">
        <f>IFERROR(XLOOKUP($N2256,Base_Enderecos!$A:$A,Base_Enderecos!$C:$C,""),"")</f>
        <v/>
      </c>
      <c r="R2256">
        <f>IF(ISNUMBER(SEARCH("HDD",$F2256)),"HDD",IF(ISNUMBER(SEARCH("VCA",$F2256)),"VCA","MND"))</f>
        <v/>
      </c>
      <c r="T2256">
        <f>TEXT($A2256,"yyyy-mm")&amp;"|"&amp;$C2256&amp;"|"&amp;$I2256</f>
        <v/>
      </c>
    </row>
    <row r="2257">
      <c r="A2257" s="36" t="n">
        <v>46146</v>
      </c>
      <c r="B2257" t="inlineStr">
        <is>
          <t>Segunda</t>
        </is>
      </c>
      <c r="C2257" t="inlineStr">
        <is>
          <t>Botelho Mourão</t>
        </is>
      </c>
      <c r="E2257" t="inlineStr">
        <is>
          <t>Vacal</t>
        </is>
      </c>
      <c r="F2257" t="inlineStr">
        <is>
          <t>Botelho Mourão – Henko</t>
        </is>
      </c>
      <c r="J2257" t="inlineStr">
        <is>
          <t>Atividade</t>
        </is>
      </c>
      <c r="K2257" t="inlineStr">
        <is>
          <t>Apoio</t>
        </is>
      </c>
      <c r="L2257" t="inlineStr">
        <is>
          <t>PDS-Maio.docx</t>
        </is>
      </c>
      <c r="M2257">
        <f>IF($A2257="","",TEXT($A2257,"mmmm/yyyy"))</f>
        <v/>
      </c>
      <c r="P2257">
        <f>IFERROR(XLOOKUP($N2257,Base_Enderecos!$A:$A,Base_Enderecos!$B:$B,""),"")</f>
        <v/>
      </c>
      <c r="Q2257">
        <f>IFERROR(XLOOKUP($N2257,Base_Enderecos!$A:$A,Base_Enderecos!$C:$C,""),"")</f>
        <v/>
      </c>
      <c r="R2257">
        <f>IF(ISNUMBER(SEARCH("HDD",$F2257)),"HDD",IF(ISNUMBER(SEARCH("VCA",$F2257)),"VCA","MND"))</f>
        <v/>
      </c>
      <c r="T2257">
        <f>TEXT($A2257,"yyyy-mm")&amp;"|"&amp;$C2257&amp;"|"&amp;$I2257</f>
        <v/>
      </c>
    </row>
    <row r="2258">
      <c r="A2258" s="36" t="n">
        <v>46146</v>
      </c>
      <c r="B2258" t="inlineStr">
        <is>
          <t>Segunda</t>
        </is>
      </c>
      <c r="C2258" t="inlineStr">
        <is>
          <t>Botelho Mourão</t>
        </is>
      </c>
      <c r="E2258" t="inlineStr">
        <is>
          <t>Vacal</t>
        </is>
      </c>
      <c r="F2258" t="inlineStr">
        <is>
          <t>Botelho Mourão – Hidrosol</t>
        </is>
      </c>
      <c r="J2258" t="inlineStr">
        <is>
          <t>Atividade</t>
        </is>
      </c>
      <c r="K2258" t="inlineStr">
        <is>
          <t>Apoio</t>
        </is>
      </c>
      <c r="L2258" t="inlineStr">
        <is>
          <t>PDS-Maio.docx</t>
        </is>
      </c>
      <c r="M2258">
        <f>IF($A2258="","",TEXT($A2258,"mmmm/yyyy"))</f>
        <v/>
      </c>
      <c r="P2258">
        <f>IFERROR(XLOOKUP($N2258,Base_Enderecos!$A:$A,Base_Enderecos!$B:$B,""),"")</f>
        <v/>
      </c>
      <c r="Q2258">
        <f>IFERROR(XLOOKUP($N2258,Base_Enderecos!$A:$A,Base_Enderecos!$C:$C,""),"")</f>
        <v/>
      </c>
      <c r="R2258">
        <f>IF(ISNUMBER(SEARCH("HDD",$F2258)),"HDD",IF(ISNUMBER(SEARCH("VCA",$F2258)),"VCA","MND"))</f>
        <v/>
      </c>
      <c r="T2258">
        <f>TEXT($A2258,"yyyy-mm")&amp;"|"&amp;$C2258&amp;"|"&amp;$I2258</f>
        <v/>
      </c>
    </row>
    <row r="2259">
      <c r="A2259" s="36" t="n">
        <v>46146</v>
      </c>
      <c r="B2259" t="inlineStr">
        <is>
          <t>Segunda</t>
        </is>
      </c>
      <c r="C2259" t="inlineStr">
        <is>
          <t>Água Vermelha MD</t>
        </is>
      </c>
      <c r="E2259" t="inlineStr">
        <is>
          <t>Vacal</t>
        </is>
      </c>
      <c r="F2259" t="inlineStr">
        <is>
          <t>Água Vermelha MD – Renasce</t>
        </is>
      </c>
      <c r="J2259" t="inlineStr">
        <is>
          <t>Atividade</t>
        </is>
      </c>
      <c r="K2259" t="inlineStr">
        <is>
          <t>Apoio</t>
        </is>
      </c>
      <c r="L2259" t="inlineStr">
        <is>
          <t>PDS-Maio.docx</t>
        </is>
      </c>
      <c r="M2259">
        <f>IF($A2259="","",TEXT($A2259,"mmmm/yyyy"))</f>
        <v/>
      </c>
      <c r="P2259">
        <f>IFERROR(XLOOKUP($N2259,Base_Enderecos!$A:$A,Base_Enderecos!$B:$B,""),"")</f>
        <v/>
      </c>
      <c r="Q2259">
        <f>IFERROR(XLOOKUP($N2259,Base_Enderecos!$A:$A,Base_Enderecos!$C:$C,""),"")</f>
        <v/>
      </c>
      <c r="R2259">
        <f>IF(ISNUMBER(SEARCH("HDD",$F2259)),"HDD",IF(ISNUMBER(SEARCH("VCA",$F2259)),"VCA","MND"))</f>
        <v/>
      </c>
      <c r="T2259">
        <f>TEXT($A2259,"yyyy-mm")&amp;"|"&amp;$C2259&amp;"|"&amp;$I2259</f>
        <v/>
      </c>
    </row>
    <row r="2260">
      <c r="A2260" s="36" t="n">
        <v>46146</v>
      </c>
      <c r="B2260" t="inlineStr">
        <is>
          <t>Segunda</t>
        </is>
      </c>
      <c r="C2260" t="inlineStr">
        <is>
          <t>Conceição</t>
        </is>
      </c>
      <c r="E2260" t="inlineStr">
        <is>
          <t>Vacal</t>
        </is>
      </c>
      <c r="F2260" t="inlineStr">
        <is>
          <t>Conceição – Renasce</t>
        </is>
      </c>
      <c r="J2260" t="inlineStr">
        <is>
          <t>Atividade</t>
        </is>
      </c>
      <c r="K2260" t="inlineStr">
        <is>
          <t>Apoio</t>
        </is>
      </c>
      <c r="L2260" t="inlineStr">
        <is>
          <t>PDS-Maio.docx</t>
        </is>
      </c>
      <c r="M2260">
        <f>IF($A2260="","",TEXT($A2260,"mmmm/yyyy"))</f>
        <v/>
      </c>
      <c r="P2260">
        <f>IFERROR(XLOOKUP($N2260,Base_Enderecos!$A:$A,Base_Enderecos!$B:$B,""),"")</f>
        <v/>
      </c>
      <c r="Q2260">
        <f>IFERROR(XLOOKUP($N2260,Base_Enderecos!$A:$A,Base_Enderecos!$C:$C,""),"")</f>
        <v/>
      </c>
      <c r="R2260">
        <f>IF(ISNUMBER(SEARCH("HDD",$F2260)),"HDD",IF(ISNUMBER(SEARCH("VCA",$F2260)),"VCA","MND"))</f>
        <v/>
      </c>
      <c r="T2260">
        <f>TEXT($A2260,"yyyy-mm")&amp;"|"&amp;$C2260&amp;"|"&amp;$I2260</f>
        <v/>
      </c>
    </row>
    <row r="2261">
      <c r="A2261" s="36" t="n">
        <v>46146</v>
      </c>
      <c r="B2261" t="inlineStr">
        <is>
          <t>Segunda</t>
        </is>
      </c>
      <c r="C2261" t="inlineStr">
        <is>
          <t>Guindauto</t>
        </is>
      </c>
      <c r="E2261" t="inlineStr">
        <is>
          <t>Guindauto</t>
        </is>
      </c>
      <c r="F2261" t="inlineStr">
        <is>
          <t>Marcio - Apoio as equipes</t>
        </is>
      </c>
      <c r="J2261" t="inlineStr">
        <is>
          <t>Atividade</t>
        </is>
      </c>
      <c r="K2261" t="inlineStr">
        <is>
          <t>Apoio</t>
        </is>
      </c>
      <c r="L2261" t="inlineStr">
        <is>
          <t>PDS-Maio.docx</t>
        </is>
      </c>
      <c r="M2261">
        <f>IF($A2261="","",TEXT($A2261,"mmmm/yyyy"))</f>
        <v/>
      </c>
      <c r="P2261">
        <f>IFERROR(XLOOKUP($N2261,Base_Enderecos!$A:$A,Base_Enderecos!$B:$B,""),"")</f>
        <v/>
      </c>
      <c r="Q2261">
        <f>IFERROR(XLOOKUP($N2261,Base_Enderecos!$A:$A,Base_Enderecos!$C:$C,""),"")</f>
        <v/>
      </c>
      <c r="R2261">
        <f>IF(ISNUMBER(SEARCH("HDD",$F2261)),"HDD",IF(ISNUMBER(SEARCH("VCA",$F2261)),"VCA","MND"))</f>
        <v/>
      </c>
      <c r="T2261">
        <f>TEXT($A2261,"yyyy-mm")&amp;"|"&amp;$C2261&amp;"|"&amp;$I2261</f>
        <v/>
      </c>
    </row>
    <row r="2262">
      <c r="A2262" s="36" t="n">
        <v>46146</v>
      </c>
      <c r="B2262" t="inlineStr">
        <is>
          <t>Segunda</t>
        </is>
      </c>
      <c r="C2262" t="inlineStr">
        <is>
          <t>Guindauto</t>
        </is>
      </c>
      <c r="E2262" t="inlineStr">
        <is>
          <t>Guindauto</t>
        </is>
      </c>
      <c r="F2262" t="inlineStr">
        <is>
          <t>Luiz Carlos - Apoio as equipes</t>
        </is>
      </c>
      <c r="J2262" t="inlineStr">
        <is>
          <t>Atividade</t>
        </is>
      </c>
      <c r="K2262" t="inlineStr">
        <is>
          <t>Apoio</t>
        </is>
      </c>
      <c r="L2262" t="inlineStr">
        <is>
          <t>PDS-Maio.docx</t>
        </is>
      </c>
      <c r="M2262">
        <f>IF($A2262="","",TEXT($A2262,"mmmm/yyyy"))</f>
        <v/>
      </c>
      <c r="P2262">
        <f>IFERROR(XLOOKUP($N2262,Base_Enderecos!$A:$A,Base_Enderecos!$B:$B,""),"")</f>
        <v/>
      </c>
      <c r="Q2262">
        <f>IFERROR(XLOOKUP($N2262,Base_Enderecos!$A:$A,Base_Enderecos!$C:$C,""),"")</f>
        <v/>
      </c>
      <c r="R2262">
        <f>IF(ISNUMBER(SEARCH("HDD",$F2262)),"HDD",IF(ISNUMBER(SEARCH("VCA",$F2262)),"VCA","MND"))</f>
        <v/>
      </c>
      <c r="T2262">
        <f>TEXT($A2262,"yyyy-mm")&amp;"|"&amp;$C2262&amp;"|"&amp;$I2262</f>
        <v/>
      </c>
    </row>
    <row r="2263">
      <c r="A2263" s="36" t="n">
        <v>46146</v>
      </c>
      <c r="B2263" t="inlineStr">
        <is>
          <t>Segunda</t>
        </is>
      </c>
      <c r="C2263" t="inlineStr">
        <is>
          <t>RCE Barão De Arariba</t>
        </is>
      </c>
      <c r="D2263" t="inlineStr">
        <is>
          <t>Eloízio E Valmir</t>
        </is>
      </c>
      <c r="E2263" t="inlineStr">
        <is>
          <t>Cesar</t>
        </is>
      </c>
      <c r="F2263" t="inlineStr">
        <is>
          <t>PDS - Programação Diária de Serviços:</t>
        </is>
      </c>
      <c r="J2263" t="inlineStr">
        <is>
          <t>Atividade</t>
        </is>
      </c>
      <c r="K2263" t="inlineStr">
        <is>
          <t>Planejamento</t>
        </is>
      </c>
      <c r="L2263" t="inlineStr">
        <is>
          <t>PDS-Maio.docx</t>
        </is>
      </c>
      <c r="M2263">
        <f>IF($A2263="","",TEXT($A2263,"mmmm/yyyy"))</f>
        <v/>
      </c>
      <c r="P2263">
        <f>IFERROR(XLOOKUP($N2263,Base_Enderecos!$A:$A,Base_Enderecos!$B:$B,""),"")</f>
        <v/>
      </c>
      <c r="Q2263">
        <f>IFERROR(XLOOKUP($N2263,Base_Enderecos!$A:$A,Base_Enderecos!$C:$C,""),"")</f>
        <v/>
      </c>
      <c r="R2263">
        <f>IF(ISNUMBER(SEARCH("HDD",$F2263)),"HDD",IF(ISNUMBER(SEARCH("VCA",$F2263)),"VCA","MND"))</f>
        <v/>
      </c>
      <c r="T2263">
        <f>TEXT($A2263,"yyyy-mm")&amp;"|"&amp;$C2263&amp;"|"&amp;$I2263</f>
        <v/>
      </c>
    </row>
    <row r="2264">
      <c r="A2264" s="36" t="n">
        <v>46146</v>
      </c>
      <c r="B2264" t="inlineStr">
        <is>
          <t>Segunda</t>
        </is>
      </c>
      <c r="C2264" t="inlineStr">
        <is>
          <t>RCE Barão De Arariba</t>
        </is>
      </c>
      <c r="D2264" t="inlineStr">
        <is>
          <t>Eloízio E Valmir</t>
        </is>
      </c>
      <c r="E2264" t="inlineStr">
        <is>
          <t>Cesar</t>
        </is>
      </c>
      <c r="F2264" t="inlineStr">
        <is>
          <t>Integra 6A</t>
        </is>
      </c>
      <c r="J2264" t="inlineStr">
        <is>
          <t>Atividade</t>
        </is>
      </c>
      <c r="K2264" t="inlineStr">
        <is>
          <t>Planejamento</t>
        </is>
      </c>
      <c r="L2264" t="inlineStr">
        <is>
          <t>PDS-Maio.docx</t>
        </is>
      </c>
      <c r="M2264">
        <f>IF($A2264="","",TEXT($A2264,"mmmm/yyyy"))</f>
        <v/>
      </c>
      <c r="P2264">
        <f>IFERROR(XLOOKUP($N2264,Base_Enderecos!$A:$A,Base_Enderecos!$B:$B,""),"")</f>
        <v/>
      </c>
      <c r="Q2264">
        <f>IFERROR(XLOOKUP($N2264,Base_Enderecos!$A:$A,Base_Enderecos!$C:$C,""),"")</f>
        <v/>
      </c>
      <c r="R2264">
        <f>IF(ISNUMBER(SEARCH("HDD",$F2264)),"HDD",IF(ISNUMBER(SEARCH("VCA",$F2264)),"VCA","MND"))</f>
        <v/>
      </c>
      <c r="T2264">
        <f>TEXT($A2264,"yyyy-mm")&amp;"|"&amp;$C2264&amp;"|"&amp;$I2264</f>
        <v/>
      </c>
    </row>
    <row r="2265">
      <c r="A2265" s="36" t="n">
        <v>46147</v>
      </c>
      <c r="B2265" t="inlineStr">
        <is>
          <t>Terça</t>
        </is>
      </c>
      <c r="C2265" t="inlineStr">
        <is>
          <t>CT João Canzi</t>
        </is>
      </c>
      <c r="D2265" t="inlineStr">
        <is>
          <t>Leandro</t>
        </is>
      </c>
      <c r="E2265" t="inlineStr">
        <is>
          <t>Emanuel Go-01</t>
        </is>
      </c>
      <c r="F2265" t="inlineStr">
        <is>
          <t>Shaft PV 06</t>
        </is>
      </c>
      <c r="G2265" t="inlineStr">
        <is>
          <t>06</t>
        </is>
      </c>
      <c r="I2265" t="inlineStr">
        <is>
          <t>06</t>
        </is>
      </c>
      <c r="J2265" t="inlineStr">
        <is>
          <t>Shaft</t>
        </is>
      </c>
      <c r="K2265" t="inlineStr">
        <is>
          <t>Planejamento</t>
        </is>
      </c>
      <c r="L2265" t="inlineStr">
        <is>
          <t>PDS-Maio.docx</t>
        </is>
      </c>
      <c r="M2265">
        <f>IF($A2265="","",TEXT($A2265,"mmmm/yyyy"))</f>
        <v/>
      </c>
      <c r="P2265">
        <f>IFERROR(XLOOKUP($N2265,Base_Enderecos!$A:$A,Base_Enderecos!$B:$B,""),"")</f>
        <v/>
      </c>
      <c r="Q2265">
        <f>IFERROR(XLOOKUP($N2265,Base_Enderecos!$A:$A,Base_Enderecos!$C:$C,""),"")</f>
        <v/>
      </c>
      <c r="R2265">
        <f>IF(ISNUMBER(SEARCH("HDD",$F2265)),"HDD",IF(ISNUMBER(SEARCH("VCA",$F2265)),"VCA","MND"))</f>
        <v/>
      </c>
      <c r="T2265">
        <f>TEXT($A2265,"yyyy-mm")&amp;"|"&amp;$C2265&amp;"|"&amp;$I2265</f>
        <v/>
      </c>
    </row>
    <row r="2266">
      <c r="A2266" s="36" t="n">
        <v>46147</v>
      </c>
      <c r="B2266" t="inlineStr">
        <is>
          <t>Terça</t>
        </is>
      </c>
      <c r="C2266" t="inlineStr">
        <is>
          <t>CT João Canzi</t>
        </is>
      </c>
      <c r="D2266" t="inlineStr">
        <is>
          <t>Leandro</t>
        </is>
      </c>
      <c r="E2266" t="inlineStr">
        <is>
          <t>Paulo Go-02</t>
        </is>
      </c>
      <c r="F2266" t="inlineStr">
        <is>
          <t>Shaft PV 11</t>
        </is>
      </c>
      <c r="G2266" t="inlineStr">
        <is>
          <t>11</t>
        </is>
      </c>
      <c r="I2266" t="inlineStr">
        <is>
          <t>11</t>
        </is>
      </c>
      <c r="J2266" t="inlineStr">
        <is>
          <t>Shaft</t>
        </is>
      </c>
      <c r="K2266" t="inlineStr">
        <is>
          <t>Planejamento</t>
        </is>
      </c>
      <c r="L2266" t="inlineStr">
        <is>
          <t>PDS-Maio.docx</t>
        </is>
      </c>
      <c r="M2266">
        <f>IF($A2266="","",TEXT($A2266,"mmmm/yyyy"))</f>
        <v/>
      </c>
      <c r="P2266">
        <f>IFERROR(XLOOKUP($N2266,Base_Enderecos!$A:$A,Base_Enderecos!$B:$B,""),"")</f>
        <v/>
      </c>
      <c r="Q2266">
        <f>IFERROR(XLOOKUP($N2266,Base_Enderecos!$A:$A,Base_Enderecos!$C:$C,""),"")</f>
        <v/>
      </c>
      <c r="R2266">
        <f>IF(ISNUMBER(SEARCH("HDD",$F2266)),"HDD",IF(ISNUMBER(SEARCH("VCA",$F2266)),"VCA","MND"))</f>
        <v/>
      </c>
      <c r="T2266">
        <f>TEXT($A2266,"yyyy-mm")&amp;"|"&amp;$C2266&amp;"|"&amp;$I2266</f>
        <v/>
      </c>
    </row>
    <row r="2267">
      <c r="A2267" s="36" t="n">
        <v>46147</v>
      </c>
      <c r="B2267" t="inlineStr">
        <is>
          <t>Terça</t>
        </is>
      </c>
      <c r="C2267" t="inlineStr">
        <is>
          <t>CT João Canzi</t>
        </is>
      </c>
      <c r="D2267" t="inlineStr">
        <is>
          <t>Leandro</t>
        </is>
      </c>
      <c r="E2267" t="inlineStr">
        <is>
          <t>Bruno</t>
        </is>
      </c>
      <c r="F2267" t="inlineStr">
        <is>
          <t>Shaft PV 13</t>
        </is>
      </c>
      <c r="G2267" t="inlineStr">
        <is>
          <t>13</t>
        </is>
      </c>
      <c r="I2267" t="inlineStr">
        <is>
          <t>13</t>
        </is>
      </c>
      <c r="J2267" t="inlineStr">
        <is>
          <t>Shaft</t>
        </is>
      </c>
      <c r="K2267" t="inlineStr">
        <is>
          <t>Planejamento</t>
        </is>
      </c>
      <c r="L2267" t="inlineStr">
        <is>
          <t>PDS-Maio.docx</t>
        </is>
      </c>
      <c r="M2267">
        <f>IF($A2267="","",TEXT($A2267,"mmmm/yyyy"))</f>
        <v/>
      </c>
      <c r="P2267">
        <f>IFERROR(XLOOKUP($N2267,Base_Enderecos!$A:$A,Base_Enderecos!$B:$B,""),"")</f>
        <v/>
      </c>
      <c r="Q2267">
        <f>IFERROR(XLOOKUP($N2267,Base_Enderecos!$A:$A,Base_Enderecos!$C:$C,""),"")</f>
        <v/>
      </c>
      <c r="R2267">
        <f>IF(ISNUMBER(SEARCH("HDD",$F2267)),"HDD",IF(ISNUMBER(SEARCH("VCA",$F2267)),"VCA","MND"))</f>
        <v/>
      </c>
      <c r="T2267">
        <f>TEXT($A2267,"yyyy-mm")&amp;"|"&amp;$C2267&amp;"|"&amp;$I2267</f>
        <v/>
      </c>
    </row>
    <row r="2268">
      <c r="A2268" s="36" t="n">
        <v>46147</v>
      </c>
      <c r="B2268" t="inlineStr">
        <is>
          <t>Terça</t>
        </is>
      </c>
      <c r="C2268" t="inlineStr">
        <is>
          <t>CT João Canzi</t>
        </is>
      </c>
      <c r="D2268" t="inlineStr">
        <is>
          <t>Leandro</t>
        </is>
      </c>
      <c r="E2268" t="inlineStr">
        <is>
          <t>Valter</t>
        </is>
      </c>
      <c r="F2268" t="inlineStr">
        <is>
          <t>Shaft PV 14</t>
        </is>
      </c>
      <c r="G2268" t="inlineStr">
        <is>
          <t>14</t>
        </is>
      </c>
      <c r="I2268" t="inlineStr">
        <is>
          <t>14</t>
        </is>
      </c>
      <c r="J2268" t="inlineStr">
        <is>
          <t>Shaft</t>
        </is>
      </c>
      <c r="K2268" t="inlineStr">
        <is>
          <t>Planejamento</t>
        </is>
      </c>
      <c r="L2268" t="inlineStr">
        <is>
          <t>PDS-Maio.docx</t>
        </is>
      </c>
      <c r="M2268">
        <f>IF($A2268="","",TEXT($A2268,"mmmm/yyyy"))</f>
        <v/>
      </c>
      <c r="P2268">
        <f>IFERROR(XLOOKUP($N2268,Base_Enderecos!$A:$A,Base_Enderecos!$B:$B,""),"")</f>
        <v/>
      </c>
      <c r="Q2268">
        <f>IFERROR(XLOOKUP($N2268,Base_Enderecos!$A:$A,Base_Enderecos!$C:$C,""),"")</f>
        <v/>
      </c>
      <c r="R2268">
        <f>IF(ISNUMBER(SEARCH("HDD",$F2268)),"HDD",IF(ISNUMBER(SEARCH("VCA",$F2268)),"VCA","MND"))</f>
        <v/>
      </c>
      <c r="T2268">
        <f>TEXT($A2268,"yyyy-mm")&amp;"|"&amp;$C2268&amp;"|"&amp;$I2268</f>
        <v/>
      </c>
    </row>
    <row r="2269">
      <c r="A2269" s="36" t="n">
        <v>46147</v>
      </c>
      <c r="B2269" t="inlineStr">
        <is>
          <t>Terça</t>
        </is>
      </c>
      <c r="C2269" t="inlineStr">
        <is>
          <t>CT João Canzi</t>
        </is>
      </c>
      <c r="D2269" t="inlineStr">
        <is>
          <t>Leandro</t>
        </is>
      </c>
      <c r="E2269" t="inlineStr">
        <is>
          <t>Carlos</t>
        </is>
      </c>
      <c r="F2269" t="inlineStr">
        <is>
          <t>Shaft PV 08</t>
        </is>
      </c>
      <c r="G2269" t="inlineStr">
        <is>
          <t>08</t>
        </is>
      </c>
      <c r="I2269" t="inlineStr">
        <is>
          <t>08</t>
        </is>
      </c>
      <c r="J2269" t="inlineStr">
        <is>
          <t>Shaft</t>
        </is>
      </c>
      <c r="K2269" t="inlineStr">
        <is>
          <t>Planejamento</t>
        </is>
      </c>
      <c r="L2269" t="inlineStr">
        <is>
          <t>PDS-Maio.docx</t>
        </is>
      </c>
      <c r="M2269">
        <f>IF($A2269="","",TEXT($A2269,"mmmm/yyyy"))</f>
        <v/>
      </c>
      <c r="P2269">
        <f>IFERROR(XLOOKUP($N2269,Base_Enderecos!$A:$A,Base_Enderecos!$B:$B,""),"")</f>
        <v/>
      </c>
      <c r="Q2269">
        <f>IFERROR(XLOOKUP($N2269,Base_Enderecos!$A:$A,Base_Enderecos!$C:$C,""),"")</f>
        <v/>
      </c>
      <c r="R2269">
        <f>IF(ISNUMBER(SEARCH("HDD",$F2269)),"HDD",IF(ISNUMBER(SEARCH("VCA",$F2269)),"VCA","MND"))</f>
        <v/>
      </c>
      <c r="T2269">
        <f>TEXT($A2269,"yyyy-mm")&amp;"|"&amp;$C2269&amp;"|"&amp;$I2269</f>
        <v/>
      </c>
    </row>
    <row r="2270">
      <c r="A2270" s="36" t="n">
        <v>46147</v>
      </c>
      <c r="B2270" t="inlineStr">
        <is>
          <t>Terça</t>
        </is>
      </c>
      <c r="C2270" t="inlineStr">
        <is>
          <t>CTS Mar De Coral</t>
        </is>
      </c>
      <c r="D2270" t="inlineStr">
        <is>
          <t>Silvestre</t>
        </is>
      </c>
      <c r="E2270" t="inlineStr">
        <is>
          <t>Edvando</t>
        </is>
      </c>
      <c r="F2270" t="inlineStr">
        <is>
          <t>VCA e transformações de PVs entre PV 22.2 ao 22.4</t>
        </is>
      </c>
      <c r="G2270" t="inlineStr">
        <is>
          <t>22.2</t>
        </is>
      </c>
      <c r="H2270" t="inlineStr">
        <is>
          <t>22.4</t>
        </is>
      </c>
      <c r="I2270" t="inlineStr">
        <is>
          <t>22.2 ao 22.4</t>
        </is>
      </c>
      <c r="J2270" t="inlineStr">
        <is>
          <t>Transformação</t>
        </is>
      </c>
      <c r="K2270" t="inlineStr">
        <is>
          <t>Planejamento</t>
        </is>
      </c>
      <c r="L2270" t="inlineStr">
        <is>
          <t>PDS-Maio.docx</t>
        </is>
      </c>
      <c r="M2270">
        <f>IF($A2270="","",TEXT($A2270,"mmmm/yyyy"))</f>
        <v/>
      </c>
      <c r="P2270">
        <f>IFERROR(XLOOKUP($N2270,Base_Enderecos!$A:$A,Base_Enderecos!$B:$B,""),"")</f>
        <v/>
      </c>
      <c r="Q2270">
        <f>IFERROR(XLOOKUP($N2270,Base_Enderecos!$A:$A,Base_Enderecos!$C:$C,""),"")</f>
        <v/>
      </c>
      <c r="R2270">
        <f>IF(ISNUMBER(SEARCH("HDD",$F2270)),"HDD",IF(ISNUMBER(SEARCH("VCA",$F2270)),"VCA","MND"))</f>
        <v/>
      </c>
      <c r="T2270">
        <f>TEXT($A2270,"yyyy-mm")&amp;"|"&amp;$C2270&amp;"|"&amp;$I2270</f>
        <v/>
      </c>
    </row>
    <row r="2271">
      <c r="A2271" s="36" t="n">
        <v>46147</v>
      </c>
      <c r="B2271" t="inlineStr">
        <is>
          <t>Terça</t>
        </is>
      </c>
      <c r="C2271" t="inlineStr">
        <is>
          <t>CTS Mar De Coral</t>
        </is>
      </c>
      <c r="D2271" t="inlineStr">
        <is>
          <t>Silvestre</t>
        </is>
      </c>
      <c r="E2271" t="inlineStr">
        <is>
          <t>Cidão</t>
        </is>
      </c>
      <c r="F2271" t="inlineStr">
        <is>
          <t>Acabamento PV 5.10</t>
        </is>
      </c>
      <c r="G2271" t="inlineStr">
        <is>
          <t>5.10</t>
        </is>
      </c>
      <c r="I2271" t="inlineStr">
        <is>
          <t>5.10</t>
        </is>
      </c>
      <c r="J2271" t="inlineStr">
        <is>
          <t>Acabamento</t>
        </is>
      </c>
      <c r="K2271" t="inlineStr">
        <is>
          <t>Planejamento</t>
        </is>
      </c>
      <c r="L2271" t="inlineStr">
        <is>
          <t>PDS-Maio.docx</t>
        </is>
      </c>
      <c r="M2271">
        <f>IF($A2271="","",TEXT($A2271,"mmmm/yyyy"))</f>
        <v/>
      </c>
      <c r="P2271">
        <f>IFERROR(XLOOKUP($N2271,Base_Enderecos!$A:$A,Base_Enderecos!$B:$B,""),"")</f>
        <v/>
      </c>
      <c r="Q2271">
        <f>IFERROR(XLOOKUP($N2271,Base_Enderecos!$A:$A,Base_Enderecos!$C:$C,""),"")</f>
        <v/>
      </c>
      <c r="R2271">
        <f>IF(ISNUMBER(SEARCH("HDD",$F2271)),"HDD",IF(ISNUMBER(SEARCH("VCA",$F2271)),"VCA","MND"))</f>
        <v/>
      </c>
      <c r="T2271">
        <f>TEXT($A2271,"yyyy-mm")&amp;"|"&amp;$C2271&amp;"|"&amp;$I2271</f>
        <v/>
      </c>
    </row>
    <row r="2272">
      <c r="A2272" s="36" t="n">
        <v>46147</v>
      </c>
      <c r="B2272" t="inlineStr">
        <is>
          <t>Terça</t>
        </is>
      </c>
      <c r="C2272" t="inlineStr">
        <is>
          <t>CTS Luis Botelho Mourão</t>
        </is>
      </c>
      <c r="D2272" t="inlineStr">
        <is>
          <t>Robson</t>
        </is>
      </c>
      <c r="E2272" t="inlineStr">
        <is>
          <t>Marcio</t>
        </is>
      </c>
      <c r="F2272" t="inlineStr">
        <is>
          <t>Lavagem da rede</t>
        </is>
      </c>
      <c r="J2272" t="inlineStr">
        <is>
          <t>Lavagem</t>
        </is>
      </c>
      <c r="K2272" t="inlineStr">
        <is>
          <t>Planejamento</t>
        </is>
      </c>
      <c r="L2272" t="inlineStr">
        <is>
          <t>PDS-Maio.docx</t>
        </is>
      </c>
      <c r="M2272">
        <f>IF($A2272="","",TEXT($A2272,"mmmm/yyyy"))</f>
        <v/>
      </c>
      <c r="P2272">
        <f>IFERROR(XLOOKUP($N2272,Base_Enderecos!$A:$A,Base_Enderecos!$B:$B,""),"")</f>
        <v/>
      </c>
      <c r="Q2272">
        <f>IFERROR(XLOOKUP($N2272,Base_Enderecos!$A:$A,Base_Enderecos!$C:$C,""),"")</f>
        <v/>
      </c>
      <c r="R2272">
        <f>IF(ISNUMBER(SEARCH("HDD",$F2272)),"HDD",IF(ISNUMBER(SEARCH("VCA",$F2272)),"VCA","MND"))</f>
        <v/>
      </c>
      <c r="T2272">
        <f>TEXT($A2272,"yyyy-mm")&amp;"|"&amp;$C2272&amp;"|"&amp;$I2272</f>
        <v/>
      </c>
    </row>
    <row r="2273">
      <c r="A2273" s="36" t="n">
        <v>46147</v>
      </c>
      <c r="B2273" t="inlineStr">
        <is>
          <t>Terça</t>
        </is>
      </c>
      <c r="C2273" t="inlineStr">
        <is>
          <t>CTS Luis Botelho Mourão</t>
        </is>
      </c>
      <c r="D2273" t="inlineStr">
        <is>
          <t>Robson</t>
        </is>
      </c>
      <c r="E2273" t="inlineStr">
        <is>
          <t>Higor</t>
        </is>
      </c>
      <c r="F2273" t="inlineStr">
        <is>
          <t>Acabamento PV 08 ao PV 09</t>
        </is>
      </c>
      <c r="G2273" t="inlineStr">
        <is>
          <t>08</t>
        </is>
      </c>
      <c r="H2273" t="inlineStr">
        <is>
          <t>09</t>
        </is>
      </c>
      <c r="I2273" t="inlineStr">
        <is>
          <t>08 ao 09</t>
        </is>
      </c>
      <c r="J2273" t="inlineStr">
        <is>
          <t>Acabamento</t>
        </is>
      </c>
      <c r="K2273" t="inlineStr">
        <is>
          <t>Planejamento</t>
        </is>
      </c>
      <c r="L2273" t="inlineStr">
        <is>
          <t>PDS-Maio.docx</t>
        </is>
      </c>
      <c r="M2273">
        <f>IF($A2273="","",TEXT($A2273,"mmmm/yyyy"))</f>
        <v/>
      </c>
      <c r="P2273">
        <f>IFERROR(XLOOKUP($N2273,Base_Enderecos!$A:$A,Base_Enderecos!$B:$B,""),"")</f>
        <v/>
      </c>
      <c r="Q2273">
        <f>IFERROR(XLOOKUP($N2273,Base_Enderecos!$A:$A,Base_Enderecos!$C:$C,""),"")</f>
        <v/>
      </c>
      <c r="R2273">
        <f>IF(ISNUMBER(SEARCH("HDD",$F2273)),"HDD",IF(ISNUMBER(SEARCH("VCA",$F2273)),"VCA","MND"))</f>
        <v/>
      </c>
      <c r="T2273">
        <f>TEXT($A2273,"yyyy-mm")&amp;"|"&amp;$C2273&amp;"|"&amp;$I2273</f>
        <v/>
      </c>
    </row>
    <row r="2274">
      <c r="A2274" s="36" t="n">
        <v>46147</v>
      </c>
      <c r="B2274" t="inlineStr">
        <is>
          <t>Terça</t>
        </is>
      </c>
      <c r="C2274" t="inlineStr">
        <is>
          <t>CTS Luis Botelho Mourão</t>
        </is>
      </c>
      <c r="D2274" t="inlineStr">
        <is>
          <t>Robson</t>
        </is>
      </c>
      <c r="E2274" t="inlineStr">
        <is>
          <t>Jhonatan</t>
        </is>
      </c>
      <c r="F2274" t="inlineStr">
        <is>
          <t>Substituição Rede PV 05 ao PVE</t>
        </is>
      </c>
      <c r="G2274" t="inlineStr">
        <is>
          <t>05</t>
        </is>
      </c>
      <c r="I2274" t="inlineStr">
        <is>
          <t>05</t>
        </is>
      </c>
      <c r="J2274" t="inlineStr">
        <is>
          <t>Atividade</t>
        </is>
      </c>
      <c r="K2274" t="inlineStr">
        <is>
          <t>Planejamento</t>
        </is>
      </c>
      <c r="L2274" t="inlineStr">
        <is>
          <t>PDS-Maio.docx</t>
        </is>
      </c>
      <c r="M2274">
        <f>IF($A2274="","",TEXT($A2274,"mmmm/yyyy"))</f>
        <v/>
      </c>
      <c r="P2274">
        <f>IFERROR(XLOOKUP($N2274,Base_Enderecos!$A:$A,Base_Enderecos!$B:$B,""),"")</f>
        <v/>
      </c>
      <c r="Q2274">
        <f>IFERROR(XLOOKUP($N2274,Base_Enderecos!$A:$A,Base_Enderecos!$C:$C,""),"")</f>
        <v/>
      </c>
      <c r="R2274">
        <f>IF(ISNUMBER(SEARCH("HDD",$F2274)),"HDD",IF(ISNUMBER(SEARCH("VCA",$F2274)),"VCA","MND"))</f>
        <v/>
      </c>
      <c r="T2274">
        <f>TEXT($A2274,"yyyy-mm")&amp;"|"&amp;$C2274&amp;"|"&amp;$I2274</f>
        <v/>
      </c>
    </row>
    <row r="2275">
      <c r="A2275" s="36" t="n">
        <v>46147</v>
      </c>
      <c r="B2275" t="inlineStr">
        <is>
          <t>Terça</t>
        </is>
      </c>
      <c r="C2275" t="inlineStr">
        <is>
          <t>RCE São Lucas</t>
        </is>
      </c>
      <c r="D2275" t="inlineStr">
        <is>
          <t>Fábio</t>
        </is>
      </c>
      <c r="E2275" t="inlineStr">
        <is>
          <t>Antonio</t>
        </is>
      </c>
      <c r="F2275" t="inlineStr">
        <is>
          <t>VCA, PVs e Ligações</t>
        </is>
      </c>
      <c r="J2275" t="inlineStr">
        <is>
          <t>VCA</t>
        </is>
      </c>
      <c r="K2275" t="inlineStr">
        <is>
          <t>Planejamento</t>
        </is>
      </c>
      <c r="L2275" t="inlineStr">
        <is>
          <t>PDS-Maio.docx</t>
        </is>
      </c>
      <c r="M2275">
        <f>IF($A2275="","",TEXT($A2275,"mmmm/yyyy"))</f>
        <v/>
      </c>
      <c r="P2275">
        <f>IFERROR(XLOOKUP($N2275,Base_Enderecos!$A:$A,Base_Enderecos!$B:$B,""),"")</f>
        <v/>
      </c>
      <c r="Q2275">
        <f>IFERROR(XLOOKUP($N2275,Base_Enderecos!$A:$A,Base_Enderecos!$C:$C,""),"")</f>
        <v/>
      </c>
      <c r="R2275">
        <f>IF(ISNUMBER(SEARCH("HDD",$F2275)),"HDD",IF(ISNUMBER(SEARCH("VCA",$F2275)),"VCA","MND"))</f>
        <v/>
      </c>
      <c r="T2275">
        <f>TEXT($A2275,"yyyy-mm")&amp;"|"&amp;$C2275&amp;"|"&amp;$I2275</f>
        <v/>
      </c>
    </row>
    <row r="2276">
      <c r="A2276" s="36" t="n">
        <v>46147</v>
      </c>
      <c r="B2276" t="inlineStr">
        <is>
          <t>Terça</t>
        </is>
      </c>
      <c r="C2276" t="inlineStr">
        <is>
          <t>RCE São Lucas</t>
        </is>
      </c>
      <c r="D2276" t="inlineStr">
        <is>
          <t>Fábio</t>
        </is>
      </c>
      <c r="E2276" t="inlineStr">
        <is>
          <t>Medeiros</t>
        </is>
      </c>
      <c r="F2276" t="inlineStr">
        <is>
          <t>VCA, PVs e Ligações</t>
        </is>
      </c>
      <c r="J2276" t="inlineStr">
        <is>
          <t>VCA</t>
        </is>
      </c>
      <c r="K2276" t="inlineStr">
        <is>
          <t>Planejamento</t>
        </is>
      </c>
      <c r="L2276" t="inlineStr">
        <is>
          <t>PDS-Maio.docx</t>
        </is>
      </c>
      <c r="M2276">
        <f>IF($A2276="","",TEXT($A2276,"mmmm/yyyy"))</f>
        <v/>
      </c>
      <c r="P2276">
        <f>IFERROR(XLOOKUP($N2276,Base_Enderecos!$A:$A,Base_Enderecos!$B:$B,""),"")</f>
        <v/>
      </c>
      <c r="Q2276">
        <f>IFERROR(XLOOKUP($N2276,Base_Enderecos!$A:$A,Base_Enderecos!$C:$C,""),"")</f>
        <v/>
      </c>
      <c r="R2276">
        <f>IF(ISNUMBER(SEARCH("HDD",$F2276)),"HDD",IF(ISNUMBER(SEARCH("VCA",$F2276)),"VCA","MND"))</f>
        <v/>
      </c>
      <c r="T2276">
        <f>TEXT($A2276,"yyyy-mm")&amp;"|"&amp;$C2276&amp;"|"&amp;$I2276</f>
        <v/>
      </c>
    </row>
    <row r="2277">
      <c r="A2277" s="36" t="n">
        <v>46147</v>
      </c>
      <c r="B2277" t="inlineStr">
        <is>
          <t>Terça</t>
        </is>
      </c>
      <c r="C2277" t="inlineStr">
        <is>
          <t>RCE São Lucas</t>
        </is>
      </c>
      <c r="D2277" t="inlineStr">
        <is>
          <t>Fábio</t>
        </is>
      </c>
      <c r="E2277" t="inlineStr">
        <is>
          <t>Ricardo</t>
        </is>
      </c>
      <c r="F2277" t="inlineStr">
        <is>
          <t>VCA, PVs e Ligações</t>
        </is>
      </c>
      <c r="J2277" t="inlineStr">
        <is>
          <t>VCA</t>
        </is>
      </c>
      <c r="K2277" t="inlineStr">
        <is>
          <t>Planejamento</t>
        </is>
      </c>
      <c r="L2277" t="inlineStr">
        <is>
          <t>PDS-Maio.docx</t>
        </is>
      </c>
      <c r="M2277">
        <f>IF($A2277="","",TEXT($A2277,"mmmm/yyyy"))</f>
        <v/>
      </c>
      <c r="P2277">
        <f>IFERROR(XLOOKUP($N2277,Base_Enderecos!$A:$A,Base_Enderecos!$B:$B,""),"")</f>
        <v/>
      </c>
      <c r="Q2277">
        <f>IFERROR(XLOOKUP($N2277,Base_Enderecos!$A:$A,Base_Enderecos!$C:$C,""),"")</f>
        <v/>
      </c>
      <c r="R2277">
        <f>IF(ISNUMBER(SEARCH("HDD",$F2277)),"HDD",IF(ISNUMBER(SEARCH("VCA",$F2277)),"VCA","MND"))</f>
        <v/>
      </c>
      <c r="T2277">
        <f>TEXT($A2277,"yyyy-mm")&amp;"|"&amp;$C2277&amp;"|"&amp;$I2277</f>
        <v/>
      </c>
    </row>
    <row r="2278">
      <c r="A2278" s="36" t="n">
        <v>46147</v>
      </c>
      <c r="B2278" t="inlineStr">
        <is>
          <t>Terça</t>
        </is>
      </c>
      <c r="C2278" t="inlineStr">
        <is>
          <t>RCE São Lucas</t>
        </is>
      </c>
      <c r="D2278" t="inlineStr">
        <is>
          <t>Fábio</t>
        </is>
      </c>
      <c r="E2278" t="inlineStr">
        <is>
          <t>Claudinei</t>
        </is>
      </c>
      <c r="F2278" t="inlineStr">
        <is>
          <t>VCA, PVs e Ligações</t>
        </is>
      </c>
      <c r="J2278" t="inlineStr">
        <is>
          <t>VCA</t>
        </is>
      </c>
      <c r="K2278" t="inlineStr">
        <is>
          <t>Planejamento</t>
        </is>
      </c>
      <c r="L2278" t="inlineStr">
        <is>
          <t>PDS-Maio.docx</t>
        </is>
      </c>
      <c r="M2278">
        <f>IF($A2278="","",TEXT($A2278,"mmmm/yyyy"))</f>
        <v/>
      </c>
      <c r="P2278">
        <f>IFERROR(XLOOKUP($N2278,Base_Enderecos!$A:$A,Base_Enderecos!$B:$B,""),"")</f>
        <v/>
      </c>
      <c r="Q2278">
        <f>IFERROR(XLOOKUP($N2278,Base_Enderecos!$A:$A,Base_Enderecos!$C:$C,""),"")</f>
        <v/>
      </c>
      <c r="R2278">
        <f>IF(ISNUMBER(SEARCH("HDD",$F2278)),"HDD",IF(ISNUMBER(SEARCH("VCA",$F2278)),"VCA","MND"))</f>
        <v/>
      </c>
      <c r="T2278">
        <f>TEXT($A2278,"yyyy-mm")&amp;"|"&amp;$C2278&amp;"|"&amp;$I2278</f>
        <v/>
      </c>
    </row>
    <row r="2279">
      <c r="A2279" s="36" t="n">
        <v>46147</v>
      </c>
      <c r="B2279" t="inlineStr">
        <is>
          <t>Terça</t>
        </is>
      </c>
      <c r="C2279" t="inlineStr">
        <is>
          <t>RCE São Lucas</t>
        </is>
      </c>
      <c r="D2279" t="inlineStr">
        <is>
          <t>Fábio</t>
        </is>
      </c>
      <c r="E2279" t="inlineStr">
        <is>
          <t>Marcelo</t>
        </is>
      </c>
      <c r="F2279" t="inlineStr">
        <is>
          <t>VCA, PVs e Ligações</t>
        </is>
      </c>
      <c r="J2279" t="inlineStr">
        <is>
          <t>VCA</t>
        </is>
      </c>
      <c r="K2279" t="inlineStr">
        <is>
          <t>Planejamento</t>
        </is>
      </c>
      <c r="L2279" t="inlineStr">
        <is>
          <t>PDS-Maio.docx</t>
        </is>
      </c>
      <c r="M2279">
        <f>IF($A2279="","",TEXT($A2279,"mmmm/yyyy"))</f>
        <v/>
      </c>
      <c r="P2279">
        <f>IFERROR(XLOOKUP($N2279,Base_Enderecos!$A:$A,Base_Enderecos!$B:$B,""),"")</f>
        <v/>
      </c>
      <c r="Q2279">
        <f>IFERROR(XLOOKUP($N2279,Base_Enderecos!$A:$A,Base_Enderecos!$C:$C,""),"")</f>
        <v/>
      </c>
      <c r="R2279">
        <f>IF(ISNUMBER(SEARCH("HDD",$F2279)),"HDD",IF(ISNUMBER(SEARCH("VCA",$F2279)),"VCA","MND"))</f>
        <v/>
      </c>
      <c r="T2279">
        <f>TEXT($A2279,"yyyy-mm")&amp;"|"&amp;$C2279&amp;"|"&amp;$I2279</f>
        <v/>
      </c>
    </row>
    <row r="2280">
      <c r="A2280" s="36" t="n">
        <v>46147</v>
      </c>
      <c r="B2280" t="inlineStr">
        <is>
          <t>Terça</t>
        </is>
      </c>
      <c r="C2280" t="inlineStr">
        <is>
          <t>RCE Barão De Arariba</t>
        </is>
      </c>
      <c r="D2280" t="inlineStr">
        <is>
          <t>Valmir</t>
        </is>
      </c>
      <c r="E2280" t="inlineStr">
        <is>
          <t>Cesar</t>
        </is>
      </c>
      <c r="F2280" t="inlineStr">
        <is>
          <t>Shaft PV 10</t>
        </is>
      </c>
      <c r="G2280" t="inlineStr">
        <is>
          <t>10</t>
        </is>
      </c>
      <c r="I2280" t="inlineStr">
        <is>
          <t>10</t>
        </is>
      </c>
      <c r="J2280" t="inlineStr">
        <is>
          <t>Shaft</t>
        </is>
      </c>
      <c r="K2280" t="inlineStr">
        <is>
          <t>Planejamento</t>
        </is>
      </c>
      <c r="L2280" t="inlineStr">
        <is>
          <t>PDS-Maio.docx</t>
        </is>
      </c>
      <c r="M2280">
        <f>IF($A2280="","",TEXT($A2280,"mmmm/yyyy"))</f>
        <v/>
      </c>
      <c r="P2280">
        <f>IFERROR(XLOOKUP($N2280,Base_Enderecos!$A:$A,Base_Enderecos!$B:$B,""),"")</f>
        <v/>
      </c>
      <c r="Q2280">
        <f>IFERROR(XLOOKUP($N2280,Base_Enderecos!$A:$A,Base_Enderecos!$C:$C,""),"")</f>
        <v/>
      </c>
      <c r="R2280">
        <f>IF(ISNUMBER(SEARCH("HDD",$F2280)),"HDD",IF(ISNUMBER(SEARCH("VCA",$F2280)),"VCA","MND"))</f>
        <v/>
      </c>
      <c r="T2280">
        <f>TEXT($A2280,"yyyy-mm")&amp;"|"&amp;$C2280&amp;"|"&amp;$I2280</f>
        <v/>
      </c>
    </row>
    <row r="2281">
      <c r="A2281" s="36" t="n">
        <v>46147</v>
      </c>
      <c r="B2281" t="inlineStr">
        <is>
          <t>Terça</t>
        </is>
      </c>
      <c r="C2281" t="inlineStr">
        <is>
          <t>Botelho Mourão</t>
        </is>
      </c>
      <c r="E2281" t="inlineStr">
        <is>
          <t>Vacal</t>
        </is>
      </c>
      <c r="F2281" t="inlineStr">
        <is>
          <t>Botelho Mourão – Henko</t>
        </is>
      </c>
      <c r="J2281" t="inlineStr">
        <is>
          <t>Atividade</t>
        </is>
      </c>
      <c r="K2281" t="inlineStr">
        <is>
          <t>Apoio</t>
        </is>
      </c>
      <c r="L2281" t="inlineStr">
        <is>
          <t>PDS-Maio.docx</t>
        </is>
      </c>
      <c r="M2281">
        <f>IF($A2281="","",TEXT($A2281,"mmmm/yyyy"))</f>
        <v/>
      </c>
      <c r="P2281">
        <f>IFERROR(XLOOKUP($N2281,Base_Enderecos!$A:$A,Base_Enderecos!$B:$B,""),"")</f>
        <v/>
      </c>
      <c r="Q2281">
        <f>IFERROR(XLOOKUP($N2281,Base_Enderecos!$A:$A,Base_Enderecos!$C:$C,""),"")</f>
        <v/>
      </c>
      <c r="R2281">
        <f>IF(ISNUMBER(SEARCH("HDD",$F2281)),"HDD",IF(ISNUMBER(SEARCH("VCA",$F2281)),"VCA","MND"))</f>
        <v/>
      </c>
      <c r="T2281">
        <f>TEXT($A2281,"yyyy-mm")&amp;"|"&amp;$C2281&amp;"|"&amp;$I2281</f>
        <v/>
      </c>
    </row>
    <row r="2282">
      <c r="A2282" s="36" t="n">
        <v>46147</v>
      </c>
      <c r="B2282" t="inlineStr">
        <is>
          <t>Terça</t>
        </is>
      </c>
      <c r="C2282" t="inlineStr">
        <is>
          <t>Botelho Mourão</t>
        </is>
      </c>
      <c r="E2282" t="inlineStr">
        <is>
          <t>Vacal</t>
        </is>
      </c>
      <c r="F2282" t="inlineStr">
        <is>
          <t>Botelho Mourão – Renasce</t>
        </is>
      </c>
      <c r="J2282" t="inlineStr">
        <is>
          <t>Atividade</t>
        </is>
      </c>
      <c r="K2282" t="inlineStr">
        <is>
          <t>Apoio</t>
        </is>
      </c>
      <c r="L2282" t="inlineStr">
        <is>
          <t>PDS-Maio.docx</t>
        </is>
      </c>
      <c r="M2282">
        <f>IF($A2282="","",TEXT($A2282,"mmmm/yyyy"))</f>
        <v/>
      </c>
      <c r="P2282">
        <f>IFERROR(XLOOKUP($N2282,Base_Enderecos!$A:$A,Base_Enderecos!$B:$B,""),"")</f>
        <v/>
      </c>
      <c r="Q2282">
        <f>IFERROR(XLOOKUP($N2282,Base_Enderecos!$A:$A,Base_Enderecos!$C:$C,""),"")</f>
        <v/>
      </c>
      <c r="R2282">
        <f>IF(ISNUMBER(SEARCH("HDD",$F2282)),"HDD",IF(ISNUMBER(SEARCH("VCA",$F2282)),"VCA","MND"))</f>
        <v/>
      </c>
      <c r="T2282">
        <f>TEXT($A2282,"yyyy-mm")&amp;"|"&amp;$C2282&amp;"|"&amp;$I2282</f>
        <v/>
      </c>
    </row>
    <row r="2283">
      <c r="A2283" s="36" t="n">
        <v>46147</v>
      </c>
      <c r="B2283" t="inlineStr">
        <is>
          <t>Terça</t>
        </is>
      </c>
      <c r="C2283" t="inlineStr">
        <is>
          <t>Botelho Mourão</t>
        </is>
      </c>
      <c r="E2283" t="inlineStr">
        <is>
          <t>Vacal</t>
        </is>
      </c>
      <c r="F2283" t="inlineStr">
        <is>
          <t>Botelho Mourão – Hidrosol</t>
        </is>
      </c>
      <c r="J2283" t="inlineStr">
        <is>
          <t>Atividade</t>
        </is>
      </c>
      <c r="K2283" t="inlineStr">
        <is>
          <t>Apoio</t>
        </is>
      </c>
      <c r="L2283" t="inlineStr">
        <is>
          <t>PDS-Maio.docx</t>
        </is>
      </c>
      <c r="M2283">
        <f>IF($A2283="","",TEXT($A2283,"mmmm/yyyy"))</f>
        <v/>
      </c>
      <c r="P2283">
        <f>IFERROR(XLOOKUP($N2283,Base_Enderecos!$A:$A,Base_Enderecos!$B:$B,""),"")</f>
        <v/>
      </c>
      <c r="Q2283">
        <f>IFERROR(XLOOKUP($N2283,Base_Enderecos!$A:$A,Base_Enderecos!$C:$C,""),"")</f>
        <v/>
      </c>
      <c r="R2283">
        <f>IF(ISNUMBER(SEARCH("HDD",$F2283)),"HDD",IF(ISNUMBER(SEARCH("VCA",$F2283)),"VCA","MND"))</f>
        <v/>
      </c>
      <c r="T2283">
        <f>TEXT($A2283,"yyyy-mm")&amp;"|"&amp;$C2283&amp;"|"&amp;$I2283</f>
        <v/>
      </c>
    </row>
    <row r="2284">
      <c r="A2284" s="36" t="n">
        <v>46147</v>
      </c>
      <c r="B2284" t="inlineStr">
        <is>
          <t>Terça</t>
        </is>
      </c>
      <c r="C2284" t="inlineStr">
        <is>
          <t>Guindauto</t>
        </is>
      </c>
      <c r="E2284" t="inlineStr">
        <is>
          <t>Guindauto</t>
        </is>
      </c>
      <c r="F2284" t="inlineStr">
        <is>
          <t>Marcio - Apoio as equipes</t>
        </is>
      </c>
      <c r="J2284" t="inlineStr">
        <is>
          <t>Atividade</t>
        </is>
      </c>
      <c r="K2284" t="inlineStr">
        <is>
          <t>Apoio</t>
        </is>
      </c>
      <c r="L2284" t="inlineStr">
        <is>
          <t>PDS-Maio.docx</t>
        </is>
      </c>
      <c r="M2284">
        <f>IF($A2284="","",TEXT($A2284,"mmmm/yyyy"))</f>
        <v/>
      </c>
      <c r="P2284">
        <f>IFERROR(XLOOKUP($N2284,Base_Enderecos!$A:$A,Base_Enderecos!$B:$B,""),"")</f>
        <v/>
      </c>
      <c r="Q2284">
        <f>IFERROR(XLOOKUP($N2284,Base_Enderecos!$A:$A,Base_Enderecos!$C:$C,""),"")</f>
        <v/>
      </c>
      <c r="R2284">
        <f>IF(ISNUMBER(SEARCH("HDD",$F2284)),"HDD",IF(ISNUMBER(SEARCH("VCA",$F2284)),"VCA","MND"))</f>
        <v/>
      </c>
      <c r="T2284">
        <f>TEXT($A2284,"yyyy-mm")&amp;"|"&amp;$C2284&amp;"|"&amp;$I2284</f>
        <v/>
      </c>
    </row>
    <row r="2285">
      <c r="A2285" s="36" t="n">
        <v>46147</v>
      </c>
      <c r="B2285" t="inlineStr">
        <is>
          <t>Terça</t>
        </is>
      </c>
      <c r="C2285" t="inlineStr">
        <is>
          <t>Guindauto</t>
        </is>
      </c>
      <c r="E2285" t="inlineStr">
        <is>
          <t>Guindauto</t>
        </is>
      </c>
      <c r="F2285" t="inlineStr">
        <is>
          <t>Luiz Carlos - Apoio as equipes</t>
        </is>
      </c>
      <c r="J2285" t="inlineStr">
        <is>
          <t>Atividade</t>
        </is>
      </c>
      <c r="K2285" t="inlineStr">
        <is>
          <t>Apoio</t>
        </is>
      </c>
      <c r="L2285" t="inlineStr">
        <is>
          <t>PDS-Maio.docx</t>
        </is>
      </c>
      <c r="M2285">
        <f>IF($A2285="","",TEXT($A2285,"mmmm/yyyy"))</f>
        <v/>
      </c>
      <c r="P2285">
        <f>IFERROR(XLOOKUP($N2285,Base_Enderecos!$A:$A,Base_Enderecos!$B:$B,""),"")</f>
        <v/>
      </c>
      <c r="Q2285">
        <f>IFERROR(XLOOKUP($N2285,Base_Enderecos!$A:$A,Base_Enderecos!$C:$C,""),"")</f>
        <v/>
      </c>
      <c r="R2285">
        <f>IF(ISNUMBER(SEARCH("HDD",$F2285)),"HDD",IF(ISNUMBER(SEARCH("VCA",$F2285)),"VCA","MND"))</f>
        <v/>
      </c>
      <c r="T2285">
        <f>TEXT($A2285,"yyyy-mm")&amp;"|"&amp;$C2285&amp;"|"&amp;$I2285</f>
        <v/>
      </c>
    </row>
    <row r="2286">
      <c r="A2286" s="36" t="n">
        <v>46147</v>
      </c>
      <c r="B2286" t="inlineStr">
        <is>
          <t>Terça</t>
        </is>
      </c>
      <c r="C2286" t="inlineStr">
        <is>
          <t>RCE Barão De Arariba</t>
        </is>
      </c>
      <c r="D2286" t="inlineStr">
        <is>
          <t>Valmir</t>
        </is>
      </c>
      <c r="E2286" t="inlineStr">
        <is>
          <t>Cesar</t>
        </is>
      </c>
      <c r="F2286" t="inlineStr">
        <is>
          <t>PDS - Programação Diária de Serviços:</t>
        </is>
      </c>
      <c r="J2286" t="inlineStr">
        <is>
          <t>Atividade</t>
        </is>
      </c>
      <c r="K2286" t="inlineStr">
        <is>
          <t>Planejamento</t>
        </is>
      </c>
      <c r="L2286" t="inlineStr">
        <is>
          <t>PDS-Maio.docx</t>
        </is>
      </c>
      <c r="M2286">
        <f>IF($A2286="","",TEXT($A2286,"mmmm/yyyy"))</f>
        <v/>
      </c>
      <c r="P2286">
        <f>IFERROR(XLOOKUP($N2286,Base_Enderecos!$A:$A,Base_Enderecos!$B:$B,""),"")</f>
        <v/>
      </c>
      <c r="Q2286">
        <f>IFERROR(XLOOKUP($N2286,Base_Enderecos!$A:$A,Base_Enderecos!$C:$C,""),"")</f>
        <v/>
      </c>
      <c r="R2286">
        <f>IF(ISNUMBER(SEARCH("HDD",$F2286)),"HDD",IF(ISNUMBER(SEARCH("VCA",$F2286)),"VCA","MND"))</f>
        <v/>
      </c>
      <c r="T2286">
        <f>TEXT($A2286,"yyyy-mm")&amp;"|"&amp;$C2286&amp;"|"&amp;$I2286</f>
        <v/>
      </c>
    </row>
    <row r="2287">
      <c r="A2287" s="36" t="n">
        <v>46147</v>
      </c>
      <c r="B2287" t="inlineStr">
        <is>
          <t>Terça</t>
        </is>
      </c>
      <c r="C2287" t="inlineStr">
        <is>
          <t>RCE Barão De Arariba</t>
        </is>
      </c>
      <c r="D2287" t="inlineStr">
        <is>
          <t>Valmir</t>
        </is>
      </c>
      <c r="E2287" t="inlineStr">
        <is>
          <t>Cesar</t>
        </is>
      </c>
      <c r="F2287" t="inlineStr">
        <is>
          <t>Integra 6A</t>
        </is>
      </c>
      <c r="J2287" t="inlineStr">
        <is>
          <t>Atividade</t>
        </is>
      </c>
      <c r="K2287" t="inlineStr">
        <is>
          <t>Planejamento</t>
        </is>
      </c>
      <c r="L2287" t="inlineStr">
        <is>
          <t>PDS-Maio.docx</t>
        </is>
      </c>
      <c r="M2287">
        <f>IF($A2287="","",TEXT($A2287,"mmmm/yyyy"))</f>
        <v/>
      </c>
      <c r="P2287">
        <f>IFERROR(XLOOKUP($N2287,Base_Enderecos!$A:$A,Base_Enderecos!$B:$B,""),"")</f>
        <v/>
      </c>
      <c r="Q2287">
        <f>IFERROR(XLOOKUP($N2287,Base_Enderecos!$A:$A,Base_Enderecos!$C:$C,""),"")</f>
        <v/>
      </c>
      <c r="R2287">
        <f>IF(ISNUMBER(SEARCH("HDD",$F2287)),"HDD",IF(ISNUMBER(SEARCH("VCA",$F2287)),"VCA","MND"))</f>
        <v/>
      </c>
      <c r="T2287">
        <f>TEXT($A2287,"yyyy-mm")&amp;"|"&amp;$C2287&amp;"|"&amp;$I2287</f>
        <v/>
      </c>
    </row>
    <row r="2288">
      <c r="A2288" s="36" t="n">
        <v>46148</v>
      </c>
      <c r="B2288" t="inlineStr">
        <is>
          <t>Quarta</t>
        </is>
      </c>
      <c r="C2288" t="inlineStr">
        <is>
          <t>CT João Canzi</t>
        </is>
      </c>
      <c r="D2288" t="inlineStr">
        <is>
          <t>Leandro</t>
        </is>
      </c>
      <c r="E2288" t="inlineStr">
        <is>
          <t>Goiânia Drill</t>
        </is>
      </c>
      <c r="F2288" t="inlineStr">
        <is>
          <t>Furo piloto e puxe do PVE-17 ao PV-06</t>
        </is>
      </c>
      <c r="G2288" t="inlineStr">
        <is>
          <t>17</t>
        </is>
      </c>
      <c r="H2288" t="inlineStr">
        <is>
          <t>06</t>
        </is>
      </c>
      <c r="I2288" t="inlineStr">
        <is>
          <t>17 ao 06</t>
        </is>
      </c>
      <c r="J2288" t="inlineStr">
        <is>
          <t>HDD</t>
        </is>
      </c>
      <c r="K2288" t="inlineStr">
        <is>
          <t>Planejamento</t>
        </is>
      </c>
      <c r="L2288" t="inlineStr">
        <is>
          <t>PDS-Maio.docx</t>
        </is>
      </c>
      <c r="M2288">
        <f>IF($A2288="","",TEXT($A2288,"mmmm/yyyy"))</f>
        <v/>
      </c>
      <c r="P2288">
        <f>IFERROR(XLOOKUP($N2288,Base_Enderecos!$A:$A,Base_Enderecos!$B:$B,""),"")</f>
        <v/>
      </c>
      <c r="Q2288">
        <f>IFERROR(XLOOKUP($N2288,Base_Enderecos!$A:$A,Base_Enderecos!$C:$C,""),"")</f>
        <v/>
      </c>
      <c r="R2288">
        <f>IF(ISNUMBER(SEARCH("HDD",$F2288)),"HDD",IF(ISNUMBER(SEARCH("VCA",$F2288)),"VCA","MND"))</f>
        <v/>
      </c>
      <c r="T2288">
        <f>TEXT($A2288,"yyyy-mm")&amp;"|"&amp;$C2288&amp;"|"&amp;$I2288</f>
        <v/>
      </c>
    </row>
    <row r="2289">
      <c r="A2289" s="36" t="n">
        <v>46148</v>
      </c>
      <c r="B2289" t="inlineStr">
        <is>
          <t>Quarta</t>
        </is>
      </c>
      <c r="C2289" t="inlineStr">
        <is>
          <t>CT João Canzi</t>
        </is>
      </c>
      <c r="D2289" t="inlineStr">
        <is>
          <t>Leandro</t>
        </is>
      </c>
      <c r="E2289" t="inlineStr">
        <is>
          <t>Bruno</t>
        </is>
      </c>
      <c r="F2289" t="inlineStr">
        <is>
          <t>Apoio ao HDD</t>
        </is>
      </c>
      <c r="J2289" t="inlineStr">
        <is>
          <t>HDD</t>
        </is>
      </c>
      <c r="K2289" t="inlineStr">
        <is>
          <t>Planejamento</t>
        </is>
      </c>
      <c r="L2289" t="inlineStr">
        <is>
          <t>PDS-Maio.docx</t>
        </is>
      </c>
      <c r="M2289">
        <f>IF($A2289="","",TEXT($A2289,"mmmm/yyyy"))</f>
        <v/>
      </c>
      <c r="P2289">
        <f>IFERROR(XLOOKUP($N2289,Base_Enderecos!$A:$A,Base_Enderecos!$B:$B,""),"")</f>
        <v/>
      </c>
      <c r="Q2289">
        <f>IFERROR(XLOOKUP($N2289,Base_Enderecos!$A:$A,Base_Enderecos!$C:$C,""),"")</f>
        <v/>
      </c>
      <c r="R2289">
        <f>IF(ISNUMBER(SEARCH("HDD",$F2289)),"HDD",IF(ISNUMBER(SEARCH("VCA",$F2289)),"VCA","MND"))</f>
        <v/>
      </c>
      <c r="T2289">
        <f>TEXT($A2289,"yyyy-mm")&amp;"|"&amp;$C2289&amp;"|"&amp;$I2289</f>
        <v/>
      </c>
    </row>
    <row r="2290">
      <c r="A2290" s="36" t="n">
        <v>46148</v>
      </c>
      <c r="B2290" t="inlineStr">
        <is>
          <t>Quarta</t>
        </is>
      </c>
      <c r="C2290" t="inlineStr">
        <is>
          <t>CT João Canzi</t>
        </is>
      </c>
      <c r="D2290" t="inlineStr">
        <is>
          <t>Leandro</t>
        </is>
      </c>
      <c r="E2290" t="inlineStr">
        <is>
          <t>Miro Go-02</t>
        </is>
      </c>
      <c r="F2290" t="inlineStr">
        <is>
          <t>Shaft PV 11</t>
        </is>
      </c>
      <c r="G2290" t="inlineStr">
        <is>
          <t>11</t>
        </is>
      </c>
      <c r="I2290" t="inlineStr">
        <is>
          <t>11</t>
        </is>
      </c>
      <c r="J2290" t="inlineStr">
        <is>
          <t>Shaft</t>
        </is>
      </c>
      <c r="K2290" t="inlineStr">
        <is>
          <t>Planejamento</t>
        </is>
      </c>
      <c r="L2290" t="inlineStr">
        <is>
          <t>PDS-Maio.docx</t>
        </is>
      </c>
      <c r="M2290">
        <f>IF($A2290="","",TEXT($A2290,"mmmm/yyyy"))</f>
        <v/>
      </c>
      <c r="P2290">
        <f>IFERROR(XLOOKUP($N2290,Base_Enderecos!$A:$A,Base_Enderecos!$B:$B,""),"")</f>
        <v/>
      </c>
      <c r="Q2290">
        <f>IFERROR(XLOOKUP($N2290,Base_Enderecos!$A:$A,Base_Enderecos!$C:$C,""),"")</f>
        <v/>
      </c>
      <c r="R2290">
        <f>IF(ISNUMBER(SEARCH("HDD",$F2290)),"HDD",IF(ISNUMBER(SEARCH("VCA",$F2290)),"VCA","MND"))</f>
        <v/>
      </c>
      <c r="T2290">
        <f>TEXT($A2290,"yyyy-mm")&amp;"|"&amp;$C2290&amp;"|"&amp;$I2290</f>
        <v/>
      </c>
    </row>
    <row r="2291">
      <c r="A2291" s="36" t="n">
        <v>46148</v>
      </c>
      <c r="B2291" t="inlineStr">
        <is>
          <t>Quarta</t>
        </is>
      </c>
      <c r="C2291" t="inlineStr">
        <is>
          <t>CT João Canzi</t>
        </is>
      </c>
      <c r="D2291" t="inlineStr">
        <is>
          <t>Leandro</t>
        </is>
      </c>
      <c r="E2291" t="inlineStr">
        <is>
          <t>Valter</t>
        </is>
      </c>
      <c r="F2291" t="inlineStr">
        <is>
          <t>Shaft PV 15</t>
        </is>
      </c>
      <c r="G2291" t="inlineStr">
        <is>
          <t>15</t>
        </is>
      </c>
      <c r="I2291" t="inlineStr">
        <is>
          <t>15</t>
        </is>
      </c>
      <c r="J2291" t="inlineStr">
        <is>
          <t>Shaft</t>
        </is>
      </c>
      <c r="K2291" t="inlineStr">
        <is>
          <t>Planejamento</t>
        </is>
      </c>
      <c r="L2291" t="inlineStr">
        <is>
          <t>PDS-Maio.docx</t>
        </is>
      </c>
      <c r="M2291">
        <f>IF($A2291="","",TEXT($A2291,"mmmm/yyyy"))</f>
        <v/>
      </c>
      <c r="P2291">
        <f>IFERROR(XLOOKUP($N2291,Base_Enderecos!$A:$A,Base_Enderecos!$B:$B,""),"")</f>
        <v/>
      </c>
      <c r="Q2291">
        <f>IFERROR(XLOOKUP($N2291,Base_Enderecos!$A:$A,Base_Enderecos!$C:$C,""),"")</f>
        <v/>
      </c>
      <c r="R2291">
        <f>IF(ISNUMBER(SEARCH("HDD",$F2291)),"HDD",IF(ISNUMBER(SEARCH("VCA",$F2291)),"VCA","MND"))</f>
        <v/>
      </c>
      <c r="T2291">
        <f>TEXT($A2291,"yyyy-mm")&amp;"|"&amp;$C2291&amp;"|"&amp;$I2291</f>
        <v/>
      </c>
    </row>
    <row r="2292">
      <c r="A2292" s="36" t="n">
        <v>46148</v>
      </c>
      <c r="B2292" t="inlineStr">
        <is>
          <t>Quarta</t>
        </is>
      </c>
      <c r="C2292" t="inlineStr">
        <is>
          <t>CT João Canzi</t>
        </is>
      </c>
      <c r="D2292" t="inlineStr">
        <is>
          <t>Leandro</t>
        </is>
      </c>
      <c r="E2292" t="inlineStr">
        <is>
          <t>Carlos</t>
        </is>
      </c>
      <c r="F2292" t="inlineStr">
        <is>
          <t>Shaft PV 09</t>
        </is>
      </c>
      <c r="G2292" t="inlineStr">
        <is>
          <t>09</t>
        </is>
      </c>
      <c r="I2292" t="inlineStr">
        <is>
          <t>09</t>
        </is>
      </c>
      <c r="J2292" t="inlineStr">
        <is>
          <t>Shaft</t>
        </is>
      </c>
      <c r="K2292" t="inlineStr">
        <is>
          <t>Planejamento</t>
        </is>
      </c>
      <c r="L2292" t="inlineStr">
        <is>
          <t>PDS-Maio.docx</t>
        </is>
      </c>
      <c r="M2292">
        <f>IF($A2292="","",TEXT($A2292,"mmmm/yyyy"))</f>
        <v/>
      </c>
      <c r="P2292">
        <f>IFERROR(XLOOKUP($N2292,Base_Enderecos!$A:$A,Base_Enderecos!$B:$B,""),"")</f>
        <v/>
      </c>
      <c r="Q2292">
        <f>IFERROR(XLOOKUP($N2292,Base_Enderecos!$A:$A,Base_Enderecos!$C:$C,""),"")</f>
        <v/>
      </c>
      <c r="R2292">
        <f>IF(ISNUMBER(SEARCH("HDD",$F2292)),"HDD",IF(ISNUMBER(SEARCH("VCA",$F2292)),"VCA","MND"))</f>
        <v/>
      </c>
      <c r="T2292">
        <f>TEXT($A2292,"yyyy-mm")&amp;"|"&amp;$C2292&amp;"|"&amp;$I2292</f>
        <v/>
      </c>
    </row>
    <row r="2293">
      <c r="A2293" s="36" t="n">
        <v>46148</v>
      </c>
      <c r="B2293" t="inlineStr">
        <is>
          <t>Quarta</t>
        </is>
      </c>
      <c r="C2293" t="inlineStr">
        <is>
          <t>CTS Mar De Coral</t>
        </is>
      </c>
      <c r="D2293" t="inlineStr">
        <is>
          <t>Silvestre</t>
        </is>
      </c>
      <c r="E2293" t="inlineStr">
        <is>
          <t>Edvando</t>
        </is>
      </c>
      <c r="F2293" t="inlineStr">
        <is>
          <t>VCA e transformações de PVs entre PV 22.2 ao 22.4</t>
        </is>
      </c>
      <c r="G2293" t="inlineStr">
        <is>
          <t>22.2</t>
        </is>
      </c>
      <c r="H2293" t="inlineStr">
        <is>
          <t>22.4</t>
        </is>
      </c>
      <c r="I2293" t="inlineStr">
        <is>
          <t>22.2 ao 22.4</t>
        </is>
      </c>
      <c r="J2293" t="inlineStr">
        <is>
          <t>Transformação</t>
        </is>
      </c>
      <c r="K2293" t="inlineStr">
        <is>
          <t>Planejamento</t>
        </is>
      </c>
      <c r="L2293" t="inlineStr">
        <is>
          <t>PDS-Maio.docx</t>
        </is>
      </c>
      <c r="M2293">
        <f>IF($A2293="","",TEXT($A2293,"mmmm/yyyy"))</f>
        <v/>
      </c>
      <c r="P2293">
        <f>IFERROR(XLOOKUP($N2293,Base_Enderecos!$A:$A,Base_Enderecos!$B:$B,""),"")</f>
        <v/>
      </c>
      <c r="Q2293">
        <f>IFERROR(XLOOKUP($N2293,Base_Enderecos!$A:$A,Base_Enderecos!$C:$C,""),"")</f>
        <v/>
      </c>
      <c r="R2293">
        <f>IF(ISNUMBER(SEARCH("HDD",$F2293)),"HDD",IF(ISNUMBER(SEARCH("VCA",$F2293)),"VCA","MND"))</f>
        <v/>
      </c>
      <c r="T2293">
        <f>TEXT($A2293,"yyyy-mm")&amp;"|"&amp;$C2293&amp;"|"&amp;$I2293</f>
        <v/>
      </c>
    </row>
    <row r="2294">
      <c r="A2294" s="36" t="n">
        <v>46148</v>
      </c>
      <c r="B2294" t="inlineStr">
        <is>
          <t>Quarta</t>
        </is>
      </c>
      <c r="C2294" t="inlineStr">
        <is>
          <t>CTS Mar De Coral</t>
        </is>
      </c>
      <c r="D2294" t="inlineStr">
        <is>
          <t>Silvestre</t>
        </is>
      </c>
      <c r="E2294" t="inlineStr">
        <is>
          <t>Cidão</t>
        </is>
      </c>
      <c r="F2294" t="inlineStr">
        <is>
          <t>Acabamento PV 5.10</t>
        </is>
      </c>
      <c r="G2294" t="inlineStr">
        <is>
          <t>5.10</t>
        </is>
      </c>
      <c r="I2294" t="inlineStr">
        <is>
          <t>5.10</t>
        </is>
      </c>
      <c r="J2294" t="inlineStr">
        <is>
          <t>Acabamento</t>
        </is>
      </c>
      <c r="K2294" t="inlineStr">
        <is>
          <t>Planejamento</t>
        </is>
      </c>
      <c r="L2294" t="inlineStr">
        <is>
          <t>PDS-Maio.docx</t>
        </is>
      </c>
      <c r="M2294">
        <f>IF($A2294="","",TEXT($A2294,"mmmm/yyyy"))</f>
        <v/>
      </c>
      <c r="P2294">
        <f>IFERROR(XLOOKUP($N2294,Base_Enderecos!$A:$A,Base_Enderecos!$B:$B,""),"")</f>
        <v/>
      </c>
      <c r="Q2294">
        <f>IFERROR(XLOOKUP($N2294,Base_Enderecos!$A:$A,Base_Enderecos!$C:$C,""),"")</f>
        <v/>
      </c>
      <c r="R2294">
        <f>IF(ISNUMBER(SEARCH("HDD",$F2294)),"HDD",IF(ISNUMBER(SEARCH("VCA",$F2294)),"VCA","MND"))</f>
        <v/>
      </c>
      <c r="T2294">
        <f>TEXT($A2294,"yyyy-mm")&amp;"|"&amp;$C2294&amp;"|"&amp;$I2294</f>
        <v/>
      </c>
    </row>
    <row r="2295">
      <c r="A2295" s="36" t="n">
        <v>46148</v>
      </c>
      <c r="B2295" t="inlineStr">
        <is>
          <t>Quarta</t>
        </is>
      </c>
      <c r="C2295" t="inlineStr">
        <is>
          <t>CTS Luis Botelho Mourão</t>
        </is>
      </c>
      <c r="D2295" t="inlineStr">
        <is>
          <t>Robson</t>
        </is>
      </c>
      <c r="E2295" t="inlineStr">
        <is>
          <t>Marcio</t>
        </is>
      </c>
      <c r="F2295" t="inlineStr">
        <is>
          <t>Lavagem da rede</t>
        </is>
      </c>
      <c r="J2295" t="inlineStr">
        <is>
          <t>Lavagem</t>
        </is>
      </c>
      <c r="K2295" t="inlineStr">
        <is>
          <t>Planejamento</t>
        </is>
      </c>
      <c r="L2295" t="inlineStr">
        <is>
          <t>PDS-Maio.docx</t>
        </is>
      </c>
      <c r="M2295">
        <f>IF($A2295="","",TEXT($A2295,"mmmm/yyyy"))</f>
        <v/>
      </c>
      <c r="P2295">
        <f>IFERROR(XLOOKUP($N2295,Base_Enderecos!$A:$A,Base_Enderecos!$B:$B,""),"")</f>
        <v/>
      </c>
      <c r="Q2295">
        <f>IFERROR(XLOOKUP($N2295,Base_Enderecos!$A:$A,Base_Enderecos!$C:$C,""),"")</f>
        <v/>
      </c>
      <c r="R2295">
        <f>IF(ISNUMBER(SEARCH("HDD",$F2295)),"HDD",IF(ISNUMBER(SEARCH("VCA",$F2295)),"VCA","MND"))</f>
        <v/>
      </c>
      <c r="T2295">
        <f>TEXT($A2295,"yyyy-mm")&amp;"|"&amp;$C2295&amp;"|"&amp;$I2295</f>
        <v/>
      </c>
    </row>
    <row r="2296">
      <c r="A2296" s="36" t="n">
        <v>46148</v>
      </c>
      <c r="B2296" t="inlineStr">
        <is>
          <t>Quarta</t>
        </is>
      </c>
      <c r="C2296" t="inlineStr">
        <is>
          <t>CTS Luis Botelho Mourão</t>
        </is>
      </c>
      <c r="D2296" t="inlineStr">
        <is>
          <t>Robson</t>
        </is>
      </c>
      <c r="E2296" t="inlineStr">
        <is>
          <t>Higor</t>
        </is>
      </c>
      <c r="F2296" t="inlineStr">
        <is>
          <t>Acabamento PV 08 ao PV 09</t>
        </is>
      </c>
      <c r="G2296" t="inlineStr">
        <is>
          <t>08</t>
        </is>
      </c>
      <c r="H2296" t="inlineStr">
        <is>
          <t>09</t>
        </is>
      </c>
      <c r="I2296" t="inlineStr">
        <is>
          <t>08 ao 09</t>
        </is>
      </c>
      <c r="J2296" t="inlineStr">
        <is>
          <t>Acabamento</t>
        </is>
      </c>
      <c r="K2296" t="inlineStr">
        <is>
          <t>Planejamento</t>
        </is>
      </c>
      <c r="L2296" t="inlineStr">
        <is>
          <t>PDS-Maio.docx</t>
        </is>
      </c>
      <c r="M2296">
        <f>IF($A2296="","",TEXT($A2296,"mmmm/yyyy"))</f>
        <v/>
      </c>
      <c r="P2296">
        <f>IFERROR(XLOOKUP($N2296,Base_Enderecos!$A:$A,Base_Enderecos!$B:$B,""),"")</f>
        <v/>
      </c>
      <c r="Q2296">
        <f>IFERROR(XLOOKUP($N2296,Base_Enderecos!$A:$A,Base_Enderecos!$C:$C,""),"")</f>
        <v/>
      </c>
      <c r="R2296">
        <f>IF(ISNUMBER(SEARCH("HDD",$F2296)),"HDD",IF(ISNUMBER(SEARCH("VCA",$F2296)),"VCA","MND"))</f>
        <v/>
      </c>
      <c r="T2296">
        <f>TEXT($A2296,"yyyy-mm")&amp;"|"&amp;$C2296&amp;"|"&amp;$I2296</f>
        <v/>
      </c>
    </row>
    <row r="2297">
      <c r="A2297" s="36" t="n">
        <v>46148</v>
      </c>
      <c r="B2297" t="inlineStr">
        <is>
          <t>Quarta</t>
        </is>
      </c>
      <c r="C2297" t="inlineStr">
        <is>
          <t>CTS Luis Botelho Mourão</t>
        </is>
      </c>
      <c r="D2297" t="inlineStr">
        <is>
          <t>Robson</t>
        </is>
      </c>
      <c r="E2297" t="inlineStr">
        <is>
          <t>Jhonatan</t>
        </is>
      </c>
      <c r="F2297" t="inlineStr">
        <is>
          <t>Substituição Rede PV 05 ao PVE</t>
        </is>
      </c>
      <c r="G2297" t="inlineStr">
        <is>
          <t>05</t>
        </is>
      </c>
      <c r="I2297" t="inlineStr">
        <is>
          <t>05</t>
        </is>
      </c>
      <c r="J2297" t="inlineStr">
        <is>
          <t>Atividade</t>
        </is>
      </c>
      <c r="K2297" t="inlineStr">
        <is>
          <t>Planejamento</t>
        </is>
      </c>
      <c r="L2297" t="inlineStr">
        <is>
          <t>PDS-Maio.docx</t>
        </is>
      </c>
      <c r="M2297">
        <f>IF($A2297="","",TEXT($A2297,"mmmm/yyyy"))</f>
        <v/>
      </c>
      <c r="P2297">
        <f>IFERROR(XLOOKUP($N2297,Base_Enderecos!$A:$A,Base_Enderecos!$B:$B,""),"")</f>
        <v/>
      </c>
      <c r="Q2297">
        <f>IFERROR(XLOOKUP($N2297,Base_Enderecos!$A:$A,Base_Enderecos!$C:$C,""),"")</f>
        <v/>
      </c>
      <c r="R2297">
        <f>IF(ISNUMBER(SEARCH("HDD",$F2297)),"HDD",IF(ISNUMBER(SEARCH("VCA",$F2297)),"VCA","MND"))</f>
        <v/>
      </c>
      <c r="T2297">
        <f>TEXT($A2297,"yyyy-mm")&amp;"|"&amp;$C2297&amp;"|"&amp;$I2297</f>
        <v/>
      </c>
    </row>
    <row r="2298">
      <c r="A2298" s="36" t="n">
        <v>46148</v>
      </c>
      <c r="B2298" t="inlineStr">
        <is>
          <t>Quarta</t>
        </is>
      </c>
      <c r="C2298" t="inlineStr">
        <is>
          <t>RCE São Lucas</t>
        </is>
      </c>
      <c r="D2298" t="inlineStr">
        <is>
          <t>Fábio</t>
        </is>
      </c>
      <c r="E2298" t="inlineStr">
        <is>
          <t>Antonio</t>
        </is>
      </c>
      <c r="F2298" t="inlineStr">
        <is>
          <t>VCA, PVs e Ligações</t>
        </is>
      </c>
      <c r="J2298" t="inlineStr">
        <is>
          <t>VCA</t>
        </is>
      </c>
      <c r="K2298" t="inlineStr">
        <is>
          <t>Planejamento</t>
        </is>
      </c>
      <c r="L2298" t="inlineStr">
        <is>
          <t>PDS-Maio.docx</t>
        </is>
      </c>
      <c r="M2298">
        <f>IF($A2298="","",TEXT($A2298,"mmmm/yyyy"))</f>
        <v/>
      </c>
      <c r="P2298">
        <f>IFERROR(XLOOKUP($N2298,Base_Enderecos!$A:$A,Base_Enderecos!$B:$B,""),"")</f>
        <v/>
      </c>
      <c r="Q2298">
        <f>IFERROR(XLOOKUP($N2298,Base_Enderecos!$A:$A,Base_Enderecos!$C:$C,""),"")</f>
        <v/>
      </c>
      <c r="R2298">
        <f>IF(ISNUMBER(SEARCH("HDD",$F2298)),"HDD",IF(ISNUMBER(SEARCH("VCA",$F2298)),"VCA","MND"))</f>
        <v/>
      </c>
      <c r="T2298">
        <f>TEXT($A2298,"yyyy-mm")&amp;"|"&amp;$C2298&amp;"|"&amp;$I2298</f>
        <v/>
      </c>
    </row>
    <row r="2299">
      <c r="A2299" s="36" t="n">
        <v>46148</v>
      </c>
      <c r="B2299" t="inlineStr">
        <is>
          <t>Quarta</t>
        </is>
      </c>
      <c r="C2299" t="inlineStr">
        <is>
          <t>RCE São Lucas</t>
        </is>
      </c>
      <c r="D2299" t="inlineStr">
        <is>
          <t>Fábio</t>
        </is>
      </c>
      <c r="E2299" t="inlineStr">
        <is>
          <t>Medeiros</t>
        </is>
      </c>
      <c r="F2299" t="inlineStr">
        <is>
          <t>VCA, PVs e Ligações</t>
        </is>
      </c>
      <c r="J2299" t="inlineStr">
        <is>
          <t>VCA</t>
        </is>
      </c>
      <c r="K2299" t="inlineStr">
        <is>
          <t>Planejamento</t>
        </is>
      </c>
      <c r="L2299" t="inlineStr">
        <is>
          <t>PDS-Maio.docx</t>
        </is>
      </c>
      <c r="M2299">
        <f>IF($A2299="","",TEXT($A2299,"mmmm/yyyy"))</f>
        <v/>
      </c>
      <c r="P2299">
        <f>IFERROR(XLOOKUP($N2299,Base_Enderecos!$A:$A,Base_Enderecos!$B:$B,""),"")</f>
        <v/>
      </c>
      <c r="Q2299">
        <f>IFERROR(XLOOKUP($N2299,Base_Enderecos!$A:$A,Base_Enderecos!$C:$C,""),"")</f>
        <v/>
      </c>
      <c r="R2299">
        <f>IF(ISNUMBER(SEARCH("HDD",$F2299)),"HDD",IF(ISNUMBER(SEARCH("VCA",$F2299)),"VCA","MND"))</f>
        <v/>
      </c>
      <c r="T2299">
        <f>TEXT($A2299,"yyyy-mm")&amp;"|"&amp;$C2299&amp;"|"&amp;$I2299</f>
        <v/>
      </c>
    </row>
    <row r="2300">
      <c r="A2300" s="36" t="n">
        <v>46148</v>
      </c>
      <c r="B2300" t="inlineStr">
        <is>
          <t>Quarta</t>
        </is>
      </c>
      <c r="C2300" t="inlineStr">
        <is>
          <t>RCE São Lucas</t>
        </is>
      </c>
      <c r="D2300" t="inlineStr">
        <is>
          <t>Fábio</t>
        </is>
      </c>
      <c r="E2300" t="inlineStr">
        <is>
          <t>Ricardo</t>
        </is>
      </c>
      <c r="F2300" t="inlineStr">
        <is>
          <t>VCA, PVs e Ligações</t>
        </is>
      </c>
      <c r="J2300" t="inlineStr">
        <is>
          <t>VCA</t>
        </is>
      </c>
      <c r="K2300" t="inlineStr">
        <is>
          <t>Planejamento</t>
        </is>
      </c>
      <c r="L2300" t="inlineStr">
        <is>
          <t>PDS-Maio.docx</t>
        </is>
      </c>
      <c r="M2300">
        <f>IF($A2300="","",TEXT($A2300,"mmmm/yyyy"))</f>
        <v/>
      </c>
      <c r="P2300">
        <f>IFERROR(XLOOKUP($N2300,Base_Enderecos!$A:$A,Base_Enderecos!$B:$B,""),"")</f>
        <v/>
      </c>
      <c r="Q2300">
        <f>IFERROR(XLOOKUP($N2300,Base_Enderecos!$A:$A,Base_Enderecos!$C:$C,""),"")</f>
        <v/>
      </c>
      <c r="R2300">
        <f>IF(ISNUMBER(SEARCH("HDD",$F2300)),"HDD",IF(ISNUMBER(SEARCH("VCA",$F2300)),"VCA","MND"))</f>
        <v/>
      </c>
      <c r="T2300">
        <f>TEXT($A2300,"yyyy-mm")&amp;"|"&amp;$C2300&amp;"|"&amp;$I2300</f>
        <v/>
      </c>
    </row>
    <row r="2301">
      <c r="A2301" s="36" t="n">
        <v>46148</v>
      </c>
      <c r="B2301" t="inlineStr">
        <is>
          <t>Quarta</t>
        </is>
      </c>
      <c r="C2301" t="inlineStr">
        <is>
          <t>RCE São Lucas</t>
        </is>
      </c>
      <c r="D2301" t="inlineStr">
        <is>
          <t>Fábio</t>
        </is>
      </c>
      <c r="E2301" t="inlineStr">
        <is>
          <t>Claudinei</t>
        </is>
      </c>
      <c r="F2301" t="inlineStr">
        <is>
          <t>VCA, PVs e Ligações</t>
        </is>
      </c>
      <c r="J2301" t="inlineStr">
        <is>
          <t>VCA</t>
        </is>
      </c>
      <c r="K2301" t="inlineStr">
        <is>
          <t>Planejamento</t>
        </is>
      </c>
      <c r="L2301" t="inlineStr">
        <is>
          <t>PDS-Maio.docx</t>
        </is>
      </c>
      <c r="M2301">
        <f>IF($A2301="","",TEXT($A2301,"mmmm/yyyy"))</f>
        <v/>
      </c>
      <c r="P2301">
        <f>IFERROR(XLOOKUP($N2301,Base_Enderecos!$A:$A,Base_Enderecos!$B:$B,""),"")</f>
        <v/>
      </c>
      <c r="Q2301">
        <f>IFERROR(XLOOKUP($N2301,Base_Enderecos!$A:$A,Base_Enderecos!$C:$C,""),"")</f>
        <v/>
      </c>
      <c r="R2301">
        <f>IF(ISNUMBER(SEARCH("HDD",$F2301)),"HDD",IF(ISNUMBER(SEARCH("VCA",$F2301)),"VCA","MND"))</f>
        <v/>
      </c>
      <c r="T2301">
        <f>TEXT($A2301,"yyyy-mm")&amp;"|"&amp;$C2301&amp;"|"&amp;$I2301</f>
        <v/>
      </c>
    </row>
    <row r="2302">
      <c r="A2302" s="36" t="n">
        <v>46148</v>
      </c>
      <c r="B2302" t="inlineStr">
        <is>
          <t>Quarta</t>
        </is>
      </c>
      <c r="C2302" t="inlineStr">
        <is>
          <t>RCE São Lucas</t>
        </is>
      </c>
      <c r="D2302" t="inlineStr">
        <is>
          <t>Fábio</t>
        </is>
      </c>
      <c r="E2302" t="inlineStr">
        <is>
          <t>Marcelo</t>
        </is>
      </c>
      <c r="F2302" t="inlineStr">
        <is>
          <t>VCA, PVs e Ligações</t>
        </is>
      </c>
      <c r="J2302" t="inlineStr">
        <is>
          <t>VCA</t>
        </is>
      </c>
      <c r="K2302" t="inlineStr">
        <is>
          <t>Planejamento</t>
        </is>
      </c>
      <c r="L2302" t="inlineStr">
        <is>
          <t>PDS-Maio.docx</t>
        </is>
      </c>
      <c r="M2302">
        <f>IF($A2302="","",TEXT($A2302,"mmmm/yyyy"))</f>
        <v/>
      </c>
      <c r="P2302">
        <f>IFERROR(XLOOKUP($N2302,Base_Enderecos!$A:$A,Base_Enderecos!$B:$B,""),"")</f>
        <v/>
      </c>
      <c r="Q2302">
        <f>IFERROR(XLOOKUP($N2302,Base_Enderecos!$A:$A,Base_Enderecos!$C:$C,""),"")</f>
        <v/>
      </c>
      <c r="R2302">
        <f>IF(ISNUMBER(SEARCH("HDD",$F2302)),"HDD",IF(ISNUMBER(SEARCH("VCA",$F2302)),"VCA","MND"))</f>
        <v/>
      </c>
      <c r="T2302">
        <f>TEXT($A2302,"yyyy-mm")&amp;"|"&amp;$C2302&amp;"|"&amp;$I2302</f>
        <v/>
      </c>
    </row>
    <row r="2303">
      <c r="A2303" s="36" t="n">
        <v>46148</v>
      </c>
      <c r="B2303" t="inlineStr">
        <is>
          <t>Quarta</t>
        </is>
      </c>
      <c r="C2303" t="inlineStr">
        <is>
          <t>CTS Conceicão</t>
        </is>
      </c>
      <c r="D2303" t="inlineStr">
        <is>
          <t>Valmir / Leandro</t>
        </is>
      </c>
      <c r="E2303" t="inlineStr">
        <is>
          <t>Cesar</t>
        </is>
      </c>
      <c r="F2303" t="inlineStr">
        <is>
          <t>Tubo de queda PVE</t>
        </is>
      </c>
      <c r="J2303" t="inlineStr">
        <is>
          <t>Tubo</t>
        </is>
      </c>
      <c r="K2303" t="inlineStr">
        <is>
          <t>Planejamento</t>
        </is>
      </c>
      <c r="L2303" t="inlineStr">
        <is>
          <t>PDS-Maio.docx</t>
        </is>
      </c>
      <c r="M2303">
        <f>IF($A2303="","",TEXT($A2303,"mmmm/yyyy"))</f>
        <v/>
      </c>
      <c r="P2303">
        <f>IFERROR(XLOOKUP($N2303,Base_Enderecos!$A:$A,Base_Enderecos!$B:$B,""),"")</f>
        <v/>
      </c>
      <c r="Q2303">
        <f>IFERROR(XLOOKUP($N2303,Base_Enderecos!$A:$A,Base_Enderecos!$C:$C,""),"")</f>
        <v/>
      </c>
      <c r="R2303">
        <f>IF(ISNUMBER(SEARCH("HDD",$F2303)),"HDD",IF(ISNUMBER(SEARCH("VCA",$F2303)),"VCA","MND"))</f>
        <v/>
      </c>
      <c r="T2303">
        <f>TEXT($A2303,"yyyy-mm")&amp;"|"&amp;$C2303&amp;"|"&amp;$I2303</f>
        <v/>
      </c>
    </row>
    <row r="2304">
      <c r="A2304" s="36" t="n">
        <v>46148</v>
      </c>
      <c r="B2304" t="inlineStr">
        <is>
          <t>Quarta</t>
        </is>
      </c>
      <c r="C2304" t="inlineStr">
        <is>
          <t>CTS Conceicão</t>
        </is>
      </c>
      <c r="D2304" t="inlineStr">
        <is>
          <t>Valmir / Leandro</t>
        </is>
      </c>
      <c r="E2304" t="inlineStr">
        <is>
          <t>Emanuel Go-01</t>
        </is>
      </c>
      <c r="F2304" t="inlineStr">
        <is>
          <t>Shaft PV 10.2.1</t>
        </is>
      </c>
      <c r="G2304" t="inlineStr">
        <is>
          <t>10.2.1</t>
        </is>
      </c>
      <c r="I2304" t="inlineStr">
        <is>
          <t>10.2.1</t>
        </is>
      </c>
      <c r="J2304" t="inlineStr">
        <is>
          <t>Shaft</t>
        </is>
      </c>
      <c r="K2304" t="inlineStr">
        <is>
          <t>Planejamento</t>
        </is>
      </c>
      <c r="L2304" t="inlineStr">
        <is>
          <t>PDS-Maio.docx</t>
        </is>
      </c>
      <c r="M2304">
        <f>IF($A2304="","",TEXT($A2304,"mmmm/yyyy"))</f>
        <v/>
      </c>
      <c r="P2304">
        <f>IFERROR(XLOOKUP($N2304,Base_Enderecos!$A:$A,Base_Enderecos!$B:$B,""),"")</f>
        <v/>
      </c>
      <c r="Q2304">
        <f>IFERROR(XLOOKUP($N2304,Base_Enderecos!$A:$A,Base_Enderecos!$C:$C,""),"")</f>
        <v/>
      </c>
      <c r="R2304">
        <f>IF(ISNUMBER(SEARCH("HDD",$F2304)),"HDD",IF(ISNUMBER(SEARCH("VCA",$F2304)),"VCA","MND"))</f>
        <v/>
      </c>
      <c r="T2304">
        <f>TEXT($A2304,"yyyy-mm")&amp;"|"&amp;$C2304&amp;"|"&amp;$I2304</f>
        <v/>
      </c>
    </row>
    <row r="2305">
      <c r="A2305" s="36" t="n">
        <v>46148</v>
      </c>
      <c r="B2305" t="inlineStr">
        <is>
          <t>Quarta</t>
        </is>
      </c>
      <c r="C2305" t="inlineStr">
        <is>
          <t>Botelho Mourão</t>
        </is>
      </c>
      <c r="E2305" t="inlineStr">
        <is>
          <t>Vacal</t>
        </is>
      </c>
      <c r="F2305" t="inlineStr">
        <is>
          <t>Botelho Mourão – Henko</t>
        </is>
      </c>
      <c r="J2305" t="inlineStr">
        <is>
          <t>Atividade</t>
        </is>
      </c>
      <c r="K2305" t="inlineStr">
        <is>
          <t>Apoio</t>
        </is>
      </c>
      <c r="L2305" t="inlineStr">
        <is>
          <t>PDS-Maio.docx</t>
        </is>
      </c>
      <c r="M2305">
        <f>IF($A2305="","",TEXT($A2305,"mmmm/yyyy"))</f>
        <v/>
      </c>
      <c r="P2305">
        <f>IFERROR(XLOOKUP($N2305,Base_Enderecos!$A:$A,Base_Enderecos!$B:$B,""),"")</f>
        <v/>
      </c>
      <c r="Q2305">
        <f>IFERROR(XLOOKUP($N2305,Base_Enderecos!$A:$A,Base_Enderecos!$C:$C,""),"")</f>
        <v/>
      </c>
      <c r="R2305">
        <f>IF(ISNUMBER(SEARCH("HDD",$F2305)),"HDD",IF(ISNUMBER(SEARCH("VCA",$F2305)),"VCA","MND"))</f>
        <v/>
      </c>
      <c r="T2305">
        <f>TEXT($A2305,"yyyy-mm")&amp;"|"&amp;$C2305&amp;"|"&amp;$I2305</f>
        <v/>
      </c>
    </row>
    <row r="2306">
      <c r="A2306" s="36" t="n">
        <v>46148</v>
      </c>
      <c r="B2306" t="inlineStr">
        <is>
          <t>Quarta</t>
        </is>
      </c>
      <c r="C2306" t="inlineStr">
        <is>
          <t>Botelho Mourão</t>
        </is>
      </c>
      <c r="E2306" t="inlineStr">
        <is>
          <t>Vacal</t>
        </is>
      </c>
      <c r="F2306" t="inlineStr">
        <is>
          <t>Botelho Mourão – Renasce</t>
        </is>
      </c>
      <c r="J2306" t="inlineStr">
        <is>
          <t>Atividade</t>
        </is>
      </c>
      <c r="K2306" t="inlineStr">
        <is>
          <t>Apoio</t>
        </is>
      </c>
      <c r="L2306" t="inlineStr">
        <is>
          <t>PDS-Maio.docx</t>
        </is>
      </c>
      <c r="M2306">
        <f>IF($A2306="","",TEXT($A2306,"mmmm/yyyy"))</f>
        <v/>
      </c>
      <c r="P2306">
        <f>IFERROR(XLOOKUP($N2306,Base_Enderecos!$A:$A,Base_Enderecos!$B:$B,""),"")</f>
        <v/>
      </c>
      <c r="Q2306">
        <f>IFERROR(XLOOKUP($N2306,Base_Enderecos!$A:$A,Base_Enderecos!$C:$C,""),"")</f>
        <v/>
      </c>
      <c r="R2306">
        <f>IF(ISNUMBER(SEARCH("HDD",$F2306)),"HDD",IF(ISNUMBER(SEARCH("VCA",$F2306)),"VCA","MND"))</f>
        <v/>
      </c>
      <c r="T2306">
        <f>TEXT($A2306,"yyyy-mm")&amp;"|"&amp;$C2306&amp;"|"&amp;$I2306</f>
        <v/>
      </c>
    </row>
    <row r="2307">
      <c r="A2307" s="36" t="n">
        <v>46148</v>
      </c>
      <c r="B2307" t="inlineStr">
        <is>
          <t>Quarta</t>
        </is>
      </c>
      <c r="C2307" t="inlineStr">
        <is>
          <t>Botelho Mourão</t>
        </is>
      </c>
      <c r="E2307" t="inlineStr">
        <is>
          <t>Vacal</t>
        </is>
      </c>
      <c r="F2307" t="inlineStr">
        <is>
          <t>Botelho Mourão – Hidrosol</t>
        </is>
      </c>
      <c r="J2307" t="inlineStr">
        <is>
          <t>Atividade</t>
        </is>
      </c>
      <c r="K2307" t="inlineStr">
        <is>
          <t>Apoio</t>
        </is>
      </c>
      <c r="L2307" t="inlineStr">
        <is>
          <t>PDS-Maio.docx</t>
        </is>
      </c>
      <c r="M2307">
        <f>IF($A2307="","",TEXT($A2307,"mmmm/yyyy"))</f>
        <v/>
      </c>
      <c r="P2307">
        <f>IFERROR(XLOOKUP($N2307,Base_Enderecos!$A:$A,Base_Enderecos!$B:$B,""),"")</f>
        <v/>
      </c>
      <c r="Q2307">
        <f>IFERROR(XLOOKUP($N2307,Base_Enderecos!$A:$A,Base_Enderecos!$C:$C,""),"")</f>
        <v/>
      </c>
      <c r="R2307">
        <f>IF(ISNUMBER(SEARCH("HDD",$F2307)),"HDD",IF(ISNUMBER(SEARCH("VCA",$F2307)),"VCA","MND"))</f>
        <v/>
      </c>
      <c r="T2307">
        <f>TEXT($A2307,"yyyy-mm")&amp;"|"&amp;$C2307&amp;"|"&amp;$I2307</f>
        <v/>
      </c>
    </row>
    <row r="2308">
      <c r="A2308" s="36" t="n">
        <v>46148</v>
      </c>
      <c r="B2308" t="inlineStr">
        <is>
          <t>Quarta</t>
        </is>
      </c>
      <c r="C2308" t="inlineStr">
        <is>
          <t>Guindauto</t>
        </is>
      </c>
      <c r="E2308" t="inlineStr">
        <is>
          <t>Guindauto</t>
        </is>
      </c>
      <c r="F2308" t="inlineStr">
        <is>
          <t>Marcio - Apoio as equipes</t>
        </is>
      </c>
      <c r="J2308" t="inlineStr">
        <is>
          <t>Atividade</t>
        </is>
      </c>
      <c r="K2308" t="inlineStr">
        <is>
          <t>Apoio</t>
        </is>
      </c>
      <c r="L2308" t="inlineStr">
        <is>
          <t>PDS-Maio.docx</t>
        </is>
      </c>
      <c r="M2308">
        <f>IF($A2308="","",TEXT($A2308,"mmmm/yyyy"))</f>
        <v/>
      </c>
      <c r="P2308">
        <f>IFERROR(XLOOKUP($N2308,Base_Enderecos!$A:$A,Base_Enderecos!$B:$B,""),"")</f>
        <v/>
      </c>
      <c r="Q2308">
        <f>IFERROR(XLOOKUP($N2308,Base_Enderecos!$A:$A,Base_Enderecos!$C:$C,""),"")</f>
        <v/>
      </c>
      <c r="R2308">
        <f>IF(ISNUMBER(SEARCH("HDD",$F2308)),"HDD",IF(ISNUMBER(SEARCH("VCA",$F2308)),"VCA","MND"))</f>
        <v/>
      </c>
      <c r="T2308">
        <f>TEXT($A2308,"yyyy-mm")&amp;"|"&amp;$C2308&amp;"|"&amp;$I2308</f>
        <v/>
      </c>
    </row>
    <row r="2309">
      <c r="A2309" s="36" t="n">
        <v>46148</v>
      </c>
      <c r="B2309" t="inlineStr">
        <is>
          <t>Quarta</t>
        </is>
      </c>
      <c r="C2309" t="inlineStr">
        <is>
          <t>Guindauto</t>
        </is>
      </c>
      <c r="E2309" t="inlineStr">
        <is>
          <t>Guindauto</t>
        </is>
      </c>
      <c r="F2309" t="inlineStr">
        <is>
          <t>Luiz Carlos - Apoio as equipes</t>
        </is>
      </c>
      <c r="J2309" t="inlineStr">
        <is>
          <t>Atividade</t>
        </is>
      </c>
      <c r="K2309" t="inlineStr">
        <is>
          <t>Apoio</t>
        </is>
      </c>
      <c r="L2309" t="inlineStr">
        <is>
          <t>PDS-Maio.docx</t>
        </is>
      </c>
      <c r="M2309">
        <f>IF($A2309="","",TEXT($A2309,"mmmm/yyyy"))</f>
        <v/>
      </c>
      <c r="P2309">
        <f>IFERROR(XLOOKUP($N2309,Base_Enderecos!$A:$A,Base_Enderecos!$B:$B,""),"")</f>
        <v/>
      </c>
      <c r="Q2309">
        <f>IFERROR(XLOOKUP($N2309,Base_Enderecos!$A:$A,Base_Enderecos!$C:$C,""),"")</f>
        <v/>
      </c>
      <c r="R2309">
        <f>IF(ISNUMBER(SEARCH("HDD",$F2309)),"HDD",IF(ISNUMBER(SEARCH("VCA",$F2309)),"VCA","MND"))</f>
        <v/>
      </c>
      <c r="T2309">
        <f>TEXT($A2309,"yyyy-mm")&amp;"|"&amp;$C2309&amp;"|"&amp;$I2309</f>
        <v/>
      </c>
    </row>
    <row r="2310">
      <c r="A2310" s="36" t="n">
        <v>46150</v>
      </c>
      <c r="B2310" t="inlineStr">
        <is>
          <t>Sexta</t>
        </is>
      </c>
      <c r="C2310" t="inlineStr">
        <is>
          <t>CTS João Canzi</t>
        </is>
      </c>
      <c r="D2310" t="inlineStr">
        <is>
          <t>Leandro / Valmir</t>
        </is>
      </c>
      <c r="E2310" t="inlineStr">
        <is>
          <t>Goiânia Drill</t>
        </is>
      </c>
      <c r="F2310" t="inlineStr">
        <is>
          <t>Furo piloto e puxe do PV-06 ao PV-08</t>
        </is>
      </c>
      <c r="G2310" t="inlineStr">
        <is>
          <t>06</t>
        </is>
      </c>
      <c r="H2310" t="inlineStr">
        <is>
          <t>08</t>
        </is>
      </c>
      <c r="I2310" t="inlineStr">
        <is>
          <t>06 ao 08</t>
        </is>
      </c>
      <c r="J2310" t="inlineStr">
        <is>
          <t>HDD</t>
        </is>
      </c>
      <c r="K2310" t="inlineStr">
        <is>
          <t>Planejamento</t>
        </is>
      </c>
      <c r="L2310" t="inlineStr">
        <is>
          <t>PDS-Maio.docx</t>
        </is>
      </c>
      <c r="M2310">
        <f>IF($A2310="","",TEXT($A2310,"mmmm/yyyy"))</f>
        <v/>
      </c>
      <c r="P2310">
        <f>IFERROR(XLOOKUP($N2310,Base_Enderecos!$A:$A,Base_Enderecos!$B:$B,""),"")</f>
        <v/>
      </c>
      <c r="Q2310">
        <f>IFERROR(XLOOKUP($N2310,Base_Enderecos!$A:$A,Base_Enderecos!$C:$C,""),"")</f>
        <v/>
      </c>
      <c r="R2310">
        <f>IF(ISNUMBER(SEARCH("HDD",$F2310)),"HDD",IF(ISNUMBER(SEARCH("VCA",$F2310)),"VCA","MND"))</f>
        <v/>
      </c>
      <c r="T2310">
        <f>TEXT($A2310,"yyyy-mm")&amp;"|"&amp;$C2310&amp;"|"&amp;$I2310</f>
        <v/>
      </c>
    </row>
    <row r="2311">
      <c r="A2311" s="36" t="n">
        <v>46150</v>
      </c>
      <c r="B2311" t="inlineStr">
        <is>
          <t>Sexta</t>
        </is>
      </c>
      <c r="C2311" t="inlineStr">
        <is>
          <t>CTS João Canzi</t>
        </is>
      </c>
      <c r="D2311" t="inlineStr">
        <is>
          <t>Leandro / Valmir</t>
        </is>
      </c>
      <c r="E2311" t="inlineStr">
        <is>
          <t>Bruno</t>
        </is>
      </c>
      <c r="F2311" t="inlineStr">
        <is>
          <t>Apoio ao HDD</t>
        </is>
      </c>
      <c r="J2311" t="inlineStr">
        <is>
          <t>HDD</t>
        </is>
      </c>
      <c r="K2311" t="inlineStr">
        <is>
          <t>Planejamento</t>
        </is>
      </c>
      <c r="L2311" t="inlineStr">
        <is>
          <t>PDS-Maio.docx</t>
        </is>
      </c>
      <c r="M2311">
        <f>IF($A2311="","",TEXT($A2311,"mmmm/yyyy"))</f>
        <v/>
      </c>
      <c r="P2311">
        <f>IFERROR(XLOOKUP($N2311,Base_Enderecos!$A:$A,Base_Enderecos!$B:$B,""),"")</f>
        <v/>
      </c>
      <c r="Q2311">
        <f>IFERROR(XLOOKUP($N2311,Base_Enderecos!$A:$A,Base_Enderecos!$C:$C,""),"")</f>
        <v/>
      </c>
      <c r="R2311">
        <f>IF(ISNUMBER(SEARCH("HDD",$F2311)),"HDD",IF(ISNUMBER(SEARCH("VCA",$F2311)),"VCA","MND"))</f>
        <v/>
      </c>
      <c r="T2311">
        <f>TEXT($A2311,"yyyy-mm")&amp;"|"&amp;$C2311&amp;"|"&amp;$I2311</f>
        <v/>
      </c>
    </row>
    <row r="2312">
      <c r="A2312" s="36" t="n">
        <v>46150</v>
      </c>
      <c r="B2312" t="inlineStr">
        <is>
          <t>Sexta</t>
        </is>
      </c>
      <c r="C2312" t="inlineStr">
        <is>
          <t>CTS João Canzi</t>
        </is>
      </c>
      <c r="D2312" t="inlineStr">
        <is>
          <t>Leandro / Valmir</t>
        </is>
      </c>
      <c r="E2312" t="inlineStr">
        <is>
          <t>Miro Go-02</t>
        </is>
      </c>
      <c r="F2312" t="inlineStr">
        <is>
          <t>Shaft PV 11</t>
        </is>
      </c>
      <c r="G2312" t="inlineStr">
        <is>
          <t>11</t>
        </is>
      </c>
      <c r="I2312" t="inlineStr">
        <is>
          <t>11</t>
        </is>
      </c>
      <c r="J2312" t="inlineStr">
        <is>
          <t>Shaft</t>
        </is>
      </c>
      <c r="K2312" t="inlineStr">
        <is>
          <t>Planejamento</t>
        </is>
      </c>
      <c r="L2312" t="inlineStr">
        <is>
          <t>PDS-Maio.docx</t>
        </is>
      </c>
      <c r="M2312">
        <f>IF($A2312="","",TEXT($A2312,"mmmm/yyyy"))</f>
        <v/>
      </c>
      <c r="P2312">
        <f>IFERROR(XLOOKUP($N2312,Base_Enderecos!$A:$A,Base_Enderecos!$B:$B,""),"")</f>
        <v/>
      </c>
      <c r="Q2312">
        <f>IFERROR(XLOOKUP($N2312,Base_Enderecos!$A:$A,Base_Enderecos!$C:$C,""),"")</f>
        <v/>
      </c>
      <c r="R2312">
        <f>IF(ISNUMBER(SEARCH("HDD",$F2312)),"HDD",IF(ISNUMBER(SEARCH("VCA",$F2312)),"VCA","MND"))</f>
        <v/>
      </c>
      <c r="T2312">
        <f>TEXT($A2312,"yyyy-mm")&amp;"|"&amp;$C2312&amp;"|"&amp;$I2312</f>
        <v/>
      </c>
    </row>
    <row r="2313">
      <c r="A2313" s="36" t="n">
        <v>46150</v>
      </c>
      <c r="B2313" t="inlineStr">
        <is>
          <t>Sexta</t>
        </is>
      </c>
      <c r="C2313" t="inlineStr">
        <is>
          <t>CTS João Canzi</t>
        </is>
      </c>
      <c r="D2313" t="inlineStr">
        <is>
          <t>Leandro / Valmir</t>
        </is>
      </c>
      <c r="E2313" t="inlineStr">
        <is>
          <t>Carlos</t>
        </is>
      </c>
      <c r="F2313" t="inlineStr">
        <is>
          <t>Shaft PV 17</t>
        </is>
      </c>
      <c r="G2313" t="inlineStr">
        <is>
          <t>17</t>
        </is>
      </c>
      <c r="I2313" t="inlineStr">
        <is>
          <t>17</t>
        </is>
      </c>
      <c r="J2313" t="inlineStr">
        <is>
          <t>Shaft</t>
        </is>
      </c>
      <c r="K2313" t="inlineStr">
        <is>
          <t>Planejamento</t>
        </is>
      </c>
      <c r="L2313" t="inlineStr">
        <is>
          <t>PDS-Maio.docx</t>
        </is>
      </c>
      <c r="M2313">
        <f>IF($A2313="","",TEXT($A2313,"mmmm/yyyy"))</f>
        <v/>
      </c>
      <c r="P2313">
        <f>IFERROR(XLOOKUP($N2313,Base_Enderecos!$A:$A,Base_Enderecos!$B:$B,""),"")</f>
        <v/>
      </c>
      <c r="Q2313">
        <f>IFERROR(XLOOKUP($N2313,Base_Enderecos!$A:$A,Base_Enderecos!$C:$C,""),"")</f>
        <v/>
      </c>
      <c r="R2313">
        <f>IF(ISNUMBER(SEARCH("HDD",$F2313)),"HDD",IF(ISNUMBER(SEARCH("VCA",$F2313)),"VCA","MND"))</f>
        <v/>
      </c>
      <c r="T2313">
        <f>TEXT($A2313,"yyyy-mm")&amp;"|"&amp;$C2313&amp;"|"&amp;$I2313</f>
        <v/>
      </c>
    </row>
    <row r="2314">
      <c r="A2314" s="36" t="n">
        <v>46150</v>
      </c>
      <c r="B2314" t="inlineStr">
        <is>
          <t>Sexta</t>
        </is>
      </c>
      <c r="C2314" t="inlineStr">
        <is>
          <t>CTS João Canzi</t>
        </is>
      </c>
      <c r="D2314" t="inlineStr">
        <is>
          <t>Leandro / Valmir</t>
        </is>
      </c>
      <c r="E2314" t="inlineStr">
        <is>
          <t>Valter</t>
        </is>
      </c>
      <c r="F2314" t="inlineStr">
        <is>
          <t>Transformação PV 06</t>
        </is>
      </c>
      <c r="G2314" t="inlineStr">
        <is>
          <t>06</t>
        </is>
      </c>
      <c r="I2314" t="inlineStr">
        <is>
          <t>06</t>
        </is>
      </c>
      <c r="J2314" t="inlineStr">
        <is>
          <t>Transformação</t>
        </is>
      </c>
      <c r="K2314" t="inlineStr">
        <is>
          <t>Planejamento</t>
        </is>
      </c>
      <c r="L2314" t="inlineStr">
        <is>
          <t>PDS-Maio.docx</t>
        </is>
      </c>
      <c r="M2314">
        <f>IF($A2314="","",TEXT($A2314,"mmmm/yyyy"))</f>
        <v/>
      </c>
      <c r="P2314">
        <f>IFERROR(XLOOKUP($N2314,Base_Enderecos!$A:$A,Base_Enderecos!$B:$B,""),"")</f>
        <v/>
      </c>
      <c r="Q2314">
        <f>IFERROR(XLOOKUP($N2314,Base_Enderecos!$A:$A,Base_Enderecos!$C:$C,""),"")</f>
        <v/>
      </c>
      <c r="R2314">
        <f>IF(ISNUMBER(SEARCH("HDD",$F2314)),"HDD",IF(ISNUMBER(SEARCH("VCA",$F2314)),"VCA","MND"))</f>
        <v/>
      </c>
      <c r="T2314">
        <f>TEXT($A2314,"yyyy-mm")&amp;"|"&amp;$C2314&amp;"|"&amp;$I2314</f>
        <v/>
      </c>
    </row>
    <row r="2315">
      <c r="A2315" s="36" t="n">
        <v>46150</v>
      </c>
      <c r="B2315" t="inlineStr">
        <is>
          <t>Sexta</t>
        </is>
      </c>
      <c r="C2315" t="inlineStr">
        <is>
          <t>CTS Mar De Coral</t>
        </is>
      </c>
      <c r="D2315" t="inlineStr">
        <is>
          <t>Silvestre</t>
        </is>
      </c>
      <c r="E2315" t="inlineStr">
        <is>
          <t>Edvando</t>
        </is>
      </c>
      <c r="F2315" t="inlineStr">
        <is>
          <t>VCA e transformações de PVs entre PV 22.2 ao 22.4</t>
        </is>
      </c>
      <c r="G2315" t="inlineStr">
        <is>
          <t>22.2</t>
        </is>
      </c>
      <c r="H2315" t="inlineStr">
        <is>
          <t>22.4</t>
        </is>
      </c>
      <c r="I2315" t="inlineStr">
        <is>
          <t>22.2 ao 22.4</t>
        </is>
      </c>
      <c r="J2315" t="inlineStr">
        <is>
          <t>Transformação</t>
        </is>
      </c>
      <c r="K2315" t="inlineStr">
        <is>
          <t>Planejamento</t>
        </is>
      </c>
      <c r="L2315" t="inlineStr">
        <is>
          <t>PDS-Maio.docx</t>
        </is>
      </c>
      <c r="M2315">
        <f>IF($A2315="","",TEXT($A2315,"mmmm/yyyy"))</f>
        <v/>
      </c>
      <c r="P2315">
        <f>IFERROR(XLOOKUP($N2315,Base_Enderecos!$A:$A,Base_Enderecos!$B:$B,""),"")</f>
        <v/>
      </c>
      <c r="Q2315">
        <f>IFERROR(XLOOKUP($N2315,Base_Enderecos!$A:$A,Base_Enderecos!$C:$C,""),"")</f>
        <v/>
      </c>
      <c r="R2315">
        <f>IF(ISNUMBER(SEARCH("HDD",$F2315)),"HDD",IF(ISNUMBER(SEARCH("VCA",$F2315)),"VCA","MND"))</f>
        <v/>
      </c>
      <c r="T2315">
        <f>TEXT($A2315,"yyyy-mm")&amp;"|"&amp;$C2315&amp;"|"&amp;$I2315</f>
        <v/>
      </c>
    </row>
    <row r="2316">
      <c r="A2316" s="36" t="n">
        <v>46150</v>
      </c>
      <c r="B2316" t="inlineStr">
        <is>
          <t>Sexta</t>
        </is>
      </c>
      <c r="C2316" t="inlineStr">
        <is>
          <t>CTS Mar De Coral</t>
        </is>
      </c>
      <c r="D2316" t="inlineStr">
        <is>
          <t>Silvestre</t>
        </is>
      </c>
      <c r="E2316" t="inlineStr">
        <is>
          <t>Edvando</t>
        </is>
      </c>
      <c r="F2316" t="inlineStr">
        <is>
          <t>Int. Arariba– VALMIR</t>
        </is>
      </c>
      <c r="J2316" t="inlineStr">
        <is>
          <t>Atividade</t>
        </is>
      </c>
      <c r="K2316" t="inlineStr">
        <is>
          <t>Planejamento</t>
        </is>
      </c>
      <c r="L2316" t="inlineStr">
        <is>
          <t>PDS-Maio.docx</t>
        </is>
      </c>
      <c r="M2316">
        <f>IF($A2316="","",TEXT($A2316,"mmmm/yyyy"))</f>
        <v/>
      </c>
      <c r="P2316">
        <f>IFERROR(XLOOKUP($N2316,Base_Enderecos!$A:$A,Base_Enderecos!$B:$B,""),"")</f>
        <v/>
      </c>
      <c r="Q2316">
        <f>IFERROR(XLOOKUP($N2316,Base_Enderecos!$A:$A,Base_Enderecos!$C:$C,""),"")</f>
        <v/>
      </c>
      <c r="R2316">
        <f>IF(ISNUMBER(SEARCH("HDD",$F2316)),"HDD",IF(ISNUMBER(SEARCH("VCA",$F2316)),"VCA","MND"))</f>
        <v/>
      </c>
      <c r="T2316">
        <f>TEXT($A2316,"yyyy-mm")&amp;"|"&amp;$C2316&amp;"|"&amp;$I2316</f>
        <v/>
      </c>
    </row>
    <row r="2317">
      <c r="A2317" s="36" t="n">
        <v>46150</v>
      </c>
      <c r="B2317" t="inlineStr">
        <is>
          <t>Sexta</t>
        </is>
      </c>
      <c r="C2317" t="inlineStr">
        <is>
          <t>CTS Mar De Coral</t>
        </is>
      </c>
      <c r="D2317" t="inlineStr">
        <is>
          <t>Silvestre</t>
        </is>
      </c>
      <c r="E2317" t="inlineStr">
        <is>
          <t>Cidão</t>
        </is>
      </c>
      <c r="F2317" t="inlineStr">
        <is>
          <t>Apoio HDD</t>
        </is>
      </c>
      <c r="J2317" t="inlineStr">
        <is>
          <t>HDD</t>
        </is>
      </c>
      <c r="K2317" t="inlineStr">
        <is>
          <t>Planejamento</t>
        </is>
      </c>
      <c r="L2317" t="inlineStr">
        <is>
          <t>PDS-Maio.docx</t>
        </is>
      </c>
      <c r="M2317">
        <f>IF($A2317="","",TEXT($A2317,"mmmm/yyyy"))</f>
        <v/>
      </c>
      <c r="P2317">
        <f>IFERROR(XLOOKUP($N2317,Base_Enderecos!$A:$A,Base_Enderecos!$B:$B,""),"")</f>
        <v/>
      </c>
      <c r="Q2317">
        <f>IFERROR(XLOOKUP($N2317,Base_Enderecos!$A:$A,Base_Enderecos!$C:$C,""),"")</f>
        <v/>
      </c>
      <c r="R2317">
        <f>IF(ISNUMBER(SEARCH("HDD",$F2317)),"HDD",IF(ISNUMBER(SEARCH("VCA",$F2317)),"VCA","MND"))</f>
        <v/>
      </c>
      <c r="T2317">
        <f>TEXT($A2317,"yyyy-mm")&amp;"|"&amp;$C2317&amp;"|"&amp;$I2317</f>
        <v/>
      </c>
    </row>
    <row r="2318">
      <c r="A2318" s="36" t="n">
        <v>46150</v>
      </c>
      <c r="B2318" t="inlineStr">
        <is>
          <t>Sexta</t>
        </is>
      </c>
      <c r="C2318" t="inlineStr">
        <is>
          <t>CTS Luis Botelho Mourão</t>
        </is>
      </c>
      <c r="D2318" t="inlineStr">
        <is>
          <t>Robson</t>
        </is>
      </c>
      <c r="E2318" t="inlineStr">
        <is>
          <t>Marcio</t>
        </is>
      </c>
      <c r="F2318" t="inlineStr">
        <is>
          <t>Lavagem Rede</t>
        </is>
      </c>
      <c r="J2318" t="inlineStr">
        <is>
          <t>Lavagem</t>
        </is>
      </c>
      <c r="K2318" t="inlineStr">
        <is>
          <t>Planejamento</t>
        </is>
      </c>
      <c r="L2318" t="inlineStr">
        <is>
          <t>PDS-Maio.docx</t>
        </is>
      </c>
      <c r="M2318">
        <f>IF($A2318="","",TEXT($A2318,"mmmm/yyyy"))</f>
        <v/>
      </c>
      <c r="P2318">
        <f>IFERROR(XLOOKUP($N2318,Base_Enderecos!$A:$A,Base_Enderecos!$B:$B,""),"")</f>
        <v/>
      </c>
      <c r="Q2318">
        <f>IFERROR(XLOOKUP($N2318,Base_Enderecos!$A:$A,Base_Enderecos!$C:$C,""),"")</f>
        <v/>
      </c>
      <c r="R2318">
        <f>IF(ISNUMBER(SEARCH("HDD",$F2318)),"HDD",IF(ISNUMBER(SEARCH("VCA",$F2318)),"VCA","MND"))</f>
        <v/>
      </c>
      <c r="T2318">
        <f>TEXT($A2318,"yyyy-mm")&amp;"|"&amp;$C2318&amp;"|"&amp;$I2318</f>
        <v/>
      </c>
    </row>
    <row r="2319">
      <c r="A2319" s="36" t="n">
        <v>46150</v>
      </c>
      <c r="B2319" t="inlineStr">
        <is>
          <t>Sexta</t>
        </is>
      </c>
      <c r="C2319" t="inlineStr">
        <is>
          <t>CTS Luis Botelho Mourão</t>
        </is>
      </c>
      <c r="D2319" t="inlineStr">
        <is>
          <t>Robson</t>
        </is>
      </c>
      <c r="E2319" t="inlineStr">
        <is>
          <t>Higor</t>
        </is>
      </c>
      <c r="F2319" t="inlineStr">
        <is>
          <t>Reparo calçadas, guias e sarjetas</t>
        </is>
      </c>
      <c r="J2319" t="inlineStr">
        <is>
          <t>Atividade</t>
        </is>
      </c>
      <c r="K2319" t="inlineStr">
        <is>
          <t>Planejamento</t>
        </is>
      </c>
      <c r="L2319" t="inlineStr">
        <is>
          <t>PDS-Maio.docx</t>
        </is>
      </c>
      <c r="M2319">
        <f>IF($A2319="","",TEXT($A2319,"mmmm/yyyy"))</f>
        <v/>
      </c>
      <c r="P2319">
        <f>IFERROR(XLOOKUP($N2319,Base_Enderecos!$A:$A,Base_Enderecos!$B:$B,""),"")</f>
        <v/>
      </c>
      <c r="Q2319">
        <f>IFERROR(XLOOKUP($N2319,Base_Enderecos!$A:$A,Base_Enderecos!$C:$C,""),"")</f>
        <v/>
      </c>
      <c r="R2319">
        <f>IF(ISNUMBER(SEARCH("HDD",$F2319)),"HDD",IF(ISNUMBER(SEARCH("VCA",$F2319)),"VCA","MND"))</f>
        <v/>
      </c>
      <c r="T2319">
        <f>TEXT($A2319,"yyyy-mm")&amp;"|"&amp;$C2319&amp;"|"&amp;$I2319</f>
        <v/>
      </c>
    </row>
    <row r="2320">
      <c r="A2320" s="36" t="n">
        <v>46150</v>
      </c>
      <c r="B2320" t="inlineStr">
        <is>
          <t>Sexta</t>
        </is>
      </c>
      <c r="C2320" t="inlineStr">
        <is>
          <t>CTS Luis Botelho Mourão</t>
        </is>
      </c>
      <c r="D2320" t="inlineStr">
        <is>
          <t>Robson</t>
        </is>
      </c>
      <c r="E2320" t="inlineStr">
        <is>
          <t>Jhonatan</t>
        </is>
      </c>
      <c r="F2320" t="inlineStr">
        <is>
          <t>Acabamentos gerais</t>
        </is>
      </c>
      <c r="J2320" t="inlineStr">
        <is>
          <t>Acabamento</t>
        </is>
      </c>
      <c r="K2320" t="inlineStr">
        <is>
          <t>Planejamento</t>
        </is>
      </c>
      <c r="L2320" t="inlineStr">
        <is>
          <t>PDS-Maio.docx</t>
        </is>
      </c>
      <c r="M2320">
        <f>IF($A2320="","",TEXT($A2320,"mmmm/yyyy"))</f>
        <v/>
      </c>
      <c r="P2320">
        <f>IFERROR(XLOOKUP($N2320,Base_Enderecos!$A:$A,Base_Enderecos!$B:$B,""),"")</f>
        <v/>
      </c>
      <c r="Q2320">
        <f>IFERROR(XLOOKUP($N2320,Base_Enderecos!$A:$A,Base_Enderecos!$C:$C,""),"")</f>
        <v/>
      </c>
      <c r="R2320">
        <f>IF(ISNUMBER(SEARCH("HDD",$F2320)),"HDD",IF(ISNUMBER(SEARCH("VCA",$F2320)),"VCA","MND"))</f>
        <v/>
      </c>
      <c r="T2320">
        <f>TEXT($A2320,"yyyy-mm")&amp;"|"&amp;$C2320&amp;"|"&amp;$I2320</f>
        <v/>
      </c>
    </row>
    <row r="2321">
      <c r="A2321" s="36" t="n">
        <v>46150</v>
      </c>
      <c r="B2321" t="inlineStr">
        <is>
          <t>Sexta</t>
        </is>
      </c>
      <c r="C2321" t="inlineStr">
        <is>
          <t>RCE São Lucas</t>
        </is>
      </c>
      <c r="D2321" t="inlineStr">
        <is>
          <t>Fábio</t>
        </is>
      </c>
      <c r="E2321" t="inlineStr">
        <is>
          <t>Antonio</t>
        </is>
      </c>
      <c r="F2321" t="inlineStr">
        <is>
          <t>VCA, PVs e Ligações</t>
        </is>
      </c>
      <c r="J2321" t="inlineStr">
        <is>
          <t>VCA</t>
        </is>
      </c>
      <c r="K2321" t="inlineStr">
        <is>
          <t>Planejamento</t>
        </is>
      </c>
      <c r="L2321" t="inlineStr">
        <is>
          <t>PDS-Maio.docx</t>
        </is>
      </c>
      <c r="M2321">
        <f>IF($A2321="","",TEXT($A2321,"mmmm/yyyy"))</f>
        <v/>
      </c>
      <c r="P2321">
        <f>IFERROR(XLOOKUP($N2321,Base_Enderecos!$A:$A,Base_Enderecos!$B:$B,""),"")</f>
        <v/>
      </c>
      <c r="Q2321">
        <f>IFERROR(XLOOKUP($N2321,Base_Enderecos!$A:$A,Base_Enderecos!$C:$C,""),"")</f>
        <v/>
      </c>
      <c r="R2321">
        <f>IF(ISNUMBER(SEARCH("HDD",$F2321)),"HDD",IF(ISNUMBER(SEARCH("VCA",$F2321)),"VCA","MND"))</f>
        <v/>
      </c>
      <c r="T2321">
        <f>TEXT($A2321,"yyyy-mm")&amp;"|"&amp;$C2321&amp;"|"&amp;$I2321</f>
        <v/>
      </c>
    </row>
    <row r="2322">
      <c r="A2322" s="36" t="n">
        <v>46150</v>
      </c>
      <c r="B2322" t="inlineStr">
        <is>
          <t>Sexta</t>
        </is>
      </c>
      <c r="C2322" t="inlineStr">
        <is>
          <t>RCE São Lucas</t>
        </is>
      </c>
      <c r="D2322" t="inlineStr">
        <is>
          <t>Fábio</t>
        </is>
      </c>
      <c r="E2322" t="inlineStr">
        <is>
          <t>Medeiros</t>
        </is>
      </c>
      <c r="F2322" t="inlineStr">
        <is>
          <t>VCA, PVs e Ligações</t>
        </is>
      </c>
      <c r="J2322" t="inlineStr">
        <is>
          <t>VCA</t>
        </is>
      </c>
      <c r="K2322" t="inlineStr">
        <is>
          <t>Planejamento</t>
        </is>
      </c>
      <c r="L2322" t="inlineStr">
        <is>
          <t>PDS-Maio.docx</t>
        </is>
      </c>
      <c r="M2322">
        <f>IF($A2322="","",TEXT($A2322,"mmmm/yyyy"))</f>
        <v/>
      </c>
      <c r="P2322">
        <f>IFERROR(XLOOKUP($N2322,Base_Enderecos!$A:$A,Base_Enderecos!$B:$B,""),"")</f>
        <v/>
      </c>
      <c r="Q2322">
        <f>IFERROR(XLOOKUP($N2322,Base_Enderecos!$A:$A,Base_Enderecos!$C:$C,""),"")</f>
        <v/>
      </c>
      <c r="R2322">
        <f>IF(ISNUMBER(SEARCH("HDD",$F2322)),"HDD",IF(ISNUMBER(SEARCH("VCA",$F2322)),"VCA","MND"))</f>
        <v/>
      </c>
      <c r="T2322">
        <f>TEXT($A2322,"yyyy-mm")&amp;"|"&amp;$C2322&amp;"|"&amp;$I2322</f>
        <v/>
      </c>
    </row>
    <row r="2323">
      <c r="A2323" s="36" t="n">
        <v>46150</v>
      </c>
      <c r="B2323" t="inlineStr">
        <is>
          <t>Sexta</t>
        </is>
      </c>
      <c r="C2323" t="inlineStr">
        <is>
          <t>RCE São Lucas</t>
        </is>
      </c>
      <c r="D2323" t="inlineStr">
        <is>
          <t>Fábio</t>
        </is>
      </c>
      <c r="E2323" t="inlineStr">
        <is>
          <t>Ricardo</t>
        </is>
      </c>
      <c r="F2323" t="inlineStr">
        <is>
          <t>VCA, PVs e Ligações</t>
        </is>
      </c>
      <c r="J2323" t="inlineStr">
        <is>
          <t>VCA</t>
        </is>
      </c>
      <c r="K2323" t="inlineStr">
        <is>
          <t>Planejamento</t>
        </is>
      </c>
      <c r="L2323" t="inlineStr">
        <is>
          <t>PDS-Maio.docx</t>
        </is>
      </c>
      <c r="M2323">
        <f>IF($A2323="","",TEXT($A2323,"mmmm/yyyy"))</f>
        <v/>
      </c>
      <c r="P2323">
        <f>IFERROR(XLOOKUP($N2323,Base_Enderecos!$A:$A,Base_Enderecos!$B:$B,""),"")</f>
        <v/>
      </c>
      <c r="Q2323">
        <f>IFERROR(XLOOKUP($N2323,Base_Enderecos!$A:$A,Base_Enderecos!$C:$C,""),"")</f>
        <v/>
      </c>
      <c r="R2323">
        <f>IF(ISNUMBER(SEARCH("HDD",$F2323)),"HDD",IF(ISNUMBER(SEARCH("VCA",$F2323)),"VCA","MND"))</f>
        <v/>
      </c>
      <c r="T2323">
        <f>TEXT($A2323,"yyyy-mm")&amp;"|"&amp;$C2323&amp;"|"&amp;$I2323</f>
        <v/>
      </c>
    </row>
    <row r="2324">
      <c r="A2324" s="36" t="n">
        <v>46150</v>
      </c>
      <c r="B2324" t="inlineStr">
        <is>
          <t>Sexta</t>
        </is>
      </c>
      <c r="C2324" t="inlineStr">
        <is>
          <t>RCE São Lucas</t>
        </is>
      </c>
      <c r="D2324" t="inlineStr">
        <is>
          <t>Fábio</t>
        </is>
      </c>
      <c r="E2324" t="inlineStr">
        <is>
          <t>Claudinei</t>
        </is>
      </c>
      <c r="F2324" t="inlineStr">
        <is>
          <t>VCA, PVs e Ligações</t>
        </is>
      </c>
      <c r="J2324" t="inlineStr">
        <is>
          <t>VCA</t>
        </is>
      </c>
      <c r="K2324" t="inlineStr">
        <is>
          <t>Planejamento</t>
        </is>
      </c>
      <c r="L2324" t="inlineStr">
        <is>
          <t>PDS-Maio.docx</t>
        </is>
      </c>
      <c r="M2324">
        <f>IF($A2324="","",TEXT($A2324,"mmmm/yyyy"))</f>
        <v/>
      </c>
      <c r="P2324">
        <f>IFERROR(XLOOKUP($N2324,Base_Enderecos!$A:$A,Base_Enderecos!$B:$B,""),"")</f>
        <v/>
      </c>
      <c r="Q2324">
        <f>IFERROR(XLOOKUP($N2324,Base_Enderecos!$A:$A,Base_Enderecos!$C:$C,""),"")</f>
        <v/>
      </c>
      <c r="R2324">
        <f>IF(ISNUMBER(SEARCH("HDD",$F2324)),"HDD",IF(ISNUMBER(SEARCH("VCA",$F2324)),"VCA","MND"))</f>
        <v/>
      </c>
      <c r="T2324">
        <f>TEXT($A2324,"yyyy-mm")&amp;"|"&amp;$C2324&amp;"|"&amp;$I2324</f>
        <v/>
      </c>
    </row>
    <row r="2325">
      <c r="A2325" s="36" t="n">
        <v>46150</v>
      </c>
      <c r="B2325" t="inlineStr">
        <is>
          <t>Sexta</t>
        </is>
      </c>
      <c r="C2325" t="inlineStr">
        <is>
          <t>RCE São Lucas</t>
        </is>
      </c>
      <c r="D2325" t="inlineStr">
        <is>
          <t>Fábio</t>
        </is>
      </c>
      <c r="E2325" t="inlineStr">
        <is>
          <t>Marcelo</t>
        </is>
      </c>
      <c r="F2325" t="inlineStr">
        <is>
          <t>VCA, PVs e Ligações</t>
        </is>
      </c>
      <c r="J2325" t="inlineStr">
        <is>
          <t>VCA</t>
        </is>
      </c>
      <c r="K2325" t="inlineStr">
        <is>
          <t>Planejamento</t>
        </is>
      </c>
      <c r="L2325" t="inlineStr">
        <is>
          <t>PDS-Maio.docx</t>
        </is>
      </c>
      <c r="M2325">
        <f>IF($A2325="","",TEXT($A2325,"mmmm/yyyy"))</f>
        <v/>
      </c>
      <c r="P2325">
        <f>IFERROR(XLOOKUP($N2325,Base_Enderecos!$A:$A,Base_Enderecos!$B:$B,""),"")</f>
        <v/>
      </c>
      <c r="Q2325">
        <f>IFERROR(XLOOKUP($N2325,Base_Enderecos!$A:$A,Base_Enderecos!$C:$C,""),"")</f>
        <v/>
      </c>
      <c r="R2325">
        <f>IF(ISNUMBER(SEARCH("HDD",$F2325)),"HDD",IF(ISNUMBER(SEARCH("VCA",$F2325)),"VCA","MND"))</f>
        <v/>
      </c>
      <c r="T2325">
        <f>TEXT($A2325,"yyyy-mm")&amp;"|"&amp;$C2325&amp;"|"&amp;$I2325</f>
        <v/>
      </c>
    </row>
    <row r="2326">
      <c r="A2326" s="36" t="n">
        <v>46150</v>
      </c>
      <c r="B2326" t="inlineStr">
        <is>
          <t>Sexta</t>
        </is>
      </c>
      <c r="C2326" t="inlineStr">
        <is>
          <t>CTS Conceicão</t>
        </is>
      </c>
      <c r="D2326" t="inlineStr">
        <is>
          <t>Silvestre</t>
        </is>
      </c>
      <c r="E2326" t="inlineStr">
        <is>
          <t>Cesar</t>
        </is>
      </c>
      <c r="F2326" t="inlineStr">
        <is>
          <t>Tubo de queda PVE</t>
        </is>
      </c>
      <c r="J2326" t="inlineStr">
        <is>
          <t>Tubo</t>
        </is>
      </c>
      <c r="K2326" t="inlineStr">
        <is>
          <t>Planejamento</t>
        </is>
      </c>
      <c r="L2326" t="inlineStr">
        <is>
          <t>PDS-Maio.docx</t>
        </is>
      </c>
      <c r="M2326">
        <f>IF($A2326="","",TEXT($A2326,"mmmm/yyyy"))</f>
        <v/>
      </c>
      <c r="P2326">
        <f>IFERROR(XLOOKUP($N2326,Base_Enderecos!$A:$A,Base_Enderecos!$B:$B,""),"")</f>
        <v/>
      </c>
      <c r="Q2326">
        <f>IFERROR(XLOOKUP($N2326,Base_Enderecos!$A:$A,Base_Enderecos!$C:$C,""),"")</f>
        <v/>
      </c>
      <c r="R2326">
        <f>IF(ISNUMBER(SEARCH("HDD",$F2326)),"HDD",IF(ISNUMBER(SEARCH("VCA",$F2326)),"VCA","MND"))</f>
        <v/>
      </c>
      <c r="T2326">
        <f>TEXT($A2326,"yyyy-mm")&amp;"|"&amp;$C2326&amp;"|"&amp;$I2326</f>
        <v/>
      </c>
    </row>
    <row r="2327">
      <c r="A2327" s="36" t="n">
        <v>46150</v>
      </c>
      <c r="B2327" t="inlineStr">
        <is>
          <t>Sexta</t>
        </is>
      </c>
      <c r="C2327" t="inlineStr">
        <is>
          <t>CTS Conceicão</t>
        </is>
      </c>
      <c r="D2327" t="inlineStr">
        <is>
          <t>Silvestre</t>
        </is>
      </c>
      <c r="E2327" t="inlineStr">
        <is>
          <t>Emanuel Go-01</t>
        </is>
      </c>
      <c r="F2327" t="inlineStr">
        <is>
          <t>Shaft PV 10.2.1</t>
        </is>
      </c>
      <c r="G2327" t="inlineStr">
        <is>
          <t>10.2.1</t>
        </is>
      </c>
      <c r="I2327" t="inlineStr">
        <is>
          <t>10.2.1</t>
        </is>
      </c>
      <c r="J2327" t="inlineStr">
        <is>
          <t>Shaft</t>
        </is>
      </c>
      <c r="K2327" t="inlineStr">
        <is>
          <t>Planejamento</t>
        </is>
      </c>
      <c r="L2327" t="inlineStr">
        <is>
          <t>PDS-Maio.docx</t>
        </is>
      </c>
      <c r="M2327">
        <f>IF($A2327="","",TEXT($A2327,"mmmm/yyyy"))</f>
        <v/>
      </c>
      <c r="P2327">
        <f>IFERROR(XLOOKUP($N2327,Base_Enderecos!$A:$A,Base_Enderecos!$B:$B,""),"")</f>
        <v/>
      </c>
      <c r="Q2327">
        <f>IFERROR(XLOOKUP($N2327,Base_Enderecos!$A:$A,Base_Enderecos!$C:$C,""),"")</f>
        <v/>
      </c>
      <c r="R2327">
        <f>IF(ISNUMBER(SEARCH("HDD",$F2327)),"HDD",IF(ISNUMBER(SEARCH("VCA",$F2327)),"VCA","MND"))</f>
        <v/>
      </c>
      <c r="T2327">
        <f>TEXT($A2327,"yyyy-mm")&amp;"|"&amp;$C2327&amp;"|"&amp;$I2327</f>
        <v/>
      </c>
    </row>
    <row r="2328">
      <c r="A2328" s="36" t="n">
        <v>46150</v>
      </c>
      <c r="B2328" t="inlineStr">
        <is>
          <t>Sexta</t>
        </is>
      </c>
      <c r="C2328" t="inlineStr">
        <is>
          <t>Botelho Mourão</t>
        </is>
      </c>
      <c r="E2328" t="inlineStr">
        <is>
          <t>Vacal</t>
        </is>
      </c>
      <c r="F2328" t="inlineStr">
        <is>
          <t>Botelho Mourão – Henko</t>
        </is>
      </c>
      <c r="J2328" t="inlineStr">
        <is>
          <t>Atividade</t>
        </is>
      </c>
      <c r="K2328" t="inlineStr">
        <is>
          <t>Apoio</t>
        </is>
      </c>
      <c r="L2328" t="inlineStr">
        <is>
          <t>PDS-Maio.docx</t>
        </is>
      </c>
      <c r="M2328">
        <f>IF($A2328="","",TEXT($A2328,"mmmm/yyyy"))</f>
        <v/>
      </c>
      <c r="P2328">
        <f>IFERROR(XLOOKUP($N2328,Base_Enderecos!$A:$A,Base_Enderecos!$B:$B,""),"")</f>
        <v/>
      </c>
      <c r="Q2328">
        <f>IFERROR(XLOOKUP($N2328,Base_Enderecos!$A:$A,Base_Enderecos!$C:$C,""),"")</f>
        <v/>
      </c>
      <c r="R2328">
        <f>IF(ISNUMBER(SEARCH("HDD",$F2328)),"HDD",IF(ISNUMBER(SEARCH("VCA",$F2328)),"VCA","MND"))</f>
        <v/>
      </c>
      <c r="T2328">
        <f>TEXT($A2328,"yyyy-mm")&amp;"|"&amp;$C2328&amp;"|"&amp;$I2328</f>
        <v/>
      </c>
    </row>
    <row r="2329">
      <c r="A2329" s="36" t="n">
        <v>46150</v>
      </c>
      <c r="B2329" t="inlineStr">
        <is>
          <t>Sexta</t>
        </is>
      </c>
      <c r="C2329" t="inlineStr">
        <is>
          <t>João Canzi</t>
        </is>
      </c>
      <c r="E2329" t="inlineStr">
        <is>
          <t>Vacal</t>
        </is>
      </c>
      <c r="F2329" t="inlineStr">
        <is>
          <t>João Canzi – Hidrosol</t>
        </is>
      </c>
      <c r="J2329" t="inlineStr">
        <is>
          <t>Atividade</t>
        </is>
      </c>
      <c r="K2329" t="inlineStr">
        <is>
          <t>Apoio</t>
        </is>
      </c>
      <c r="L2329" t="inlineStr">
        <is>
          <t>PDS-Maio.docx</t>
        </is>
      </c>
      <c r="M2329">
        <f>IF($A2329="","",TEXT($A2329,"mmmm/yyyy"))</f>
        <v/>
      </c>
      <c r="P2329">
        <f>IFERROR(XLOOKUP($N2329,Base_Enderecos!$A:$A,Base_Enderecos!$B:$B,""),"")</f>
        <v/>
      </c>
      <c r="Q2329">
        <f>IFERROR(XLOOKUP($N2329,Base_Enderecos!$A:$A,Base_Enderecos!$C:$C,""),"")</f>
        <v/>
      </c>
      <c r="R2329">
        <f>IF(ISNUMBER(SEARCH("HDD",$F2329)),"HDD",IF(ISNUMBER(SEARCH("VCA",$F2329)),"VCA","MND"))</f>
        <v/>
      </c>
      <c r="T2329">
        <f>TEXT($A2329,"yyyy-mm")&amp;"|"&amp;$C2329&amp;"|"&amp;$I2329</f>
        <v/>
      </c>
    </row>
    <row r="2330">
      <c r="A2330" s="36" t="n">
        <v>46150</v>
      </c>
      <c r="B2330" t="inlineStr">
        <is>
          <t>Sexta</t>
        </is>
      </c>
      <c r="C2330" t="inlineStr">
        <is>
          <t>João Canzi</t>
        </is>
      </c>
      <c r="E2330" t="inlineStr">
        <is>
          <t>Vacal</t>
        </is>
      </c>
      <c r="F2330" t="inlineStr">
        <is>
          <t>João Canzi – Renasce</t>
        </is>
      </c>
      <c r="J2330" t="inlineStr">
        <is>
          <t>Atividade</t>
        </is>
      </c>
      <c r="K2330" t="inlineStr">
        <is>
          <t>Apoio</t>
        </is>
      </c>
      <c r="L2330" t="inlineStr">
        <is>
          <t>PDS-Maio.docx</t>
        </is>
      </c>
      <c r="M2330">
        <f>IF($A2330="","",TEXT($A2330,"mmmm/yyyy"))</f>
        <v/>
      </c>
      <c r="P2330">
        <f>IFERROR(XLOOKUP($N2330,Base_Enderecos!$A:$A,Base_Enderecos!$B:$B,""),"")</f>
        <v/>
      </c>
      <c r="Q2330">
        <f>IFERROR(XLOOKUP($N2330,Base_Enderecos!$A:$A,Base_Enderecos!$C:$C,""),"")</f>
        <v/>
      </c>
      <c r="R2330">
        <f>IF(ISNUMBER(SEARCH("HDD",$F2330)),"HDD",IF(ISNUMBER(SEARCH("VCA",$F2330)),"VCA","MND"))</f>
        <v/>
      </c>
      <c r="T2330">
        <f>TEXT($A2330,"yyyy-mm")&amp;"|"&amp;$C2330&amp;"|"&amp;$I2330</f>
        <v/>
      </c>
    </row>
    <row r="2331">
      <c r="A2331" s="36" t="n">
        <v>46150</v>
      </c>
      <c r="B2331" t="inlineStr">
        <is>
          <t>Sexta</t>
        </is>
      </c>
      <c r="C2331" t="inlineStr">
        <is>
          <t>Guindauto</t>
        </is>
      </c>
      <c r="E2331" t="inlineStr">
        <is>
          <t>Guindauto</t>
        </is>
      </c>
      <c r="F2331" t="inlineStr">
        <is>
          <t>Marcio - Apoio as equipes</t>
        </is>
      </c>
      <c r="J2331" t="inlineStr">
        <is>
          <t>Atividade</t>
        </is>
      </c>
      <c r="K2331" t="inlineStr">
        <is>
          <t>Apoio</t>
        </is>
      </c>
      <c r="L2331" t="inlineStr">
        <is>
          <t>PDS-Maio.docx</t>
        </is>
      </c>
      <c r="M2331">
        <f>IF($A2331="","",TEXT($A2331,"mmmm/yyyy"))</f>
        <v/>
      </c>
      <c r="P2331">
        <f>IFERROR(XLOOKUP($N2331,Base_Enderecos!$A:$A,Base_Enderecos!$B:$B,""),"")</f>
        <v/>
      </c>
      <c r="Q2331">
        <f>IFERROR(XLOOKUP($N2331,Base_Enderecos!$A:$A,Base_Enderecos!$C:$C,""),"")</f>
        <v/>
      </c>
      <c r="R2331">
        <f>IF(ISNUMBER(SEARCH("HDD",$F2331)),"HDD",IF(ISNUMBER(SEARCH("VCA",$F2331)),"VCA","MND"))</f>
        <v/>
      </c>
      <c r="T2331">
        <f>TEXT($A2331,"yyyy-mm")&amp;"|"&amp;$C2331&amp;"|"&amp;$I2331</f>
        <v/>
      </c>
    </row>
    <row r="2332">
      <c r="A2332" s="36" t="n">
        <v>46150</v>
      </c>
      <c r="B2332" t="inlineStr">
        <is>
          <t>Sexta</t>
        </is>
      </c>
      <c r="C2332" t="inlineStr">
        <is>
          <t>Guindauto</t>
        </is>
      </c>
      <c r="E2332" t="inlineStr">
        <is>
          <t>Guindauto</t>
        </is>
      </c>
      <c r="F2332" t="inlineStr">
        <is>
          <t>Luiz Carlos - Apoio as equipes</t>
        </is>
      </c>
      <c r="J2332" t="inlineStr">
        <is>
          <t>Atividade</t>
        </is>
      </c>
      <c r="K2332" t="inlineStr">
        <is>
          <t>Apoio</t>
        </is>
      </c>
      <c r="L2332" t="inlineStr">
        <is>
          <t>PDS-Maio.docx</t>
        </is>
      </c>
      <c r="M2332">
        <f>IF($A2332="","",TEXT($A2332,"mmmm/yyyy"))</f>
        <v/>
      </c>
      <c r="P2332">
        <f>IFERROR(XLOOKUP($N2332,Base_Enderecos!$A:$A,Base_Enderecos!$B:$B,""),"")</f>
        <v/>
      </c>
      <c r="Q2332">
        <f>IFERROR(XLOOKUP($N2332,Base_Enderecos!$A:$A,Base_Enderecos!$C:$C,""),"")</f>
        <v/>
      </c>
      <c r="R2332">
        <f>IF(ISNUMBER(SEARCH("HDD",$F2332)),"HDD",IF(ISNUMBER(SEARCH("VCA",$F2332)),"VCA","MND"))</f>
        <v/>
      </c>
      <c r="T2332">
        <f>TEXT($A2332,"yyyy-mm")&amp;"|"&amp;$C2332&amp;"|"&amp;$I2332</f>
        <v/>
      </c>
    </row>
    <row r="2333">
      <c r="A2333" s="36" t="n">
        <v>46153</v>
      </c>
      <c r="B2333" t="inlineStr">
        <is>
          <t>Segunda</t>
        </is>
      </c>
      <c r="C2333" t="inlineStr">
        <is>
          <t>CTS João Canzi</t>
        </is>
      </c>
      <c r="D2333" t="inlineStr">
        <is>
          <t>Valmir</t>
        </is>
      </c>
      <c r="E2333" t="inlineStr">
        <is>
          <t>Goiânia Drill</t>
        </is>
      </c>
      <c r="F2333" t="inlineStr">
        <is>
          <t>Furo piloto e puxe do PV-08 ao PV-10</t>
        </is>
      </c>
      <c r="G2333" t="inlineStr">
        <is>
          <t>08</t>
        </is>
      </c>
      <c r="H2333" t="inlineStr">
        <is>
          <t>10</t>
        </is>
      </c>
      <c r="I2333" t="inlineStr">
        <is>
          <t>08 ao 10</t>
        </is>
      </c>
      <c r="J2333" t="inlineStr">
        <is>
          <t>HDD</t>
        </is>
      </c>
      <c r="K2333" t="inlineStr">
        <is>
          <t>Planejamento</t>
        </is>
      </c>
      <c r="L2333" t="inlineStr">
        <is>
          <t>PDS-Maio.docx</t>
        </is>
      </c>
      <c r="M2333">
        <f>IF($A2333="","",TEXT($A2333,"mmmm/yyyy"))</f>
        <v/>
      </c>
      <c r="P2333">
        <f>IFERROR(XLOOKUP($N2333,Base_Enderecos!$A:$A,Base_Enderecos!$B:$B,""),"")</f>
        <v/>
      </c>
      <c r="Q2333">
        <f>IFERROR(XLOOKUP($N2333,Base_Enderecos!$A:$A,Base_Enderecos!$C:$C,""),"")</f>
        <v/>
      </c>
      <c r="R2333">
        <f>IF(ISNUMBER(SEARCH("HDD",$F2333)),"HDD",IF(ISNUMBER(SEARCH("VCA",$F2333)),"VCA","MND"))</f>
        <v/>
      </c>
      <c r="T2333">
        <f>TEXT($A2333,"yyyy-mm")&amp;"|"&amp;$C2333&amp;"|"&amp;$I2333</f>
        <v/>
      </c>
    </row>
    <row r="2334">
      <c r="A2334" s="36" t="n">
        <v>46153</v>
      </c>
      <c r="B2334" t="inlineStr">
        <is>
          <t>Segunda</t>
        </is>
      </c>
      <c r="C2334" t="inlineStr">
        <is>
          <t>CTS João Canzi</t>
        </is>
      </c>
      <c r="D2334" t="inlineStr">
        <is>
          <t>Valmir</t>
        </is>
      </c>
      <c r="E2334" t="inlineStr">
        <is>
          <t>Bruno</t>
        </is>
      </c>
      <c r="F2334" t="inlineStr">
        <is>
          <t>Apoio ao HDD</t>
        </is>
      </c>
      <c r="J2334" t="inlineStr">
        <is>
          <t>HDD</t>
        </is>
      </c>
      <c r="K2334" t="inlineStr">
        <is>
          <t>Planejamento</t>
        </is>
      </c>
      <c r="L2334" t="inlineStr">
        <is>
          <t>PDS-Maio.docx</t>
        </is>
      </c>
      <c r="M2334">
        <f>IF($A2334="","",TEXT($A2334,"mmmm/yyyy"))</f>
        <v/>
      </c>
      <c r="P2334">
        <f>IFERROR(XLOOKUP($N2334,Base_Enderecos!$A:$A,Base_Enderecos!$B:$B,""),"")</f>
        <v/>
      </c>
      <c r="Q2334">
        <f>IFERROR(XLOOKUP($N2334,Base_Enderecos!$A:$A,Base_Enderecos!$C:$C,""),"")</f>
        <v/>
      </c>
      <c r="R2334">
        <f>IF(ISNUMBER(SEARCH("HDD",$F2334)),"HDD",IF(ISNUMBER(SEARCH("VCA",$F2334)),"VCA","MND"))</f>
        <v/>
      </c>
      <c r="T2334">
        <f>TEXT($A2334,"yyyy-mm")&amp;"|"&amp;$C2334&amp;"|"&amp;$I2334</f>
        <v/>
      </c>
    </row>
    <row r="2335">
      <c r="A2335" s="36" t="n">
        <v>46153</v>
      </c>
      <c r="B2335" t="inlineStr">
        <is>
          <t>Segunda</t>
        </is>
      </c>
      <c r="C2335" t="inlineStr">
        <is>
          <t>CTS João Canzi</t>
        </is>
      </c>
      <c r="D2335" t="inlineStr">
        <is>
          <t>Valmir</t>
        </is>
      </c>
      <c r="E2335" t="inlineStr">
        <is>
          <t>Valter</t>
        </is>
      </c>
      <c r="F2335" t="inlineStr">
        <is>
          <t>Transformação PV 06</t>
        </is>
      </c>
      <c r="G2335" t="inlineStr">
        <is>
          <t>06</t>
        </is>
      </c>
      <c r="I2335" t="inlineStr">
        <is>
          <t>06</t>
        </is>
      </c>
      <c r="J2335" t="inlineStr">
        <is>
          <t>Transformação</t>
        </is>
      </c>
      <c r="K2335" t="inlineStr">
        <is>
          <t>Planejamento</t>
        </is>
      </c>
      <c r="L2335" t="inlineStr">
        <is>
          <t>PDS-Maio.docx</t>
        </is>
      </c>
      <c r="M2335">
        <f>IF($A2335="","",TEXT($A2335,"mmmm/yyyy"))</f>
        <v/>
      </c>
      <c r="P2335">
        <f>IFERROR(XLOOKUP($N2335,Base_Enderecos!$A:$A,Base_Enderecos!$B:$B,""),"")</f>
        <v/>
      </c>
      <c r="Q2335">
        <f>IFERROR(XLOOKUP($N2335,Base_Enderecos!$A:$A,Base_Enderecos!$C:$C,""),"")</f>
        <v/>
      </c>
      <c r="R2335">
        <f>IF(ISNUMBER(SEARCH("HDD",$F2335)),"HDD",IF(ISNUMBER(SEARCH("VCA",$F2335)),"VCA","MND"))</f>
        <v/>
      </c>
      <c r="T2335">
        <f>TEXT($A2335,"yyyy-mm")&amp;"|"&amp;$C2335&amp;"|"&amp;$I2335</f>
        <v/>
      </c>
    </row>
    <row r="2336">
      <c r="A2336" s="36" t="n">
        <v>46153</v>
      </c>
      <c r="B2336" t="inlineStr">
        <is>
          <t>Segunda</t>
        </is>
      </c>
      <c r="C2336" t="inlineStr">
        <is>
          <t>CTS João Canzi</t>
        </is>
      </c>
      <c r="D2336" t="inlineStr">
        <is>
          <t>Valmir</t>
        </is>
      </c>
      <c r="E2336" t="inlineStr">
        <is>
          <t>Carlos</t>
        </is>
      </c>
      <c r="F2336" t="inlineStr">
        <is>
          <t>Shaft PV 17</t>
        </is>
      </c>
      <c r="G2336" t="inlineStr">
        <is>
          <t>17</t>
        </is>
      </c>
      <c r="I2336" t="inlineStr">
        <is>
          <t>17</t>
        </is>
      </c>
      <c r="J2336" t="inlineStr">
        <is>
          <t>Shaft</t>
        </is>
      </c>
      <c r="K2336" t="inlineStr">
        <is>
          <t>Planejamento</t>
        </is>
      </c>
      <c r="L2336" t="inlineStr">
        <is>
          <t>PDS-Maio.docx</t>
        </is>
      </c>
      <c r="M2336">
        <f>IF($A2336="","",TEXT($A2336,"mmmm/yyyy"))</f>
        <v/>
      </c>
      <c r="P2336">
        <f>IFERROR(XLOOKUP($N2336,Base_Enderecos!$A:$A,Base_Enderecos!$B:$B,""),"")</f>
        <v/>
      </c>
      <c r="Q2336">
        <f>IFERROR(XLOOKUP($N2336,Base_Enderecos!$A:$A,Base_Enderecos!$C:$C,""),"")</f>
        <v/>
      </c>
      <c r="R2336">
        <f>IF(ISNUMBER(SEARCH("HDD",$F2336)),"HDD",IF(ISNUMBER(SEARCH("VCA",$F2336)),"VCA","MND"))</f>
        <v/>
      </c>
      <c r="T2336">
        <f>TEXT($A2336,"yyyy-mm")&amp;"|"&amp;$C2336&amp;"|"&amp;$I2336</f>
        <v/>
      </c>
    </row>
    <row r="2337">
      <c r="A2337" s="36" t="n">
        <v>46153</v>
      </c>
      <c r="B2337" t="inlineStr">
        <is>
          <t>Segunda</t>
        </is>
      </c>
      <c r="C2337" t="inlineStr">
        <is>
          <t>CTS João Canzi</t>
        </is>
      </c>
      <c r="D2337" t="inlineStr">
        <is>
          <t>Valmir</t>
        </is>
      </c>
      <c r="E2337" t="inlineStr">
        <is>
          <t>Edvando</t>
        </is>
      </c>
      <c r="F2337" t="inlineStr">
        <is>
          <t>Shaft PV 11</t>
        </is>
      </c>
      <c r="G2337" t="inlineStr">
        <is>
          <t>11</t>
        </is>
      </c>
      <c r="I2337" t="inlineStr">
        <is>
          <t>11</t>
        </is>
      </c>
      <c r="J2337" t="inlineStr">
        <is>
          <t>Shaft</t>
        </is>
      </c>
      <c r="K2337" t="inlineStr">
        <is>
          <t>Planejamento</t>
        </is>
      </c>
      <c r="L2337" t="inlineStr">
        <is>
          <t>PDS-Maio.docx</t>
        </is>
      </c>
      <c r="M2337">
        <f>IF($A2337="","",TEXT($A2337,"mmmm/yyyy"))</f>
        <v/>
      </c>
      <c r="P2337">
        <f>IFERROR(XLOOKUP($N2337,Base_Enderecos!$A:$A,Base_Enderecos!$B:$B,""),"")</f>
        <v/>
      </c>
      <c r="Q2337">
        <f>IFERROR(XLOOKUP($N2337,Base_Enderecos!$A:$A,Base_Enderecos!$C:$C,""),"")</f>
        <v/>
      </c>
      <c r="R2337">
        <f>IF(ISNUMBER(SEARCH("HDD",$F2337)),"HDD",IF(ISNUMBER(SEARCH("VCA",$F2337)),"VCA","MND"))</f>
        <v/>
      </c>
      <c r="T2337">
        <f>TEXT($A2337,"yyyy-mm")&amp;"|"&amp;$C2337&amp;"|"&amp;$I2337</f>
        <v/>
      </c>
    </row>
    <row r="2338">
      <c r="A2338" s="36" t="n">
        <v>46153</v>
      </c>
      <c r="B2338" t="inlineStr">
        <is>
          <t>Segunda</t>
        </is>
      </c>
      <c r="C2338" t="inlineStr">
        <is>
          <t>RCE Rua São João</t>
        </is>
      </c>
      <c r="D2338" t="inlineStr">
        <is>
          <t>Fábio</t>
        </is>
      </c>
      <c r="E2338" t="inlineStr">
        <is>
          <t>Ricardo</t>
        </is>
      </c>
      <c r="F2338" t="inlineStr">
        <is>
          <t>VCA, PVs e Ligações</t>
        </is>
      </c>
      <c r="J2338" t="inlineStr">
        <is>
          <t>VCA</t>
        </is>
      </c>
      <c r="K2338" t="inlineStr">
        <is>
          <t>Planejamento</t>
        </is>
      </c>
      <c r="L2338" t="inlineStr">
        <is>
          <t>PDS-Maio.docx</t>
        </is>
      </c>
      <c r="M2338">
        <f>IF($A2338="","",TEXT($A2338,"mmmm/yyyy"))</f>
        <v/>
      </c>
      <c r="P2338">
        <f>IFERROR(XLOOKUP($N2338,Base_Enderecos!$A:$A,Base_Enderecos!$B:$B,""),"")</f>
        <v/>
      </c>
      <c r="Q2338">
        <f>IFERROR(XLOOKUP($N2338,Base_Enderecos!$A:$A,Base_Enderecos!$C:$C,""),"")</f>
        <v/>
      </c>
      <c r="R2338">
        <f>IF(ISNUMBER(SEARCH("HDD",$F2338)),"HDD",IF(ISNUMBER(SEARCH("VCA",$F2338)),"VCA","MND"))</f>
        <v/>
      </c>
      <c r="T2338">
        <f>TEXT($A2338,"yyyy-mm")&amp;"|"&amp;$C2338&amp;"|"&amp;$I2338</f>
        <v/>
      </c>
    </row>
    <row r="2339">
      <c r="A2339" s="36" t="n">
        <v>46153</v>
      </c>
      <c r="B2339" t="inlineStr">
        <is>
          <t>Segunda</t>
        </is>
      </c>
      <c r="C2339" t="inlineStr">
        <is>
          <t>RCE São Lucas</t>
        </is>
      </c>
      <c r="D2339" t="inlineStr">
        <is>
          <t>Fábio</t>
        </is>
      </c>
      <c r="E2339" t="inlineStr">
        <is>
          <t>Claudinei</t>
        </is>
      </c>
      <c r="F2339" t="inlineStr">
        <is>
          <t>VCA, PVs e Ligações</t>
        </is>
      </c>
      <c r="J2339" t="inlineStr">
        <is>
          <t>VCA</t>
        </is>
      </c>
      <c r="K2339" t="inlineStr">
        <is>
          <t>Planejamento</t>
        </is>
      </c>
      <c r="L2339" t="inlineStr">
        <is>
          <t>PDS-Maio.docx</t>
        </is>
      </c>
      <c r="M2339">
        <f>IF($A2339="","",TEXT($A2339,"mmmm/yyyy"))</f>
        <v/>
      </c>
      <c r="P2339">
        <f>IFERROR(XLOOKUP($N2339,Base_Enderecos!$A:$A,Base_Enderecos!$B:$B,""),"")</f>
        <v/>
      </c>
      <c r="Q2339">
        <f>IFERROR(XLOOKUP($N2339,Base_Enderecos!$A:$A,Base_Enderecos!$C:$C,""),"")</f>
        <v/>
      </c>
      <c r="R2339">
        <f>IF(ISNUMBER(SEARCH("HDD",$F2339)),"HDD",IF(ISNUMBER(SEARCH("VCA",$F2339)),"VCA","MND"))</f>
        <v/>
      </c>
      <c r="T2339">
        <f>TEXT($A2339,"yyyy-mm")&amp;"|"&amp;$C2339&amp;"|"&amp;$I2339</f>
        <v/>
      </c>
    </row>
    <row r="2340">
      <c r="A2340" s="36" t="n">
        <v>46153</v>
      </c>
      <c r="B2340" t="inlineStr">
        <is>
          <t>Segunda</t>
        </is>
      </c>
      <c r="C2340" t="inlineStr">
        <is>
          <t>RCE São Lucas</t>
        </is>
      </c>
      <c r="D2340" t="inlineStr">
        <is>
          <t>Fábio</t>
        </is>
      </c>
      <c r="E2340" t="inlineStr">
        <is>
          <t>Antonio</t>
        </is>
      </c>
      <c r="F2340" t="inlineStr">
        <is>
          <t>VCA, PVs e Ligações</t>
        </is>
      </c>
      <c r="J2340" t="inlineStr">
        <is>
          <t>VCA</t>
        </is>
      </c>
      <c r="K2340" t="inlineStr">
        <is>
          <t>Planejamento</t>
        </is>
      </c>
      <c r="L2340" t="inlineStr">
        <is>
          <t>PDS-Maio.docx</t>
        </is>
      </c>
      <c r="M2340">
        <f>IF($A2340="","",TEXT($A2340,"mmmm/yyyy"))</f>
        <v/>
      </c>
      <c r="P2340">
        <f>IFERROR(XLOOKUP($N2340,Base_Enderecos!$A:$A,Base_Enderecos!$B:$B,""),"")</f>
        <v/>
      </c>
      <c r="Q2340">
        <f>IFERROR(XLOOKUP($N2340,Base_Enderecos!$A:$A,Base_Enderecos!$C:$C,""),"")</f>
        <v/>
      </c>
      <c r="R2340">
        <f>IF(ISNUMBER(SEARCH("HDD",$F2340)),"HDD",IF(ISNUMBER(SEARCH("VCA",$F2340)),"VCA","MND"))</f>
        <v/>
      </c>
      <c r="T2340">
        <f>TEXT($A2340,"yyyy-mm")&amp;"|"&amp;$C2340&amp;"|"&amp;$I2340</f>
        <v/>
      </c>
    </row>
    <row r="2341">
      <c r="A2341" s="36" t="n">
        <v>46153</v>
      </c>
      <c r="B2341" t="inlineStr">
        <is>
          <t>Segunda</t>
        </is>
      </c>
      <c r="C2341" t="inlineStr">
        <is>
          <t>RCE São Lucas</t>
        </is>
      </c>
      <c r="D2341" t="inlineStr">
        <is>
          <t>Fábio</t>
        </is>
      </c>
      <c r="E2341" t="inlineStr">
        <is>
          <t>Emanuel Go-01</t>
        </is>
      </c>
      <c r="F2341" t="inlineStr">
        <is>
          <t>VCA, PVs e Ligações</t>
        </is>
      </c>
      <c r="J2341" t="inlineStr">
        <is>
          <t>VCA</t>
        </is>
      </c>
      <c r="K2341" t="inlineStr">
        <is>
          <t>Planejamento</t>
        </is>
      </c>
      <c r="L2341" t="inlineStr">
        <is>
          <t>PDS-Maio.docx</t>
        </is>
      </c>
      <c r="M2341">
        <f>IF($A2341="","",TEXT($A2341,"mmmm/yyyy"))</f>
        <v/>
      </c>
      <c r="P2341">
        <f>IFERROR(XLOOKUP($N2341,Base_Enderecos!$A:$A,Base_Enderecos!$B:$B,""),"")</f>
        <v/>
      </c>
      <c r="Q2341">
        <f>IFERROR(XLOOKUP($N2341,Base_Enderecos!$A:$A,Base_Enderecos!$C:$C,""),"")</f>
        <v/>
      </c>
      <c r="R2341">
        <f>IF(ISNUMBER(SEARCH("HDD",$F2341)),"HDD",IF(ISNUMBER(SEARCH("VCA",$F2341)),"VCA","MND"))</f>
        <v/>
      </c>
      <c r="T2341">
        <f>TEXT($A2341,"yyyy-mm")&amp;"|"&amp;$C2341&amp;"|"&amp;$I2341</f>
        <v/>
      </c>
    </row>
    <row r="2342">
      <c r="A2342" s="36" t="n">
        <v>46153</v>
      </c>
      <c r="B2342" t="inlineStr">
        <is>
          <t>Segunda</t>
        </is>
      </c>
      <c r="C2342" t="inlineStr">
        <is>
          <t>RCE São Lucas</t>
        </is>
      </c>
      <c r="D2342" t="inlineStr">
        <is>
          <t>Fábio</t>
        </is>
      </c>
      <c r="E2342" t="inlineStr">
        <is>
          <t>Miro Go-02</t>
        </is>
      </c>
      <c r="F2342" t="inlineStr">
        <is>
          <t>VCA, PVs e Ligações</t>
        </is>
      </c>
      <c r="J2342" t="inlineStr">
        <is>
          <t>VCA</t>
        </is>
      </c>
      <c r="K2342" t="inlineStr">
        <is>
          <t>Planejamento</t>
        </is>
      </c>
      <c r="L2342" t="inlineStr">
        <is>
          <t>PDS-Maio.docx</t>
        </is>
      </c>
      <c r="M2342">
        <f>IF($A2342="","",TEXT($A2342,"mmmm/yyyy"))</f>
        <v/>
      </c>
      <c r="P2342">
        <f>IFERROR(XLOOKUP($N2342,Base_Enderecos!$A:$A,Base_Enderecos!$B:$B,""),"")</f>
        <v/>
      </c>
      <c r="Q2342">
        <f>IFERROR(XLOOKUP($N2342,Base_Enderecos!$A:$A,Base_Enderecos!$C:$C,""),"")</f>
        <v/>
      </c>
      <c r="R2342">
        <f>IF(ISNUMBER(SEARCH("HDD",$F2342)),"HDD",IF(ISNUMBER(SEARCH("VCA",$F2342)),"VCA","MND"))</f>
        <v/>
      </c>
      <c r="T2342">
        <f>TEXT($A2342,"yyyy-mm")&amp;"|"&amp;$C2342&amp;"|"&amp;$I2342</f>
        <v/>
      </c>
    </row>
    <row r="2343">
      <c r="A2343" s="36" t="n">
        <v>46153</v>
      </c>
      <c r="B2343" t="inlineStr">
        <is>
          <t>Segunda</t>
        </is>
      </c>
      <c r="C2343" t="inlineStr">
        <is>
          <t>CTS Lourdes Complementar</t>
        </is>
      </c>
      <c r="D2343" t="inlineStr">
        <is>
          <t>Robson</t>
        </is>
      </c>
      <c r="E2343" t="inlineStr">
        <is>
          <t>Higor</t>
        </is>
      </c>
      <c r="F2343" t="inlineStr">
        <is>
          <t>Shaft PV 02</t>
        </is>
      </c>
      <c r="G2343" t="inlineStr">
        <is>
          <t>02</t>
        </is>
      </c>
      <c r="I2343" t="inlineStr">
        <is>
          <t>02</t>
        </is>
      </c>
      <c r="J2343" t="inlineStr">
        <is>
          <t>Shaft</t>
        </is>
      </c>
      <c r="K2343" t="inlineStr">
        <is>
          <t>Planejamento</t>
        </is>
      </c>
      <c r="L2343" t="inlineStr">
        <is>
          <t>PDS-Maio.docx</t>
        </is>
      </c>
      <c r="M2343">
        <f>IF($A2343="","",TEXT($A2343,"mmmm/yyyy"))</f>
        <v/>
      </c>
      <c r="P2343">
        <f>IFERROR(XLOOKUP($N2343,Base_Enderecos!$A:$A,Base_Enderecos!$B:$B,""),"")</f>
        <v/>
      </c>
      <c r="Q2343">
        <f>IFERROR(XLOOKUP($N2343,Base_Enderecos!$A:$A,Base_Enderecos!$C:$C,""),"")</f>
        <v/>
      </c>
      <c r="R2343">
        <f>IF(ISNUMBER(SEARCH("HDD",$F2343)),"HDD",IF(ISNUMBER(SEARCH("VCA",$F2343)),"VCA","MND"))</f>
        <v/>
      </c>
      <c r="T2343">
        <f>TEXT($A2343,"yyyy-mm")&amp;"|"&amp;$C2343&amp;"|"&amp;$I2343</f>
        <v/>
      </c>
    </row>
    <row r="2344">
      <c r="A2344" s="36" t="n">
        <v>46153</v>
      </c>
      <c r="B2344" t="inlineStr">
        <is>
          <t>Segunda</t>
        </is>
      </c>
      <c r="C2344" t="inlineStr">
        <is>
          <t>CTS Lourdes Complementar</t>
        </is>
      </c>
      <c r="D2344" t="inlineStr">
        <is>
          <t>Robson</t>
        </is>
      </c>
      <c r="E2344" t="inlineStr">
        <is>
          <t>Cidão</t>
        </is>
      </c>
      <c r="F2344" t="inlineStr">
        <is>
          <t>Shaft PV 03</t>
        </is>
      </c>
      <c r="G2344" t="inlineStr">
        <is>
          <t>03</t>
        </is>
      </c>
      <c r="I2344" t="inlineStr">
        <is>
          <t>03</t>
        </is>
      </c>
      <c r="J2344" t="inlineStr">
        <is>
          <t>Shaft</t>
        </is>
      </c>
      <c r="K2344" t="inlineStr">
        <is>
          <t>Planejamento</t>
        </is>
      </c>
      <c r="L2344" t="inlineStr">
        <is>
          <t>PDS-Maio.docx</t>
        </is>
      </c>
      <c r="M2344">
        <f>IF($A2344="","",TEXT($A2344,"mmmm/yyyy"))</f>
        <v/>
      </c>
      <c r="P2344">
        <f>IFERROR(XLOOKUP($N2344,Base_Enderecos!$A:$A,Base_Enderecos!$B:$B,""),"")</f>
        <v/>
      </c>
      <c r="Q2344">
        <f>IFERROR(XLOOKUP($N2344,Base_Enderecos!$A:$A,Base_Enderecos!$C:$C,""),"")</f>
        <v/>
      </c>
      <c r="R2344">
        <f>IF(ISNUMBER(SEARCH("HDD",$F2344)),"HDD",IF(ISNUMBER(SEARCH("VCA",$F2344)),"VCA","MND"))</f>
        <v/>
      </c>
      <c r="T2344">
        <f>TEXT($A2344,"yyyy-mm")&amp;"|"&amp;$C2344&amp;"|"&amp;$I2344</f>
        <v/>
      </c>
    </row>
    <row r="2345">
      <c r="A2345" s="36" t="n">
        <v>46153</v>
      </c>
      <c r="B2345" t="inlineStr">
        <is>
          <t>Segunda</t>
        </is>
      </c>
      <c r="C2345" t="inlineStr">
        <is>
          <t>CTS Lourdes Complementar</t>
        </is>
      </c>
      <c r="D2345" t="inlineStr">
        <is>
          <t>Robson</t>
        </is>
      </c>
      <c r="E2345" t="inlineStr">
        <is>
          <t>Marcelo</t>
        </is>
      </c>
      <c r="F2345" t="inlineStr">
        <is>
          <t>Shaft PV 17</t>
        </is>
      </c>
      <c r="G2345" t="inlineStr">
        <is>
          <t>17</t>
        </is>
      </c>
      <c r="I2345" t="inlineStr">
        <is>
          <t>17</t>
        </is>
      </c>
      <c r="J2345" t="inlineStr">
        <is>
          <t>Shaft</t>
        </is>
      </c>
      <c r="K2345" t="inlineStr">
        <is>
          <t>Planejamento</t>
        </is>
      </c>
      <c r="L2345" t="inlineStr">
        <is>
          <t>PDS-Maio.docx</t>
        </is>
      </c>
      <c r="M2345">
        <f>IF($A2345="","",TEXT($A2345,"mmmm/yyyy"))</f>
        <v/>
      </c>
      <c r="P2345">
        <f>IFERROR(XLOOKUP($N2345,Base_Enderecos!$A:$A,Base_Enderecos!$B:$B,""),"")</f>
        <v/>
      </c>
      <c r="Q2345">
        <f>IFERROR(XLOOKUP($N2345,Base_Enderecos!$A:$A,Base_Enderecos!$C:$C,""),"")</f>
        <v/>
      </c>
      <c r="R2345">
        <f>IF(ISNUMBER(SEARCH("HDD",$F2345)),"HDD",IF(ISNUMBER(SEARCH("VCA",$F2345)),"VCA","MND"))</f>
        <v/>
      </c>
      <c r="T2345">
        <f>TEXT($A2345,"yyyy-mm")&amp;"|"&amp;$C2345&amp;"|"&amp;$I2345</f>
        <v/>
      </c>
    </row>
    <row r="2346">
      <c r="A2346" s="36" t="n">
        <v>46153</v>
      </c>
      <c r="B2346" t="inlineStr">
        <is>
          <t>Segunda</t>
        </is>
      </c>
      <c r="C2346" t="inlineStr">
        <is>
          <t>CTS Barão Luiz De Arariba</t>
        </is>
      </c>
      <c r="D2346" t="inlineStr">
        <is>
          <t>Silvestre</t>
        </is>
      </c>
      <c r="E2346" t="inlineStr">
        <is>
          <t>Wj</t>
        </is>
      </c>
      <c r="F2346" t="inlineStr">
        <is>
          <t>Furo piloto e puxe do PV-09 ao PV-10</t>
        </is>
      </c>
      <c r="G2346" t="inlineStr">
        <is>
          <t>09</t>
        </is>
      </c>
      <c r="H2346" t="inlineStr">
        <is>
          <t>10</t>
        </is>
      </c>
      <c r="I2346" t="inlineStr">
        <is>
          <t>09 ao 10</t>
        </is>
      </c>
      <c r="J2346" t="inlineStr">
        <is>
          <t>HDD</t>
        </is>
      </c>
      <c r="K2346" t="inlineStr">
        <is>
          <t>Planejamento</t>
        </is>
      </c>
      <c r="L2346" t="inlineStr">
        <is>
          <t>PDS-Maio.docx</t>
        </is>
      </c>
      <c r="M2346">
        <f>IF($A2346="","",TEXT($A2346,"mmmm/yyyy"))</f>
        <v/>
      </c>
      <c r="P2346">
        <f>IFERROR(XLOOKUP($N2346,Base_Enderecos!$A:$A,Base_Enderecos!$B:$B,""),"")</f>
        <v/>
      </c>
      <c r="Q2346">
        <f>IFERROR(XLOOKUP($N2346,Base_Enderecos!$A:$A,Base_Enderecos!$C:$C,""),"")</f>
        <v/>
      </c>
      <c r="R2346">
        <f>IF(ISNUMBER(SEARCH("HDD",$F2346)),"HDD",IF(ISNUMBER(SEARCH("VCA",$F2346)),"VCA","MND"))</f>
        <v/>
      </c>
      <c r="T2346">
        <f>TEXT($A2346,"yyyy-mm")&amp;"|"&amp;$C2346&amp;"|"&amp;$I2346</f>
        <v/>
      </c>
    </row>
    <row r="2347">
      <c r="A2347" s="36" t="n">
        <v>46153</v>
      </c>
      <c r="B2347" t="inlineStr">
        <is>
          <t>Segunda</t>
        </is>
      </c>
      <c r="C2347" t="inlineStr">
        <is>
          <t>CTS Barão Luiz De Arariba</t>
        </is>
      </c>
      <c r="D2347" t="inlineStr">
        <is>
          <t>Silvestre</t>
        </is>
      </c>
      <c r="E2347" t="inlineStr">
        <is>
          <t>Medeiros</t>
        </is>
      </c>
      <c r="F2347" t="inlineStr">
        <is>
          <t>Apoio ao HDD</t>
        </is>
      </c>
      <c r="J2347" t="inlineStr">
        <is>
          <t>HDD</t>
        </is>
      </c>
      <c r="K2347" t="inlineStr">
        <is>
          <t>Planejamento</t>
        </is>
      </c>
      <c r="L2347" t="inlineStr">
        <is>
          <t>PDS-Maio.docx</t>
        </is>
      </c>
      <c r="M2347">
        <f>IF($A2347="","",TEXT($A2347,"mmmm/yyyy"))</f>
        <v/>
      </c>
      <c r="P2347">
        <f>IFERROR(XLOOKUP($N2347,Base_Enderecos!$A:$A,Base_Enderecos!$B:$B,""),"")</f>
        <v/>
      </c>
      <c r="Q2347">
        <f>IFERROR(XLOOKUP($N2347,Base_Enderecos!$A:$A,Base_Enderecos!$C:$C,""),"")</f>
        <v/>
      </c>
      <c r="R2347">
        <f>IF(ISNUMBER(SEARCH("HDD",$F2347)),"HDD",IF(ISNUMBER(SEARCH("VCA",$F2347)),"VCA","MND"))</f>
        <v/>
      </c>
      <c r="T2347">
        <f>TEXT($A2347,"yyyy-mm")&amp;"|"&amp;$C2347&amp;"|"&amp;$I2347</f>
        <v/>
      </c>
    </row>
    <row r="2348">
      <c r="A2348" s="36" t="n">
        <v>46153</v>
      </c>
      <c r="B2348" t="inlineStr">
        <is>
          <t>Segunda</t>
        </is>
      </c>
      <c r="C2348" t="inlineStr">
        <is>
          <t>CTS Conceicão</t>
        </is>
      </c>
      <c r="D2348" t="inlineStr">
        <is>
          <t>Silvestre</t>
        </is>
      </c>
      <c r="E2348" t="inlineStr">
        <is>
          <t>Cesar</t>
        </is>
      </c>
      <c r="F2348" t="inlineStr">
        <is>
          <t>Tubo de queda PVE</t>
        </is>
      </c>
      <c r="J2348" t="inlineStr">
        <is>
          <t>Tubo</t>
        </is>
      </c>
      <c r="K2348" t="inlineStr">
        <is>
          <t>Planejamento</t>
        </is>
      </c>
      <c r="L2348" t="inlineStr">
        <is>
          <t>PDS-Maio.docx</t>
        </is>
      </c>
      <c r="M2348">
        <f>IF($A2348="","",TEXT($A2348,"mmmm/yyyy"))</f>
        <v/>
      </c>
      <c r="P2348">
        <f>IFERROR(XLOOKUP($N2348,Base_Enderecos!$A:$A,Base_Enderecos!$B:$B,""),"")</f>
        <v/>
      </c>
      <c r="Q2348">
        <f>IFERROR(XLOOKUP($N2348,Base_Enderecos!$A:$A,Base_Enderecos!$C:$C,""),"")</f>
        <v/>
      </c>
      <c r="R2348">
        <f>IF(ISNUMBER(SEARCH("HDD",$F2348)),"HDD",IF(ISNUMBER(SEARCH("VCA",$F2348)),"VCA","MND"))</f>
        <v/>
      </c>
      <c r="T2348">
        <f>TEXT($A2348,"yyyy-mm")&amp;"|"&amp;$C2348&amp;"|"&amp;$I2348</f>
        <v/>
      </c>
    </row>
    <row r="2349">
      <c r="A2349" s="36" t="n">
        <v>46153</v>
      </c>
      <c r="B2349" t="inlineStr">
        <is>
          <t>Segunda</t>
        </is>
      </c>
      <c r="C2349" t="inlineStr">
        <is>
          <t>CTS Luis Botelho Mourão</t>
        </is>
      </c>
      <c r="D2349" t="inlineStr">
        <is>
          <t>Robson</t>
        </is>
      </c>
      <c r="E2349" t="inlineStr">
        <is>
          <t>Marcio</t>
        </is>
      </c>
      <c r="F2349" t="inlineStr">
        <is>
          <t>Lavagem Rede</t>
        </is>
      </c>
      <c r="J2349" t="inlineStr">
        <is>
          <t>Lavagem</t>
        </is>
      </c>
      <c r="K2349" t="inlineStr">
        <is>
          <t>Planejamento</t>
        </is>
      </c>
      <c r="L2349" t="inlineStr">
        <is>
          <t>PDS-Maio.docx</t>
        </is>
      </c>
      <c r="M2349">
        <f>IF($A2349="","",TEXT($A2349,"mmmm/yyyy"))</f>
        <v/>
      </c>
      <c r="P2349">
        <f>IFERROR(XLOOKUP($N2349,Base_Enderecos!$A:$A,Base_Enderecos!$B:$B,""),"")</f>
        <v/>
      </c>
      <c r="Q2349">
        <f>IFERROR(XLOOKUP($N2349,Base_Enderecos!$A:$A,Base_Enderecos!$C:$C,""),"")</f>
        <v/>
      </c>
      <c r="R2349">
        <f>IF(ISNUMBER(SEARCH("HDD",$F2349)),"HDD",IF(ISNUMBER(SEARCH("VCA",$F2349)),"VCA","MND"))</f>
        <v/>
      </c>
      <c r="T2349">
        <f>TEXT($A2349,"yyyy-mm")&amp;"|"&amp;$C2349&amp;"|"&amp;$I2349</f>
        <v/>
      </c>
    </row>
    <row r="2350">
      <c r="A2350" s="36" t="n">
        <v>46153</v>
      </c>
      <c r="B2350" t="inlineStr">
        <is>
          <t>Segunda</t>
        </is>
      </c>
      <c r="C2350" t="inlineStr">
        <is>
          <t>CTS Luis Botelho Mourão</t>
        </is>
      </c>
      <c r="D2350" t="inlineStr">
        <is>
          <t>Robson</t>
        </is>
      </c>
      <c r="E2350" t="inlineStr">
        <is>
          <t>Jhonatan</t>
        </is>
      </c>
      <c r="F2350" t="inlineStr">
        <is>
          <t>Acabamentos gerais</t>
        </is>
      </c>
      <c r="J2350" t="inlineStr">
        <is>
          <t>Acabamento</t>
        </is>
      </c>
      <c r="K2350" t="inlineStr">
        <is>
          <t>Planejamento</t>
        </is>
      </c>
      <c r="L2350" t="inlineStr">
        <is>
          <t>PDS-Maio.docx</t>
        </is>
      </c>
      <c r="M2350">
        <f>IF($A2350="","",TEXT($A2350,"mmmm/yyyy"))</f>
        <v/>
      </c>
      <c r="P2350">
        <f>IFERROR(XLOOKUP($N2350,Base_Enderecos!$A:$A,Base_Enderecos!$B:$B,""),"")</f>
        <v/>
      </c>
      <c r="Q2350">
        <f>IFERROR(XLOOKUP($N2350,Base_Enderecos!$A:$A,Base_Enderecos!$C:$C,""),"")</f>
        <v/>
      </c>
      <c r="R2350">
        <f>IF(ISNUMBER(SEARCH("HDD",$F2350)),"HDD",IF(ISNUMBER(SEARCH("VCA",$F2350)),"VCA","MND"))</f>
        <v/>
      </c>
      <c r="T2350">
        <f>TEXT($A2350,"yyyy-mm")&amp;"|"&amp;$C2350&amp;"|"&amp;$I2350</f>
        <v/>
      </c>
    </row>
    <row r="2351">
      <c r="A2351" s="36" t="n">
        <v>46153</v>
      </c>
      <c r="B2351" t="inlineStr">
        <is>
          <t>Segunda</t>
        </is>
      </c>
      <c r="C2351" t="inlineStr">
        <is>
          <t>João Canzi</t>
        </is>
      </c>
      <c r="E2351" t="inlineStr">
        <is>
          <t>Vacal</t>
        </is>
      </c>
      <c r="F2351" t="inlineStr">
        <is>
          <t>João Canzi – Renasce. Vacal: João Canzi – Henko. Vacal: Botelho Mourão. Henko-Vacal: Barão de Arariba – Hidrosol .Guindauto: Marcio - Apoio as equipes</t>
        </is>
      </c>
      <c r="J2351" t="inlineStr">
        <is>
          <t>Atividade</t>
        </is>
      </c>
      <c r="K2351" t="inlineStr">
        <is>
          <t>Apoio</t>
        </is>
      </c>
      <c r="L2351" t="inlineStr">
        <is>
          <t>PDS-Maio.docx</t>
        </is>
      </c>
      <c r="M2351">
        <f>IF($A2351="","",TEXT($A2351,"mmmm/yyyy"))</f>
        <v/>
      </c>
      <c r="P2351">
        <f>IFERROR(XLOOKUP($N2351,Base_Enderecos!$A:$A,Base_Enderecos!$B:$B,""),"")</f>
        <v/>
      </c>
      <c r="Q2351">
        <f>IFERROR(XLOOKUP($N2351,Base_Enderecos!$A:$A,Base_Enderecos!$C:$C,""),"")</f>
        <v/>
      </c>
      <c r="R2351">
        <f>IF(ISNUMBER(SEARCH("HDD",$F2351)),"HDD",IF(ISNUMBER(SEARCH("VCA",$F2351)),"VCA","MND"))</f>
        <v/>
      </c>
      <c r="T2351">
        <f>TEXT($A2351,"yyyy-mm")&amp;"|"&amp;$C2351&amp;"|"&amp;$I2351</f>
        <v/>
      </c>
    </row>
    <row r="2352">
      <c r="A2352" s="36" t="n">
        <v>46153</v>
      </c>
      <c r="B2352" t="inlineStr">
        <is>
          <t>Segunda</t>
        </is>
      </c>
      <c r="C2352" t="inlineStr">
        <is>
          <t>Guindauto</t>
        </is>
      </c>
      <c r="E2352" t="inlineStr">
        <is>
          <t>Guindauto</t>
        </is>
      </c>
      <c r="F2352" t="inlineStr">
        <is>
          <t>Luiz Carlos - Apoio as equipes</t>
        </is>
      </c>
      <c r="J2352" t="inlineStr">
        <is>
          <t>Atividade</t>
        </is>
      </c>
      <c r="K2352" t="inlineStr">
        <is>
          <t>Apoio</t>
        </is>
      </c>
      <c r="L2352" t="inlineStr">
        <is>
          <t>PDS-Maio.docx</t>
        </is>
      </c>
      <c r="M2352">
        <f>IF($A2352="","",TEXT($A2352,"mmmm/yyyy"))</f>
        <v/>
      </c>
      <c r="P2352">
        <f>IFERROR(XLOOKUP($N2352,Base_Enderecos!$A:$A,Base_Enderecos!$B:$B,""),"")</f>
        <v/>
      </c>
      <c r="Q2352">
        <f>IFERROR(XLOOKUP($N2352,Base_Enderecos!$A:$A,Base_Enderecos!$C:$C,""),"")</f>
        <v/>
      </c>
      <c r="R2352">
        <f>IF(ISNUMBER(SEARCH("HDD",$F2352)),"HDD",IF(ISNUMBER(SEARCH("VCA",$F2352)),"VCA","MND"))</f>
        <v/>
      </c>
      <c r="T2352">
        <f>TEXT($A2352,"yyyy-mm")&amp;"|"&amp;$C2352&amp;"|"&amp;$I2352</f>
        <v/>
      </c>
    </row>
    <row r="2353">
      <c r="A2353" s="36" t="n">
        <v>46154</v>
      </c>
      <c r="B2353" t="inlineStr">
        <is>
          <t>Terça</t>
        </is>
      </c>
      <c r="C2353" t="inlineStr">
        <is>
          <t>CTS Água Vermelha ME</t>
        </is>
      </c>
      <c r="D2353" t="inlineStr">
        <is>
          <t>Valmir</t>
        </is>
      </c>
      <c r="E2353" t="inlineStr">
        <is>
          <t>Edvando</t>
        </is>
      </c>
      <c r="F2353" t="inlineStr">
        <is>
          <t>Adequação PVE 07</t>
        </is>
      </c>
      <c r="I2353" t="inlineStr">
        <is>
          <t>PVE 07</t>
        </is>
      </c>
      <c r="J2353" t="inlineStr">
        <is>
          <t>Adequação</t>
        </is>
      </c>
      <c r="K2353" t="inlineStr">
        <is>
          <t>Programação diária</t>
        </is>
      </c>
      <c r="L2353" t="inlineStr">
        <is>
          <t>PDS texto 12/05/2026</t>
        </is>
      </c>
      <c r="M2353" t="inlineStr">
        <is>
          <t>2026-05</t>
        </is>
      </c>
      <c r="T2353" t="inlineStr">
        <is>
          <t>2026_05_12_CTS_gua_Vermelha_ME_Edvando_Adequa_o_PVE_07</t>
        </is>
      </c>
    </row>
    <row r="2354">
      <c r="A2354" s="36" t="n">
        <v>46154</v>
      </c>
      <c r="B2354" t="inlineStr">
        <is>
          <t>Terça</t>
        </is>
      </c>
      <c r="C2354" t="inlineStr">
        <is>
          <t>CT João Canzi</t>
        </is>
      </c>
      <c r="D2354" t="inlineStr">
        <is>
          <t>Caroline</t>
        </is>
      </c>
      <c r="E2354" t="inlineStr">
        <is>
          <t>Goiânia Drill</t>
        </is>
      </c>
      <c r="F2354" t="inlineStr">
        <is>
          <t>Furo piloto e puxe do PV-08 ao PV-10</t>
        </is>
      </c>
      <c r="G2354" t="inlineStr">
        <is>
          <t>08</t>
        </is>
      </c>
      <c r="H2354" t="inlineStr">
        <is>
          <t>10</t>
        </is>
      </c>
      <c r="I2354" t="inlineStr">
        <is>
          <t>PV-08 ao PV-10</t>
        </is>
      </c>
      <c r="J2354" t="inlineStr">
        <is>
          <t>HDD</t>
        </is>
      </c>
      <c r="K2354" t="inlineStr">
        <is>
          <t>Programação diária</t>
        </is>
      </c>
      <c r="L2354" t="inlineStr">
        <is>
          <t>PDS texto 12/05/2026</t>
        </is>
      </c>
      <c r="M2354" t="inlineStr">
        <is>
          <t>2026-05</t>
        </is>
      </c>
      <c r="R2354" t="inlineStr">
        <is>
          <t>MND</t>
        </is>
      </c>
      <c r="T2354" t="inlineStr">
        <is>
          <t>2026_05_12_CT_Jo_o_Canzi_Goi_nia_Drill_Furo_piloto_e_puxe_do_PV_08_ao_PV_10</t>
        </is>
      </c>
    </row>
    <row r="2355">
      <c r="A2355" s="36" t="n">
        <v>46154</v>
      </c>
      <c r="B2355" t="inlineStr">
        <is>
          <t>Terça</t>
        </is>
      </c>
      <c r="C2355" t="inlineStr">
        <is>
          <t>CT João Canzi</t>
        </is>
      </c>
      <c r="D2355" t="inlineStr">
        <is>
          <t>Caroline</t>
        </is>
      </c>
      <c r="E2355" t="inlineStr">
        <is>
          <t>Bruno</t>
        </is>
      </c>
      <c r="F2355" t="inlineStr">
        <is>
          <t>Apoio ao HDD</t>
        </is>
      </c>
      <c r="J2355" t="inlineStr">
        <is>
          <t>HDD</t>
        </is>
      </c>
      <c r="K2355" t="inlineStr">
        <is>
          <t>Programação diária</t>
        </is>
      </c>
      <c r="L2355" t="inlineStr">
        <is>
          <t>PDS texto 12/05/2026</t>
        </is>
      </c>
      <c r="M2355" t="inlineStr">
        <is>
          <t>2026-05</t>
        </is>
      </c>
      <c r="R2355" t="inlineStr">
        <is>
          <t>MND</t>
        </is>
      </c>
      <c r="T2355" t="inlineStr">
        <is>
          <t>2026_05_12_CT_Jo_o_Canzi_Bruno_Apoio_ao_HDD</t>
        </is>
      </c>
    </row>
    <row r="2356">
      <c r="A2356" s="36" t="n">
        <v>46154</v>
      </c>
      <c r="B2356" t="inlineStr">
        <is>
          <t>Terça</t>
        </is>
      </c>
      <c r="C2356" t="inlineStr">
        <is>
          <t>CT João Canzi</t>
        </is>
      </c>
      <c r="D2356" t="inlineStr">
        <is>
          <t>Caroline</t>
        </is>
      </c>
      <c r="E2356" t="inlineStr">
        <is>
          <t>Valter</t>
        </is>
      </c>
      <c r="F2356" t="inlineStr">
        <is>
          <t>Shaft PV 11</t>
        </is>
      </c>
      <c r="G2356" t="inlineStr">
        <is>
          <t>11</t>
        </is>
      </c>
      <c r="I2356" t="inlineStr">
        <is>
          <t>PV 11</t>
        </is>
      </c>
      <c r="J2356" t="inlineStr">
        <is>
          <t>Shaft</t>
        </is>
      </c>
      <c r="K2356" t="inlineStr">
        <is>
          <t>Programação diária</t>
        </is>
      </c>
      <c r="L2356" t="inlineStr">
        <is>
          <t>PDS texto 12/05/2026</t>
        </is>
      </c>
      <c r="M2356" t="inlineStr">
        <is>
          <t>2026-05</t>
        </is>
      </c>
      <c r="T2356" t="inlineStr">
        <is>
          <t>2026_05_12_CT_Jo_o_Canzi_Valter_Shaft_PV_11</t>
        </is>
      </c>
    </row>
    <row r="2357">
      <c r="A2357" s="36" t="n">
        <v>46154</v>
      </c>
      <c r="B2357" t="inlineStr">
        <is>
          <t>Terça</t>
        </is>
      </c>
      <c r="C2357" t="inlineStr">
        <is>
          <t>RCE São Lucas</t>
        </is>
      </c>
      <c r="D2357" t="inlineStr">
        <is>
          <t>Fábio</t>
        </is>
      </c>
      <c r="E2357" t="inlineStr">
        <is>
          <t>Ricardo</t>
        </is>
      </c>
      <c r="F2357" t="inlineStr">
        <is>
          <t>VCA, PVs e Ligações (RCE Rua São João)</t>
        </is>
      </c>
      <c r="J2357" t="inlineStr">
        <is>
          <t>VCA</t>
        </is>
      </c>
      <c r="K2357" t="inlineStr">
        <is>
          <t>Programação diária</t>
        </is>
      </c>
      <c r="L2357" t="inlineStr">
        <is>
          <t>PDS texto 12/05/2026</t>
        </is>
      </c>
      <c r="M2357" t="inlineStr">
        <is>
          <t>2026-05</t>
        </is>
      </c>
      <c r="R2357" t="inlineStr">
        <is>
          <t>VCA</t>
        </is>
      </c>
      <c r="T2357" t="inlineStr">
        <is>
          <t>2026_05_12_RCE_S_o_Lucas_Ricardo_VCA_PVs_e_Liga_es_RCE_Rua_S_o_Jo_o</t>
        </is>
      </c>
    </row>
    <row r="2358">
      <c r="A2358" s="36" t="n">
        <v>46154</v>
      </c>
      <c r="B2358" t="inlineStr">
        <is>
          <t>Terça</t>
        </is>
      </c>
      <c r="C2358" t="inlineStr">
        <is>
          <t>RCE São Lucas</t>
        </is>
      </c>
      <c r="D2358" t="inlineStr">
        <is>
          <t>Fábio</t>
        </is>
      </c>
      <c r="E2358" t="inlineStr">
        <is>
          <t>Claudinei</t>
        </is>
      </c>
      <c r="F2358" t="inlineStr">
        <is>
          <t>VCA, PVs e Ligações</t>
        </is>
      </c>
      <c r="J2358" t="inlineStr">
        <is>
          <t>VCA</t>
        </is>
      </c>
      <c r="K2358" t="inlineStr">
        <is>
          <t>Programação diária</t>
        </is>
      </c>
      <c r="L2358" t="inlineStr">
        <is>
          <t>PDS texto 12/05/2026</t>
        </is>
      </c>
      <c r="M2358" t="inlineStr">
        <is>
          <t>2026-05</t>
        </is>
      </c>
      <c r="R2358" t="inlineStr">
        <is>
          <t>VCA</t>
        </is>
      </c>
      <c r="T2358" t="inlineStr">
        <is>
          <t>2026_05_12_RCE_S_o_Lucas_Claudinei_VCA_PVs_e_Liga_es</t>
        </is>
      </c>
    </row>
    <row r="2359">
      <c r="A2359" s="36" t="n">
        <v>46154</v>
      </c>
      <c r="B2359" t="inlineStr">
        <is>
          <t>Terça</t>
        </is>
      </c>
      <c r="C2359" t="inlineStr">
        <is>
          <t>RCE São Lucas</t>
        </is>
      </c>
      <c r="D2359" t="inlineStr">
        <is>
          <t>Fábio</t>
        </is>
      </c>
      <c r="E2359" t="inlineStr">
        <is>
          <t>Antonio</t>
        </is>
      </c>
      <c r="F2359" t="inlineStr">
        <is>
          <t>VCA, PVs e Ligações</t>
        </is>
      </c>
      <c r="J2359" t="inlineStr">
        <is>
          <t>VCA</t>
        </is>
      </c>
      <c r="K2359" t="inlineStr">
        <is>
          <t>Programação diária</t>
        </is>
      </c>
      <c r="L2359" t="inlineStr">
        <is>
          <t>PDS texto 12/05/2026</t>
        </is>
      </c>
      <c r="M2359" t="inlineStr">
        <is>
          <t>2026-05</t>
        </is>
      </c>
      <c r="R2359" t="inlineStr">
        <is>
          <t>VCA</t>
        </is>
      </c>
      <c r="T2359" t="inlineStr">
        <is>
          <t>2026_05_12_RCE_S_o_Lucas_Antonio_VCA_PVs_e_Liga_es</t>
        </is>
      </c>
    </row>
    <row r="2360">
      <c r="A2360" s="36" t="n">
        <v>46154</v>
      </c>
      <c r="B2360" t="inlineStr">
        <is>
          <t>Terça</t>
        </is>
      </c>
      <c r="C2360" t="inlineStr">
        <is>
          <t>RCE São Lucas</t>
        </is>
      </c>
      <c r="D2360" t="inlineStr">
        <is>
          <t>Fábio</t>
        </is>
      </c>
      <c r="E2360" t="inlineStr">
        <is>
          <t>Emanuel GO-01</t>
        </is>
      </c>
      <c r="F2360" t="inlineStr">
        <is>
          <t>VCA, PVs e Ligações</t>
        </is>
      </c>
      <c r="J2360" t="inlineStr">
        <is>
          <t>VCA</t>
        </is>
      </c>
      <c r="K2360" t="inlineStr">
        <is>
          <t>Programação diária</t>
        </is>
      </c>
      <c r="L2360" t="inlineStr">
        <is>
          <t>PDS texto 12/05/2026</t>
        </is>
      </c>
      <c r="M2360" t="inlineStr">
        <is>
          <t>2026-05</t>
        </is>
      </c>
      <c r="R2360" t="inlineStr">
        <is>
          <t>VCA</t>
        </is>
      </c>
      <c r="T2360" t="inlineStr">
        <is>
          <t>2026_05_12_RCE_S_o_Lucas_Emanuel_GO_01_VCA_PVs_e_Liga_es</t>
        </is>
      </c>
    </row>
    <row r="2361">
      <c r="A2361" s="36" t="n">
        <v>46154</v>
      </c>
      <c r="B2361" t="inlineStr">
        <is>
          <t>Terça</t>
        </is>
      </c>
      <c r="C2361" t="inlineStr">
        <is>
          <t>RCE São Lucas</t>
        </is>
      </c>
      <c r="D2361" t="inlineStr">
        <is>
          <t>Fábio</t>
        </is>
      </c>
      <c r="E2361" t="inlineStr">
        <is>
          <t>Miro GO-02</t>
        </is>
      </c>
      <c r="F2361" t="inlineStr">
        <is>
          <t>VCA, PVs e Ligações</t>
        </is>
      </c>
      <c r="J2361" t="inlineStr">
        <is>
          <t>VCA</t>
        </is>
      </c>
      <c r="K2361" t="inlineStr">
        <is>
          <t>Programação diária</t>
        </is>
      </c>
      <c r="L2361" t="inlineStr">
        <is>
          <t>PDS texto 12/05/2026</t>
        </is>
      </c>
      <c r="M2361" t="inlineStr">
        <is>
          <t>2026-05</t>
        </is>
      </c>
      <c r="R2361" t="inlineStr">
        <is>
          <t>VCA</t>
        </is>
      </c>
      <c r="T2361" t="inlineStr">
        <is>
          <t>2026_05_12_RCE_S_o_Lucas_Miro_GO_02_VCA_PVs_e_Liga_es</t>
        </is>
      </c>
    </row>
    <row r="2362">
      <c r="A2362" s="36" t="n">
        <v>46154</v>
      </c>
      <c r="B2362" t="inlineStr">
        <is>
          <t>Terça</t>
        </is>
      </c>
      <c r="C2362" t="inlineStr">
        <is>
          <t>CTS Lourdes Complementar</t>
        </is>
      </c>
      <c r="D2362" t="inlineStr">
        <is>
          <t>Robson</t>
        </is>
      </c>
      <c r="E2362" t="inlineStr">
        <is>
          <t>GR Drill</t>
        </is>
      </c>
      <c r="F2362" t="inlineStr">
        <is>
          <t>Furo Piloto PV 02 ao PV 01</t>
        </is>
      </c>
      <c r="G2362" t="inlineStr">
        <is>
          <t>02</t>
        </is>
      </c>
      <c r="H2362" t="inlineStr">
        <is>
          <t>01</t>
        </is>
      </c>
      <c r="I2362" t="inlineStr">
        <is>
          <t>PV 02 ao PV 01</t>
        </is>
      </c>
      <c r="J2362" t="inlineStr">
        <is>
          <t>HDD</t>
        </is>
      </c>
      <c r="K2362" t="inlineStr">
        <is>
          <t>Programação diária</t>
        </is>
      </c>
      <c r="L2362" t="inlineStr">
        <is>
          <t>PDS texto 12/05/2026</t>
        </is>
      </c>
      <c r="M2362" t="inlineStr">
        <is>
          <t>2026-05</t>
        </is>
      </c>
      <c r="R2362" t="inlineStr">
        <is>
          <t>MND</t>
        </is>
      </c>
      <c r="T2362" t="inlineStr">
        <is>
          <t>2026_05_12_CTS_Lourdes_Complementar_GR_Drill_Furo_Piloto_PV_02_ao_PV_01</t>
        </is>
      </c>
    </row>
    <row r="2363">
      <c r="A2363" s="36" t="n">
        <v>46154</v>
      </c>
      <c r="B2363" t="inlineStr">
        <is>
          <t>Terça</t>
        </is>
      </c>
      <c r="C2363" t="inlineStr">
        <is>
          <t>CTS Lourdes Complementar</t>
        </is>
      </c>
      <c r="D2363" t="inlineStr">
        <is>
          <t>Robson</t>
        </is>
      </c>
      <c r="E2363" t="inlineStr">
        <is>
          <t>Higor</t>
        </is>
      </c>
      <c r="F2363" t="inlineStr">
        <is>
          <t>Shaft PV 01</t>
        </is>
      </c>
      <c r="G2363" t="inlineStr">
        <is>
          <t>01</t>
        </is>
      </c>
      <c r="I2363" t="inlineStr">
        <is>
          <t>PV 01</t>
        </is>
      </c>
      <c r="J2363" t="inlineStr">
        <is>
          <t>Shaft</t>
        </is>
      </c>
      <c r="K2363" t="inlineStr">
        <is>
          <t>Programação diária</t>
        </is>
      </c>
      <c r="L2363" t="inlineStr">
        <is>
          <t>PDS texto 12/05/2026</t>
        </is>
      </c>
      <c r="M2363" t="inlineStr">
        <is>
          <t>2026-05</t>
        </is>
      </c>
      <c r="T2363" t="inlineStr">
        <is>
          <t>2026_05_12_CTS_Lourdes_Complementar_Higor_Shaft_PV_01</t>
        </is>
      </c>
    </row>
    <row r="2364">
      <c r="A2364" s="36" t="n">
        <v>46154</v>
      </c>
      <c r="B2364" t="inlineStr">
        <is>
          <t>Terça</t>
        </is>
      </c>
      <c r="C2364" t="inlineStr">
        <is>
          <t>CTS Lourdes Complementar</t>
        </is>
      </c>
      <c r="D2364" t="inlineStr">
        <is>
          <t>Robson</t>
        </is>
      </c>
      <c r="E2364" t="inlineStr">
        <is>
          <t>Cidão</t>
        </is>
      </c>
      <c r="F2364" t="inlineStr">
        <is>
          <t>Shaft PV 02</t>
        </is>
      </c>
      <c r="G2364" t="inlineStr">
        <is>
          <t>02</t>
        </is>
      </c>
      <c r="I2364" t="inlineStr">
        <is>
          <t>PV 02</t>
        </is>
      </c>
      <c r="J2364" t="inlineStr">
        <is>
          <t>Shaft</t>
        </is>
      </c>
      <c r="K2364" t="inlineStr">
        <is>
          <t>Programação diária</t>
        </is>
      </c>
      <c r="L2364" t="inlineStr">
        <is>
          <t>PDS texto 12/05/2026</t>
        </is>
      </c>
      <c r="M2364" t="inlineStr">
        <is>
          <t>2026-05</t>
        </is>
      </c>
      <c r="T2364" t="inlineStr">
        <is>
          <t>2026_05_12_CTS_Lourdes_Complementar_Cid_o_Shaft_PV_02</t>
        </is>
      </c>
    </row>
    <row r="2365">
      <c r="A2365" s="36" t="n">
        <v>46154</v>
      </c>
      <c r="B2365" t="inlineStr">
        <is>
          <t>Terça</t>
        </is>
      </c>
      <c r="C2365" t="inlineStr">
        <is>
          <t>CTS Lourdes Complementar</t>
        </is>
      </c>
      <c r="D2365" t="inlineStr">
        <is>
          <t>Robson</t>
        </is>
      </c>
      <c r="E2365" t="inlineStr">
        <is>
          <t>Marcelo</t>
        </is>
      </c>
      <c r="F2365" t="inlineStr">
        <is>
          <t>Shaft PV 17</t>
        </is>
      </c>
      <c r="G2365" t="inlineStr">
        <is>
          <t>17</t>
        </is>
      </c>
      <c r="I2365" t="inlineStr">
        <is>
          <t>PV 17</t>
        </is>
      </c>
      <c r="J2365" t="inlineStr">
        <is>
          <t>Shaft</t>
        </is>
      </c>
      <c r="K2365" t="inlineStr">
        <is>
          <t>Programação diária</t>
        </is>
      </c>
      <c r="L2365" t="inlineStr">
        <is>
          <t>PDS texto 12/05/2026</t>
        </is>
      </c>
      <c r="M2365" t="inlineStr">
        <is>
          <t>2026-05</t>
        </is>
      </c>
      <c r="T2365" t="inlineStr">
        <is>
          <t>2026_05_12_CTS_Lourdes_Complementar_Marcelo_Shaft_PV_17</t>
        </is>
      </c>
    </row>
    <row r="2366">
      <c r="A2366" s="36" t="n">
        <v>46154</v>
      </c>
      <c r="B2366" t="inlineStr">
        <is>
          <t>Terça</t>
        </is>
      </c>
      <c r="C2366" t="inlineStr">
        <is>
          <t>CTS Barão Luiz De Arariba</t>
        </is>
      </c>
      <c r="D2366" t="inlineStr">
        <is>
          <t>Silvestre</t>
        </is>
      </c>
      <c r="E2366" t="inlineStr">
        <is>
          <t>Medeiros</t>
        </is>
      </c>
      <c r="F2366" t="inlineStr">
        <is>
          <t>Shaft PV 9.1</t>
        </is>
      </c>
      <c r="G2366" t="inlineStr">
        <is>
          <t>9.1</t>
        </is>
      </c>
      <c r="I2366" t="inlineStr">
        <is>
          <t>PV 9.1</t>
        </is>
      </c>
      <c r="J2366" t="inlineStr">
        <is>
          <t>Shaft</t>
        </is>
      </c>
      <c r="K2366" t="inlineStr">
        <is>
          <t>Programação diária</t>
        </is>
      </c>
      <c r="L2366" t="inlineStr">
        <is>
          <t>PDS texto 12/05/2026</t>
        </is>
      </c>
      <c r="M2366" t="inlineStr">
        <is>
          <t>2026-05</t>
        </is>
      </c>
      <c r="T2366" t="inlineStr">
        <is>
          <t>2026_05_12_CTS_Bar_o_Luiz_De_Arariba_Medeiros_Shaft_PV_9_1</t>
        </is>
      </c>
    </row>
    <row r="2367">
      <c r="A2367" s="36" t="n">
        <v>46154</v>
      </c>
      <c r="B2367" t="inlineStr">
        <is>
          <t>Terça</t>
        </is>
      </c>
      <c r="C2367" t="inlineStr">
        <is>
          <t>CTS Barão Luiz De Arariba</t>
        </is>
      </c>
      <c r="D2367" t="inlineStr">
        <is>
          <t>Silvestre</t>
        </is>
      </c>
      <c r="E2367" t="inlineStr">
        <is>
          <t>Jhonatan</t>
        </is>
      </c>
      <c r="F2367" t="inlineStr">
        <is>
          <t>Transformação PV 10</t>
        </is>
      </c>
      <c r="G2367" t="inlineStr">
        <is>
          <t>10</t>
        </is>
      </c>
      <c r="I2367" t="inlineStr">
        <is>
          <t>PV 10</t>
        </is>
      </c>
      <c r="J2367" t="inlineStr">
        <is>
          <t>Adequação</t>
        </is>
      </c>
      <c r="K2367" t="inlineStr">
        <is>
          <t>Programação diária</t>
        </is>
      </c>
      <c r="L2367" t="inlineStr">
        <is>
          <t>PDS texto 12/05/2026</t>
        </is>
      </c>
      <c r="M2367" t="inlineStr">
        <is>
          <t>2026-05</t>
        </is>
      </c>
      <c r="T2367" t="inlineStr">
        <is>
          <t>2026_05_12_CTS_Bar_o_Luiz_De_Arariba_Jhonatan_Transforma_o_PV_10</t>
        </is>
      </c>
    </row>
    <row r="2368">
      <c r="A2368" s="36" t="n">
        <v>46154</v>
      </c>
      <c r="B2368" t="inlineStr">
        <is>
          <t>Terça</t>
        </is>
      </c>
      <c r="C2368" t="inlineStr">
        <is>
          <t>CTS Conceição</t>
        </is>
      </c>
      <c r="D2368" t="inlineStr">
        <is>
          <t>Silvestre</t>
        </is>
      </c>
      <c r="E2368" t="inlineStr">
        <is>
          <t>Cesar</t>
        </is>
      </c>
      <c r="F2368" t="inlineStr">
        <is>
          <t>Tubo de queda PVE</t>
        </is>
      </c>
      <c r="I2368" t="inlineStr">
        <is>
          <t>PVE</t>
        </is>
      </c>
      <c r="J2368" t="inlineStr">
        <is>
          <t>Tubo de queda</t>
        </is>
      </c>
      <c r="K2368" t="inlineStr">
        <is>
          <t>Programação diária</t>
        </is>
      </c>
      <c r="L2368" t="inlineStr">
        <is>
          <t>PDS texto 12/05/2026</t>
        </is>
      </c>
      <c r="M2368" t="inlineStr">
        <is>
          <t>2026-05</t>
        </is>
      </c>
      <c r="T2368" t="inlineStr">
        <is>
          <t>2026_05_12_CTS_Concei_o_Cesar_Tubo_de_queda_PVE</t>
        </is>
      </c>
    </row>
    <row r="2369">
      <c r="A2369" s="36" t="n">
        <v>46154</v>
      </c>
      <c r="B2369" t="inlineStr">
        <is>
          <t>Terça</t>
        </is>
      </c>
      <c r="C2369" t="inlineStr">
        <is>
          <t>CTS Luis Botelho Mourão</t>
        </is>
      </c>
      <c r="D2369" t="inlineStr">
        <is>
          <t>Robson</t>
        </is>
      </c>
      <c r="E2369" t="inlineStr">
        <is>
          <t>Marcio</t>
        </is>
      </c>
      <c r="F2369" t="inlineStr">
        <is>
          <t>Adequação PVs 08 e 09</t>
        </is>
      </c>
      <c r="G2369" t="inlineStr">
        <is>
          <t>08</t>
        </is>
      </c>
      <c r="H2369" t="inlineStr">
        <is>
          <t>09</t>
        </is>
      </c>
      <c r="I2369" t="inlineStr">
        <is>
          <t>PVs 08 e 09</t>
        </is>
      </c>
      <c r="J2369" t="inlineStr">
        <is>
          <t>Adequação</t>
        </is>
      </c>
      <c r="K2369" t="inlineStr">
        <is>
          <t>Programação diária</t>
        </is>
      </c>
      <c r="L2369" t="inlineStr">
        <is>
          <t>PDS texto 12/05/2026</t>
        </is>
      </c>
      <c r="M2369" t="inlineStr">
        <is>
          <t>2026-05</t>
        </is>
      </c>
      <c r="T2369" t="inlineStr">
        <is>
          <t>2026_05_12_CTS_Luis_Botelho_Mour_o_Marcio_Adequa_o_PVs_08_e_09</t>
        </is>
      </c>
    </row>
    <row r="2370">
      <c r="A2370" s="36" t="n">
        <v>46154</v>
      </c>
      <c r="B2370" t="inlineStr">
        <is>
          <t>Terça</t>
        </is>
      </c>
      <c r="C2370" t="inlineStr">
        <is>
          <t>Vacal João Canzi</t>
        </is>
      </c>
      <c r="E2370" t="inlineStr">
        <is>
          <t>Renasce</t>
        </is>
      </c>
      <c r="F2370" t="inlineStr">
        <is>
          <t>Vacal: João Canzi</t>
        </is>
      </c>
      <c r="J2370" t="inlineStr">
        <is>
          <t>Vacal</t>
        </is>
      </c>
      <c r="K2370" t="inlineStr">
        <is>
          <t>Programação diária</t>
        </is>
      </c>
      <c r="L2370" t="inlineStr">
        <is>
          <t>PDS texto 12/05/2026</t>
        </is>
      </c>
      <c r="M2370" t="inlineStr">
        <is>
          <t>2026-05</t>
        </is>
      </c>
      <c r="T2370" t="inlineStr">
        <is>
          <t>2026_05_12_Vacal_Jo_o_Canzi_Renasce_Vacal_Jo_o_Canzi</t>
        </is>
      </c>
    </row>
    <row r="2371">
      <c r="A2371" s="36" t="n">
        <v>46154</v>
      </c>
      <c r="B2371" t="inlineStr">
        <is>
          <t>Terça</t>
        </is>
      </c>
      <c r="C2371" t="inlineStr">
        <is>
          <t>Vacal Davó</t>
        </is>
      </c>
      <c r="E2371" t="inlineStr">
        <is>
          <t>Henko</t>
        </is>
      </c>
      <c r="F2371" t="inlineStr">
        <is>
          <t>Vacal: Davó</t>
        </is>
      </c>
      <c r="J2371" t="inlineStr">
        <is>
          <t>Vacal</t>
        </is>
      </c>
      <c r="K2371" t="inlineStr">
        <is>
          <t>Programação diária</t>
        </is>
      </c>
      <c r="L2371" t="inlineStr">
        <is>
          <t>PDS texto 12/05/2026</t>
        </is>
      </c>
      <c r="M2371" t="inlineStr">
        <is>
          <t>2026-05</t>
        </is>
      </c>
      <c r="T2371" t="inlineStr">
        <is>
          <t>2026_05_12_Vacal_Dav_Henko_Vacal_Dav</t>
        </is>
      </c>
    </row>
    <row r="2372">
      <c r="A2372" s="36" t="n">
        <v>46154</v>
      </c>
      <c r="B2372" t="inlineStr">
        <is>
          <t>Terça</t>
        </is>
      </c>
      <c r="C2372" t="inlineStr">
        <is>
          <t>Vacal Barão de Arariba</t>
        </is>
      </c>
      <c r="E2372" t="inlineStr">
        <is>
          <t>Hidrosol</t>
        </is>
      </c>
      <c r="F2372" t="inlineStr">
        <is>
          <t>Vacal: Barão de Arariba</t>
        </is>
      </c>
      <c r="J2372" t="inlineStr">
        <is>
          <t>Vacal</t>
        </is>
      </c>
      <c r="K2372" t="inlineStr">
        <is>
          <t>Programação diária</t>
        </is>
      </c>
      <c r="L2372" t="inlineStr">
        <is>
          <t>PDS texto 12/05/2026</t>
        </is>
      </c>
      <c r="M2372" t="inlineStr">
        <is>
          <t>2026-05</t>
        </is>
      </c>
      <c r="T2372" t="inlineStr">
        <is>
          <t>2026_05_12_Vacal_Bar_o_de_Arariba_Hidrosol_Vacal_Bar_o_de_Arariba</t>
        </is>
      </c>
    </row>
    <row r="2373">
      <c r="A2373" s="36" t="n">
        <v>46154</v>
      </c>
      <c r="B2373" t="inlineStr">
        <is>
          <t>Terça</t>
        </is>
      </c>
      <c r="C2373" t="inlineStr">
        <is>
          <t>Guindauto</t>
        </is>
      </c>
      <c r="E2373" t="inlineStr">
        <is>
          <t>Marcio</t>
        </is>
      </c>
      <c r="F2373" t="inlineStr">
        <is>
          <t>Apoio as equipes</t>
        </is>
      </c>
      <c r="J2373" t="inlineStr">
        <is>
          <t>Apoio</t>
        </is>
      </c>
      <c r="K2373" t="inlineStr">
        <is>
          <t>Programação diária</t>
        </is>
      </c>
      <c r="L2373" t="inlineStr">
        <is>
          <t>PDS texto 12/05/2026</t>
        </is>
      </c>
      <c r="M2373" t="inlineStr">
        <is>
          <t>2026-05</t>
        </is>
      </c>
      <c r="T2373" t="inlineStr">
        <is>
          <t>2026_05_12_Guindauto_Marcio_Apoio_as_equipes</t>
        </is>
      </c>
    </row>
    <row r="2374">
      <c r="A2374" s="36" t="n">
        <v>46154</v>
      </c>
      <c r="B2374" t="inlineStr">
        <is>
          <t>Terça</t>
        </is>
      </c>
      <c r="C2374" t="inlineStr">
        <is>
          <t>Guindauto</t>
        </is>
      </c>
      <c r="E2374" t="inlineStr">
        <is>
          <t>Luiz Carlos</t>
        </is>
      </c>
      <c r="F2374" t="inlineStr">
        <is>
          <t>Apoio as equipes</t>
        </is>
      </c>
      <c r="J2374" t="inlineStr">
        <is>
          <t>Apoio</t>
        </is>
      </c>
      <c r="K2374" t="inlineStr">
        <is>
          <t>Programação diária</t>
        </is>
      </c>
      <c r="L2374" t="inlineStr">
        <is>
          <t>PDS texto 12/05/2026</t>
        </is>
      </c>
      <c r="M2374" t="inlineStr">
        <is>
          <t>2026-05</t>
        </is>
      </c>
      <c r="T2374" t="inlineStr">
        <is>
          <t>2026_05_12_Guindauto_Luiz_Carlos_Apoio_as_equipes</t>
        </is>
      </c>
    </row>
    <row r="2375">
      <c r="A2375" s="36" t="n">
        <v>46155</v>
      </c>
      <c r="B2375" t="inlineStr">
        <is>
          <t>Quarta</t>
        </is>
      </c>
      <c r="C2375" t="inlineStr">
        <is>
          <t>CT João Canzi</t>
        </is>
      </c>
      <c r="D2375" t="inlineStr">
        <is>
          <t>Caroline</t>
        </is>
      </c>
      <c r="E2375" t="inlineStr">
        <is>
          <t>Goiânia Drill</t>
        </is>
      </c>
      <c r="F2375" t="inlineStr">
        <is>
          <t>Furo piloto e puxe do PV-08 ao PV-10</t>
        </is>
      </c>
      <c r="G2375" t="inlineStr">
        <is>
          <t>08</t>
        </is>
      </c>
      <c r="H2375" t="inlineStr">
        <is>
          <t>10</t>
        </is>
      </c>
      <c r="I2375" t="inlineStr">
        <is>
          <t>08 ao 10</t>
        </is>
      </c>
      <c r="J2375" t="inlineStr">
        <is>
          <t>HDD</t>
        </is>
      </c>
      <c r="K2375" t="inlineStr">
        <is>
          <t>Planejamento</t>
        </is>
      </c>
      <c r="L2375" t="inlineStr">
        <is>
          <t>PDS_chat_2026-05-13</t>
        </is>
      </c>
      <c r="M2375">
        <f>IF($A2375="","",TEXT($A2375,"mmmm/yyyy"))</f>
        <v/>
      </c>
      <c r="R2375">
        <f>IF(ISNUMBER(SEARCH("HDD",$F2375)),"HDD",IF(ISNUMBER(SEARCH("VCA",$F2375)),"VCA","MND"))</f>
        <v/>
      </c>
      <c r="T2375">
        <f>TEXT($A2375,"yyyy-mm")&amp;"|"&amp;$C2375&amp;"|"&amp;$I2375</f>
        <v/>
      </c>
    </row>
    <row r="2376">
      <c r="A2376" s="36" t="n">
        <v>46155</v>
      </c>
      <c r="B2376" t="inlineStr">
        <is>
          <t>Quarta</t>
        </is>
      </c>
      <c r="C2376" t="inlineStr">
        <is>
          <t>CT João Canzi</t>
        </is>
      </c>
      <c r="D2376" t="inlineStr">
        <is>
          <t>Caroline</t>
        </is>
      </c>
      <c r="E2376" t="inlineStr">
        <is>
          <t>Bruno</t>
        </is>
      </c>
      <c r="F2376" t="inlineStr">
        <is>
          <t>Apoio ao HDD</t>
        </is>
      </c>
      <c r="J2376" t="inlineStr">
        <is>
          <t>HDD</t>
        </is>
      </c>
      <c r="K2376" t="inlineStr">
        <is>
          <t>Planejamento</t>
        </is>
      </c>
      <c r="L2376" t="inlineStr">
        <is>
          <t>PDS_chat_2026-05-13</t>
        </is>
      </c>
      <c r="M2376">
        <f>IF($A2376="","",TEXT($A2376,"mmmm/yyyy"))</f>
        <v/>
      </c>
      <c r="R2376">
        <f>IF(ISNUMBER(SEARCH("HDD",$F2376)),"HDD",IF(ISNUMBER(SEARCH("VCA",$F2376)),"VCA","MND"))</f>
        <v/>
      </c>
      <c r="T2376">
        <f>TEXT($A2376,"yyyy-mm")&amp;"|"&amp;$C2376&amp;"|"&amp;$I2376</f>
        <v/>
      </c>
    </row>
    <row r="2377">
      <c r="A2377" s="36" t="n">
        <v>46155</v>
      </c>
      <c r="B2377" t="inlineStr">
        <is>
          <t>Quarta</t>
        </is>
      </c>
      <c r="C2377" t="inlineStr">
        <is>
          <t>CT João Canzi</t>
        </is>
      </c>
      <c r="D2377" t="inlineStr">
        <is>
          <t>Caroline</t>
        </is>
      </c>
      <c r="E2377" t="inlineStr">
        <is>
          <t>Valter</t>
        </is>
      </c>
      <c r="F2377" t="inlineStr">
        <is>
          <t>Shaft PV 11</t>
        </is>
      </c>
      <c r="G2377" t="inlineStr">
        <is>
          <t>11</t>
        </is>
      </c>
      <c r="I2377" t="inlineStr">
        <is>
          <t>11</t>
        </is>
      </c>
      <c r="J2377" t="inlineStr">
        <is>
          <t>Shaft</t>
        </is>
      </c>
      <c r="K2377" t="inlineStr">
        <is>
          <t>Planejamento</t>
        </is>
      </c>
      <c r="L2377" t="inlineStr">
        <is>
          <t>PDS_chat_2026-05-13</t>
        </is>
      </c>
      <c r="M2377">
        <f>IF($A2377="","",TEXT($A2377,"mmmm/yyyy"))</f>
        <v/>
      </c>
      <c r="R2377">
        <f>IF(ISNUMBER(SEARCH("HDD",$F2377)),"HDD",IF(ISNUMBER(SEARCH("VCA",$F2377)),"VCA","MND"))</f>
        <v/>
      </c>
      <c r="T2377">
        <f>TEXT($A2377,"yyyy-mm")&amp;"|"&amp;$C2377&amp;"|"&amp;$I2377</f>
        <v/>
      </c>
    </row>
    <row r="2378">
      <c r="A2378" s="36" t="n">
        <v>46155</v>
      </c>
      <c r="B2378" t="inlineStr">
        <is>
          <t>Quarta</t>
        </is>
      </c>
      <c r="C2378" t="inlineStr">
        <is>
          <t>CT João Canzi</t>
        </is>
      </c>
      <c r="D2378" t="inlineStr">
        <is>
          <t>Caroline</t>
        </is>
      </c>
      <c r="E2378" t="inlineStr">
        <is>
          <t>Cesar</t>
        </is>
      </c>
      <c r="F2378" t="inlineStr">
        <is>
          <t>Shaft PV 17</t>
        </is>
      </c>
      <c r="G2378" t="inlineStr">
        <is>
          <t>17</t>
        </is>
      </c>
      <c r="I2378" t="inlineStr">
        <is>
          <t>17</t>
        </is>
      </c>
      <c r="J2378" t="inlineStr">
        <is>
          <t>Shaft</t>
        </is>
      </c>
      <c r="K2378" t="inlineStr">
        <is>
          <t>Planejamento</t>
        </is>
      </c>
      <c r="L2378" t="inlineStr">
        <is>
          <t>PDS_chat_2026-05-13</t>
        </is>
      </c>
      <c r="M2378">
        <f>IF($A2378="","",TEXT($A2378,"mmmm/yyyy"))</f>
        <v/>
      </c>
      <c r="R2378">
        <f>IF(ISNUMBER(SEARCH("HDD",$F2378)),"HDD",IF(ISNUMBER(SEARCH("VCA",$F2378)),"VCA","MND"))</f>
        <v/>
      </c>
      <c r="T2378">
        <f>TEXT($A2378,"yyyy-mm")&amp;"|"&amp;$C2378&amp;"|"&amp;$I2378</f>
        <v/>
      </c>
    </row>
    <row r="2379">
      <c r="A2379" s="36" t="n">
        <v>46155</v>
      </c>
      <c r="B2379" t="inlineStr">
        <is>
          <t>Quarta</t>
        </is>
      </c>
      <c r="C2379" t="inlineStr">
        <is>
          <t>RCE São Lucas</t>
        </is>
      </c>
      <c r="D2379" t="inlineStr">
        <is>
          <t>Fábio (rce Rua São João)</t>
        </is>
      </c>
      <c r="E2379" t="inlineStr">
        <is>
          <t>Ricardo</t>
        </is>
      </c>
      <c r="F2379" t="inlineStr">
        <is>
          <t>VCA, PVs e Ligações</t>
        </is>
      </c>
      <c r="G2379" t="inlineStr">
        <is>
          <t>76</t>
        </is>
      </c>
      <c r="H2379" t="inlineStr">
        <is>
          <t>77</t>
        </is>
      </c>
      <c r="I2379" t="inlineStr">
        <is>
          <t>76 ao 77</t>
        </is>
      </c>
      <c r="J2379" t="inlineStr">
        <is>
          <t>VCA</t>
        </is>
      </c>
      <c r="K2379" t="inlineStr">
        <is>
          <t>Planejamento</t>
        </is>
      </c>
      <c r="L2379" t="inlineStr">
        <is>
          <t>PDS_chat_2026-05-13</t>
        </is>
      </c>
      <c r="M2379">
        <f>IF($A2379="","",TEXT($A2379,"mmmm/yyyy"))</f>
        <v/>
      </c>
      <c r="R2379">
        <f>IF(ISNUMBER(SEARCH("HDD",$F2379)),"HDD",IF(ISNUMBER(SEARCH("VCA",$F2379)),"VCA","MND"))</f>
        <v/>
      </c>
      <c r="T2379">
        <f>TEXT($A2379,"yyyy-mm")&amp;"|"&amp;$C2379&amp;"|"&amp;$I2379</f>
        <v/>
      </c>
    </row>
    <row r="2380">
      <c r="A2380" s="36" t="n">
        <v>46155</v>
      </c>
      <c r="B2380" t="inlineStr">
        <is>
          <t>Quarta</t>
        </is>
      </c>
      <c r="C2380" t="inlineStr">
        <is>
          <t>RCE São Lucas</t>
        </is>
      </c>
      <c r="D2380" t="inlineStr">
        <is>
          <t>Fábio (rce Rua São João)</t>
        </is>
      </c>
      <c r="E2380" t="inlineStr">
        <is>
          <t>Claudinei</t>
        </is>
      </c>
      <c r="F2380" t="inlineStr">
        <is>
          <t>VCA, PVs e Ligações</t>
        </is>
      </c>
      <c r="G2380" t="inlineStr">
        <is>
          <t>38</t>
        </is>
      </c>
      <c r="H2380" t="inlineStr">
        <is>
          <t>39</t>
        </is>
      </c>
      <c r="I2380" t="inlineStr">
        <is>
          <t>38 ao 39</t>
        </is>
      </c>
      <c r="J2380" t="inlineStr">
        <is>
          <t>VCA</t>
        </is>
      </c>
      <c r="K2380" t="inlineStr">
        <is>
          <t>Planejamento</t>
        </is>
      </c>
      <c r="L2380" t="inlineStr">
        <is>
          <t>PDS_chat_2026-05-13</t>
        </is>
      </c>
      <c r="M2380">
        <f>IF($A2380="","",TEXT($A2380,"mmmm/yyyy"))</f>
        <v/>
      </c>
      <c r="R2380">
        <f>IF(ISNUMBER(SEARCH("HDD",$F2380)),"HDD",IF(ISNUMBER(SEARCH("VCA",$F2380)),"VCA","MND"))</f>
        <v/>
      </c>
      <c r="T2380">
        <f>TEXT($A2380,"yyyy-mm")&amp;"|"&amp;$C2380&amp;"|"&amp;$I2380</f>
        <v/>
      </c>
    </row>
    <row r="2381">
      <c r="A2381" s="36" t="n">
        <v>46155</v>
      </c>
      <c r="B2381" t="inlineStr">
        <is>
          <t>Quarta</t>
        </is>
      </c>
      <c r="C2381" t="inlineStr">
        <is>
          <t>RCE São Lucas</t>
        </is>
      </c>
      <c r="D2381" t="inlineStr">
        <is>
          <t>Fábio (rce Rua São João)</t>
        </is>
      </c>
      <c r="E2381" t="inlineStr">
        <is>
          <t>Antonio</t>
        </is>
      </c>
      <c r="F2381" t="inlineStr">
        <is>
          <t>VCA, PVs e Ligações</t>
        </is>
      </c>
      <c r="G2381" t="inlineStr">
        <is>
          <t>75</t>
        </is>
      </c>
      <c r="H2381" t="inlineStr">
        <is>
          <t>76</t>
        </is>
      </c>
      <c r="I2381" t="inlineStr">
        <is>
          <t>75 ao 76</t>
        </is>
      </c>
      <c r="J2381" t="inlineStr">
        <is>
          <t>VCA</t>
        </is>
      </c>
      <c r="K2381" t="inlineStr">
        <is>
          <t>Planejamento</t>
        </is>
      </c>
      <c r="L2381" t="inlineStr">
        <is>
          <t>PDS_chat_2026-05-13</t>
        </is>
      </c>
      <c r="M2381">
        <f>IF($A2381="","",TEXT($A2381,"mmmm/yyyy"))</f>
        <v/>
      </c>
      <c r="R2381">
        <f>IF(ISNUMBER(SEARCH("HDD",$F2381)),"HDD",IF(ISNUMBER(SEARCH("VCA",$F2381)),"VCA","MND"))</f>
        <v/>
      </c>
      <c r="T2381">
        <f>TEXT($A2381,"yyyy-mm")&amp;"|"&amp;$C2381&amp;"|"&amp;$I2381</f>
        <v/>
      </c>
    </row>
    <row r="2382">
      <c r="A2382" s="36" t="n">
        <v>46155</v>
      </c>
      <c r="B2382" t="inlineStr">
        <is>
          <t>Quarta</t>
        </is>
      </c>
      <c r="C2382" t="inlineStr">
        <is>
          <t>RCE São Lucas</t>
        </is>
      </c>
      <c r="D2382" t="inlineStr">
        <is>
          <t>Fábio (rce Rua São João)</t>
        </is>
      </c>
      <c r="E2382" t="inlineStr">
        <is>
          <t>Emanuel GO-01</t>
        </is>
      </c>
      <c r="F2382" t="inlineStr">
        <is>
          <t>VCA, PVs e Ligações; (PI 26 ao PI 27)</t>
        </is>
      </c>
      <c r="G2382" t="inlineStr">
        <is>
          <t>26</t>
        </is>
      </c>
      <c r="H2382" t="inlineStr">
        <is>
          <t>27</t>
        </is>
      </c>
      <c r="I2382" t="inlineStr">
        <is>
          <t>26 ao 27</t>
        </is>
      </c>
      <c r="J2382" t="inlineStr">
        <is>
          <t>VCA</t>
        </is>
      </c>
      <c r="K2382" t="inlineStr">
        <is>
          <t>Planejamento</t>
        </is>
      </c>
      <c r="L2382" t="inlineStr">
        <is>
          <t>PDS_chat_2026-05-13</t>
        </is>
      </c>
      <c r="M2382">
        <f>IF($A2382="","",TEXT($A2382,"mmmm/yyyy"))</f>
        <v/>
      </c>
      <c r="R2382">
        <f>IF(ISNUMBER(SEARCH("HDD",$F2382)),"HDD",IF(ISNUMBER(SEARCH("VCA",$F2382)),"VCA","MND"))</f>
        <v/>
      </c>
      <c r="T2382">
        <f>TEXT($A2382,"yyyy-mm")&amp;"|"&amp;$C2382&amp;"|"&amp;$I2382</f>
        <v/>
      </c>
    </row>
    <row r="2383">
      <c r="A2383" s="36" t="n">
        <v>46155</v>
      </c>
      <c r="B2383" t="inlineStr">
        <is>
          <t>Quarta</t>
        </is>
      </c>
      <c r="C2383" t="inlineStr">
        <is>
          <t>RCE São Lucas</t>
        </is>
      </c>
      <c r="D2383" t="inlineStr">
        <is>
          <t>Fábio (rce Rua São João)</t>
        </is>
      </c>
      <c r="E2383" t="inlineStr">
        <is>
          <t>Miro GO-02</t>
        </is>
      </c>
      <c r="F2383" t="inlineStr">
        <is>
          <t>VCA, PVs e Ligações; (PI 26 ao PI 27)</t>
        </is>
      </c>
      <c r="G2383" t="inlineStr">
        <is>
          <t>26</t>
        </is>
      </c>
      <c r="H2383" t="inlineStr">
        <is>
          <t>27</t>
        </is>
      </c>
      <c r="I2383" t="inlineStr">
        <is>
          <t>26 ao 27</t>
        </is>
      </c>
      <c r="J2383" t="inlineStr">
        <is>
          <t>VCA</t>
        </is>
      </c>
      <c r="K2383" t="inlineStr">
        <is>
          <t>Planejamento</t>
        </is>
      </c>
      <c r="L2383" t="inlineStr">
        <is>
          <t>PDS_chat_2026-05-13</t>
        </is>
      </c>
      <c r="M2383">
        <f>IF($A2383="","",TEXT($A2383,"mmmm/yyyy"))</f>
        <v/>
      </c>
      <c r="R2383">
        <f>IF(ISNUMBER(SEARCH("HDD",$F2383)),"HDD",IF(ISNUMBER(SEARCH("VCA",$F2383)),"VCA","MND"))</f>
        <v/>
      </c>
      <c r="T2383">
        <f>TEXT($A2383,"yyyy-mm")&amp;"|"&amp;$C2383&amp;"|"&amp;$I2383</f>
        <v/>
      </c>
    </row>
    <row r="2384">
      <c r="A2384" s="36" t="n">
        <v>46155</v>
      </c>
      <c r="B2384" t="inlineStr">
        <is>
          <t>Quarta</t>
        </is>
      </c>
      <c r="C2384" t="inlineStr">
        <is>
          <t>CTS Lourdes Complementar</t>
        </is>
      </c>
      <c r="D2384" t="inlineStr">
        <is>
          <t>Robson</t>
        </is>
      </c>
      <c r="E2384" t="inlineStr">
        <is>
          <t>GR Drill</t>
        </is>
      </c>
      <c r="F2384" t="inlineStr">
        <is>
          <t>Furo Piloto PV 02 ao PV 01</t>
        </is>
      </c>
      <c r="G2384" t="inlineStr">
        <is>
          <t>02</t>
        </is>
      </c>
      <c r="H2384" t="inlineStr">
        <is>
          <t>01</t>
        </is>
      </c>
      <c r="I2384" t="inlineStr">
        <is>
          <t>02 ao 01</t>
        </is>
      </c>
      <c r="J2384" t="inlineStr">
        <is>
          <t>HDD</t>
        </is>
      </c>
      <c r="K2384" t="inlineStr">
        <is>
          <t>Planejamento</t>
        </is>
      </c>
      <c r="L2384" t="inlineStr">
        <is>
          <t>PDS_chat_2026-05-13</t>
        </is>
      </c>
      <c r="M2384">
        <f>IF($A2384="","",TEXT($A2384,"mmmm/yyyy"))</f>
        <v/>
      </c>
      <c r="R2384">
        <f>IF(ISNUMBER(SEARCH("HDD",$F2384)),"HDD",IF(ISNUMBER(SEARCH("VCA",$F2384)),"VCA","MND"))</f>
        <v/>
      </c>
      <c r="T2384">
        <f>TEXT($A2384,"yyyy-mm")&amp;"|"&amp;$C2384&amp;"|"&amp;$I2384</f>
        <v/>
      </c>
    </row>
    <row r="2385">
      <c r="A2385" s="36" t="n">
        <v>46155</v>
      </c>
      <c r="B2385" t="inlineStr">
        <is>
          <t>Quarta</t>
        </is>
      </c>
      <c r="C2385" t="inlineStr">
        <is>
          <t>CTS Lourdes Complementar</t>
        </is>
      </c>
      <c r="D2385" t="inlineStr">
        <is>
          <t>Robson</t>
        </is>
      </c>
      <c r="E2385" t="inlineStr">
        <is>
          <t>Higor</t>
        </is>
      </c>
      <c r="F2385" t="inlineStr">
        <is>
          <t>Shaft PV 01</t>
        </is>
      </c>
      <c r="G2385" t="inlineStr">
        <is>
          <t>01</t>
        </is>
      </c>
      <c r="I2385" t="inlineStr">
        <is>
          <t>01</t>
        </is>
      </c>
      <c r="J2385" t="inlineStr">
        <is>
          <t>Shaft</t>
        </is>
      </c>
      <c r="K2385" t="inlineStr">
        <is>
          <t>Planejamento</t>
        </is>
      </c>
      <c r="L2385" t="inlineStr">
        <is>
          <t>PDS_chat_2026-05-13</t>
        </is>
      </c>
      <c r="M2385">
        <f>IF($A2385="","",TEXT($A2385,"mmmm/yyyy"))</f>
        <v/>
      </c>
      <c r="R2385">
        <f>IF(ISNUMBER(SEARCH("HDD",$F2385)),"HDD",IF(ISNUMBER(SEARCH("VCA",$F2385)),"VCA","MND"))</f>
        <v/>
      </c>
      <c r="T2385">
        <f>TEXT($A2385,"yyyy-mm")&amp;"|"&amp;$C2385&amp;"|"&amp;$I2385</f>
        <v/>
      </c>
    </row>
    <row r="2386">
      <c r="A2386" s="36" t="n">
        <v>46155</v>
      </c>
      <c r="B2386" t="inlineStr">
        <is>
          <t>Quarta</t>
        </is>
      </c>
      <c r="C2386" t="inlineStr">
        <is>
          <t>CTS Lourdes Complementar</t>
        </is>
      </c>
      <c r="D2386" t="inlineStr">
        <is>
          <t>Robson</t>
        </is>
      </c>
      <c r="E2386" t="inlineStr">
        <is>
          <t>Cidão</t>
        </is>
      </c>
      <c r="F2386" t="inlineStr">
        <is>
          <t>Shaft PV 02</t>
        </is>
      </c>
      <c r="G2386" t="inlineStr">
        <is>
          <t>02</t>
        </is>
      </c>
      <c r="I2386" t="inlineStr">
        <is>
          <t>02</t>
        </is>
      </c>
      <c r="J2386" t="inlineStr">
        <is>
          <t>Shaft</t>
        </is>
      </c>
      <c r="K2386" t="inlineStr">
        <is>
          <t>Planejamento</t>
        </is>
      </c>
      <c r="L2386" t="inlineStr">
        <is>
          <t>PDS_chat_2026-05-13</t>
        </is>
      </c>
      <c r="M2386">
        <f>IF($A2386="","",TEXT($A2386,"mmmm/yyyy"))</f>
        <v/>
      </c>
      <c r="R2386">
        <f>IF(ISNUMBER(SEARCH("HDD",$F2386)),"HDD",IF(ISNUMBER(SEARCH("VCA",$F2386)),"VCA","MND"))</f>
        <v/>
      </c>
      <c r="T2386">
        <f>TEXT($A2386,"yyyy-mm")&amp;"|"&amp;$C2386&amp;"|"&amp;$I2386</f>
        <v/>
      </c>
    </row>
    <row r="2387">
      <c r="A2387" s="36" t="n">
        <v>46155</v>
      </c>
      <c r="B2387" t="inlineStr">
        <is>
          <t>Quarta</t>
        </is>
      </c>
      <c r="C2387" t="inlineStr">
        <is>
          <t>CTS Lourdes Complementar</t>
        </is>
      </c>
      <c r="D2387" t="inlineStr">
        <is>
          <t>Robson</t>
        </is>
      </c>
      <c r="E2387" t="inlineStr">
        <is>
          <t>Marcelo</t>
        </is>
      </c>
      <c r="F2387" t="inlineStr">
        <is>
          <t>Shaft PV 17</t>
        </is>
      </c>
      <c r="G2387" t="inlineStr">
        <is>
          <t>17</t>
        </is>
      </c>
      <c r="I2387" t="inlineStr">
        <is>
          <t>17</t>
        </is>
      </c>
      <c r="J2387" t="inlineStr">
        <is>
          <t>Shaft</t>
        </is>
      </c>
      <c r="K2387" t="inlineStr">
        <is>
          <t>Planejamento</t>
        </is>
      </c>
      <c r="L2387" t="inlineStr">
        <is>
          <t>PDS_chat_2026-05-13</t>
        </is>
      </c>
      <c r="M2387">
        <f>IF($A2387="","",TEXT($A2387,"mmmm/yyyy"))</f>
        <v/>
      </c>
      <c r="R2387">
        <f>IF(ISNUMBER(SEARCH("HDD",$F2387)),"HDD",IF(ISNUMBER(SEARCH("VCA",$F2387)),"VCA","MND"))</f>
        <v/>
      </c>
      <c r="T2387">
        <f>TEXT($A2387,"yyyy-mm")&amp;"|"&amp;$C2387&amp;"|"&amp;$I2387</f>
        <v/>
      </c>
    </row>
    <row r="2388">
      <c r="A2388" s="36" t="n">
        <v>46155</v>
      </c>
      <c r="B2388" t="inlineStr">
        <is>
          <t>Quarta</t>
        </is>
      </c>
      <c r="C2388" t="inlineStr">
        <is>
          <t>CTS Barão Luiz De Arariba</t>
        </is>
      </c>
      <c r="D2388" t="inlineStr">
        <is>
          <t>Silvestre</t>
        </is>
      </c>
      <c r="E2388" t="inlineStr">
        <is>
          <t>Jhonatan</t>
        </is>
      </c>
      <c r="F2388" t="inlineStr">
        <is>
          <t>Transformação PV 10</t>
        </is>
      </c>
      <c r="G2388" t="inlineStr">
        <is>
          <t>10</t>
        </is>
      </c>
      <c r="I2388" t="inlineStr">
        <is>
          <t>10</t>
        </is>
      </c>
      <c r="J2388" t="inlineStr">
        <is>
          <t>Transformacao</t>
        </is>
      </c>
      <c r="K2388" t="inlineStr">
        <is>
          <t>Planejamento</t>
        </is>
      </c>
      <c r="L2388" t="inlineStr">
        <is>
          <t>PDS_chat_2026-05-13</t>
        </is>
      </c>
      <c r="M2388">
        <f>IF($A2388="","",TEXT($A2388,"mmmm/yyyy"))</f>
        <v/>
      </c>
      <c r="R2388">
        <f>IF(ISNUMBER(SEARCH("HDD",$F2388)),"HDD",IF(ISNUMBER(SEARCH("VCA",$F2388)),"VCA","MND"))</f>
        <v/>
      </c>
      <c r="T2388">
        <f>TEXT($A2388,"yyyy-mm")&amp;"|"&amp;$C2388&amp;"|"&amp;$I2388</f>
        <v/>
      </c>
    </row>
    <row r="2389">
      <c r="A2389" s="36" t="n">
        <v>46155</v>
      </c>
      <c r="B2389" t="inlineStr">
        <is>
          <t>Quarta</t>
        </is>
      </c>
      <c r="C2389" t="inlineStr">
        <is>
          <t>CTS Luis Botelho Mourão</t>
        </is>
      </c>
      <c r="D2389" t="inlineStr">
        <is>
          <t>Robson</t>
        </is>
      </c>
      <c r="E2389" t="inlineStr">
        <is>
          <t>Marcio</t>
        </is>
      </c>
      <c r="F2389" t="inlineStr">
        <is>
          <t>Reparo de calçadas e sarjetas</t>
        </is>
      </c>
      <c r="J2389" t="inlineStr">
        <is>
          <t>Reparo</t>
        </is>
      </c>
      <c r="K2389" t="inlineStr">
        <is>
          <t>Planejamento</t>
        </is>
      </c>
      <c r="L2389" t="inlineStr">
        <is>
          <t>PDS_chat_2026-05-13</t>
        </is>
      </c>
      <c r="M2389">
        <f>IF($A2389="","",TEXT($A2389,"mmmm/yyyy"))</f>
        <v/>
      </c>
      <c r="R2389">
        <f>IF(ISNUMBER(SEARCH("HDD",$F2389)),"HDD",IF(ISNUMBER(SEARCH("VCA",$F2389)),"VCA","MND"))</f>
        <v/>
      </c>
      <c r="T2389">
        <f>TEXT($A2389,"yyyy-mm")&amp;"|"&amp;$C2389&amp;"|"&amp;$I2389</f>
        <v/>
      </c>
    </row>
    <row r="2390">
      <c r="A2390" s="36" t="n">
        <v>46155</v>
      </c>
      <c r="B2390" t="inlineStr">
        <is>
          <t>Quarta</t>
        </is>
      </c>
      <c r="C2390" t="inlineStr">
        <is>
          <t>João Canzi</t>
        </is>
      </c>
      <c r="E2390" t="inlineStr">
        <is>
          <t>Vacal</t>
        </is>
      </c>
      <c r="F2390" t="inlineStr">
        <is>
          <t>João Canzi – Renasce</t>
        </is>
      </c>
      <c r="J2390" t="inlineStr">
        <is>
          <t>Atividade</t>
        </is>
      </c>
      <c r="K2390" t="inlineStr">
        <is>
          <t>Apoio</t>
        </is>
      </c>
      <c r="L2390" t="inlineStr">
        <is>
          <t>PDS_chat_2026-05-13</t>
        </is>
      </c>
      <c r="M2390">
        <f>IF($A2390="","",TEXT($A2390,"mmmm/yyyy"))</f>
        <v/>
      </c>
      <c r="R2390">
        <f>IF(ISNUMBER(SEARCH("HDD",$F2390)),"HDD",IF(ISNUMBER(SEARCH("VCA",$F2390)),"VCA","MND"))</f>
        <v/>
      </c>
      <c r="T2390">
        <f>TEXT($A2390,"yyyy-mm")&amp;"|"&amp;$C2390&amp;"|"&amp;$I2390</f>
        <v/>
      </c>
    </row>
    <row r="2391">
      <c r="A2391" s="36" t="n">
        <v>46155</v>
      </c>
      <c r="B2391" t="inlineStr">
        <is>
          <t>Quarta</t>
        </is>
      </c>
      <c r="C2391" t="inlineStr">
        <is>
          <t>João Canzi</t>
        </is>
      </c>
      <c r="E2391" t="inlineStr">
        <is>
          <t>Vacal</t>
        </is>
      </c>
      <c r="F2391" t="inlineStr">
        <is>
          <t>João Canzi – Henko</t>
        </is>
      </c>
      <c r="J2391" t="inlineStr">
        <is>
          <t>Atividade</t>
        </is>
      </c>
      <c r="K2391" t="inlineStr">
        <is>
          <t>Apoio</t>
        </is>
      </c>
      <c r="L2391" t="inlineStr">
        <is>
          <t>PDS_chat_2026-05-13</t>
        </is>
      </c>
      <c r="M2391">
        <f>IF($A2391="","",TEXT($A2391,"mmmm/yyyy"))</f>
        <v/>
      </c>
      <c r="R2391">
        <f>IF(ISNUMBER(SEARCH("HDD",$F2391)),"HDD",IF(ISNUMBER(SEARCH("VCA",$F2391)),"VCA","MND"))</f>
        <v/>
      </c>
      <c r="T2391">
        <f>TEXT($A2391,"yyyy-mm")&amp;"|"&amp;$C2391&amp;"|"&amp;$I2391</f>
        <v/>
      </c>
    </row>
    <row r="2392">
      <c r="A2392" s="36" t="n">
        <v>46155</v>
      </c>
      <c r="B2392" t="inlineStr">
        <is>
          <t>Quarta</t>
        </is>
      </c>
      <c r="C2392" t="inlineStr">
        <is>
          <t>São Lucas</t>
        </is>
      </c>
      <c r="E2392" t="inlineStr">
        <is>
          <t>Vacal</t>
        </is>
      </c>
      <c r="F2392" t="inlineStr">
        <is>
          <t>São Lucas- Hidrosol</t>
        </is>
      </c>
      <c r="J2392" t="inlineStr">
        <is>
          <t>Atividade</t>
        </is>
      </c>
      <c r="K2392" t="inlineStr">
        <is>
          <t>Apoio</t>
        </is>
      </c>
      <c r="L2392" t="inlineStr">
        <is>
          <t>PDS_chat_2026-05-13</t>
        </is>
      </c>
      <c r="M2392">
        <f>IF($A2392="","",TEXT($A2392,"mmmm/yyyy"))</f>
        <v/>
      </c>
      <c r="R2392">
        <f>IF(ISNUMBER(SEARCH("HDD",$F2392)),"HDD",IF(ISNUMBER(SEARCH("VCA",$F2392)),"VCA","MND"))</f>
        <v/>
      </c>
      <c r="T2392">
        <f>TEXT($A2392,"yyyy-mm")&amp;"|"&amp;$C2392&amp;"|"&amp;$I2392</f>
        <v/>
      </c>
    </row>
    <row r="2393">
      <c r="A2393" s="36" t="n">
        <v>46155</v>
      </c>
      <c r="B2393" t="inlineStr">
        <is>
          <t>Quarta</t>
        </is>
      </c>
      <c r="C2393" t="inlineStr">
        <is>
          <t>Barão De Arariba</t>
        </is>
      </c>
      <c r="E2393" t="inlineStr">
        <is>
          <t>Vacal</t>
        </is>
      </c>
      <c r="F2393" t="inlineStr">
        <is>
          <t>Barão de Arariba – Henko</t>
        </is>
      </c>
      <c r="J2393" t="inlineStr">
        <is>
          <t>Atividade</t>
        </is>
      </c>
      <c r="K2393" t="inlineStr">
        <is>
          <t>Apoio</t>
        </is>
      </c>
      <c r="L2393" t="inlineStr">
        <is>
          <t>PDS_chat_2026-05-13</t>
        </is>
      </c>
      <c r="M2393">
        <f>IF($A2393="","",TEXT($A2393,"mmmm/yyyy"))</f>
        <v/>
      </c>
      <c r="R2393">
        <f>IF(ISNUMBER(SEARCH("HDD",$F2393)),"HDD",IF(ISNUMBER(SEARCH("VCA",$F2393)),"VCA","MND"))</f>
        <v/>
      </c>
      <c r="T2393">
        <f>TEXT($A2393,"yyyy-mm")&amp;"|"&amp;$C2393&amp;"|"&amp;$I2393</f>
        <v/>
      </c>
    </row>
    <row r="2394">
      <c r="A2394" s="36" t="n">
        <v>46155</v>
      </c>
      <c r="B2394" t="inlineStr">
        <is>
          <t>Quarta</t>
        </is>
      </c>
      <c r="C2394" t="inlineStr">
        <is>
          <t>Guindauto</t>
        </is>
      </c>
      <c r="E2394" t="inlineStr">
        <is>
          <t>Marcio</t>
        </is>
      </c>
      <c r="F2394" t="inlineStr">
        <is>
          <t>Marcio - Apoio as equipes</t>
        </is>
      </c>
      <c r="J2394" t="inlineStr">
        <is>
          <t>Atividade</t>
        </is>
      </c>
      <c r="K2394" t="inlineStr">
        <is>
          <t>Apoio</t>
        </is>
      </c>
      <c r="L2394" t="inlineStr">
        <is>
          <t>PDS_chat_2026-05-13</t>
        </is>
      </c>
      <c r="M2394">
        <f>IF($A2394="","",TEXT($A2394,"mmmm/yyyy"))</f>
        <v/>
      </c>
      <c r="R2394">
        <f>IF(ISNUMBER(SEARCH("HDD",$F2394)),"HDD",IF(ISNUMBER(SEARCH("VCA",$F2394)),"VCA","MND"))</f>
        <v/>
      </c>
      <c r="T2394">
        <f>TEXT($A2394,"yyyy-mm")&amp;"|"&amp;$C2394&amp;"|"&amp;$I2394</f>
        <v/>
      </c>
    </row>
    <row r="2395">
      <c r="A2395" s="36" t="n">
        <v>46155</v>
      </c>
      <c r="B2395" t="inlineStr">
        <is>
          <t>Quarta</t>
        </is>
      </c>
      <c r="C2395" t="inlineStr">
        <is>
          <t>Guindauto</t>
        </is>
      </c>
      <c r="E2395" t="inlineStr">
        <is>
          <t>Luiz Carlos</t>
        </is>
      </c>
      <c r="F2395" t="inlineStr">
        <is>
          <t>Luiz Carlos - Apoio as equipes</t>
        </is>
      </c>
      <c r="J2395" t="inlineStr">
        <is>
          <t>Atividade</t>
        </is>
      </c>
      <c r="K2395" t="inlineStr">
        <is>
          <t>Apoio</t>
        </is>
      </c>
      <c r="L2395" t="inlineStr">
        <is>
          <t>PDS_chat_2026-05-13</t>
        </is>
      </c>
      <c r="M2395">
        <f>IF($A2395="","",TEXT($A2395,"mmmm/yyyy"))</f>
        <v/>
      </c>
      <c r="R2395">
        <f>IF(ISNUMBER(SEARCH("HDD",$F2395)),"HDD",IF(ISNUMBER(SEARCH("VCA",$F2395)),"VCA","MND"))</f>
        <v/>
      </c>
      <c r="T2395">
        <f>TEXT($A2395,"yyyy-mm")&amp;"|"&amp;$C2395&amp;"|"&amp;$I2395</f>
        <v/>
      </c>
    </row>
    <row r="2396">
      <c r="A2396" s="36" t="n">
        <v>46155</v>
      </c>
      <c r="B2396" t="inlineStr">
        <is>
          <t>Quarta</t>
        </is>
      </c>
      <c r="C2396" t="inlineStr">
        <is>
          <t>CT João Canzi</t>
        </is>
      </c>
      <c r="D2396" t="inlineStr">
        <is>
          <t>Caroline</t>
        </is>
      </c>
      <c r="E2396" t="inlineStr">
        <is>
          <t>Goiânia Drill</t>
        </is>
      </c>
      <c r="F2396" t="inlineStr">
        <is>
          <t>Furo piloto e puxe do PV-08 ao PV-10</t>
        </is>
      </c>
      <c r="G2396" t="inlineStr">
        <is>
          <t>08</t>
        </is>
      </c>
      <c r="H2396" t="inlineStr">
        <is>
          <t>10</t>
        </is>
      </c>
      <c r="I2396" t="inlineStr">
        <is>
          <t>08 ao 10</t>
        </is>
      </c>
      <c r="J2396" t="inlineStr">
        <is>
          <t>HDD</t>
        </is>
      </c>
      <c r="K2396" t="inlineStr">
        <is>
          <t>Planejamento</t>
        </is>
      </c>
      <c r="L2396" t="inlineStr">
        <is>
          <t>PDS-Maio.docx</t>
        </is>
      </c>
      <c r="M2396">
        <f>IF($A2396="","",TEXT($A2396,"mmmm/yyyy"))</f>
        <v/>
      </c>
      <c r="P2396">
        <f>IFERROR(XLOOKUP($N2396,Base_Enderecos!$A:$A,Base_Enderecos!$B:$B,""),"")</f>
        <v/>
      </c>
      <c r="Q2396">
        <f>IFERROR(XLOOKUP($N2396,Base_Enderecos!$A:$A,Base_Enderecos!$C:$C,""),"")</f>
        <v/>
      </c>
      <c r="R2396">
        <f>IF(ISNUMBER(SEARCH("HDD",$F2396)),"HDD",IF(ISNUMBER(SEARCH("VCA",$F2396)),"VCA","MND"))</f>
        <v/>
      </c>
      <c r="T2396">
        <f>TEXT($A2396,"yyyy-mm")&amp;"|"&amp;$C2396&amp;"|"&amp;$I2396</f>
        <v/>
      </c>
    </row>
    <row r="2397">
      <c r="A2397" s="36" t="n">
        <v>46155</v>
      </c>
      <c r="B2397" t="inlineStr">
        <is>
          <t>Quarta</t>
        </is>
      </c>
      <c r="C2397" t="inlineStr">
        <is>
          <t>CT João Canzi</t>
        </is>
      </c>
      <c r="D2397" t="inlineStr">
        <is>
          <t>Caroline</t>
        </is>
      </c>
      <c r="E2397" t="inlineStr">
        <is>
          <t>Bruno</t>
        </is>
      </c>
      <c r="F2397" t="inlineStr">
        <is>
          <t>Apoio ao HDD</t>
        </is>
      </c>
      <c r="J2397" t="inlineStr">
        <is>
          <t>HDD</t>
        </is>
      </c>
      <c r="K2397" t="inlineStr">
        <is>
          <t>Planejamento</t>
        </is>
      </c>
      <c r="L2397" t="inlineStr">
        <is>
          <t>PDS-Maio.docx</t>
        </is>
      </c>
      <c r="M2397">
        <f>IF($A2397="","",TEXT($A2397,"mmmm/yyyy"))</f>
        <v/>
      </c>
      <c r="P2397">
        <f>IFERROR(XLOOKUP($N2397,Base_Enderecos!$A:$A,Base_Enderecos!$B:$B,""),"")</f>
        <v/>
      </c>
      <c r="Q2397">
        <f>IFERROR(XLOOKUP($N2397,Base_Enderecos!$A:$A,Base_Enderecos!$C:$C,""),"")</f>
        <v/>
      </c>
      <c r="R2397">
        <f>IF(ISNUMBER(SEARCH("HDD",$F2397)),"HDD",IF(ISNUMBER(SEARCH("VCA",$F2397)),"VCA","MND"))</f>
        <v/>
      </c>
      <c r="T2397">
        <f>TEXT($A2397,"yyyy-mm")&amp;"|"&amp;$C2397&amp;"|"&amp;$I2397</f>
        <v/>
      </c>
    </row>
    <row r="2398">
      <c r="A2398" s="36" t="n">
        <v>46155</v>
      </c>
      <c r="B2398" t="inlineStr">
        <is>
          <t>Quarta</t>
        </is>
      </c>
      <c r="C2398" t="inlineStr">
        <is>
          <t>CT João Canzi</t>
        </is>
      </c>
      <c r="D2398" t="inlineStr">
        <is>
          <t>Caroline</t>
        </is>
      </c>
      <c r="E2398" t="inlineStr">
        <is>
          <t>Valter</t>
        </is>
      </c>
      <c r="F2398" t="inlineStr">
        <is>
          <t>Shaft PV 11</t>
        </is>
      </c>
      <c r="G2398" t="inlineStr">
        <is>
          <t>11</t>
        </is>
      </c>
      <c r="I2398" t="inlineStr">
        <is>
          <t>11</t>
        </is>
      </c>
      <c r="J2398" t="inlineStr">
        <is>
          <t>Shaft</t>
        </is>
      </c>
      <c r="K2398" t="inlineStr">
        <is>
          <t>Planejamento</t>
        </is>
      </c>
      <c r="L2398" t="inlineStr">
        <is>
          <t>PDS-Maio.docx</t>
        </is>
      </c>
      <c r="M2398">
        <f>IF($A2398="","",TEXT($A2398,"mmmm/yyyy"))</f>
        <v/>
      </c>
      <c r="P2398">
        <f>IFERROR(XLOOKUP($N2398,Base_Enderecos!$A:$A,Base_Enderecos!$B:$B,""),"")</f>
        <v/>
      </c>
      <c r="Q2398">
        <f>IFERROR(XLOOKUP($N2398,Base_Enderecos!$A:$A,Base_Enderecos!$C:$C,""),"")</f>
        <v/>
      </c>
      <c r="R2398">
        <f>IF(ISNUMBER(SEARCH("HDD",$F2398)),"HDD",IF(ISNUMBER(SEARCH("VCA",$F2398)),"VCA","MND"))</f>
        <v/>
      </c>
      <c r="T2398">
        <f>TEXT($A2398,"yyyy-mm")&amp;"|"&amp;$C2398&amp;"|"&amp;$I2398</f>
        <v/>
      </c>
    </row>
    <row r="2399">
      <c r="A2399" s="36" t="n">
        <v>46155</v>
      </c>
      <c r="B2399" t="inlineStr">
        <is>
          <t>Quarta</t>
        </is>
      </c>
      <c r="C2399" t="inlineStr">
        <is>
          <t>CT João Canzi</t>
        </is>
      </c>
      <c r="D2399" t="inlineStr">
        <is>
          <t>Caroline</t>
        </is>
      </c>
      <c r="E2399" t="inlineStr">
        <is>
          <t>Cesar</t>
        </is>
      </c>
      <c r="F2399" t="inlineStr">
        <is>
          <t>Shaft PV 17</t>
        </is>
      </c>
      <c r="G2399" t="inlineStr">
        <is>
          <t>17</t>
        </is>
      </c>
      <c r="I2399" t="inlineStr">
        <is>
          <t>17</t>
        </is>
      </c>
      <c r="J2399" t="inlineStr">
        <is>
          <t>Shaft</t>
        </is>
      </c>
      <c r="K2399" t="inlineStr">
        <is>
          <t>Planejamento</t>
        </is>
      </c>
      <c r="L2399" t="inlineStr">
        <is>
          <t>PDS-Maio.docx</t>
        </is>
      </c>
      <c r="M2399">
        <f>IF($A2399="","",TEXT($A2399,"mmmm/yyyy"))</f>
        <v/>
      </c>
      <c r="P2399">
        <f>IFERROR(XLOOKUP($N2399,Base_Enderecos!$A:$A,Base_Enderecos!$B:$B,""),"")</f>
        <v/>
      </c>
      <c r="Q2399">
        <f>IFERROR(XLOOKUP($N2399,Base_Enderecos!$A:$A,Base_Enderecos!$C:$C,""),"")</f>
        <v/>
      </c>
      <c r="R2399">
        <f>IF(ISNUMBER(SEARCH("HDD",$F2399)),"HDD",IF(ISNUMBER(SEARCH("VCA",$F2399)),"VCA","MND"))</f>
        <v/>
      </c>
      <c r="T2399">
        <f>TEXT($A2399,"yyyy-mm")&amp;"|"&amp;$C2399&amp;"|"&amp;$I2399</f>
        <v/>
      </c>
    </row>
    <row r="2400">
      <c r="A2400" s="36" t="n">
        <v>46155</v>
      </c>
      <c r="B2400" t="inlineStr">
        <is>
          <t>Quarta</t>
        </is>
      </c>
      <c r="C2400" t="inlineStr">
        <is>
          <t>RCE São Lucas</t>
        </is>
      </c>
      <c r="D2400" t="inlineStr">
        <is>
          <t>Fábio (rce Rua São João)</t>
        </is>
      </c>
      <c r="E2400" t="inlineStr">
        <is>
          <t>Ricardo (pv 76 Ao PV 77)</t>
        </is>
      </c>
      <c r="F2400" t="inlineStr">
        <is>
          <t>VCA, PVs e Ligações</t>
        </is>
      </c>
      <c r="J2400" t="inlineStr">
        <is>
          <t>VCA</t>
        </is>
      </c>
      <c r="K2400" t="inlineStr">
        <is>
          <t>Planejamento</t>
        </is>
      </c>
      <c r="L2400" t="inlineStr">
        <is>
          <t>PDS-Maio.docx</t>
        </is>
      </c>
      <c r="M2400">
        <f>IF($A2400="","",TEXT($A2400,"mmmm/yyyy"))</f>
        <v/>
      </c>
      <c r="P2400">
        <f>IFERROR(XLOOKUP($N2400,Base_Enderecos!$A:$A,Base_Enderecos!$B:$B,""),"")</f>
        <v/>
      </c>
      <c r="Q2400">
        <f>IFERROR(XLOOKUP($N2400,Base_Enderecos!$A:$A,Base_Enderecos!$C:$C,""),"")</f>
        <v/>
      </c>
      <c r="R2400">
        <f>IF(ISNUMBER(SEARCH("HDD",$F2400)),"HDD",IF(ISNUMBER(SEARCH("VCA",$F2400)),"VCA","MND"))</f>
        <v/>
      </c>
      <c r="T2400">
        <f>TEXT($A2400,"yyyy-mm")&amp;"|"&amp;$C2400&amp;"|"&amp;$I2400</f>
        <v/>
      </c>
    </row>
    <row r="2401">
      <c r="A2401" s="36" t="n">
        <v>46155</v>
      </c>
      <c r="B2401" t="inlineStr">
        <is>
          <t>Quarta</t>
        </is>
      </c>
      <c r="C2401" t="inlineStr">
        <is>
          <t>RCE São Lucas</t>
        </is>
      </c>
      <c r="D2401" t="inlineStr">
        <is>
          <t>Fábio (rce Rua São João)</t>
        </is>
      </c>
      <c r="E2401" t="inlineStr">
        <is>
          <t>Claudinei (pv 38 Ao PV 39)</t>
        </is>
      </c>
      <c r="F2401" t="inlineStr">
        <is>
          <t>VCA, PVs e Ligações</t>
        </is>
      </c>
      <c r="J2401" t="inlineStr">
        <is>
          <t>VCA</t>
        </is>
      </c>
      <c r="K2401" t="inlineStr">
        <is>
          <t>Planejamento</t>
        </is>
      </c>
      <c r="L2401" t="inlineStr">
        <is>
          <t>PDS-Maio.docx</t>
        </is>
      </c>
      <c r="M2401">
        <f>IF($A2401="","",TEXT($A2401,"mmmm/yyyy"))</f>
        <v/>
      </c>
      <c r="P2401">
        <f>IFERROR(XLOOKUP($N2401,Base_Enderecos!$A:$A,Base_Enderecos!$B:$B,""),"")</f>
        <v/>
      </c>
      <c r="Q2401">
        <f>IFERROR(XLOOKUP($N2401,Base_Enderecos!$A:$A,Base_Enderecos!$C:$C,""),"")</f>
        <v/>
      </c>
      <c r="R2401">
        <f>IF(ISNUMBER(SEARCH("HDD",$F2401)),"HDD",IF(ISNUMBER(SEARCH("VCA",$F2401)),"VCA","MND"))</f>
        <v/>
      </c>
      <c r="T2401">
        <f>TEXT($A2401,"yyyy-mm")&amp;"|"&amp;$C2401&amp;"|"&amp;$I2401</f>
        <v/>
      </c>
    </row>
    <row r="2402">
      <c r="A2402" s="36" t="n">
        <v>46155</v>
      </c>
      <c r="B2402" t="inlineStr">
        <is>
          <t>Quarta</t>
        </is>
      </c>
      <c r="C2402" t="inlineStr">
        <is>
          <t>RCE São Lucas</t>
        </is>
      </c>
      <c r="D2402" t="inlineStr">
        <is>
          <t>Fábio (rce Rua São João)</t>
        </is>
      </c>
      <c r="E2402" t="inlineStr">
        <is>
          <t>Antonio (pv 75 Ao PV 76)</t>
        </is>
      </c>
      <c r="F2402" t="inlineStr">
        <is>
          <t>VCA, PVs e Ligações</t>
        </is>
      </c>
      <c r="J2402" t="inlineStr">
        <is>
          <t>VCA</t>
        </is>
      </c>
      <c r="K2402" t="inlineStr">
        <is>
          <t>Planejamento</t>
        </is>
      </c>
      <c r="L2402" t="inlineStr">
        <is>
          <t>PDS-Maio.docx</t>
        </is>
      </c>
      <c r="M2402">
        <f>IF($A2402="","",TEXT($A2402,"mmmm/yyyy"))</f>
        <v/>
      </c>
      <c r="P2402">
        <f>IFERROR(XLOOKUP($N2402,Base_Enderecos!$A:$A,Base_Enderecos!$B:$B,""),"")</f>
        <v/>
      </c>
      <c r="Q2402">
        <f>IFERROR(XLOOKUP($N2402,Base_Enderecos!$A:$A,Base_Enderecos!$C:$C,""),"")</f>
        <v/>
      </c>
      <c r="R2402">
        <f>IF(ISNUMBER(SEARCH("HDD",$F2402)),"HDD",IF(ISNUMBER(SEARCH("VCA",$F2402)),"VCA","MND"))</f>
        <v/>
      </c>
      <c r="T2402">
        <f>TEXT($A2402,"yyyy-mm")&amp;"|"&amp;$C2402&amp;"|"&amp;$I2402</f>
        <v/>
      </c>
    </row>
    <row r="2403">
      <c r="A2403" s="36" t="n">
        <v>46155</v>
      </c>
      <c r="B2403" t="inlineStr">
        <is>
          <t>Quarta</t>
        </is>
      </c>
      <c r="C2403" t="inlineStr">
        <is>
          <t>RCE São Lucas</t>
        </is>
      </c>
      <c r="D2403" t="inlineStr">
        <is>
          <t>Fábio (rce Rua São João)</t>
        </is>
      </c>
      <c r="E2403" t="inlineStr">
        <is>
          <t>Emanuel Go-01</t>
        </is>
      </c>
      <c r="F2403" t="inlineStr">
        <is>
          <t>VCA, PVs e Ligações; (PI 26 ao PI 27)</t>
        </is>
      </c>
      <c r="G2403" t="inlineStr">
        <is>
          <t>26</t>
        </is>
      </c>
      <c r="H2403" t="inlineStr">
        <is>
          <t>27</t>
        </is>
      </c>
      <c r="I2403" t="inlineStr">
        <is>
          <t>26 ao 27</t>
        </is>
      </c>
      <c r="J2403" t="inlineStr">
        <is>
          <t>VCA</t>
        </is>
      </c>
      <c r="K2403" t="inlineStr">
        <is>
          <t>Planejamento</t>
        </is>
      </c>
      <c r="L2403" t="inlineStr">
        <is>
          <t>PDS-Maio.docx</t>
        </is>
      </c>
      <c r="M2403">
        <f>IF($A2403="","",TEXT($A2403,"mmmm/yyyy"))</f>
        <v/>
      </c>
      <c r="P2403">
        <f>IFERROR(XLOOKUP($N2403,Base_Enderecos!$A:$A,Base_Enderecos!$B:$B,""),"")</f>
        <v/>
      </c>
      <c r="Q2403">
        <f>IFERROR(XLOOKUP($N2403,Base_Enderecos!$A:$A,Base_Enderecos!$C:$C,""),"")</f>
        <v/>
      </c>
      <c r="R2403">
        <f>IF(ISNUMBER(SEARCH("HDD",$F2403)),"HDD",IF(ISNUMBER(SEARCH("VCA",$F2403)),"VCA","MND"))</f>
        <v/>
      </c>
      <c r="T2403">
        <f>TEXT($A2403,"yyyy-mm")&amp;"|"&amp;$C2403&amp;"|"&amp;$I2403</f>
        <v/>
      </c>
    </row>
    <row r="2404">
      <c r="A2404" s="36" t="n">
        <v>46155</v>
      </c>
      <c r="B2404" t="inlineStr">
        <is>
          <t>Quarta</t>
        </is>
      </c>
      <c r="C2404" t="inlineStr">
        <is>
          <t>RCE São Lucas</t>
        </is>
      </c>
      <c r="D2404" t="inlineStr">
        <is>
          <t>Fábio (rce Rua São João)</t>
        </is>
      </c>
      <c r="E2404" t="inlineStr">
        <is>
          <t>Miro Go-02</t>
        </is>
      </c>
      <c r="F2404" t="inlineStr">
        <is>
          <t>VCA, PVs e Ligações; (PI 26 ao PI 27)</t>
        </is>
      </c>
      <c r="G2404" t="inlineStr">
        <is>
          <t>26</t>
        </is>
      </c>
      <c r="H2404" t="inlineStr">
        <is>
          <t>27</t>
        </is>
      </c>
      <c r="I2404" t="inlineStr">
        <is>
          <t>26 ao 27</t>
        </is>
      </c>
      <c r="J2404" t="inlineStr">
        <is>
          <t>VCA</t>
        </is>
      </c>
      <c r="K2404" t="inlineStr">
        <is>
          <t>Planejamento</t>
        </is>
      </c>
      <c r="L2404" t="inlineStr">
        <is>
          <t>PDS-Maio.docx</t>
        </is>
      </c>
      <c r="M2404">
        <f>IF($A2404="","",TEXT($A2404,"mmmm/yyyy"))</f>
        <v/>
      </c>
      <c r="P2404">
        <f>IFERROR(XLOOKUP($N2404,Base_Enderecos!$A:$A,Base_Enderecos!$B:$B,""),"")</f>
        <v/>
      </c>
      <c r="Q2404">
        <f>IFERROR(XLOOKUP($N2404,Base_Enderecos!$A:$A,Base_Enderecos!$C:$C,""),"")</f>
        <v/>
      </c>
      <c r="R2404">
        <f>IF(ISNUMBER(SEARCH("HDD",$F2404)),"HDD",IF(ISNUMBER(SEARCH("VCA",$F2404)),"VCA","MND"))</f>
        <v/>
      </c>
      <c r="T2404">
        <f>TEXT($A2404,"yyyy-mm")&amp;"|"&amp;$C2404&amp;"|"&amp;$I2404</f>
        <v/>
      </c>
    </row>
    <row r="2405">
      <c r="A2405" s="36" t="n">
        <v>46155</v>
      </c>
      <c r="B2405" t="inlineStr">
        <is>
          <t>Quarta</t>
        </is>
      </c>
      <c r="C2405" t="inlineStr">
        <is>
          <t>CTS Lourdes Complementar</t>
        </is>
      </c>
      <c r="D2405" t="inlineStr">
        <is>
          <t>Robson</t>
        </is>
      </c>
      <c r="E2405" t="inlineStr">
        <is>
          <t>Gr Drill</t>
        </is>
      </c>
      <c r="F2405" t="inlineStr">
        <is>
          <t>Furo Piloto PV 02 ao PV 01</t>
        </is>
      </c>
      <c r="G2405" t="inlineStr">
        <is>
          <t>02</t>
        </is>
      </c>
      <c r="H2405" t="inlineStr">
        <is>
          <t>01</t>
        </is>
      </c>
      <c r="I2405" t="inlineStr">
        <is>
          <t>02 ao 01</t>
        </is>
      </c>
      <c r="J2405" t="inlineStr">
        <is>
          <t>HDD</t>
        </is>
      </c>
      <c r="K2405" t="inlineStr">
        <is>
          <t>Planejamento</t>
        </is>
      </c>
      <c r="L2405" t="inlineStr">
        <is>
          <t>PDS-Maio.docx</t>
        </is>
      </c>
      <c r="M2405">
        <f>IF($A2405="","",TEXT($A2405,"mmmm/yyyy"))</f>
        <v/>
      </c>
      <c r="P2405">
        <f>IFERROR(XLOOKUP($N2405,Base_Enderecos!$A:$A,Base_Enderecos!$B:$B,""),"")</f>
        <v/>
      </c>
      <c r="Q2405">
        <f>IFERROR(XLOOKUP($N2405,Base_Enderecos!$A:$A,Base_Enderecos!$C:$C,""),"")</f>
        <v/>
      </c>
      <c r="R2405">
        <f>IF(ISNUMBER(SEARCH("HDD",$F2405)),"HDD",IF(ISNUMBER(SEARCH("VCA",$F2405)),"VCA","MND"))</f>
        <v/>
      </c>
      <c r="T2405">
        <f>TEXT($A2405,"yyyy-mm")&amp;"|"&amp;$C2405&amp;"|"&amp;$I2405</f>
        <v/>
      </c>
    </row>
    <row r="2406">
      <c r="A2406" s="36" t="n">
        <v>46155</v>
      </c>
      <c r="B2406" t="inlineStr">
        <is>
          <t>Quarta</t>
        </is>
      </c>
      <c r="C2406" t="inlineStr">
        <is>
          <t>CTS Lourdes Complementar</t>
        </is>
      </c>
      <c r="D2406" t="inlineStr">
        <is>
          <t>Robson</t>
        </is>
      </c>
      <c r="E2406" t="inlineStr">
        <is>
          <t>Higor</t>
        </is>
      </c>
      <c r="F2406" t="inlineStr">
        <is>
          <t>Shaft PV 01</t>
        </is>
      </c>
      <c r="G2406" t="inlineStr">
        <is>
          <t>01</t>
        </is>
      </c>
      <c r="I2406" t="inlineStr">
        <is>
          <t>01</t>
        </is>
      </c>
      <c r="J2406" t="inlineStr">
        <is>
          <t>Shaft</t>
        </is>
      </c>
      <c r="K2406" t="inlineStr">
        <is>
          <t>Planejamento</t>
        </is>
      </c>
      <c r="L2406" t="inlineStr">
        <is>
          <t>PDS-Maio.docx</t>
        </is>
      </c>
      <c r="M2406">
        <f>IF($A2406="","",TEXT($A2406,"mmmm/yyyy"))</f>
        <v/>
      </c>
      <c r="P2406">
        <f>IFERROR(XLOOKUP($N2406,Base_Enderecos!$A:$A,Base_Enderecos!$B:$B,""),"")</f>
        <v/>
      </c>
      <c r="Q2406">
        <f>IFERROR(XLOOKUP($N2406,Base_Enderecos!$A:$A,Base_Enderecos!$C:$C,""),"")</f>
        <v/>
      </c>
      <c r="R2406">
        <f>IF(ISNUMBER(SEARCH("HDD",$F2406)),"HDD",IF(ISNUMBER(SEARCH("VCA",$F2406)),"VCA","MND"))</f>
        <v/>
      </c>
      <c r="T2406">
        <f>TEXT($A2406,"yyyy-mm")&amp;"|"&amp;$C2406&amp;"|"&amp;$I2406</f>
        <v/>
      </c>
    </row>
    <row r="2407">
      <c r="A2407" s="36" t="n">
        <v>46155</v>
      </c>
      <c r="B2407" t="inlineStr">
        <is>
          <t>Quarta</t>
        </is>
      </c>
      <c r="C2407" t="inlineStr">
        <is>
          <t>CTS Lourdes Complementar</t>
        </is>
      </c>
      <c r="D2407" t="inlineStr">
        <is>
          <t>Robson</t>
        </is>
      </c>
      <c r="E2407" t="inlineStr">
        <is>
          <t>Cidão</t>
        </is>
      </c>
      <c r="F2407" t="inlineStr">
        <is>
          <t>Shaft PV 02</t>
        </is>
      </c>
      <c r="G2407" t="inlineStr">
        <is>
          <t>02</t>
        </is>
      </c>
      <c r="I2407" t="inlineStr">
        <is>
          <t>02</t>
        </is>
      </c>
      <c r="J2407" t="inlineStr">
        <is>
          <t>Shaft</t>
        </is>
      </c>
      <c r="K2407" t="inlineStr">
        <is>
          <t>Planejamento</t>
        </is>
      </c>
      <c r="L2407" t="inlineStr">
        <is>
          <t>PDS-Maio.docx</t>
        </is>
      </c>
      <c r="M2407">
        <f>IF($A2407="","",TEXT($A2407,"mmmm/yyyy"))</f>
        <v/>
      </c>
      <c r="P2407">
        <f>IFERROR(XLOOKUP($N2407,Base_Enderecos!$A:$A,Base_Enderecos!$B:$B,""),"")</f>
        <v/>
      </c>
      <c r="Q2407">
        <f>IFERROR(XLOOKUP($N2407,Base_Enderecos!$A:$A,Base_Enderecos!$C:$C,""),"")</f>
        <v/>
      </c>
      <c r="R2407">
        <f>IF(ISNUMBER(SEARCH("HDD",$F2407)),"HDD",IF(ISNUMBER(SEARCH("VCA",$F2407)),"VCA","MND"))</f>
        <v/>
      </c>
      <c r="T2407">
        <f>TEXT($A2407,"yyyy-mm")&amp;"|"&amp;$C2407&amp;"|"&amp;$I2407</f>
        <v/>
      </c>
    </row>
    <row r="2408">
      <c r="A2408" s="36" t="n">
        <v>46155</v>
      </c>
      <c r="B2408" t="inlineStr">
        <is>
          <t>Quarta</t>
        </is>
      </c>
      <c r="C2408" t="inlineStr">
        <is>
          <t>CTS Lourdes Complementar</t>
        </is>
      </c>
      <c r="D2408" t="inlineStr">
        <is>
          <t>Robson</t>
        </is>
      </c>
      <c r="E2408" t="inlineStr">
        <is>
          <t>Marcelo</t>
        </is>
      </c>
      <c r="F2408" t="inlineStr">
        <is>
          <t>Shaft PV 17</t>
        </is>
      </c>
      <c r="G2408" t="inlineStr">
        <is>
          <t>17</t>
        </is>
      </c>
      <c r="I2408" t="inlineStr">
        <is>
          <t>17</t>
        </is>
      </c>
      <c r="J2408" t="inlineStr">
        <is>
          <t>Shaft</t>
        </is>
      </c>
      <c r="K2408" t="inlineStr">
        <is>
          <t>Planejamento</t>
        </is>
      </c>
      <c r="L2408" t="inlineStr">
        <is>
          <t>PDS-Maio.docx</t>
        </is>
      </c>
      <c r="M2408">
        <f>IF($A2408="","",TEXT($A2408,"mmmm/yyyy"))</f>
        <v/>
      </c>
      <c r="P2408">
        <f>IFERROR(XLOOKUP($N2408,Base_Enderecos!$A:$A,Base_Enderecos!$B:$B,""),"")</f>
        <v/>
      </c>
      <c r="Q2408">
        <f>IFERROR(XLOOKUP($N2408,Base_Enderecos!$A:$A,Base_Enderecos!$C:$C,""),"")</f>
        <v/>
      </c>
      <c r="R2408">
        <f>IF(ISNUMBER(SEARCH("HDD",$F2408)),"HDD",IF(ISNUMBER(SEARCH("VCA",$F2408)),"VCA","MND"))</f>
        <v/>
      </c>
      <c r="T2408">
        <f>TEXT($A2408,"yyyy-mm")&amp;"|"&amp;$C2408&amp;"|"&amp;$I2408</f>
        <v/>
      </c>
    </row>
    <row r="2409">
      <c r="A2409" s="36" t="n">
        <v>46155</v>
      </c>
      <c r="B2409" t="inlineStr">
        <is>
          <t>Quarta</t>
        </is>
      </c>
      <c r="C2409" t="inlineStr">
        <is>
          <t>CTS Barão Luiz De Arariba</t>
        </is>
      </c>
      <c r="D2409" t="inlineStr">
        <is>
          <t>Silvestre</t>
        </is>
      </c>
      <c r="E2409" t="inlineStr">
        <is>
          <t>Jhonatan</t>
        </is>
      </c>
      <c r="F2409" t="inlineStr">
        <is>
          <t>Transformação PV 10</t>
        </is>
      </c>
      <c r="G2409" t="inlineStr">
        <is>
          <t>10</t>
        </is>
      </c>
      <c r="I2409" t="inlineStr">
        <is>
          <t>10</t>
        </is>
      </c>
      <c r="J2409" t="inlineStr">
        <is>
          <t>Transformação</t>
        </is>
      </c>
      <c r="K2409" t="inlineStr">
        <is>
          <t>Planejamento</t>
        </is>
      </c>
      <c r="L2409" t="inlineStr">
        <is>
          <t>PDS-Maio.docx</t>
        </is>
      </c>
      <c r="M2409">
        <f>IF($A2409="","",TEXT($A2409,"mmmm/yyyy"))</f>
        <v/>
      </c>
      <c r="P2409">
        <f>IFERROR(XLOOKUP($N2409,Base_Enderecos!$A:$A,Base_Enderecos!$B:$B,""),"")</f>
        <v/>
      </c>
      <c r="Q2409">
        <f>IFERROR(XLOOKUP($N2409,Base_Enderecos!$A:$A,Base_Enderecos!$C:$C,""),"")</f>
        <v/>
      </c>
      <c r="R2409">
        <f>IF(ISNUMBER(SEARCH("HDD",$F2409)),"HDD",IF(ISNUMBER(SEARCH("VCA",$F2409)),"VCA","MND"))</f>
        <v/>
      </c>
      <c r="T2409">
        <f>TEXT($A2409,"yyyy-mm")&amp;"|"&amp;$C2409&amp;"|"&amp;$I2409</f>
        <v/>
      </c>
    </row>
    <row r="2410">
      <c r="A2410" s="36" t="n">
        <v>46155</v>
      </c>
      <c r="B2410" t="inlineStr">
        <is>
          <t>Quarta</t>
        </is>
      </c>
      <c r="C2410" t="inlineStr">
        <is>
          <t>CTS Luis Botelho Mourão</t>
        </is>
      </c>
      <c r="D2410" t="inlineStr">
        <is>
          <t>Robson</t>
        </is>
      </c>
      <c r="E2410" t="inlineStr">
        <is>
          <t>Marcio</t>
        </is>
      </c>
      <c r="F2410" t="inlineStr">
        <is>
          <t>Reparo de calçadas e sarjetas</t>
        </is>
      </c>
      <c r="J2410" t="inlineStr">
        <is>
          <t>Atividade</t>
        </is>
      </c>
      <c r="K2410" t="inlineStr">
        <is>
          <t>Planejamento</t>
        </is>
      </c>
      <c r="L2410" t="inlineStr">
        <is>
          <t>PDS-Maio.docx</t>
        </is>
      </c>
      <c r="M2410">
        <f>IF($A2410="","",TEXT($A2410,"mmmm/yyyy"))</f>
        <v/>
      </c>
      <c r="P2410">
        <f>IFERROR(XLOOKUP($N2410,Base_Enderecos!$A:$A,Base_Enderecos!$B:$B,""),"")</f>
        <v/>
      </c>
      <c r="Q2410">
        <f>IFERROR(XLOOKUP($N2410,Base_Enderecos!$A:$A,Base_Enderecos!$C:$C,""),"")</f>
        <v/>
      </c>
      <c r="R2410">
        <f>IF(ISNUMBER(SEARCH("HDD",$F2410)),"HDD",IF(ISNUMBER(SEARCH("VCA",$F2410)),"VCA","MND"))</f>
        <v/>
      </c>
      <c r="T2410">
        <f>TEXT($A2410,"yyyy-mm")&amp;"|"&amp;$C2410&amp;"|"&amp;$I2410</f>
        <v/>
      </c>
    </row>
    <row r="2411">
      <c r="A2411" s="36" t="n">
        <v>46155</v>
      </c>
      <c r="B2411" t="inlineStr">
        <is>
          <t>Quarta</t>
        </is>
      </c>
      <c r="C2411" t="inlineStr">
        <is>
          <t>João Canzi</t>
        </is>
      </c>
      <c r="E2411" t="inlineStr">
        <is>
          <t>Vacal</t>
        </is>
      </c>
      <c r="F2411" t="inlineStr">
        <is>
          <t>João Canzi – Renasce</t>
        </is>
      </c>
      <c r="J2411" t="inlineStr">
        <is>
          <t>Atividade</t>
        </is>
      </c>
      <c r="K2411" t="inlineStr">
        <is>
          <t>Apoio</t>
        </is>
      </c>
      <c r="L2411" t="inlineStr">
        <is>
          <t>PDS-Maio.docx</t>
        </is>
      </c>
      <c r="M2411">
        <f>IF($A2411="","",TEXT($A2411,"mmmm/yyyy"))</f>
        <v/>
      </c>
      <c r="P2411">
        <f>IFERROR(XLOOKUP($N2411,Base_Enderecos!$A:$A,Base_Enderecos!$B:$B,""),"")</f>
        <v/>
      </c>
      <c r="Q2411">
        <f>IFERROR(XLOOKUP($N2411,Base_Enderecos!$A:$A,Base_Enderecos!$C:$C,""),"")</f>
        <v/>
      </c>
      <c r="R2411">
        <f>IF(ISNUMBER(SEARCH("HDD",$F2411)),"HDD",IF(ISNUMBER(SEARCH("VCA",$F2411)),"VCA","MND"))</f>
        <v/>
      </c>
      <c r="T2411">
        <f>TEXT($A2411,"yyyy-mm")&amp;"|"&amp;$C2411&amp;"|"&amp;$I2411</f>
        <v/>
      </c>
    </row>
    <row r="2412">
      <c r="A2412" s="36" t="n">
        <v>46155</v>
      </c>
      <c r="B2412" t="inlineStr">
        <is>
          <t>Quarta</t>
        </is>
      </c>
      <c r="C2412" t="inlineStr">
        <is>
          <t>João Canzi</t>
        </is>
      </c>
      <c r="E2412" t="inlineStr">
        <is>
          <t>Vacal</t>
        </is>
      </c>
      <c r="F2412" t="inlineStr">
        <is>
          <t>João Canzi – Henko</t>
        </is>
      </c>
      <c r="J2412" t="inlineStr">
        <is>
          <t>Atividade</t>
        </is>
      </c>
      <c r="K2412" t="inlineStr">
        <is>
          <t>Apoio</t>
        </is>
      </c>
      <c r="L2412" t="inlineStr">
        <is>
          <t>PDS-Maio.docx</t>
        </is>
      </c>
      <c r="M2412">
        <f>IF($A2412="","",TEXT($A2412,"mmmm/yyyy"))</f>
        <v/>
      </c>
      <c r="P2412">
        <f>IFERROR(XLOOKUP($N2412,Base_Enderecos!$A:$A,Base_Enderecos!$B:$B,""),"")</f>
        <v/>
      </c>
      <c r="Q2412">
        <f>IFERROR(XLOOKUP($N2412,Base_Enderecos!$A:$A,Base_Enderecos!$C:$C,""),"")</f>
        <v/>
      </c>
      <c r="R2412">
        <f>IF(ISNUMBER(SEARCH("HDD",$F2412)),"HDD",IF(ISNUMBER(SEARCH("VCA",$F2412)),"VCA","MND"))</f>
        <v/>
      </c>
      <c r="T2412">
        <f>TEXT($A2412,"yyyy-mm")&amp;"|"&amp;$C2412&amp;"|"&amp;$I2412</f>
        <v/>
      </c>
    </row>
    <row r="2413">
      <c r="A2413" s="36" t="n">
        <v>46155</v>
      </c>
      <c r="B2413" t="inlineStr">
        <is>
          <t>Quarta</t>
        </is>
      </c>
      <c r="C2413" t="inlineStr">
        <is>
          <t>São Lucas</t>
        </is>
      </c>
      <c r="E2413" t="inlineStr">
        <is>
          <t>Vacal</t>
        </is>
      </c>
      <c r="F2413" t="inlineStr">
        <is>
          <t>São Lucas- Hidrosol</t>
        </is>
      </c>
      <c r="J2413" t="inlineStr">
        <is>
          <t>Atividade</t>
        </is>
      </c>
      <c r="K2413" t="inlineStr">
        <is>
          <t>Apoio</t>
        </is>
      </c>
      <c r="L2413" t="inlineStr">
        <is>
          <t>PDS-Maio.docx</t>
        </is>
      </c>
      <c r="M2413">
        <f>IF($A2413="","",TEXT($A2413,"mmmm/yyyy"))</f>
        <v/>
      </c>
      <c r="P2413">
        <f>IFERROR(XLOOKUP($N2413,Base_Enderecos!$A:$A,Base_Enderecos!$B:$B,""),"")</f>
        <v/>
      </c>
      <c r="Q2413">
        <f>IFERROR(XLOOKUP($N2413,Base_Enderecos!$A:$A,Base_Enderecos!$C:$C,""),"")</f>
        <v/>
      </c>
      <c r="R2413">
        <f>IF(ISNUMBER(SEARCH("HDD",$F2413)),"HDD",IF(ISNUMBER(SEARCH("VCA",$F2413)),"VCA","MND"))</f>
        <v/>
      </c>
      <c r="T2413">
        <f>TEXT($A2413,"yyyy-mm")&amp;"|"&amp;$C2413&amp;"|"&amp;$I2413</f>
        <v/>
      </c>
    </row>
    <row r="2414">
      <c r="A2414" s="36" t="n">
        <v>46155</v>
      </c>
      <c r="B2414" t="inlineStr">
        <is>
          <t>Quarta</t>
        </is>
      </c>
      <c r="C2414" t="inlineStr">
        <is>
          <t>Barão De Arariba</t>
        </is>
      </c>
      <c r="E2414" t="inlineStr">
        <is>
          <t>Vacal</t>
        </is>
      </c>
      <c r="F2414" t="inlineStr">
        <is>
          <t>Barão de Arariba – Henko</t>
        </is>
      </c>
      <c r="J2414" t="inlineStr">
        <is>
          <t>Atividade</t>
        </is>
      </c>
      <c r="K2414" t="inlineStr">
        <is>
          <t>Apoio</t>
        </is>
      </c>
      <c r="L2414" t="inlineStr">
        <is>
          <t>PDS-Maio.docx</t>
        </is>
      </c>
      <c r="M2414">
        <f>IF($A2414="","",TEXT($A2414,"mmmm/yyyy"))</f>
        <v/>
      </c>
      <c r="P2414">
        <f>IFERROR(XLOOKUP($N2414,Base_Enderecos!$A:$A,Base_Enderecos!$B:$B,""),"")</f>
        <v/>
      </c>
      <c r="Q2414">
        <f>IFERROR(XLOOKUP($N2414,Base_Enderecos!$A:$A,Base_Enderecos!$C:$C,""),"")</f>
        <v/>
      </c>
      <c r="R2414">
        <f>IF(ISNUMBER(SEARCH("HDD",$F2414)),"HDD",IF(ISNUMBER(SEARCH("VCA",$F2414)),"VCA","MND"))</f>
        <v/>
      </c>
      <c r="T2414">
        <f>TEXT($A2414,"yyyy-mm")&amp;"|"&amp;$C2414&amp;"|"&amp;$I2414</f>
        <v/>
      </c>
    </row>
    <row r="2415">
      <c r="A2415" s="36" t="n">
        <v>46155</v>
      </c>
      <c r="B2415" t="inlineStr">
        <is>
          <t>Quarta</t>
        </is>
      </c>
      <c r="C2415" t="inlineStr">
        <is>
          <t>Guindauto</t>
        </is>
      </c>
      <c r="E2415" t="inlineStr">
        <is>
          <t>Guindauto</t>
        </is>
      </c>
      <c r="F2415" t="inlineStr">
        <is>
          <t>Marcio - Apoio as equipes</t>
        </is>
      </c>
      <c r="J2415" t="inlineStr">
        <is>
          <t>Atividade</t>
        </is>
      </c>
      <c r="K2415" t="inlineStr">
        <is>
          <t>Apoio</t>
        </is>
      </c>
      <c r="L2415" t="inlineStr">
        <is>
          <t>PDS-Maio.docx</t>
        </is>
      </c>
      <c r="M2415">
        <f>IF($A2415="","",TEXT($A2415,"mmmm/yyyy"))</f>
        <v/>
      </c>
      <c r="P2415">
        <f>IFERROR(XLOOKUP($N2415,Base_Enderecos!$A:$A,Base_Enderecos!$B:$B,""),"")</f>
        <v/>
      </c>
      <c r="Q2415">
        <f>IFERROR(XLOOKUP($N2415,Base_Enderecos!$A:$A,Base_Enderecos!$C:$C,""),"")</f>
        <v/>
      </c>
      <c r="R2415">
        <f>IF(ISNUMBER(SEARCH("HDD",$F2415)),"HDD",IF(ISNUMBER(SEARCH("VCA",$F2415)),"VCA","MND"))</f>
        <v/>
      </c>
      <c r="T2415">
        <f>TEXT($A2415,"yyyy-mm")&amp;"|"&amp;$C2415&amp;"|"&amp;$I2415</f>
        <v/>
      </c>
    </row>
    <row r="2416">
      <c r="A2416" s="36" t="n">
        <v>46155</v>
      </c>
      <c r="B2416" t="inlineStr">
        <is>
          <t>Quarta</t>
        </is>
      </c>
      <c r="C2416" t="inlineStr">
        <is>
          <t>Guindauto</t>
        </is>
      </c>
      <c r="E2416" t="inlineStr">
        <is>
          <t>Guindauto</t>
        </is>
      </c>
      <c r="F2416" t="inlineStr">
        <is>
          <t>Luiz Carlos - Apoio as equipes</t>
        </is>
      </c>
      <c r="J2416" t="inlineStr">
        <is>
          <t>Atividade</t>
        </is>
      </c>
      <c r="K2416" t="inlineStr">
        <is>
          <t>Apoio</t>
        </is>
      </c>
      <c r="L2416" t="inlineStr">
        <is>
          <t>PDS-Maio.docx</t>
        </is>
      </c>
      <c r="M2416">
        <f>IF($A2416="","",TEXT($A2416,"mmmm/yyyy"))</f>
        <v/>
      </c>
      <c r="P2416">
        <f>IFERROR(XLOOKUP($N2416,Base_Enderecos!$A:$A,Base_Enderecos!$B:$B,""),"")</f>
        <v/>
      </c>
      <c r="Q2416">
        <f>IFERROR(XLOOKUP($N2416,Base_Enderecos!$A:$A,Base_Enderecos!$C:$C,""),"")</f>
        <v/>
      </c>
      <c r="R2416">
        <f>IF(ISNUMBER(SEARCH("HDD",$F2416)),"HDD",IF(ISNUMBER(SEARCH("VCA",$F2416)),"VCA","MND"))</f>
        <v/>
      </c>
      <c r="T2416">
        <f>TEXT($A2416,"yyyy-mm")&amp;"|"&amp;$C2416&amp;"|"&amp;$I2416</f>
        <v/>
      </c>
    </row>
    <row r="2417">
      <c r="A2417" s="36" t="n">
        <v>46156</v>
      </c>
      <c r="B2417" t="inlineStr">
        <is>
          <t>Quinta</t>
        </is>
      </c>
      <c r="C2417" t="inlineStr">
        <is>
          <t>CT João Canzi</t>
        </is>
      </c>
      <c r="D2417" t="inlineStr">
        <is>
          <t>Valmir</t>
        </is>
      </c>
      <c r="E2417" t="inlineStr">
        <is>
          <t>Goiânia Drill</t>
        </is>
      </c>
      <c r="F2417" t="inlineStr">
        <is>
          <t>Furo piloto e puxe do PV-08 ao PV-02 (Elvira)</t>
        </is>
      </c>
      <c r="G2417" t="inlineStr">
        <is>
          <t>08</t>
        </is>
      </c>
      <c r="H2417" t="inlineStr">
        <is>
          <t>02</t>
        </is>
      </c>
      <c r="I2417" t="inlineStr">
        <is>
          <t>08 ao 02</t>
        </is>
      </c>
      <c r="J2417" t="inlineStr">
        <is>
          <t>HDD</t>
        </is>
      </c>
      <c r="K2417" t="inlineStr">
        <is>
          <t>HDD</t>
        </is>
      </c>
      <c r="L2417" t="inlineStr">
        <is>
          <t>PDS texto chat 2026-05-14</t>
        </is>
      </c>
      <c r="M2417" t="inlineStr">
        <is>
          <t>2026-05</t>
        </is>
      </c>
    </row>
    <row r="2418">
      <c r="A2418" s="36" t="n">
        <v>46156</v>
      </c>
      <c r="B2418" t="inlineStr">
        <is>
          <t>Quinta</t>
        </is>
      </c>
      <c r="C2418" t="inlineStr">
        <is>
          <t>CT João Canzi</t>
        </is>
      </c>
      <c r="D2418" t="inlineStr">
        <is>
          <t>Valmir</t>
        </is>
      </c>
      <c r="E2418" t="inlineStr">
        <is>
          <t>Bruno</t>
        </is>
      </c>
      <c r="F2418" t="inlineStr">
        <is>
          <t>Apoio ao HDD</t>
        </is>
      </c>
      <c r="J2418" t="inlineStr">
        <is>
          <t>HDD</t>
        </is>
      </c>
      <c r="K2418" t="inlineStr">
        <is>
          <t>HDD</t>
        </is>
      </c>
      <c r="L2418" t="inlineStr">
        <is>
          <t>PDS texto chat 2026-05-14</t>
        </is>
      </c>
      <c r="M2418" t="inlineStr">
        <is>
          <t>2026-05</t>
        </is>
      </c>
    </row>
    <row r="2419">
      <c r="A2419" s="36" t="n">
        <v>46156</v>
      </c>
      <c r="B2419" t="inlineStr">
        <is>
          <t>Quinta</t>
        </is>
      </c>
      <c r="C2419" t="inlineStr">
        <is>
          <t>CT João Canzi</t>
        </is>
      </c>
      <c r="D2419" t="inlineStr">
        <is>
          <t>Valmir</t>
        </is>
      </c>
      <c r="E2419" t="inlineStr">
        <is>
          <t>Valter</t>
        </is>
      </c>
      <c r="F2419" t="inlineStr">
        <is>
          <t>Shaft PV 11</t>
        </is>
      </c>
      <c r="G2419" t="inlineStr">
        <is>
          <t>11</t>
        </is>
      </c>
      <c r="I2419" t="inlineStr">
        <is>
          <t>11</t>
        </is>
      </c>
      <c r="J2419" t="inlineStr">
        <is>
          <t>Shaft</t>
        </is>
      </c>
      <c r="K2419" t="inlineStr">
        <is>
          <t>Shaft</t>
        </is>
      </c>
      <c r="L2419" t="inlineStr">
        <is>
          <t>PDS texto chat 2026-05-14</t>
        </is>
      </c>
      <c r="M2419" t="inlineStr">
        <is>
          <t>2026-05</t>
        </is>
      </c>
    </row>
    <row r="2420">
      <c r="A2420" s="36" t="n">
        <v>46156</v>
      </c>
      <c r="B2420" t="inlineStr">
        <is>
          <t>Quinta</t>
        </is>
      </c>
      <c r="C2420" t="inlineStr">
        <is>
          <t>CT João Canzi</t>
        </is>
      </c>
      <c r="D2420" t="inlineStr">
        <is>
          <t>Valmir</t>
        </is>
      </c>
      <c r="E2420" t="inlineStr">
        <is>
          <t>Edvando</t>
        </is>
      </c>
      <c r="F2420" t="inlineStr">
        <is>
          <t>Shaft PV 09</t>
        </is>
      </c>
      <c r="G2420" t="inlineStr">
        <is>
          <t>09</t>
        </is>
      </c>
      <c r="I2420" t="inlineStr">
        <is>
          <t>09</t>
        </is>
      </c>
      <c r="J2420" t="inlineStr">
        <is>
          <t>Shaft</t>
        </is>
      </c>
      <c r="K2420" t="inlineStr">
        <is>
          <t>Shaft</t>
        </is>
      </c>
      <c r="L2420" t="inlineStr">
        <is>
          <t>PDS texto chat 2026-05-14</t>
        </is>
      </c>
      <c r="M2420" t="inlineStr">
        <is>
          <t>2026-05</t>
        </is>
      </c>
    </row>
    <row r="2421">
      <c r="A2421" s="36" t="n">
        <v>46156</v>
      </c>
      <c r="B2421" t="inlineStr">
        <is>
          <t>Quinta</t>
        </is>
      </c>
      <c r="C2421" t="inlineStr">
        <is>
          <t>CT João Canzi</t>
        </is>
      </c>
      <c r="D2421" t="inlineStr">
        <is>
          <t>Valmir</t>
        </is>
      </c>
      <c r="E2421" t="inlineStr">
        <is>
          <t>Cesar</t>
        </is>
      </c>
      <c r="F2421" t="inlineStr">
        <is>
          <t>Shaft PV 18</t>
        </is>
      </c>
      <c r="G2421" t="inlineStr">
        <is>
          <t>18</t>
        </is>
      </c>
      <c r="I2421" t="inlineStr">
        <is>
          <t>18</t>
        </is>
      </c>
      <c r="J2421" t="inlineStr">
        <is>
          <t>Shaft</t>
        </is>
      </c>
      <c r="K2421" t="inlineStr">
        <is>
          <t>Shaft</t>
        </is>
      </c>
      <c r="L2421" t="inlineStr">
        <is>
          <t>PDS texto chat 2026-05-14</t>
        </is>
      </c>
      <c r="M2421" t="inlineStr">
        <is>
          <t>2026-05</t>
        </is>
      </c>
    </row>
    <row r="2422">
      <c r="A2422" s="36" t="n">
        <v>46156</v>
      </c>
      <c r="B2422" t="inlineStr">
        <is>
          <t>Quinta</t>
        </is>
      </c>
      <c r="C2422" t="inlineStr">
        <is>
          <t>RCE São Lucas</t>
        </is>
      </c>
      <c r="D2422" t="inlineStr">
        <is>
          <t>Fábio</t>
        </is>
      </c>
      <c r="E2422" t="inlineStr">
        <is>
          <t>Ricardo</t>
        </is>
      </c>
      <c r="F2422" t="inlineStr">
        <is>
          <t>VCA, PVs e Ligações</t>
        </is>
      </c>
      <c r="G2422" t="inlineStr">
        <is>
          <t>77</t>
        </is>
      </c>
      <c r="H2422" t="inlineStr">
        <is>
          <t>78</t>
        </is>
      </c>
      <c r="I2422" t="inlineStr">
        <is>
          <t>77 ao 78</t>
        </is>
      </c>
      <c r="J2422" t="inlineStr">
        <is>
          <t>VCA</t>
        </is>
      </c>
      <c r="K2422" t="inlineStr">
        <is>
          <t>VCA</t>
        </is>
      </c>
      <c r="L2422" t="inlineStr">
        <is>
          <t>PDS texto chat 2026-05-14</t>
        </is>
      </c>
      <c r="M2422" t="inlineStr">
        <is>
          <t>2026-05</t>
        </is>
      </c>
    </row>
    <row r="2423">
      <c r="A2423" s="36" t="n">
        <v>46156</v>
      </c>
      <c r="B2423" t="inlineStr">
        <is>
          <t>Quinta</t>
        </is>
      </c>
      <c r="C2423" t="inlineStr">
        <is>
          <t>RCE São Lucas</t>
        </is>
      </c>
      <c r="D2423" t="inlineStr">
        <is>
          <t>Fábio</t>
        </is>
      </c>
      <c r="E2423" t="inlineStr">
        <is>
          <t>Claudinei</t>
        </is>
      </c>
      <c r="F2423" t="inlineStr">
        <is>
          <t>VCA, PVs e Ligações (RCE Rua São João)</t>
        </is>
      </c>
      <c r="G2423" t="inlineStr">
        <is>
          <t>38</t>
        </is>
      </c>
      <c r="H2423" t="inlineStr">
        <is>
          <t>39</t>
        </is>
      </c>
      <c r="I2423" t="inlineStr">
        <is>
          <t>38 ao 39</t>
        </is>
      </c>
      <c r="J2423" t="inlineStr">
        <is>
          <t>VCA</t>
        </is>
      </c>
      <c r="K2423" t="inlineStr">
        <is>
          <t>VCA</t>
        </is>
      </c>
      <c r="L2423" t="inlineStr">
        <is>
          <t>PDS texto chat 2026-05-14</t>
        </is>
      </c>
      <c r="M2423" t="inlineStr">
        <is>
          <t>2026-05</t>
        </is>
      </c>
    </row>
    <row r="2424">
      <c r="A2424" s="36" t="n">
        <v>46156</v>
      </c>
      <c r="B2424" t="inlineStr">
        <is>
          <t>Quinta</t>
        </is>
      </c>
      <c r="C2424" t="inlineStr">
        <is>
          <t>RCE São Lucas</t>
        </is>
      </c>
      <c r="D2424" t="inlineStr">
        <is>
          <t>Fábio</t>
        </is>
      </c>
      <c r="E2424" t="inlineStr">
        <is>
          <t>Antonio</t>
        </is>
      </c>
      <c r="F2424" t="inlineStr">
        <is>
          <t>VCA, PVs e Ligações</t>
        </is>
      </c>
      <c r="G2424" t="inlineStr">
        <is>
          <t>75</t>
        </is>
      </c>
      <c r="H2424" t="inlineStr">
        <is>
          <t>04</t>
        </is>
      </c>
      <c r="I2424" t="inlineStr">
        <is>
          <t>75 ao 04</t>
        </is>
      </c>
      <c r="J2424" t="inlineStr">
        <is>
          <t>VCA</t>
        </is>
      </c>
      <c r="K2424" t="inlineStr">
        <is>
          <t>VCA</t>
        </is>
      </c>
      <c r="L2424" t="inlineStr">
        <is>
          <t>PDS texto chat 2026-05-14</t>
        </is>
      </c>
      <c r="M2424" t="inlineStr">
        <is>
          <t>2026-05</t>
        </is>
      </c>
    </row>
    <row r="2425">
      <c r="A2425" s="36" t="n">
        <v>46156</v>
      </c>
      <c r="B2425" t="inlineStr">
        <is>
          <t>Quinta</t>
        </is>
      </c>
      <c r="C2425" t="inlineStr">
        <is>
          <t>RCE São Lucas</t>
        </is>
      </c>
      <c r="D2425" t="inlineStr">
        <is>
          <t>Fábio</t>
        </is>
      </c>
      <c r="E2425" t="inlineStr">
        <is>
          <t>Emanuel GO-01</t>
        </is>
      </c>
      <c r="F2425" t="inlineStr">
        <is>
          <t>VCA, PVs e Ligações (PI 29 ao PI 30)</t>
        </is>
      </c>
      <c r="G2425" t="inlineStr">
        <is>
          <t>29</t>
        </is>
      </c>
      <c r="H2425" t="inlineStr">
        <is>
          <t>30</t>
        </is>
      </c>
      <c r="I2425" t="inlineStr">
        <is>
          <t>29 ao 30</t>
        </is>
      </c>
      <c r="J2425" t="inlineStr">
        <is>
          <t>VCA</t>
        </is>
      </c>
      <c r="K2425" t="inlineStr">
        <is>
          <t>VCA</t>
        </is>
      </c>
      <c r="L2425" t="inlineStr">
        <is>
          <t>PDS texto chat 2026-05-14</t>
        </is>
      </c>
      <c r="M2425" t="inlineStr">
        <is>
          <t>2026-05</t>
        </is>
      </c>
    </row>
    <row r="2426">
      <c r="A2426" s="36" t="n">
        <v>46156</v>
      </c>
      <c r="B2426" t="inlineStr">
        <is>
          <t>Quinta</t>
        </is>
      </c>
      <c r="C2426" t="inlineStr">
        <is>
          <t>RCE São Lucas</t>
        </is>
      </c>
      <c r="D2426" t="inlineStr">
        <is>
          <t>Fábio</t>
        </is>
      </c>
      <c r="E2426" t="inlineStr">
        <is>
          <t>Miro GO-02</t>
        </is>
      </c>
      <c r="F2426" t="inlineStr">
        <is>
          <t>VCA, PVs e Ligações (PI 29 ao PI 30)</t>
        </is>
      </c>
      <c r="G2426" t="inlineStr">
        <is>
          <t>29</t>
        </is>
      </c>
      <c r="H2426" t="inlineStr">
        <is>
          <t>30</t>
        </is>
      </c>
      <c r="I2426" t="inlineStr">
        <is>
          <t>29 ao 30</t>
        </is>
      </c>
      <c r="J2426" t="inlineStr">
        <is>
          <t>VCA</t>
        </is>
      </c>
      <c r="K2426" t="inlineStr">
        <is>
          <t>VCA</t>
        </is>
      </c>
      <c r="L2426" t="inlineStr">
        <is>
          <t>PDS texto chat 2026-05-14</t>
        </is>
      </c>
      <c r="M2426" t="inlineStr">
        <is>
          <t>2026-05</t>
        </is>
      </c>
    </row>
    <row r="2427">
      <c r="A2427" s="36" t="n">
        <v>46156</v>
      </c>
      <c r="B2427" t="inlineStr">
        <is>
          <t>Quinta</t>
        </is>
      </c>
      <c r="C2427" t="inlineStr">
        <is>
          <t>CTS Lourdes Complementar</t>
        </is>
      </c>
      <c r="D2427" t="inlineStr">
        <is>
          <t>Robson</t>
        </is>
      </c>
      <c r="E2427" t="inlineStr">
        <is>
          <t>GR Drill</t>
        </is>
      </c>
      <c r="F2427" t="inlineStr">
        <is>
          <t>Furo Piloto PV 02 ao PV 01</t>
        </is>
      </c>
      <c r="G2427" t="inlineStr">
        <is>
          <t>02</t>
        </is>
      </c>
      <c r="H2427" t="inlineStr">
        <is>
          <t>01</t>
        </is>
      </c>
      <c r="I2427" t="inlineStr">
        <is>
          <t>02 ao 01</t>
        </is>
      </c>
      <c r="J2427" t="inlineStr">
        <is>
          <t>HDD</t>
        </is>
      </c>
      <c r="K2427" t="inlineStr">
        <is>
          <t>HDD</t>
        </is>
      </c>
      <c r="L2427" t="inlineStr">
        <is>
          <t>PDS texto chat 2026-05-14</t>
        </is>
      </c>
      <c r="M2427" t="inlineStr">
        <is>
          <t>2026-05</t>
        </is>
      </c>
    </row>
    <row r="2428">
      <c r="A2428" s="36" t="n">
        <v>46156</v>
      </c>
      <c r="B2428" t="inlineStr">
        <is>
          <t>Quinta</t>
        </is>
      </c>
      <c r="C2428" t="inlineStr">
        <is>
          <t>CTS Lourdes Complementar</t>
        </is>
      </c>
      <c r="D2428" t="inlineStr">
        <is>
          <t>Robson</t>
        </is>
      </c>
      <c r="E2428" t="inlineStr">
        <is>
          <t>Medeiros</t>
        </is>
      </c>
      <c r="F2428" t="inlineStr">
        <is>
          <t>Apoio HDD</t>
        </is>
      </c>
      <c r="J2428" t="inlineStr">
        <is>
          <t>HDD</t>
        </is>
      </c>
      <c r="K2428" t="inlineStr">
        <is>
          <t>HDD</t>
        </is>
      </c>
      <c r="L2428" t="inlineStr">
        <is>
          <t>PDS texto chat 2026-05-14</t>
        </is>
      </c>
      <c r="M2428" t="inlineStr">
        <is>
          <t>2026-05</t>
        </is>
      </c>
    </row>
    <row r="2429">
      <c r="A2429" s="36" t="n">
        <v>46156</v>
      </c>
      <c r="B2429" t="inlineStr">
        <is>
          <t>Quinta</t>
        </is>
      </c>
      <c r="C2429" t="inlineStr">
        <is>
          <t>CTS Lourdes Complementar</t>
        </is>
      </c>
      <c r="D2429" t="inlineStr">
        <is>
          <t>Robson</t>
        </is>
      </c>
      <c r="E2429" t="inlineStr">
        <is>
          <t>Cidão</t>
        </is>
      </c>
      <c r="F2429" t="inlineStr">
        <is>
          <t>Shaft PV 03</t>
        </is>
      </c>
      <c r="G2429" t="inlineStr">
        <is>
          <t>03</t>
        </is>
      </c>
      <c r="I2429" t="inlineStr">
        <is>
          <t>03</t>
        </is>
      </c>
      <c r="J2429" t="inlineStr">
        <is>
          <t>Shaft</t>
        </is>
      </c>
      <c r="K2429" t="inlineStr">
        <is>
          <t>Shaft</t>
        </is>
      </c>
      <c r="L2429" t="inlineStr">
        <is>
          <t>PDS texto chat 2026-05-14</t>
        </is>
      </c>
      <c r="M2429" t="inlineStr">
        <is>
          <t>2026-05</t>
        </is>
      </c>
    </row>
    <row r="2430">
      <c r="A2430" s="36" t="n">
        <v>46156</v>
      </c>
      <c r="B2430" t="inlineStr">
        <is>
          <t>Quinta</t>
        </is>
      </c>
      <c r="C2430" t="inlineStr">
        <is>
          <t>CTS Lourdes Complementar</t>
        </is>
      </c>
      <c r="D2430" t="inlineStr">
        <is>
          <t>Robson</t>
        </is>
      </c>
      <c r="E2430" t="inlineStr">
        <is>
          <t>Marcelo</t>
        </is>
      </c>
      <c r="F2430" t="inlineStr">
        <is>
          <t>Shaft PV 17</t>
        </is>
      </c>
      <c r="G2430" t="inlineStr">
        <is>
          <t>17</t>
        </is>
      </c>
      <c r="I2430" t="inlineStr">
        <is>
          <t>17</t>
        </is>
      </c>
      <c r="J2430" t="inlineStr">
        <is>
          <t>Shaft</t>
        </is>
      </c>
      <c r="K2430" t="inlineStr">
        <is>
          <t>Shaft</t>
        </is>
      </c>
      <c r="L2430" t="inlineStr">
        <is>
          <t>PDS texto chat 2026-05-14</t>
        </is>
      </c>
      <c r="M2430" t="inlineStr">
        <is>
          <t>2026-05</t>
        </is>
      </c>
    </row>
    <row r="2431">
      <c r="A2431" s="36" t="n">
        <v>46156</v>
      </c>
      <c r="B2431" t="inlineStr">
        <is>
          <t>Quinta</t>
        </is>
      </c>
      <c r="C2431" t="inlineStr">
        <is>
          <t>CTS Barão Luiz De Arariba</t>
        </is>
      </c>
      <c r="D2431" t="inlineStr">
        <is>
          <t>Silvestre</t>
        </is>
      </c>
      <c r="E2431" t="inlineStr">
        <is>
          <t>Jhonatan</t>
        </is>
      </c>
      <c r="F2431" t="inlineStr">
        <is>
          <t>Transformação PV 10</t>
        </is>
      </c>
      <c r="G2431" t="inlineStr">
        <is>
          <t>10</t>
        </is>
      </c>
      <c r="I2431" t="inlineStr">
        <is>
          <t>10</t>
        </is>
      </c>
      <c r="J2431" t="inlineStr">
        <is>
          <t>Transformação</t>
        </is>
      </c>
      <c r="K2431" t="inlineStr">
        <is>
          <t>Transformação</t>
        </is>
      </c>
      <c r="L2431" t="inlineStr">
        <is>
          <t>PDS texto chat 2026-05-14</t>
        </is>
      </c>
      <c r="M2431" t="inlineStr">
        <is>
          <t>2026-05</t>
        </is>
      </c>
    </row>
    <row r="2432">
      <c r="A2432" s="36" t="n">
        <v>46156</v>
      </c>
      <c r="B2432" t="inlineStr">
        <is>
          <t>Quinta</t>
        </is>
      </c>
      <c r="C2432" t="inlineStr">
        <is>
          <t>CTS Luis Botelho Mourão</t>
        </is>
      </c>
      <c r="D2432" t="inlineStr">
        <is>
          <t>Robson</t>
        </is>
      </c>
      <c r="E2432" t="inlineStr">
        <is>
          <t>Marcio</t>
        </is>
      </c>
      <c r="F2432" t="inlineStr">
        <is>
          <t>Reparo de calçadas e sarjetas</t>
        </is>
      </c>
      <c r="J2432" t="inlineStr">
        <is>
          <t>Reparo</t>
        </is>
      </c>
      <c r="K2432" t="inlineStr">
        <is>
          <t>Reparo</t>
        </is>
      </c>
      <c r="L2432" t="inlineStr">
        <is>
          <t>PDS texto chat 2026-05-14</t>
        </is>
      </c>
      <c r="M2432" t="inlineStr">
        <is>
          <t>2026-05</t>
        </is>
      </c>
    </row>
    <row r="2433">
      <c r="A2433" s="36" t="n">
        <v>46156</v>
      </c>
      <c r="B2433" t="inlineStr">
        <is>
          <t>Quinta</t>
        </is>
      </c>
      <c r="C2433" t="inlineStr">
        <is>
          <t>CTS Jaragua</t>
        </is>
      </c>
      <c r="D2433" t="inlineStr">
        <is>
          <t>Gabriel</t>
        </is>
      </c>
      <c r="E2433" t="inlineStr">
        <is>
          <t>Higor</t>
        </is>
      </c>
      <c r="F2433" t="inlineStr">
        <is>
          <t>Acabamento interno PVs</t>
        </is>
      </c>
      <c r="J2433" t="inlineStr">
        <is>
          <t>Acabamento</t>
        </is>
      </c>
      <c r="K2433" t="inlineStr">
        <is>
          <t>Acabamento</t>
        </is>
      </c>
      <c r="L2433" t="inlineStr">
        <is>
          <t>PDS texto chat 2026-05-14</t>
        </is>
      </c>
      <c r="M2433" t="inlineStr">
        <is>
          <t>2026-05</t>
        </is>
      </c>
    </row>
    <row r="2434">
      <c r="A2434" s="36" t="n">
        <v>46156</v>
      </c>
      <c r="B2434" t="inlineStr">
        <is>
          <t>Quinta</t>
        </is>
      </c>
      <c r="C2434" t="inlineStr">
        <is>
          <t>João Canzi</t>
        </is>
      </c>
      <c r="E2434" t="inlineStr">
        <is>
          <t>Vacal</t>
        </is>
      </c>
      <c r="F2434" t="inlineStr">
        <is>
          <t>João Canzi – Renasce</t>
        </is>
      </c>
      <c r="J2434" t="inlineStr">
        <is>
          <t>Atividade</t>
        </is>
      </c>
      <c r="K2434" t="inlineStr">
        <is>
          <t>Atividade</t>
        </is>
      </c>
      <c r="L2434" t="inlineStr">
        <is>
          <t>PDS texto chat 2026-05-14</t>
        </is>
      </c>
      <c r="M2434" t="inlineStr">
        <is>
          <t>2026-05</t>
        </is>
      </c>
    </row>
    <row r="2435">
      <c r="A2435" s="36" t="n">
        <v>46156</v>
      </c>
      <c r="B2435" t="inlineStr">
        <is>
          <t>Quinta</t>
        </is>
      </c>
      <c r="C2435" t="inlineStr">
        <is>
          <t>João Canzi</t>
        </is>
      </c>
      <c r="E2435" t="inlineStr">
        <is>
          <t>Vacal</t>
        </is>
      </c>
      <c r="F2435" t="inlineStr">
        <is>
          <t>João Canzi – Henko</t>
        </is>
      </c>
      <c r="J2435" t="inlineStr">
        <is>
          <t>Atividade</t>
        </is>
      </c>
      <c r="K2435" t="inlineStr">
        <is>
          <t>Atividade</t>
        </is>
      </c>
      <c r="L2435" t="inlineStr">
        <is>
          <t>PDS texto chat 2026-05-14</t>
        </is>
      </c>
      <c r="M2435" t="inlineStr">
        <is>
          <t>2026-05</t>
        </is>
      </c>
    </row>
    <row r="2436">
      <c r="A2436" s="36" t="n">
        <v>46156</v>
      </c>
      <c r="B2436" t="inlineStr">
        <is>
          <t>Quinta</t>
        </is>
      </c>
      <c r="C2436" t="inlineStr">
        <is>
          <t>Lourdes</t>
        </is>
      </c>
      <c r="E2436" t="inlineStr">
        <is>
          <t>Vacal</t>
        </is>
      </c>
      <c r="F2436" t="inlineStr">
        <is>
          <t>Lourdes - Hidrosol</t>
        </is>
      </c>
      <c r="J2436" t="inlineStr">
        <is>
          <t>Atividade</t>
        </is>
      </c>
      <c r="K2436" t="inlineStr">
        <is>
          <t>Atividade</t>
        </is>
      </c>
      <c r="L2436" t="inlineStr">
        <is>
          <t>PDS texto chat 2026-05-14</t>
        </is>
      </c>
      <c r="M2436" t="inlineStr">
        <is>
          <t>2026-05</t>
        </is>
      </c>
    </row>
    <row r="2437">
      <c r="A2437" s="36" t="n">
        <v>46156</v>
      </c>
      <c r="B2437" t="inlineStr">
        <is>
          <t>Quinta</t>
        </is>
      </c>
      <c r="C2437" t="inlineStr">
        <is>
          <t>Barão De Arariba</t>
        </is>
      </c>
      <c r="E2437" t="inlineStr">
        <is>
          <t>Vacal</t>
        </is>
      </c>
      <c r="F2437" t="inlineStr">
        <is>
          <t>Barão de Arariba – Henko</t>
        </is>
      </c>
      <c r="J2437" t="inlineStr">
        <is>
          <t>Atividade</t>
        </is>
      </c>
      <c r="K2437" t="inlineStr">
        <is>
          <t>Atividade</t>
        </is>
      </c>
      <c r="L2437" t="inlineStr">
        <is>
          <t>PDS texto chat 2026-05-14</t>
        </is>
      </c>
      <c r="M2437" t="inlineStr">
        <is>
          <t>2026-05</t>
        </is>
      </c>
    </row>
    <row r="2438">
      <c r="A2438" s="36" t="n">
        <v>46156</v>
      </c>
      <c r="B2438" t="inlineStr">
        <is>
          <t>Quinta</t>
        </is>
      </c>
      <c r="C2438" t="inlineStr">
        <is>
          <t>Guindauto</t>
        </is>
      </c>
      <c r="E2438" t="inlineStr">
        <is>
          <t>Guindauto</t>
        </is>
      </c>
      <c r="F2438" t="inlineStr">
        <is>
          <t>Marcio - Apoio as equipes</t>
        </is>
      </c>
      <c r="J2438" t="inlineStr">
        <is>
          <t>Atividade</t>
        </is>
      </c>
      <c r="K2438" t="inlineStr">
        <is>
          <t>Atividade</t>
        </is>
      </c>
      <c r="L2438" t="inlineStr">
        <is>
          <t>PDS texto chat 2026-05-14</t>
        </is>
      </c>
      <c r="M2438" t="inlineStr">
        <is>
          <t>2026-05</t>
        </is>
      </c>
    </row>
    <row r="2439">
      <c r="A2439" s="36" t="n">
        <v>46156</v>
      </c>
      <c r="B2439" t="inlineStr">
        <is>
          <t>Quinta</t>
        </is>
      </c>
      <c r="C2439" t="inlineStr">
        <is>
          <t>Guindauto</t>
        </is>
      </c>
      <c r="E2439" t="inlineStr">
        <is>
          <t>Guindauto</t>
        </is>
      </c>
      <c r="F2439" t="inlineStr">
        <is>
          <t>Luiz Carlos - Apoio as equipes</t>
        </is>
      </c>
      <c r="J2439" t="inlineStr">
        <is>
          <t>Atividade</t>
        </is>
      </c>
      <c r="K2439" t="inlineStr">
        <is>
          <t>Atividade</t>
        </is>
      </c>
      <c r="L2439" t="inlineStr">
        <is>
          <t>PDS texto chat 2026-05-14</t>
        </is>
      </c>
      <c r="M2439" t="inlineStr">
        <is>
          <t>2026-05</t>
        </is>
      </c>
    </row>
  </sheetData>
  <autoFilter ref="A4:U216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3.8"/>
  <cols>
    <col width="22" customWidth="1" min="1" max="1"/>
    <col width="12" customWidth="1" min="2" max="2"/>
    <col width="12" customWidth="1" min="4" max="4"/>
    <col width="14" customWidth="1" min="5" max="5"/>
    <col width="28" customWidth="1" min="7" max="7"/>
    <col width="12" customWidth="1" min="8" max="8"/>
  </cols>
  <sheetData>
    <row r="1" ht="18" customHeight="1">
      <c r="A1" s="1" t="inlineStr">
        <is>
          <t>Resumo da extração</t>
        </is>
      </c>
      <c r="B1" s="1" t="n"/>
      <c r="C1" s="1" t="n"/>
      <c r="D1" s="1" t="n"/>
      <c r="E1" s="1" t="n"/>
      <c r="F1" s="1" t="n"/>
      <c r="G1" s="1" t="n"/>
      <c r="H1" s="1" t="n"/>
    </row>
    <row r="3" ht="14.4" customHeight="1">
      <c r="A3" s="4" t="inlineStr">
        <is>
          <t>Indicador</t>
        </is>
      </c>
      <c r="B3" s="4" t="inlineStr">
        <is>
          <t>Valor</t>
        </is>
      </c>
      <c r="D3" s="4" t="inlineStr">
        <is>
          <t>Mês</t>
        </is>
      </c>
      <c r="E3" s="4" t="inlineStr">
        <is>
          <t>Linhas extraídas</t>
        </is>
      </c>
      <c r="G3" s="4" t="inlineStr">
        <is>
          <t>Top obras</t>
        </is>
      </c>
      <c r="H3" s="4" t="inlineStr">
        <is>
          <t>Qtd. linhas</t>
        </is>
      </c>
    </row>
    <row r="4" ht="14.4" customHeight="1">
      <c r="A4" s="18" t="inlineStr">
        <is>
          <t>Total de linhas</t>
        </is>
      </c>
      <c r="B4" s="19" t="n">
        <v>2161</v>
      </c>
      <c r="D4" s="18" t="inlineStr">
        <is>
          <t>2025-12</t>
        </is>
      </c>
      <c r="E4" s="19" t="n">
        <v>248</v>
      </c>
      <c r="G4" s="18" t="inlineStr">
        <is>
          <t>Vacal</t>
        </is>
      </c>
      <c r="H4" s="19" t="n">
        <v>383</v>
      </c>
    </row>
    <row r="5" ht="14.4" customHeight="1">
      <c r="A5" s="20" t="inlineStr">
        <is>
          <t>Total de obras</t>
        </is>
      </c>
      <c r="B5" s="21" t="n">
        <v>55</v>
      </c>
      <c r="D5" s="20" t="inlineStr">
        <is>
          <t>2026-01</t>
        </is>
      </c>
      <c r="E5" s="21" t="n">
        <v>366</v>
      </c>
      <c r="G5" s="20" t="inlineStr">
        <is>
          <t>CT CONCEIÇÃO</t>
        </is>
      </c>
      <c r="H5" s="21" t="n">
        <v>195</v>
      </c>
    </row>
    <row r="6" ht="14.4" customHeight="1">
      <c r="A6" s="20" t="inlineStr">
        <is>
          <t>Total de tipos de atividade</t>
        </is>
      </c>
      <c r="B6" s="21" t="n">
        <v>24</v>
      </c>
      <c r="D6" s="20" t="inlineStr">
        <is>
          <t>2026-02</t>
        </is>
      </c>
      <c r="E6" s="21" t="n">
        <v>449</v>
      </c>
      <c r="G6" s="20" t="inlineStr">
        <is>
          <t>CT MAR DE CORAL</t>
        </is>
      </c>
      <c r="H6" s="21" t="n">
        <v>173</v>
      </c>
    </row>
    <row r="7" ht="14.4" customHeight="1">
      <c r="A7" s="22" t="inlineStr">
        <is>
          <t>Arquivos consolidados</t>
        </is>
      </c>
      <c r="B7" s="23" t="n">
        <v>5</v>
      </c>
      <c r="D7" s="20" t="inlineStr">
        <is>
          <t>2026-03</t>
        </is>
      </c>
      <c r="E7" s="21" t="n">
        <v>505</v>
      </c>
      <c r="G7" s="20" t="inlineStr">
        <is>
          <t>Guindauto</t>
        </is>
      </c>
      <c r="H7" s="21" t="n">
        <v>161</v>
      </c>
    </row>
    <row r="8" ht="14.4" customHeight="1">
      <c r="D8" s="22" t="inlineStr">
        <is>
          <t>2026-04</t>
        </is>
      </c>
      <c r="E8" s="23" t="n">
        <v>564</v>
      </c>
      <c r="G8" s="20" t="inlineStr">
        <is>
          <t>CT Mar de Coral</t>
        </is>
      </c>
      <c r="H8" s="21" t="n">
        <v>114</v>
      </c>
    </row>
    <row r="9" ht="14.4" customHeight="1">
      <c r="D9" t="inlineStr">
        <is>
          <t>2026-05</t>
        </is>
      </c>
      <c r="E9" t="n">
        <v>29</v>
      </c>
      <c r="G9" s="20" t="inlineStr">
        <is>
          <t>CTS LUIS BOTELHO MOURÃO</t>
        </is>
      </c>
      <c r="H9" s="21" t="n">
        <v>114</v>
      </c>
    </row>
    <row r="10" ht="14.4" customHeight="1">
      <c r="G10" s="20" t="inlineStr">
        <is>
          <t>CT ÁGUA VERMELHA M.D. e M.E</t>
        </is>
      </c>
      <c r="H10" s="21" t="n">
        <v>101</v>
      </c>
    </row>
    <row r="11" ht="14.4" customHeight="1">
      <c r="G11" s="20" t="inlineStr">
        <is>
          <t>CT Lageado</t>
        </is>
      </c>
      <c r="H11" s="21" t="n">
        <v>89</v>
      </c>
    </row>
    <row r="12" ht="14.4" customHeight="1">
      <c r="G12" s="20" t="inlineStr">
        <is>
          <t>CT ÁGUA VERMELHA M.D</t>
        </is>
      </c>
      <c r="H12" s="21" t="n">
        <v>72</v>
      </c>
    </row>
    <row r="13" ht="14.4" customHeight="1">
      <c r="G13" s="20" t="inlineStr">
        <is>
          <t>CT Lourdes</t>
        </is>
      </c>
      <c r="H13" s="21" t="n">
        <v>70</v>
      </c>
    </row>
    <row r="14" ht="14.4" customHeight="1">
      <c r="G14" s="20" t="inlineStr">
        <is>
          <t>CT AGUA VERMELHA M.D</t>
        </is>
      </c>
      <c r="H14" s="21" t="n">
        <v>56</v>
      </c>
    </row>
    <row r="15" ht="14.4" customHeight="1">
      <c r="G15" s="20" t="inlineStr">
        <is>
          <t>CT ÁGUA VERMELHA M.D.</t>
        </is>
      </c>
      <c r="H15" s="21" t="n">
        <v>44</v>
      </c>
    </row>
    <row r="16" ht="14.4" customHeight="1">
      <c r="G16" s="20" t="inlineStr">
        <is>
          <t>CT AGUA VERMELHA M.E</t>
        </is>
      </c>
      <c r="H16" s="21" t="n">
        <v>36</v>
      </c>
    </row>
    <row r="17" ht="14.4" customHeight="1">
      <c r="G17" s="20" t="inlineStr">
        <is>
          <t>CT LOURDES</t>
        </is>
      </c>
      <c r="H17" s="21" t="n">
        <v>35</v>
      </c>
    </row>
    <row r="18" ht="14.4" customHeight="1">
      <c r="G18" s="22" t="inlineStr">
        <is>
          <t>RCE FCO. SOUTO MAIOR</t>
        </is>
      </c>
      <c r="H18" s="23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8"/>
  <cols>
    <col width="35" customWidth="1" min="1" max="1"/>
    <col width="18" customWidth="1" min="2" max="2"/>
    <col width="24" customWidth="1" min="3" max="3"/>
    <col width="45" customWidth="1" min="4" max="4"/>
  </cols>
  <sheetData>
    <row r="1">
      <c r="A1" s="28" t="inlineStr">
        <is>
          <t>RUA</t>
        </is>
      </c>
      <c r="B1" s="28" t="inlineStr">
        <is>
          <t>MUNICIPIO</t>
        </is>
      </c>
      <c r="C1" s="28" t="inlineStr">
        <is>
          <t>SUBPREFEITURA</t>
        </is>
      </c>
      <c r="D1" s="28" t="inlineStr">
        <is>
          <t>OBS</t>
        </is>
      </c>
    </row>
    <row r="2">
      <c r="A2" t="inlineStr">
        <is>
          <t>Preencher rua igual ao PDS</t>
        </is>
      </c>
      <c r="B2" t="inlineStr">
        <is>
          <t>São Paulo</t>
        </is>
      </c>
      <c r="C2" t="inlineStr">
        <is>
          <t>Preencher subprefeitura</t>
        </is>
      </c>
      <c r="D2" t="inlineStr">
        <is>
          <t>Exemplo: cadastrar uma vez e puxa automático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60" customWidth="1" min="2" max="2"/>
  </cols>
  <sheetData>
    <row r="1">
      <c r="A1" s="28" t="inlineStr">
        <is>
          <t>Campo</t>
        </is>
      </c>
      <c r="B1" s="28" t="inlineStr">
        <is>
          <t>Preenchimento</t>
        </is>
      </c>
    </row>
    <row r="2">
      <c r="A2" t="inlineStr">
        <is>
          <t>CONTRATO</t>
        </is>
      </c>
    </row>
    <row r="3">
      <c r="A3" t="inlineStr">
        <is>
          <t>CONTRATADA</t>
        </is>
      </c>
      <c r="B3" t="inlineStr">
        <is>
          <t>Consórcio XXXXX Pacote XX</t>
        </is>
      </c>
    </row>
    <row r="4">
      <c r="A4" t="inlineStr">
        <is>
          <t>OBJETO</t>
        </is>
      </c>
    </row>
    <row r="5">
      <c r="A5" t="inlineStr">
        <is>
          <t>MES_REFERENCIA</t>
        </is>
      </c>
    </row>
    <row r="6">
      <c r="A6" t="inlineStr">
        <is>
          <t>ELABORADO_POR</t>
        </is>
      </c>
    </row>
    <row r="7">
      <c r="A7" t="inlineStr">
        <is>
          <t>APROVADO_POR</t>
        </is>
      </c>
    </row>
    <row r="8">
      <c r="A8" t="inlineStr">
        <is>
          <t>REVISAO</t>
        </is>
      </c>
      <c r="B8" t="inlineStr">
        <is>
          <t>00</t>
        </is>
      </c>
    </row>
    <row r="9">
      <c r="A9" t="inlineStr">
        <is>
          <t>DATA_REVISAO</t>
        </is>
      </c>
    </row>
    <row r="10">
      <c r="A10" t="inlineStr">
        <is>
          <t>COMENTARIOS_REVISAO</t>
        </is>
      </c>
      <c r="B10" t="inlineStr">
        <is>
          <t>Revisão inicial</t>
        </is>
      </c>
    </row>
    <row r="11">
      <c r="A11" t="inlineStr">
        <is>
          <t>OBS</t>
        </is>
      </c>
      <c r="B11" t="inlineStr">
        <is>
          <t>Campos usados futuramente para gerar o Word do relatório.</t>
        </is>
      </c>
    </row>
    <row r="12">
      <c r="A12" t="inlineStr">
        <is>
          <t>STATUS</t>
        </is>
      </c>
      <c r="B12" t="inlineStr">
        <is>
          <t>Base pronta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90" customWidth="1" min="2" max="2"/>
  </cols>
  <sheetData>
    <row r="1">
      <c r="A1" s="28" t="inlineStr">
        <is>
          <t>Orientação</t>
        </is>
      </c>
      <c r="B1" s="28" t="inlineStr">
        <is>
          <t>Detalhe</t>
        </is>
      </c>
    </row>
    <row r="2">
      <c r="A2" t="inlineStr">
        <is>
          <t>Não alterei a estrutura original</t>
        </is>
      </c>
      <c r="B2" t="inlineStr">
        <is>
          <t>As colunas A:L foram preservadas. As novas colunas entram a partir da M.</t>
        </is>
      </c>
    </row>
    <row r="3">
      <c r="A3" t="inlineStr">
        <is>
          <t>MES_REF</t>
        </is>
      </c>
      <c r="B3" t="inlineStr">
        <is>
          <t>Calculado automaticamente pela Data da coluna A.</t>
        </is>
      </c>
    </row>
    <row r="4">
      <c r="A4" t="inlineStr">
        <is>
          <t>RUA</t>
        </is>
      </c>
      <c r="B4" t="inlineStr">
        <is>
          <t>Preencher manualmente no PDS.</t>
        </is>
      </c>
    </row>
    <row r="5">
      <c r="A5" t="inlineStr">
        <is>
          <t>NUMERO</t>
        </is>
      </c>
      <c r="B5" t="inlineStr">
        <is>
          <t>Preencher manualmente no PDS.</t>
        </is>
      </c>
    </row>
    <row r="6">
      <c r="A6" t="inlineStr">
        <is>
          <t>MUNICIPIO</t>
        </is>
      </c>
      <c r="B6" t="inlineStr">
        <is>
          <t>Puxa da aba Base_Enderecos pela Rua. Pode preencher manualmente se preferir.</t>
        </is>
      </c>
    </row>
    <row r="7">
      <c r="A7" t="inlineStr">
        <is>
          <t>SUBPREFEITURA</t>
        </is>
      </c>
      <c r="B7" t="inlineStr">
        <is>
          <t>Puxa da aba Base_Enderecos pela Rua. Pode preencher manualmente se preferir.</t>
        </is>
      </c>
    </row>
    <row r="8">
      <c r="A8" t="inlineStr">
        <is>
          <t>METODO_PADRAO</t>
        </is>
      </c>
      <c r="B8" t="inlineStr">
        <is>
          <t>Tenta classificar como MND, VCA ou TUBO CRAVADO com base na atividade/tipo.</t>
        </is>
      </c>
    </row>
    <row r="9">
      <c r="A9" t="inlineStr">
        <is>
          <t>EXTENSAO_M</t>
        </is>
      </c>
      <c r="B9" t="inlineStr">
        <is>
          <t>Preencher quando houver produção em metro.</t>
        </is>
      </c>
    </row>
    <row r="10">
      <c r="A10" t="inlineStr">
        <is>
          <t>CHAVE_RELATORIO</t>
        </is>
      </c>
      <c r="B10" t="inlineStr">
        <is>
          <t>Agrupa mês, obra, atividade, rua e método para não repetir no relatório.</t>
        </is>
      </c>
    </row>
    <row r="11">
      <c r="A11" t="inlineStr">
        <is>
          <t>OBS_RELATORIO</t>
        </is>
      </c>
      <c r="B11" t="inlineStr">
        <is>
          <t>Campo livre para comentário mensal.</t>
        </is>
      </c>
    </row>
    <row r="12">
      <c r="A12" t="inlineStr">
        <is>
          <t>Próximo passo</t>
        </is>
      </c>
      <c r="B12" t="inlineStr">
        <is>
          <t>Depois de preencher Rua/Número, podemos gerar o Word automático.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2026-05-04T14:30:36Z</dcterms:created>
  <dcterms:modified xmlns:dcterms="http://purl.org/dc/terms/" xmlns:xsi="http://www.w3.org/2001/XMLSchema-instance" xsi:type="dcterms:W3CDTF">2026-05-14T11:04:36Z</dcterms:modified>
  <cp:lastModifiedBy>Cleulton Marcio Goncalves Freire</cp:lastModifiedBy>
</cp:coreProperties>
</file>