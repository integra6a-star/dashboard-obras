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enopsengenharia.sharepoint.com/sites/sabespIntegra6a/Documentos Compartilhados/04 QSMS/02. QUALIDADE/09. Formulários/"/>
    </mc:Choice>
  </mc:AlternateContent>
  <xr:revisionPtr revIDLastSave="1" documentId="13_ncr:1_{E972B756-DD05-4420-98C3-A9B7F95221A9}" xr6:coauthVersionLast="47" xr6:coauthVersionMax="47" xr10:uidLastSave="{5974D1F5-692E-4E96-BF10-17E39B7A5983}"/>
  <bookViews>
    <workbookView xWindow="-120" yWindow="-120" windowWidth="29040" windowHeight="15720" activeTab="1" xr2:uid="{00000000-000D-0000-FFFF-FFFF00000000}"/>
  </bookViews>
  <sheets>
    <sheet name="Planejamento" sheetId="1" r:id="rId1"/>
    <sheet name="Indicadores" sheetId="5" r:id="rId2"/>
    <sheet name="Plano de ação" sheetId="6" state="hidden" r:id="rId3"/>
  </sheets>
  <definedNames>
    <definedName name="_xlnm._FilterDatabase" localSheetId="0" hidden="1">Planejamento!$A$9:$G$13</definedName>
    <definedName name="CAMA">#REF!</definedName>
    <definedName name="CEE" localSheetId="0">Planejamento!#REF!</definedName>
    <definedName name="CEE">#REF!</definedName>
    <definedName name="CEGF" localSheetId="0">Planejamento!#REF!</definedName>
    <definedName name="CEGF">#REF!</definedName>
    <definedName name="CEIE" localSheetId="0">Planejamento!#REF!</definedName>
    <definedName name="CEIE">#REF!</definedName>
    <definedName name="CEMM" localSheetId="0">Planejamento!#REF!</definedName>
    <definedName name="CEMM">#REF!</definedName>
    <definedName name="JANELA">#REF!</definedName>
    <definedName name="PORT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xepAkzHJsvQkEsvIDfR1HltUONS8ZwjSPMLrwweT8ZU="/>
    </ext>
  </extLst>
</workbook>
</file>

<file path=xl/calcChain.xml><?xml version="1.0" encoding="utf-8"?>
<calcChain xmlns="http://schemas.openxmlformats.org/spreadsheetml/2006/main">
  <c r="S26" i="5" l="1"/>
  <c r="S25" i="5"/>
  <c r="R25" i="5"/>
  <c r="G27" i="5" l="1"/>
  <c r="H27" i="5"/>
  <c r="I27" i="5"/>
  <c r="J27" i="5"/>
  <c r="K27" i="5"/>
  <c r="L27" i="5"/>
  <c r="M27" i="5"/>
  <c r="N27" i="5"/>
  <c r="O27" i="5"/>
  <c r="P27" i="5"/>
  <c r="Q27" i="5"/>
  <c r="F27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F16" i="5"/>
  <c r="R20" i="5"/>
  <c r="S18" i="5"/>
  <c r="S17" i="5"/>
  <c r="R18" i="5"/>
  <c r="R17" i="5"/>
  <c r="R15" i="5"/>
  <c r="R14" i="5"/>
  <c r="R12" i="5"/>
  <c r="R11" i="5"/>
  <c r="S11" i="5"/>
  <c r="S12" i="5"/>
  <c r="G30" i="5"/>
  <c r="H30" i="5"/>
  <c r="I30" i="5"/>
  <c r="J30" i="5"/>
  <c r="K30" i="5"/>
  <c r="L30" i="5"/>
  <c r="M30" i="5"/>
  <c r="N30" i="5"/>
  <c r="O30" i="5"/>
  <c r="P30" i="5"/>
  <c r="Q30" i="5"/>
  <c r="F30" i="5"/>
  <c r="G24" i="5"/>
  <c r="H24" i="5"/>
  <c r="I24" i="5"/>
  <c r="J24" i="5"/>
  <c r="K24" i="5"/>
  <c r="L24" i="5"/>
  <c r="M24" i="5"/>
  <c r="N24" i="5"/>
  <c r="O24" i="5"/>
  <c r="P24" i="5"/>
  <c r="Q24" i="5"/>
  <c r="F24" i="5"/>
  <c r="G22" i="5"/>
  <c r="H22" i="5"/>
  <c r="I22" i="5"/>
  <c r="J22" i="5"/>
  <c r="K22" i="5"/>
  <c r="L22" i="5"/>
  <c r="M22" i="5"/>
  <c r="N22" i="5"/>
  <c r="O22" i="5"/>
  <c r="P22" i="5"/>
  <c r="Q22" i="5"/>
  <c r="F22" i="5"/>
  <c r="G19" i="5"/>
  <c r="H19" i="5"/>
  <c r="I19" i="5"/>
  <c r="J19" i="5"/>
  <c r="K19" i="5"/>
  <c r="L19" i="5"/>
  <c r="M19" i="5"/>
  <c r="N19" i="5"/>
  <c r="O19" i="5"/>
  <c r="P19" i="5"/>
  <c r="Q19" i="5"/>
  <c r="F19" i="5"/>
  <c r="L13" i="5"/>
  <c r="F13" i="5"/>
  <c r="S19" i="5" l="1"/>
  <c r="R19" i="5"/>
  <c r="R13" i="5"/>
  <c r="S13" i="5"/>
  <c r="S29" i="5"/>
  <c r="R29" i="5"/>
  <c r="S28" i="5"/>
  <c r="R28" i="5"/>
  <c r="R30" i="5" l="1"/>
  <c r="S30" i="5"/>
  <c r="R26" i="5"/>
  <c r="S20" i="5"/>
  <c r="S21" i="5"/>
  <c r="R23" i="5"/>
  <c r="R24" i="5" s="1"/>
  <c r="S23" i="5"/>
  <c r="S24" i="5" s="1"/>
  <c r="R21" i="5"/>
  <c r="R22" i="5" s="1"/>
  <c r="S22" i="5" l="1"/>
  <c r="R27" i="5"/>
  <c r="S27" i="5"/>
</calcChain>
</file>

<file path=xl/sharedStrings.xml><?xml version="1.0" encoding="utf-8"?>
<sst xmlns="http://schemas.openxmlformats.org/spreadsheetml/2006/main" count="139" uniqueCount="90">
  <si>
    <t>PLANEJAMENTO DE INDICADORES E METAS</t>
  </si>
  <si>
    <t>Tema / Processo</t>
  </si>
  <si>
    <t>Objetivo</t>
  </si>
  <si>
    <t>Indicador</t>
  </si>
  <si>
    <t>Nº</t>
  </si>
  <si>
    <t>Cálculo</t>
  </si>
  <si>
    <t>Meta / Referência</t>
  </si>
  <si>
    <t>Frequência</t>
  </si>
  <si>
    <t>Mensal</t>
  </si>
  <si>
    <t>Responsável pelo preenchimento: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</si>
  <si>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</si>
  <si>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</si>
  <si>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</si>
  <si>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</si>
  <si>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</si>
  <si>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</si>
  <si>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</si>
  <si>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</si>
  <si>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</si>
  <si>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</si>
  <si>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</si>
  <si>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</si>
  <si>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Resultado</t>
  </si>
  <si>
    <t>QUALIDADE</t>
  </si>
  <si>
    <t>Total acumulado</t>
  </si>
  <si>
    <t>Média acumulada</t>
  </si>
  <si>
    <t>Responsável pelo preenchimento: Thamires Inacio</t>
  </si>
  <si>
    <r>
      <rPr>
        <sz val="11"/>
        <color theme="1"/>
        <rFont val="Calibri"/>
        <family val="2"/>
      </rPr>
      <t>≥</t>
    </r>
    <r>
      <rPr>
        <sz val="11"/>
        <color theme="1"/>
        <rFont val="Arial"/>
        <family val="2"/>
      </rPr>
      <t>70%</t>
    </r>
  </si>
  <si>
    <t>META</t>
  </si>
  <si>
    <t>Contrato: 00.954/24</t>
  </si>
  <si>
    <t>Data de atualização do conteúdo: 30/10/2025</t>
  </si>
  <si>
    <t xml:space="preserve">Fechamento interno de relatórios de não conformidades </t>
  </si>
  <si>
    <t xml:space="preserve">I = Nº de desvios resolvidos / Nº de desvios apontados </t>
  </si>
  <si>
    <t>I = Nº NC pendentes / Nº NC totais</t>
  </si>
  <si>
    <t>Avaliar o nível de conformidade do Sistema de Gestão</t>
  </si>
  <si>
    <t>Monitorar a eficácia e a agilidade da organização na tratativa de pendências identificadas</t>
  </si>
  <si>
    <t>Avaliar o nível de conformidade e desempenho das atividades em campo</t>
  </si>
  <si>
    <t>≥70%</t>
  </si>
  <si>
    <t xml:space="preserve">ANÁLISE DE RESULTADOS </t>
  </si>
  <si>
    <t xml:space="preserve">Mês de Referência: </t>
  </si>
  <si>
    <t xml:space="preserve">Nº Indicador </t>
  </si>
  <si>
    <t>Mês</t>
  </si>
  <si>
    <t>Causa</t>
  </si>
  <si>
    <t>Ação</t>
  </si>
  <si>
    <t>Prazo</t>
  </si>
  <si>
    <t>Status</t>
  </si>
  <si>
    <t>Data de Fechamento</t>
  </si>
  <si>
    <t>Concluído</t>
  </si>
  <si>
    <t>Não iniciado</t>
  </si>
  <si>
    <t>Em andamento</t>
  </si>
  <si>
    <t>Auditoria não realizada</t>
  </si>
  <si>
    <t>Planejado para ser realizada em novembro</t>
  </si>
  <si>
    <t xml:space="preserve">Nº de desvios resolvidos </t>
  </si>
  <si>
    <t>Nº total de não conformidades</t>
  </si>
  <si>
    <t>Semestral</t>
  </si>
  <si>
    <t>Os checklists foram implantados em outubro</t>
  </si>
  <si>
    <t>Nº total de não conformidades resolvidas</t>
  </si>
  <si>
    <t>Satisfação do cliente</t>
  </si>
  <si>
    <t>FAC</t>
  </si>
  <si>
    <t>≥70</t>
  </si>
  <si>
    <t>Treinamentos realizados conforme cronograma</t>
  </si>
  <si>
    <t>Nº treinamentos realizados</t>
  </si>
  <si>
    <t>≥80</t>
  </si>
  <si>
    <t>Monitorar o cumprimento do cronograma de treinamentos, assegurando que os colaboradores recebam as capacitações planejadas dentro dos prazos estabelecidos.</t>
  </si>
  <si>
    <t>I = FAC</t>
  </si>
  <si>
    <t>Monitorar a percepção do cliente em relação à qualidade dos serviços prestados, identificando oportunidades de melhoria e promovendo o aumento da satisfação e da confiança nos resultados entregues.</t>
  </si>
  <si>
    <t xml:space="preserve">Nº de desvios apontados </t>
  </si>
  <si>
    <t>Resolução de pendências em FVS</t>
  </si>
  <si>
    <t xml:space="preserve">Fechamento interno de relatórios de não conformidades Sabesp </t>
  </si>
  <si>
    <t>monitorar a eficácia e a pontualidade no tratamento das não conformidades Sabesp</t>
  </si>
  <si>
    <t>Nº vistorias realizadas</t>
  </si>
  <si>
    <t>Vistorias QSMS</t>
  </si>
  <si>
    <t>Vistorias de QSMS</t>
  </si>
  <si>
    <t>I = Nº vistorias realizadas / Nº vistorias planejadas</t>
  </si>
  <si>
    <t>Nº vistorias planejadas</t>
  </si>
  <si>
    <t>Nº treinamentos planejados</t>
  </si>
  <si>
    <t>I = Nº treinamentos realizados / Nº treinamentos planejados</t>
  </si>
  <si>
    <t>Atendimento nas auditorias internas</t>
  </si>
  <si>
    <t>Nº de itens atendidos</t>
  </si>
  <si>
    <t>Nº total de itens</t>
  </si>
  <si>
    <t xml:space="preserve">I = Nº de itens atendidos / Nº total de itens </t>
  </si>
  <si>
    <t>Índice de aprovação em ensaios de campo</t>
  </si>
  <si>
    <t>Nº total de ensaios</t>
  </si>
  <si>
    <t>Nº de ensaios 
atendidos</t>
  </si>
  <si>
    <t>≥90</t>
  </si>
  <si>
    <t>I = Nº de ensaios 
atendidos / Nº total de ensaios</t>
  </si>
  <si>
    <t>Garantir a conformidade no controle tecnológico</t>
  </si>
  <si>
    <t xml:space="preserve">Aloma Rocha Silva / Thamires Inacio </t>
  </si>
  <si>
    <t xml:space="preserve">INDICADORES DE QUALIDADE </t>
  </si>
  <si>
    <t>CONTRATO : 00954/24 
FOR-Q-05.1
REV.1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</si>
</sst>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rgb="FFFFFFFF"/>
      <name val="Arial"/>
      <family val="2"/>
    </font>
    <font>
      <sz val="11"/>
      <color rgb="FF1F1F1F"/>
      <name val="Arial"/>
      <family val="2"/>
    </font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rgb="FF1F1F1F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sz val="20"/>
      <color theme="1"/>
      <name val="Arial"/>
      <family val="2"/>
    </font>
    <font>
      <sz val="14"/>
      <name val="Calibri"/>
      <family val="2"/>
    </font>
    <font>
      <b/>
      <sz val="11"/>
      <color rgb="FF1F1F1F"/>
      <name val="Arial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u/>
      <sz val="11"/>
      <color theme="10"/>
      <name val="Calibri"/>
      <family val="2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EDF1F9"/>
        <bgColor rgb="FFEDF1F9"/>
      </patternFill>
    </fill>
    <fill>
      <patternFill patternType="solid">
        <fgColor rgb="FF073763"/>
        <bgColor rgb="FF073763"/>
      </patternFill>
    </fill>
    <fill>
      <patternFill patternType="solid">
        <fgColor rgb="FFEFEFEF"/>
        <bgColor rgb="FFEFEFEF"/>
      </patternFill>
    </fill>
    <fill>
      <patternFill patternType="solid">
        <fgColor theme="4" tint="0.59999389629810485"/>
        <bgColor rgb="FFEFEFEF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9EDF7"/>
        <bgColor indexed="64"/>
      </patternFill>
    </fill>
    <fill>
      <patternFill patternType="solid">
        <fgColor rgb="FFE9EDF7"/>
        <bgColor rgb="FFFFFFFF"/>
      </patternFill>
    </fill>
  </fills>
  <borders count="60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2"/>
  </cellStyleXfs>
  <cellXfs count="224">
    <xf numFmtId="0" fontId="0" fillId="0" borderId="0" xfId="0"/>
    <xf numFmtId="0" fontId="6" fillId="0" borderId="0" xfId="0" applyFont="1"/>
    <xf numFmtId="0" fontId="2" fillId="0" borderId="7" xfId="0" applyFont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5" fillId="7" borderId="11" xfId="0" applyFont="1" applyFill="1" applyBorder="1" applyAlignment="1">
      <alignment horizontal="center" vertical="center" wrapText="1"/>
    </xf>
    <xf numFmtId="9" fontId="12" fillId="0" borderId="6" xfId="0" quotePrefix="1" applyNumberFormat="1" applyFont="1" applyBorder="1" applyAlignment="1">
      <alignment horizontal="center" vertical="center" wrapText="1"/>
    </xf>
    <xf numFmtId="0" fontId="12" fillId="0" borderId="12" xfId="0" applyFont="1" applyBorder="1" applyAlignment="1">
      <alignment vertical="center" wrapText="1"/>
    </xf>
    <xf numFmtId="0" fontId="21" fillId="0" borderId="7" xfId="1" applyFont="1" applyBorder="1"/>
    <xf numFmtId="0" fontId="1" fillId="0" borderId="12" xfId="1"/>
    <xf numFmtId="0" fontId="21" fillId="0" borderId="12" xfId="1" applyFont="1" applyAlignment="1">
      <alignment horizontal="center" vertical="center"/>
    </xf>
    <xf numFmtId="0" fontId="23" fillId="5" borderId="7" xfId="1" applyFont="1" applyFill="1" applyBorder="1" applyAlignment="1">
      <alignment horizontal="center" vertical="center" wrapText="1"/>
    </xf>
    <xf numFmtId="17" fontId="21" fillId="0" borderId="7" xfId="1" applyNumberFormat="1" applyFont="1" applyBorder="1" applyAlignment="1">
      <alignment horizontal="center" vertical="center"/>
    </xf>
    <xf numFmtId="17" fontId="21" fillId="0" borderId="7" xfId="1" applyNumberFormat="1" applyFont="1" applyBorder="1"/>
    <xf numFmtId="164" fontId="21" fillId="0" borderId="7" xfId="1" applyNumberFormat="1" applyFont="1" applyBorder="1"/>
    <xf numFmtId="14" fontId="21" fillId="0" borderId="7" xfId="1" applyNumberFormat="1" applyFont="1" applyBorder="1"/>
    <xf numFmtId="0" fontId="9" fillId="3" borderId="9" xfId="0" applyFont="1" applyFill="1" applyBorder="1" applyAlignment="1">
      <alignment vertical="center" wrapText="1"/>
    </xf>
    <xf numFmtId="0" fontId="15" fillId="6" borderId="10" xfId="0" applyFont="1" applyFill="1" applyBorder="1" applyAlignment="1">
      <alignment horizontal="center" vertical="center" wrapText="1"/>
    </xf>
    <xf numFmtId="0" fontId="12" fillId="0" borderId="22" xfId="0" applyFont="1" applyBorder="1" applyAlignment="1">
      <alignment horizontal="left" vertical="center" wrapText="1"/>
    </xf>
    <xf numFmtId="0" fontId="12" fillId="0" borderId="40" xfId="0" quotePrefix="1" applyFont="1" applyBorder="1" applyAlignment="1">
      <alignment horizontal="center" vertical="center" wrapText="1"/>
    </xf>
    <xf numFmtId="0" fontId="12" fillId="0" borderId="41" xfId="0" applyFont="1" applyBorder="1" applyAlignment="1">
      <alignment horizontal="left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5" fillId="6" borderId="31" xfId="0" applyFont="1" applyFill="1" applyBorder="1" applyAlignment="1">
      <alignment horizontal="center" vertical="center" wrapText="1"/>
    </xf>
    <xf numFmtId="0" fontId="15" fillId="7" borderId="30" xfId="0" applyFont="1" applyFill="1" applyBorder="1" applyAlignment="1">
      <alignment horizontal="center" vertical="center" wrapText="1"/>
    </xf>
    <xf numFmtId="0" fontId="15" fillId="3" borderId="30" xfId="0" applyFont="1" applyFill="1" applyBorder="1" applyAlignment="1">
      <alignment horizontal="center" vertical="center" wrapText="1"/>
    </xf>
    <xf numFmtId="0" fontId="12" fillId="0" borderId="32" xfId="0" quotePrefix="1" applyFont="1" applyBorder="1" applyAlignment="1">
      <alignment horizontal="center" vertical="center" wrapText="1"/>
    </xf>
    <xf numFmtId="0" fontId="12" fillId="0" borderId="49" xfId="0" quotePrefix="1" applyFont="1" applyBorder="1" applyAlignment="1">
      <alignment horizontal="center" vertical="center" wrapText="1"/>
    </xf>
    <xf numFmtId="0" fontId="12" fillId="0" borderId="49" xfId="0" applyFont="1" applyBorder="1" applyAlignment="1">
      <alignment horizontal="center" vertical="center" wrapText="1"/>
    </xf>
    <xf numFmtId="0" fontId="15" fillId="0" borderId="49" xfId="0" applyFont="1" applyBorder="1" applyAlignment="1">
      <alignment horizontal="center" vertical="center" wrapText="1"/>
    </xf>
    <xf numFmtId="0" fontId="15" fillId="3" borderId="50" xfId="0" applyFont="1" applyFill="1" applyBorder="1" applyAlignment="1">
      <alignment horizontal="center" vertical="center" wrapText="1"/>
    </xf>
    <xf numFmtId="0" fontId="12" fillId="0" borderId="33" xfId="0" quotePrefix="1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5" fillId="0" borderId="40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left" vertical="center" wrapText="1"/>
    </xf>
    <xf numFmtId="9" fontId="12" fillId="0" borderId="49" xfId="0" quotePrefix="1" applyNumberFormat="1" applyFont="1" applyBorder="1" applyAlignment="1">
      <alignment horizontal="center" vertical="center" wrapText="1"/>
    </xf>
    <xf numFmtId="17" fontId="21" fillId="0" borderId="7" xfId="1" applyNumberFormat="1" applyFont="1" applyBorder="1" applyAlignment="1">
      <alignment wrapText="1"/>
    </xf>
    <xf numFmtId="0" fontId="7" fillId="0" borderId="22" xfId="0" applyFont="1" applyBorder="1"/>
    <xf numFmtId="0" fontId="7" fillId="0" borderId="12" xfId="0" applyFont="1" applyBorder="1"/>
    <xf numFmtId="0" fontId="7" fillId="0" borderId="23" xfId="0" applyFont="1" applyBorder="1"/>
    <xf numFmtId="0" fontId="5" fillId="5" borderId="55" xfId="0" applyFont="1" applyFill="1" applyBorder="1" applyAlignment="1">
      <alignment vertical="center" wrapText="1"/>
    </xf>
    <xf numFmtId="0" fontId="9" fillId="3" borderId="55" xfId="0" applyFont="1" applyFill="1" applyBorder="1" applyAlignment="1">
      <alignment horizontal="center" vertical="center" wrapText="1"/>
    </xf>
    <xf numFmtId="0" fontId="9" fillId="3" borderId="45" xfId="0" applyFont="1" applyFill="1" applyBorder="1" applyAlignment="1">
      <alignment horizontal="center" vertical="center" wrapText="1"/>
    </xf>
    <xf numFmtId="0" fontId="5" fillId="0" borderId="55" xfId="0" applyFont="1" applyBorder="1" applyAlignment="1">
      <alignment vertical="center" wrapText="1"/>
    </xf>
    <xf numFmtId="0" fontId="12" fillId="0" borderId="35" xfId="0" quotePrefix="1" applyFont="1" applyBorder="1" applyAlignment="1">
      <alignment horizontal="center" vertical="center" wrapText="1"/>
    </xf>
    <xf numFmtId="0" fontId="12" fillId="0" borderId="46" xfId="0" quotePrefix="1" applyFont="1" applyBorder="1" applyAlignment="1">
      <alignment horizontal="center" vertical="center" wrapText="1"/>
    </xf>
    <xf numFmtId="0" fontId="12" fillId="0" borderId="27" xfId="0" quotePrefix="1" applyFont="1" applyBorder="1" applyAlignment="1">
      <alignment horizontal="center" vertical="center" wrapText="1"/>
    </xf>
    <xf numFmtId="0" fontId="12" fillId="0" borderId="28" xfId="0" quotePrefix="1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5" fillId="0" borderId="36" xfId="0" applyFont="1" applyBorder="1" applyAlignment="1">
      <alignment horizontal="center" vertical="center" wrapText="1"/>
    </xf>
    <xf numFmtId="0" fontId="12" fillId="0" borderId="47" xfId="0" quotePrefix="1" applyFont="1" applyBorder="1" applyAlignment="1">
      <alignment horizontal="center" vertical="center" wrapText="1"/>
    </xf>
    <xf numFmtId="0" fontId="12" fillId="0" borderId="10" xfId="0" quotePrefix="1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left" vertical="center" wrapText="1"/>
    </xf>
    <xf numFmtId="0" fontId="12" fillId="0" borderId="16" xfId="0" quotePrefix="1" applyFont="1" applyBorder="1" applyAlignment="1">
      <alignment horizontal="center" vertical="center" wrapText="1"/>
    </xf>
    <xf numFmtId="9" fontId="12" fillId="0" borderId="15" xfId="0" quotePrefix="1" applyNumberFormat="1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9" fontId="12" fillId="0" borderId="16" xfId="0" quotePrefix="1" applyNumberFormat="1" applyFont="1" applyBorder="1" applyAlignment="1">
      <alignment horizontal="center" vertical="center" wrapText="1"/>
    </xf>
    <xf numFmtId="0" fontId="14" fillId="3" borderId="16" xfId="0" applyFont="1" applyFill="1" applyBorder="1" applyAlignment="1">
      <alignment vertical="center" wrapText="1"/>
    </xf>
    <xf numFmtId="0" fontId="14" fillId="0" borderId="12" xfId="0" applyFont="1" applyBorder="1" applyAlignment="1">
      <alignment vertical="center" wrapText="1"/>
    </xf>
    <xf numFmtId="0" fontId="13" fillId="0" borderId="1" xfId="0" applyFont="1" applyBorder="1" applyAlignment="1">
      <alignment vertical="center" textRotation="90" wrapText="1"/>
    </xf>
    <xf numFmtId="0" fontId="0" fillId="0" borderId="12" xfId="0" applyBorder="1"/>
    <xf numFmtId="0" fontId="0" fillId="0" borderId="16" xfId="0" applyBorder="1" applyAlignment="1">
      <alignment horizontal="center" vertical="center"/>
    </xf>
    <xf numFmtId="0" fontId="7" fillId="0" borderId="41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10" fontId="12" fillId="0" borderId="16" xfId="0" quotePrefix="1" applyNumberFormat="1" applyFont="1" applyBorder="1" applyAlignment="1">
      <alignment horizontal="center" vertical="center" wrapText="1"/>
    </xf>
    <xf numFmtId="0" fontId="7" fillId="0" borderId="33" xfId="0" quotePrefix="1" applyFont="1" applyBorder="1" applyAlignment="1">
      <alignment horizontal="center" vertical="center" wrapText="1"/>
    </xf>
    <xf numFmtId="0" fontId="7" fillId="0" borderId="40" xfId="0" quotePrefix="1" applyFont="1" applyBorder="1" applyAlignment="1">
      <alignment horizontal="center" vertical="center" wrapText="1"/>
    </xf>
    <xf numFmtId="0" fontId="7" fillId="0" borderId="32" xfId="0" quotePrefix="1" applyFont="1" applyBorder="1" applyAlignment="1">
      <alignment horizontal="center" vertical="center" wrapText="1"/>
    </xf>
    <xf numFmtId="0" fontId="7" fillId="0" borderId="49" xfId="0" quotePrefix="1" applyFont="1" applyBorder="1" applyAlignment="1">
      <alignment horizontal="center" vertical="center" wrapText="1"/>
    </xf>
    <xf numFmtId="0" fontId="12" fillId="9" borderId="33" xfId="0" applyFont="1" applyFill="1" applyBorder="1" applyAlignment="1">
      <alignment horizontal="left" vertical="center" wrapText="1"/>
    </xf>
    <xf numFmtId="0" fontId="15" fillId="9" borderId="8" xfId="0" applyFont="1" applyFill="1" applyBorder="1" applyAlignment="1">
      <alignment horizontal="center" vertical="center" wrapText="1"/>
    </xf>
    <xf numFmtId="0" fontId="15" fillId="9" borderId="44" xfId="0" applyFont="1" applyFill="1" applyBorder="1" applyAlignment="1">
      <alignment horizontal="center" vertical="center" wrapText="1"/>
    </xf>
    <xf numFmtId="0" fontId="12" fillId="9" borderId="37" xfId="0" applyFont="1" applyFill="1" applyBorder="1" applyAlignment="1">
      <alignment horizontal="left" vertical="center" wrapText="1"/>
    </xf>
    <xf numFmtId="0" fontId="15" fillId="9" borderId="15" xfId="0" applyFont="1" applyFill="1" applyBorder="1" applyAlignment="1">
      <alignment horizontal="center" vertical="center" wrapText="1"/>
    </xf>
    <xf numFmtId="0" fontId="15" fillId="9" borderId="17" xfId="0" applyFont="1" applyFill="1" applyBorder="1" applyAlignment="1">
      <alignment horizontal="center" vertical="center" wrapText="1"/>
    </xf>
    <xf numFmtId="9" fontId="15" fillId="9" borderId="15" xfId="0" applyNumberFormat="1" applyFont="1" applyFill="1" applyBorder="1" applyAlignment="1">
      <alignment horizontal="center" vertical="center" wrapText="1"/>
    </xf>
    <xf numFmtId="9" fontId="15" fillId="9" borderId="17" xfId="0" applyNumberFormat="1" applyFont="1" applyFill="1" applyBorder="1" applyAlignment="1">
      <alignment horizontal="center" vertical="center" wrapText="1"/>
    </xf>
    <xf numFmtId="0" fontId="12" fillId="9" borderId="3" xfId="0" applyFont="1" applyFill="1" applyBorder="1" applyAlignment="1">
      <alignment horizontal="left" vertical="center" wrapText="1"/>
    </xf>
    <xf numFmtId="0" fontId="12" fillId="9" borderId="48" xfId="0" quotePrefix="1" applyFont="1" applyFill="1" applyBorder="1" applyAlignment="1">
      <alignment horizontal="center" vertical="center" wrapText="1"/>
    </xf>
    <xf numFmtId="0" fontId="12" fillId="9" borderId="11" xfId="0" quotePrefix="1" applyFont="1" applyFill="1" applyBorder="1" applyAlignment="1">
      <alignment horizontal="center" vertical="center" wrapText="1"/>
    </xf>
    <xf numFmtId="0" fontId="15" fillId="9" borderId="27" xfId="0" applyFont="1" applyFill="1" applyBorder="1" applyAlignment="1">
      <alignment horizontal="center" vertical="center" wrapText="1"/>
    </xf>
    <xf numFmtId="0" fontId="15" fillId="9" borderId="29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15" fillId="9" borderId="10" xfId="0" applyFont="1" applyFill="1" applyBorder="1" applyAlignment="1">
      <alignment horizontal="center" vertical="center" wrapText="1"/>
    </xf>
    <xf numFmtId="0" fontId="15" fillId="9" borderId="18" xfId="0" applyFont="1" applyFill="1" applyBorder="1" applyAlignment="1">
      <alignment horizontal="center" vertical="center" wrapText="1"/>
    </xf>
    <xf numFmtId="0" fontId="12" fillId="9" borderId="13" xfId="0" applyFont="1" applyFill="1" applyBorder="1" applyAlignment="1">
      <alignment horizontal="left" vertical="center" wrapText="1"/>
    </xf>
    <xf numFmtId="0" fontId="12" fillId="9" borderId="49" xfId="0" applyFont="1" applyFill="1" applyBorder="1" applyAlignment="1">
      <alignment horizontal="center" vertical="center" wrapText="1"/>
    </xf>
    <xf numFmtId="10" fontId="12" fillId="9" borderId="16" xfId="0" quotePrefix="1" applyNumberFormat="1" applyFont="1" applyFill="1" applyBorder="1" applyAlignment="1">
      <alignment horizontal="center" vertical="center" wrapText="1"/>
    </xf>
    <xf numFmtId="0" fontId="12" fillId="9" borderId="22" xfId="0" applyFont="1" applyFill="1" applyBorder="1" applyAlignment="1">
      <alignment horizontal="left" vertical="center" wrapText="1"/>
    </xf>
    <xf numFmtId="0" fontId="12" fillId="9" borderId="32" xfId="0" quotePrefix="1" applyFont="1" applyFill="1" applyBorder="1" applyAlignment="1">
      <alignment horizontal="center" vertical="center" wrapText="1"/>
    </xf>
    <xf numFmtId="0" fontId="12" fillId="9" borderId="49" xfId="0" quotePrefix="1" applyFont="1" applyFill="1" applyBorder="1" applyAlignment="1">
      <alignment horizontal="center" vertical="center" wrapText="1"/>
    </xf>
    <xf numFmtId="0" fontId="15" fillId="9" borderId="49" xfId="0" applyFont="1" applyFill="1" applyBorder="1" applyAlignment="1">
      <alignment horizontal="center" vertical="center" wrapText="1"/>
    </xf>
    <xf numFmtId="2" fontId="15" fillId="10" borderId="50" xfId="0" applyNumberFormat="1" applyFont="1" applyFill="1" applyBorder="1" applyAlignment="1">
      <alignment horizontal="center" vertical="center" wrapText="1"/>
    </xf>
    <xf numFmtId="0" fontId="12" fillId="9" borderId="51" xfId="0" applyFont="1" applyFill="1" applyBorder="1" applyAlignment="1">
      <alignment horizontal="left" vertical="center" wrapText="1"/>
    </xf>
    <xf numFmtId="0" fontId="12" fillId="9" borderId="41" xfId="0" applyFont="1" applyFill="1" applyBorder="1" applyAlignment="1">
      <alignment horizontal="left" vertical="center" wrapText="1"/>
    </xf>
    <xf numFmtId="0" fontId="12" fillId="9" borderId="33" xfId="0" quotePrefix="1" applyFont="1" applyFill="1" applyBorder="1" applyAlignment="1">
      <alignment horizontal="center" vertical="center" wrapText="1"/>
    </xf>
    <xf numFmtId="0" fontId="12" fillId="9" borderId="40" xfId="0" quotePrefix="1" applyFont="1" applyFill="1" applyBorder="1" applyAlignment="1">
      <alignment horizontal="center" vertical="center" wrapText="1"/>
    </xf>
    <xf numFmtId="0" fontId="12" fillId="9" borderId="40" xfId="0" applyFont="1" applyFill="1" applyBorder="1" applyAlignment="1">
      <alignment horizontal="center" vertical="center" wrapText="1"/>
    </xf>
    <xf numFmtId="0" fontId="15" fillId="9" borderId="40" xfId="0" applyFont="1" applyFill="1" applyBorder="1" applyAlignment="1">
      <alignment horizontal="center" vertical="center" wrapText="1"/>
    </xf>
    <xf numFmtId="0" fontId="15" fillId="10" borderId="30" xfId="0" applyFont="1" applyFill="1" applyBorder="1" applyAlignment="1">
      <alignment horizontal="center" vertical="center" wrapText="1"/>
    </xf>
    <xf numFmtId="0" fontId="15" fillId="10" borderId="50" xfId="0" applyFont="1" applyFill="1" applyBorder="1" applyAlignment="1">
      <alignment horizontal="center" vertical="center" wrapText="1"/>
    </xf>
    <xf numFmtId="9" fontId="12" fillId="9" borderId="49" xfId="0" quotePrefix="1" applyNumberFormat="1" applyFont="1" applyFill="1" applyBorder="1" applyAlignment="1">
      <alignment horizontal="center" vertical="center" wrapText="1"/>
    </xf>
    <xf numFmtId="0" fontId="7" fillId="0" borderId="13" xfId="0" applyFont="1" applyBorder="1" applyAlignment="1">
      <alignment vertical="center" wrapText="1"/>
    </xf>
    <xf numFmtId="0" fontId="19" fillId="3" borderId="56" xfId="0" applyFont="1" applyFill="1" applyBorder="1" applyAlignment="1">
      <alignment horizontal="center" vertical="center" wrapText="1"/>
    </xf>
    <xf numFmtId="0" fontId="19" fillId="3" borderId="31" xfId="0" applyFont="1" applyFill="1" applyBorder="1" applyAlignment="1">
      <alignment horizontal="center" vertical="center" wrapText="1"/>
    </xf>
    <xf numFmtId="0" fontId="19" fillId="3" borderId="32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4" fillId="3" borderId="57" xfId="0" applyFont="1" applyFill="1" applyBorder="1" applyAlignment="1">
      <alignment horizontal="center" vertical="center" wrapText="1"/>
    </xf>
    <xf numFmtId="0" fontId="12" fillId="0" borderId="43" xfId="0" quotePrefix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49" xfId="0" applyFont="1" applyBorder="1" applyAlignment="1">
      <alignment horizontal="center" vertical="center" wrapText="1"/>
    </xf>
    <xf numFmtId="0" fontId="19" fillId="10" borderId="56" xfId="0" applyFont="1" applyFill="1" applyBorder="1" applyAlignment="1">
      <alignment horizontal="center" vertical="center" wrapText="1"/>
    </xf>
    <xf numFmtId="0" fontId="19" fillId="10" borderId="31" xfId="0" applyFont="1" applyFill="1" applyBorder="1" applyAlignment="1">
      <alignment horizontal="center" vertical="center" wrapText="1"/>
    </xf>
    <xf numFmtId="0" fontId="19" fillId="10" borderId="32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4" fillId="10" borderId="57" xfId="0" applyFont="1" applyFill="1" applyBorder="1" applyAlignment="1">
      <alignment horizontal="center" vertical="center" wrapText="1"/>
    </xf>
    <xf numFmtId="0" fontId="12" fillId="9" borderId="43" xfId="0" quotePrefix="1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2" fillId="9" borderId="49" xfId="0" applyFont="1" applyFill="1" applyBorder="1" applyAlignment="1">
      <alignment horizontal="center" vertical="center" wrapText="1"/>
    </xf>
    <xf numFmtId="0" fontId="12" fillId="9" borderId="42" xfId="0" quotePrefix="1" applyFont="1" applyFill="1" applyBorder="1" applyAlignment="1">
      <alignment horizontal="center" vertical="center" wrapText="1"/>
    </xf>
    <xf numFmtId="0" fontId="12" fillId="9" borderId="58" xfId="0" quotePrefix="1" applyFont="1" applyFill="1" applyBorder="1" applyAlignment="1">
      <alignment horizontal="center" vertical="center" wrapText="1"/>
    </xf>
    <xf numFmtId="0" fontId="12" fillId="9" borderId="59" xfId="0" quotePrefix="1" applyFont="1" applyFill="1" applyBorder="1" applyAlignment="1">
      <alignment horizontal="center" vertical="center" wrapText="1"/>
    </xf>
    <xf numFmtId="9" fontId="12" fillId="9" borderId="42" xfId="0" quotePrefix="1" applyNumberFormat="1" applyFont="1" applyFill="1" applyBorder="1" applyAlignment="1">
      <alignment horizontal="center" vertical="center" wrapText="1"/>
    </xf>
    <xf numFmtId="9" fontId="12" fillId="9" borderId="58" xfId="0" quotePrefix="1" applyNumberFormat="1" applyFont="1" applyFill="1" applyBorder="1" applyAlignment="1">
      <alignment horizontal="center" vertical="center" wrapText="1"/>
    </xf>
    <xf numFmtId="9" fontId="12" fillId="9" borderId="59" xfId="0" quotePrefix="1" applyNumberFormat="1" applyFont="1" applyFill="1" applyBorder="1" applyAlignment="1">
      <alignment horizontal="center" vertical="center" wrapText="1"/>
    </xf>
    <xf numFmtId="0" fontId="19" fillId="0" borderId="56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20" fillId="0" borderId="34" xfId="0" applyFont="1" applyBorder="1"/>
    <xf numFmtId="0" fontId="12" fillId="0" borderId="19" xfId="0" quotePrefix="1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5" fillId="9" borderId="56" xfId="0" applyFont="1" applyFill="1" applyBorder="1" applyAlignment="1">
      <alignment horizontal="center" vertical="center"/>
    </xf>
    <xf numFmtId="0" fontId="15" fillId="9" borderId="31" xfId="0" applyFont="1" applyFill="1" applyBorder="1" applyAlignment="1">
      <alignment horizontal="center" vertical="center"/>
    </xf>
    <xf numFmtId="0" fontId="15" fillId="9" borderId="34" xfId="0" applyFont="1" applyFill="1" applyBorder="1" applyAlignment="1">
      <alignment horizontal="center" vertical="center"/>
    </xf>
    <xf numFmtId="0" fontId="12" fillId="9" borderId="9" xfId="0" applyFont="1" applyFill="1" applyBorder="1" applyAlignment="1">
      <alignment horizontal="center" vertical="center" wrapText="1"/>
    </xf>
    <xf numFmtId="0" fontId="12" fillId="9" borderId="10" xfId="0" applyFont="1" applyFill="1" applyBorder="1" applyAlignment="1">
      <alignment horizontal="center" vertical="center" wrapText="1"/>
    </xf>
    <xf numFmtId="0" fontId="12" fillId="9" borderId="11" xfId="0" applyFont="1" applyFill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3" fillId="0" borderId="19" xfId="0" applyFont="1" applyBorder="1"/>
    <xf numFmtId="0" fontId="3" fillId="0" borderId="52" xfId="0" applyFont="1" applyBorder="1"/>
    <xf numFmtId="0" fontId="0" fillId="0" borderId="22" xfId="0" applyBorder="1"/>
    <xf numFmtId="0" fontId="3" fillId="0" borderId="2" xfId="0" applyFont="1" applyBorder="1"/>
    <xf numFmtId="0" fontId="3" fillId="0" borderId="53" xfId="0" applyFont="1" applyBorder="1"/>
    <xf numFmtId="0" fontId="3" fillId="0" borderId="5" xfId="0" applyFont="1" applyBorder="1"/>
    <xf numFmtId="0" fontId="7" fillId="0" borderId="12" xfId="0" applyFont="1" applyBorder="1" applyAlignment="1">
      <alignment horizontal="center" vertical="center" wrapText="1"/>
    </xf>
    <xf numFmtId="0" fontId="3" fillId="0" borderId="12" xfId="0" applyFont="1" applyBorder="1"/>
    <xf numFmtId="0" fontId="3" fillId="0" borderId="23" xfId="0" applyFont="1" applyBorder="1"/>
    <xf numFmtId="0" fontId="5" fillId="0" borderId="3" xfId="0" applyFont="1" applyBorder="1" applyAlignment="1">
      <alignment vertical="center" wrapText="1"/>
    </xf>
    <xf numFmtId="0" fontId="8" fillId="5" borderId="13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/>
    </xf>
    <xf numFmtId="0" fontId="8" fillId="5" borderId="39" xfId="0" applyFont="1" applyFill="1" applyBorder="1" applyAlignment="1">
      <alignment horizontal="center" vertical="center"/>
    </xf>
    <xf numFmtId="0" fontId="17" fillId="8" borderId="16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9" fillId="3" borderId="42" xfId="0" applyFont="1" applyFill="1" applyBorder="1" applyAlignment="1">
      <alignment horizontal="center" vertical="center" wrapText="1"/>
    </xf>
    <xf numFmtId="0" fontId="19" fillId="9" borderId="56" xfId="0" applyFont="1" applyFill="1" applyBorder="1" applyAlignment="1">
      <alignment horizontal="center" vertical="center" wrapText="1"/>
    </xf>
    <xf numFmtId="0" fontId="19" fillId="9" borderId="31" xfId="0" applyFont="1" applyFill="1" applyBorder="1" applyAlignment="1">
      <alignment horizontal="center" vertical="center" wrapText="1"/>
    </xf>
    <xf numFmtId="0" fontId="20" fillId="9" borderId="34" xfId="0" applyFont="1" applyFill="1" applyBorder="1"/>
    <xf numFmtId="0" fontId="14" fillId="9" borderId="13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4" fillId="9" borderId="3" xfId="0" applyFont="1" applyFill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54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 textRotation="90" wrapText="1"/>
    </xf>
    <xf numFmtId="0" fontId="13" fillId="2" borderId="18" xfId="0" applyFont="1" applyFill="1" applyBorder="1" applyAlignment="1">
      <alignment horizontal="center" vertical="center" textRotation="90" wrapText="1"/>
    </xf>
    <xf numFmtId="0" fontId="16" fillId="0" borderId="19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11" fillId="0" borderId="16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10" fillId="0" borderId="16" xfId="0" applyFont="1" applyBorder="1" applyAlignment="1">
      <alignment horizontal="left"/>
    </xf>
    <xf numFmtId="0" fontId="5" fillId="0" borderId="16" xfId="0" applyFont="1" applyBorder="1" applyAlignment="1">
      <alignment horizontal="left"/>
    </xf>
    <xf numFmtId="0" fontId="2" fillId="0" borderId="16" xfId="0" applyFont="1" applyBorder="1" applyAlignment="1">
      <alignment horizontal="center"/>
    </xf>
    <xf numFmtId="0" fontId="3" fillId="0" borderId="16" xfId="0" applyFont="1" applyBorder="1"/>
    <xf numFmtId="0" fontId="24" fillId="0" borderId="9" xfId="1" applyFont="1" applyBorder="1" applyAlignment="1">
      <alignment horizontal="center" vertical="center" wrapText="1"/>
    </xf>
    <xf numFmtId="0" fontId="11" fillId="0" borderId="10" xfId="1" applyFont="1" applyBorder="1"/>
    <xf numFmtId="0" fontId="11" fillId="0" borderId="11" xfId="1" applyFont="1" applyBorder="1"/>
    <xf numFmtId="0" fontId="24" fillId="4" borderId="9" xfId="1" applyFont="1" applyFill="1" applyBorder="1" applyAlignment="1">
      <alignment horizontal="center" vertical="center" wrapText="1"/>
    </xf>
    <xf numFmtId="0" fontId="21" fillId="0" borderId="13" xfId="1" applyFont="1" applyBorder="1" applyAlignment="1">
      <alignment horizontal="center"/>
    </xf>
    <xf numFmtId="0" fontId="11" fillId="0" borderId="15" xfId="1" applyFont="1" applyBorder="1"/>
    <xf numFmtId="0" fontId="11" fillId="0" borderId="1" xfId="1" applyFont="1" applyBorder="1"/>
    <xf numFmtId="0" fontId="11" fillId="0" borderId="2" xfId="1" applyFont="1" applyBorder="1"/>
    <xf numFmtId="0" fontId="11" fillId="0" borderId="3" xfId="1" applyFont="1" applyBorder="1"/>
    <xf numFmtId="0" fontId="11" fillId="0" borderId="5" xfId="1" applyFont="1" applyBorder="1"/>
    <xf numFmtId="0" fontId="13" fillId="0" borderId="13" xfId="1" applyFont="1" applyBorder="1" applyAlignment="1">
      <alignment horizontal="center" vertical="center"/>
    </xf>
    <xf numFmtId="0" fontId="11" fillId="0" borderId="14" xfId="1" applyFont="1" applyBorder="1"/>
    <xf numFmtId="0" fontId="1" fillId="0" borderId="12" xfId="1"/>
    <xf numFmtId="0" fontId="11" fillId="0" borderId="4" xfId="1" applyFont="1" applyBorder="1"/>
    <xf numFmtId="0" fontId="22" fillId="0" borderId="9" xfId="1" applyFont="1" applyBorder="1" applyAlignment="1">
      <alignment horizontal="center" vertical="center" wrapText="1"/>
    </xf>
    <xf numFmtId="49" fontId="22" fillId="0" borderId="9" xfId="1" applyNumberFormat="1" applyFont="1" applyBorder="1" applyAlignment="1">
      <alignment horizontal="center" vertical="center"/>
    </xf>
    <xf numFmtId="0" fontId="22" fillId="0" borderId="13" xfId="1" applyFont="1" applyBorder="1" applyAlignment="1">
      <alignment horizontal="center" vertical="center"/>
    </xf>
  </cellXfs>
  <cellStyles count="2">
    <cellStyle name="Normal" xfId="0" builtinId="0"/>
    <cellStyle name="Normal 2" xfId="1" xr:uid="{D15AD921-B5EE-4965-9DCA-12735ADE6558}"/>
  </cellStyles>
  <dxfs count="10">
    <dxf>
      <fill>
        <patternFill patternType="none"/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theme="0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theme="0"/>
        </patternFill>
      </fill>
    </dxf>
    <dxf>
      <fill>
        <patternFill>
          <bgColor rgb="FFFFCCCC"/>
        </patternFill>
      </fill>
    </dxf>
  </dxfs>
  <tableStyles count="0" defaultTableStyle="TableStyleMedium2" defaultPivotStyle="PivotStyleLight16"/>
  <colors>
    <mruColors>
      <color rgb="FFE9EDF7"/>
      <color rgb="FFFFCCCC"/>
      <color rgb="FFFFBDBD"/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9" Type="http://schemas.openxmlformats.org/officeDocument/2006/relationships/customXml" Target="../customXml/item3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422564</xdr:colOff>
      <xdr:row>0</xdr:row>
      <xdr:rowOff>152400</xdr:rowOff>
    </xdr:from>
    <xdr:to>
      <xdr:col>1</xdr:col>
      <xdr:colOff>1280035</xdr:colOff>
      <xdr:row>3</xdr:row>
      <xdr:rowOff>173181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EF526F6-C1E2-4BB6-B710-CB350BAF1C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274" t="29819" r="10883" b="33288"/>
        <a:stretch>
          <a:fillRect/>
        </a:stretch>
      </xdr:blipFill>
      <xdr:spPr>
        <a:xfrm>
          <a:off x="422564" y="152400"/>
          <a:ext cx="1674889" cy="5611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163286</xdr:colOff>
      <xdr:row>0</xdr:row>
      <xdr:rowOff>163285</xdr:rowOff>
    </xdr:from>
    <xdr:to>
      <xdr:col>2</xdr:col>
      <xdr:colOff>1419982</xdr:colOff>
      <xdr:row>4</xdr:row>
      <xdr:rowOff>125678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0074659-6048-454B-9E89-3270844F01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274" t="29819" r="10883" b="33288"/>
        <a:stretch>
          <a:fillRect/>
        </a:stretch>
      </xdr:blipFill>
      <xdr:spPr>
        <a:xfrm>
          <a:off x="1129393" y="163285"/>
          <a:ext cx="1651303" cy="7788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1</xdr:row>
      <xdr:rowOff>0</xdr:rowOff>
    </xdr:from>
    <xdr:to>
      <xdr:col>1</xdr:col>
      <xdr:colOff>742074</xdr:colOff>
      <xdr:row>3</xdr:row>
      <xdr:rowOff>158518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798F5B6-D31F-4203-AA3A-FAA9374710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274" t="29819" r="10883" b="33288"/>
        <a:stretch>
          <a:fillRect/>
        </a:stretch>
      </xdr:blipFill>
      <xdr:spPr>
        <a:xfrm>
          <a:off x="190500" y="198120"/>
          <a:ext cx="1671714" cy="5547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48"/>
  <sheetViews>
    <sheetView showGridLines="0" zoomScale="110" zoomScaleNormal="110" workbookViewId="0">
      <selection activeCell="J14" sqref="J14"/>
    </sheetView>
  </sheetViews>
  <sheetFormatPr defaultColWidth="14.42578125" defaultRowHeight="15" customHeight="1" x14ac:dyDescent="0.25"/>
  <cols>
    <col min="1" max="1" width="11.85546875" customWidth="1"/>
    <col min="2" max="2" width="25.42578125" customWidth="1"/>
    <col min="3" max="3" width="22.42578125" customWidth="1"/>
    <col min="4" max="4" width="4.5703125" customWidth="1"/>
    <col min="5" max="5" width="21.28515625" customWidth="1"/>
    <col min="6" max="6" width="15.140625" customWidth="1"/>
    <col min="7" max="7" width="24.85546875" customWidth="1"/>
    <col min="8" max="8" width="9.140625" customWidth="1"/>
    <col min="9" max="9" width="5.28515625" customWidth="1"/>
    <col min="10" max="10" width="9.140625" customWidth="1"/>
    <col min="11" max="11" width="0.140625" customWidth="1"/>
    <col min="12" max="12" width="7" customWidth="1"/>
    <col min="13" max="13" width="4.28515625" customWidth="1"/>
    <col min="14" max="15" width="8.7109375" customWidth="1"/>
  </cols>
  <sheetData>
    <row r="1" spans="1:11" ht="14.45" customHeight="1" x14ac:dyDescent="0.25">
      <c r="A1" s="197"/>
      <c r="B1" s="198"/>
      <c r="C1" s="192" t="s">
        <v>0</v>
      </c>
      <c r="D1" s="173"/>
      <c r="E1" s="173"/>
      <c r="F1" s="173"/>
      <c r="G1" s="174"/>
    </row>
    <row r="2" spans="1:11" ht="14.45" customHeight="1" x14ac:dyDescent="0.25">
      <c r="A2" s="197"/>
      <c r="B2" s="198"/>
      <c r="C2" s="193"/>
      <c r="D2" s="176"/>
      <c r="E2" s="176"/>
      <c r="F2" s="176"/>
      <c r="G2" s="177"/>
    </row>
    <row r="3" spans="1:11" ht="14.45" customHeight="1" x14ac:dyDescent="0.25">
      <c r="A3" s="197"/>
      <c r="B3" s="198"/>
      <c r="C3" s="193"/>
      <c r="D3" s="176"/>
      <c r="E3" s="176"/>
      <c r="F3" s="176"/>
      <c r="G3" s="177"/>
    </row>
    <row r="4" spans="1:11" ht="14.45" customHeight="1" x14ac:dyDescent="0.25">
      <c r="A4" s="197"/>
      <c r="B4" s="198"/>
      <c r="C4" s="193"/>
      <c r="D4" s="176"/>
      <c r="E4" s="176"/>
      <c r="F4" s="176"/>
      <c r="G4" s="177"/>
    </row>
    <row r="5" spans="1:11" ht="14.45" customHeight="1" x14ac:dyDescent="0.25">
      <c r="A5" s="199"/>
      <c r="B5" s="200"/>
      <c r="C5" s="194"/>
      <c r="D5" s="195"/>
      <c r="E5" s="195"/>
      <c r="F5" s="195"/>
      <c r="G5" s="196"/>
    </row>
    <row r="6" spans="1:11" x14ac:dyDescent="0.25">
      <c r="A6" s="203" t="s">
        <v>30</v>
      </c>
      <c r="B6" s="204"/>
      <c r="C6" s="204"/>
      <c r="D6" s="201" t="s">
        <v>29</v>
      </c>
      <c r="E6" s="202"/>
      <c r="F6" s="202"/>
      <c r="G6" s="202"/>
    </row>
    <row r="7" spans="1:11" x14ac:dyDescent="0.25">
      <c r="A7" s="203" t="s">
        <v>26</v>
      </c>
      <c r="B7" s="203"/>
      <c r="C7" s="203"/>
      <c r="D7" s="203"/>
      <c r="E7" s="203"/>
      <c r="F7" s="203"/>
      <c r="G7" s="203"/>
    </row>
    <row r="8" spans="1:11" x14ac:dyDescent="0.25">
      <c r="A8" s="205"/>
      <c r="B8" s="206"/>
      <c r="C8" s="206"/>
      <c r="D8" s="206"/>
      <c r="E8" s="206"/>
      <c r="F8" s="206"/>
      <c r="G8" s="206"/>
    </row>
    <row r="9" spans="1:11" ht="78.75" customHeight="1" x14ac:dyDescent="0.25">
      <c r="A9" s="3" t="s">
        <v>1</v>
      </c>
      <c r="B9" s="3" t="s">
        <v>2</v>
      </c>
      <c r="C9" s="3" t="s">
        <v>3</v>
      </c>
      <c r="D9" s="3" t="s">
        <v>4</v>
      </c>
      <c r="E9" s="3" t="s">
        <v>5</v>
      </c>
      <c r="F9" s="6" t="s">
        <v>6</v>
      </c>
      <c r="G9" s="3" t="s">
        <v>7</v>
      </c>
      <c r="K9" s="1"/>
    </row>
    <row r="10" spans="1:11" ht="42.75" x14ac:dyDescent="0.25">
      <c r="A10" s="190" t="s">
        <v>23</v>
      </c>
      <c r="B10" s="5" t="s">
        <v>34</v>
      </c>
      <c r="C10" s="4" t="s">
        <v>77</v>
      </c>
      <c r="D10" s="2">
        <v>1</v>
      </c>
      <c r="E10" s="4" t="s">
        <v>80</v>
      </c>
      <c r="F10" s="8" t="s">
        <v>27</v>
      </c>
      <c r="G10" s="4" t="s">
        <v>54</v>
      </c>
    </row>
    <row r="11" spans="1:11" ht="57" x14ac:dyDescent="0.25">
      <c r="A11" s="191"/>
      <c r="B11" s="5" t="s">
        <v>35</v>
      </c>
      <c r="C11" s="4" t="s">
        <v>67</v>
      </c>
      <c r="D11" s="2">
        <v>2</v>
      </c>
      <c r="E11" s="4" t="s">
        <v>32</v>
      </c>
      <c r="F11" s="8" t="s">
        <v>27</v>
      </c>
      <c r="G11" s="4" t="s">
        <v>8</v>
      </c>
    </row>
    <row r="12" spans="1:11" ht="57" x14ac:dyDescent="0.25">
      <c r="A12" s="191"/>
      <c r="B12" s="5" t="s">
        <v>36</v>
      </c>
      <c r="C12" s="4" t="s">
        <v>72</v>
      </c>
      <c r="D12" s="2">
        <v>3</v>
      </c>
      <c r="E12" s="4" t="s">
        <v>73</v>
      </c>
      <c r="F12" s="8" t="s">
        <v>27</v>
      </c>
      <c r="G12" s="4" t="s">
        <v>8</v>
      </c>
    </row>
    <row r="13" spans="1:11" ht="57" x14ac:dyDescent="0.25">
      <c r="A13" s="191"/>
      <c r="B13" s="60" t="s">
        <v>69</v>
      </c>
      <c r="C13" s="59" t="s">
        <v>31</v>
      </c>
      <c r="D13" s="61">
        <v>4</v>
      </c>
      <c r="E13" s="59" t="s">
        <v>33</v>
      </c>
      <c r="F13" s="58" t="s">
        <v>27</v>
      </c>
      <c r="G13" s="59" t="s">
        <v>8</v>
      </c>
    </row>
    <row r="14" spans="1:11" ht="128.25" x14ac:dyDescent="0.25">
      <c r="A14" s="191"/>
      <c r="B14" s="62" t="s">
        <v>65</v>
      </c>
      <c r="C14" s="62" t="s">
        <v>57</v>
      </c>
      <c r="D14" s="63">
        <v>5</v>
      </c>
      <c r="E14" s="62" t="s">
        <v>64</v>
      </c>
      <c r="F14" s="64" t="s">
        <v>27</v>
      </c>
      <c r="G14" s="62" t="s">
        <v>8</v>
      </c>
    </row>
    <row r="15" spans="1:11" ht="96.6" customHeight="1" x14ac:dyDescent="0.25">
      <c r="A15" s="191"/>
      <c r="B15" s="62" t="s">
        <v>63</v>
      </c>
      <c r="C15" s="65" t="s">
        <v>60</v>
      </c>
      <c r="D15" s="63">
        <v>6</v>
      </c>
      <c r="E15" s="62" t="s">
        <v>76</v>
      </c>
      <c r="F15" s="57" t="s">
        <v>62</v>
      </c>
      <c r="G15" s="62" t="s">
        <v>8</v>
      </c>
    </row>
    <row r="16" spans="1:11" ht="42.75" x14ac:dyDescent="0.25">
      <c r="A16" s="191"/>
      <c r="B16" s="62" t="s">
        <v>86</v>
      </c>
      <c r="C16" s="65" t="s">
        <v>81</v>
      </c>
      <c r="D16" s="69">
        <v>7</v>
      </c>
      <c r="E16" s="62" t="s">
        <v>85</v>
      </c>
      <c r="F16" s="57" t="s">
        <v>84</v>
      </c>
      <c r="G16" s="62" t="s">
        <v>8</v>
      </c>
    </row>
    <row r="17" spans="1:3" ht="15.75" customHeight="1" x14ac:dyDescent="0.25">
      <c r="A17" s="67"/>
      <c r="B17" s="68"/>
      <c r="C17" s="66"/>
    </row>
    <row r="18" spans="1:3" ht="15.75" customHeight="1" x14ac:dyDescent="0.25">
      <c r="C18" s="66"/>
    </row>
    <row r="19" spans="1:3" ht="15.75" customHeight="1" x14ac:dyDescent="0.25"/>
    <row r="20" spans="1:3" ht="15.75" customHeight="1" x14ac:dyDescent="0.25"/>
    <row r="21" spans="1:3" ht="15.75" customHeight="1" x14ac:dyDescent="0.25"/>
    <row r="22" spans="1:3" ht="15.75" customHeight="1" x14ac:dyDescent="0.25"/>
    <row r="23" spans="1:3" ht="15.75" customHeight="1" x14ac:dyDescent="0.25"/>
    <row r="24" spans="1:3" ht="15.75" customHeight="1" x14ac:dyDescent="0.25"/>
    <row r="25" spans="1:3" ht="15.75" customHeight="1" x14ac:dyDescent="0.25"/>
    <row r="26" spans="1:3" ht="15.75" customHeight="1" x14ac:dyDescent="0.25"/>
    <row r="27" spans="1:3" ht="15.75" customHeight="1" x14ac:dyDescent="0.25"/>
    <row r="28" spans="1:3" ht="15.75" customHeight="1" x14ac:dyDescent="0.25"/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</sheetData>
  <autoFilter ref="A9:G13" xr:uid="{00000000-0009-0000-0000-000000000000}"/>
  <mergeCells count="7">
    <mergeCell ref="A10:A16"/>
    <mergeCell ref="C1:G5"/>
    <mergeCell ref="A1:B5"/>
    <mergeCell ref="D6:G6"/>
    <mergeCell ref="A6:C6"/>
    <mergeCell ref="A7:G7"/>
    <mergeCell ref="A8:G8"/>
  </mergeCells>
  <phoneticPr fontId="25" type="noConversion"/>
  <pageMargins left="0.511811024" right="0.511811024" top="0.78740157499999996" bottom="0.78740157499999996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S962"/>
  <sheetViews>
    <sheetView showGridLines="0" tabSelected="1" zoomScale="70" zoomScaleNormal="70" workbookViewId="0">
      <selection activeCell="W8" sqref="W8"/>
    </sheetView>
  </sheetViews>
  <sheetFormatPr defaultColWidth="14.42578125" defaultRowHeight="15" customHeight="1" x14ac:dyDescent="0.25"/>
  <cols>
    <col min="2" max="2" width="6" customWidth="1"/>
    <col min="3" max="3" width="22.42578125" customWidth="1"/>
    <col min="4" max="4" width="31.7109375" customWidth="1"/>
    <col min="5" max="5" width="9" customWidth="1"/>
    <col min="6" max="6" width="10.7109375" customWidth="1"/>
    <col min="7" max="7" width="12.28515625" customWidth="1"/>
    <col min="8" max="13" width="10.7109375" customWidth="1"/>
    <col min="14" max="14" width="12.7109375" customWidth="1"/>
    <col min="15" max="15" width="10.7109375" customWidth="1"/>
    <col min="16" max="16" width="13.42578125" customWidth="1"/>
    <col min="17" max="17" width="13.5703125" customWidth="1"/>
    <col min="18" max="18" width="13.7109375" customWidth="1"/>
    <col min="19" max="19" width="14" customWidth="1"/>
    <col min="20" max="28" width="8.7109375" customWidth="1"/>
  </cols>
  <sheetData>
    <row r="1" spans="2:19" ht="15.75" customHeight="1" x14ac:dyDescent="0.25">
      <c r="B1" s="150"/>
      <c r="C1" s="151"/>
      <c r="D1" s="172" t="s">
        <v>88</v>
      </c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4"/>
      <c r="Q1" s="181" t="s">
        <v>89</v>
      </c>
      <c r="R1" s="182"/>
      <c r="S1" s="183"/>
    </row>
    <row r="2" spans="2:19" ht="15.75" customHeight="1" x14ac:dyDescent="0.25">
      <c r="B2" s="152"/>
      <c r="C2" s="153"/>
      <c r="D2" s="175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7"/>
      <c r="Q2" s="184"/>
      <c r="R2" s="185"/>
      <c r="S2" s="186"/>
    </row>
    <row r="3" spans="2:19" ht="15.75" customHeight="1" x14ac:dyDescent="0.25">
      <c r="B3" s="152"/>
      <c r="C3" s="153"/>
      <c r="D3" s="175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7"/>
      <c r="Q3" s="184"/>
      <c r="R3" s="185"/>
      <c r="S3" s="186"/>
    </row>
    <row r="4" spans="2:19" ht="15.75" customHeight="1" x14ac:dyDescent="0.25">
      <c r="B4" s="152"/>
      <c r="C4" s="153"/>
      <c r="D4" s="175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7"/>
      <c r="Q4" s="184"/>
      <c r="R4" s="185"/>
      <c r="S4" s="186"/>
    </row>
    <row r="5" spans="2:19" ht="15.75" customHeight="1" x14ac:dyDescent="0.25">
      <c r="B5" s="154"/>
      <c r="C5" s="155"/>
      <c r="D5" s="178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80"/>
      <c r="Q5" s="187"/>
      <c r="R5" s="188"/>
      <c r="S5" s="189"/>
    </row>
    <row r="6" spans="2:19" x14ac:dyDescent="0.25">
      <c r="B6" s="38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40"/>
    </row>
    <row r="7" spans="2:19" ht="28.5" customHeight="1" x14ac:dyDescent="0.25">
      <c r="B7" s="41"/>
      <c r="C7" s="160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161"/>
      <c r="S7" s="162"/>
    </row>
    <row r="8" spans="2:19" ht="28.5" customHeight="1" x14ac:dyDescent="0.25">
      <c r="B8" s="42"/>
      <c r="C8" s="18" t="s">
        <v>9</v>
      </c>
      <c r="D8" s="110" t="s">
        <v>87</v>
      </c>
      <c r="E8" s="9"/>
      <c r="F8" s="156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8"/>
    </row>
    <row r="9" spans="2:19" ht="28.5" customHeight="1" x14ac:dyDescent="0.25">
      <c r="B9" s="43"/>
      <c r="C9" s="164"/>
      <c r="D9" s="164"/>
      <c r="E9" s="165"/>
      <c r="F9" s="163">
        <v>2026</v>
      </c>
      <c r="G9" s="163"/>
      <c r="H9" s="163"/>
      <c r="I9" s="163"/>
      <c r="J9" s="163"/>
      <c r="K9" s="163"/>
      <c r="L9" s="163"/>
      <c r="M9" s="163"/>
      <c r="N9" s="163"/>
      <c r="O9" s="163"/>
      <c r="P9" s="163"/>
      <c r="Q9" s="163"/>
      <c r="R9" s="163"/>
      <c r="S9" s="163"/>
    </row>
    <row r="10" spans="2:19" ht="27.75" customHeight="1" x14ac:dyDescent="0.25">
      <c r="B10" s="44"/>
      <c r="C10" s="159"/>
      <c r="D10" s="153"/>
      <c r="E10" s="23" t="s">
        <v>28</v>
      </c>
      <c r="F10" s="24" t="s">
        <v>10</v>
      </c>
      <c r="G10" s="19" t="s">
        <v>11</v>
      </c>
      <c r="H10" s="19" t="s">
        <v>12</v>
      </c>
      <c r="I10" s="19" t="s">
        <v>13</v>
      </c>
      <c r="J10" s="19" t="s">
        <v>14</v>
      </c>
      <c r="K10" s="19" t="s">
        <v>15</v>
      </c>
      <c r="L10" s="19" t="s">
        <v>16</v>
      </c>
      <c r="M10" s="19" t="s">
        <v>17</v>
      </c>
      <c r="N10" s="19" t="s">
        <v>18</v>
      </c>
      <c r="O10" s="19" t="s">
        <v>19</v>
      </c>
      <c r="P10" s="19" t="s">
        <v>20</v>
      </c>
      <c r="Q10" s="19" t="s">
        <v>21</v>
      </c>
      <c r="R10" s="7" t="s">
        <v>24</v>
      </c>
      <c r="S10" s="25" t="s">
        <v>25</v>
      </c>
    </row>
    <row r="11" spans="2:19" ht="28.15" customHeight="1" x14ac:dyDescent="0.25">
      <c r="B11" s="166">
        <v>1</v>
      </c>
      <c r="C11" s="169" t="s">
        <v>77</v>
      </c>
      <c r="D11" s="77" t="s">
        <v>78</v>
      </c>
      <c r="E11" s="126" t="s">
        <v>37</v>
      </c>
      <c r="F11" s="129">
        <v>155</v>
      </c>
      <c r="G11" s="130"/>
      <c r="H11" s="130"/>
      <c r="I11" s="130"/>
      <c r="J11" s="130"/>
      <c r="K11" s="131"/>
      <c r="L11" s="129"/>
      <c r="M11" s="130"/>
      <c r="N11" s="130"/>
      <c r="O11" s="130"/>
      <c r="P11" s="130"/>
      <c r="Q11" s="131"/>
      <c r="R11" s="78">
        <f>SUM(F11:Q11)</f>
        <v>155</v>
      </c>
      <c r="S11" s="79">
        <f>MEDIAN(F11:Q11)</f>
        <v>155</v>
      </c>
    </row>
    <row r="12" spans="2:19" ht="28.15" customHeight="1" x14ac:dyDescent="0.25">
      <c r="B12" s="167"/>
      <c r="C12" s="170"/>
      <c r="D12" s="80" t="s">
        <v>79</v>
      </c>
      <c r="E12" s="127"/>
      <c r="F12" s="129">
        <v>196</v>
      </c>
      <c r="G12" s="130"/>
      <c r="H12" s="130"/>
      <c r="I12" s="130"/>
      <c r="J12" s="130"/>
      <c r="K12" s="131"/>
      <c r="L12" s="129"/>
      <c r="M12" s="130"/>
      <c r="N12" s="130"/>
      <c r="O12" s="130"/>
      <c r="P12" s="130"/>
      <c r="Q12" s="131"/>
      <c r="R12" s="81">
        <f>SUM(F12:Q12)</f>
        <v>196</v>
      </c>
      <c r="S12" s="82">
        <f>MEDIAN(F12:Q12)</f>
        <v>196</v>
      </c>
    </row>
    <row r="13" spans="2:19" ht="28.5" customHeight="1" x14ac:dyDescent="0.25">
      <c r="B13" s="168"/>
      <c r="C13" s="171"/>
      <c r="D13" s="80" t="s">
        <v>22</v>
      </c>
      <c r="E13" s="127"/>
      <c r="F13" s="132">
        <f>IFERROR(IF(OR(F11="",F12=""),"",F11/F12),0)</f>
        <v>0.79081632653061229</v>
      </c>
      <c r="G13" s="133"/>
      <c r="H13" s="133"/>
      <c r="I13" s="133"/>
      <c r="J13" s="133"/>
      <c r="K13" s="134"/>
      <c r="L13" s="132" t="str">
        <f>IFERROR(IF(OR(L11="",L12=""),"",L11/L12),0)</f>
        <v/>
      </c>
      <c r="M13" s="133"/>
      <c r="N13" s="133"/>
      <c r="O13" s="133"/>
      <c r="P13" s="133"/>
      <c r="Q13" s="134"/>
      <c r="R13" s="83">
        <f>SUM(F13:Q13)</f>
        <v>0.79081632653061229</v>
      </c>
      <c r="S13" s="84">
        <f>MEDIAN(F13:Q13)</f>
        <v>0.79081632653061229</v>
      </c>
    </row>
    <row r="14" spans="2:19" ht="21.75" customHeight="1" x14ac:dyDescent="0.25">
      <c r="B14" s="135">
        <v>2</v>
      </c>
      <c r="C14" s="147" t="s">
        <v>67</v>
      </c>
      <c r="D14" s="70" t="s">
        <v>66</v>
      </c>
      <c r="E14" s="138" t="s">
        <v>37</v>
      </c>
      <c r="F14" s="46">
        <v>5</v>
      </c>
      <c r="G14" s="46">
        <v>6</v>
      </c>
      <c r="H14" s="21">
        <v>1</v>
      </c>
      <c r="I14" s="21">
        <v>0</v>
      </c>
      <c r="J14" s="21">
        <v>2</v>
      </c>
      <c r="K14" s="21">
        <v>8</v>
      </c>
      <c r="L14" s="45"/>
      <c r="M14" s="47"/>
      <c r="N14" s="48"/>
      <c r="O14" s="49"/>
      <c r="P14" s="49"/>
      <c r="Q14" s="49"/>
      <c r="R14" s="50">
        <f>SUM(F14:Q14)</f>
        <v>22</v>
      </c>
      <c r="S14" s="26">
        <v>11</v>
      </c>
    </row>
    <row r="15" spans="2:19" ht="23.25" customHeight="1" x14ac:dyDescent="0.25">
      <c r="B15" s="136"/>
      <c r="C15" s="148"/>
      <c r="D15" s="71" t="s">
        <v>52</v>
      </c>
      <c r="E15" s="139"/>
      <c r="F15" s="51">
        <v>5</v>
      </c>
      <c r="G15" s="51">
        <v>6</v>
      </c>
      <c r="H15" s="52">
        <v>1</v>
      </c>
      <c r="I15" s="52">
        <v>0</v>
      </c>
      <c r="J15" s="52">
        <v>2</v>
      </c>
      <c r="K15" s="52">
        <v>8</v>
      </c>
      <c r="L15" s="52"/>
      <c r="M15" s="52"/>
      <c r="N15" s="52"/>
      <c r="O15" s="53"/>
      <c r="P15" s="53"/>
      <c r="Q15" s="53"/>
      <c r="R15" s="54">
        <f>SUM(F15:Q15)</f>
        <v>22</v>
      </c>
      <c r="S15" s="55">
        <v>11</v>
      </c>
    </row>
    <row r="16" spans="2:19" ht="28.5" customHeight="1" x14ac:dyDescent="0.25">
      <c r="B16" s="137"/>
      <c r="C16" s="149"/>
      <c r="D16" s="56" t="s">
        <v>22</v>
      </c>
      <c r="E16" s="140"/>
      <c r="F16" s="72">
        <f>IFERROR(IF(OR(F15="",F14=""),"",F15/F14),1)</f>
        <v>1</v>
      </c>
      <c r="G16" s="72">
        <f t="shared" ref="G16:S16" si="0">IFERROR(IF(OR(G15="",G14=""),"",G15/G14),1)</f>
        <v>1</v>
      </c>
      <c r="H16" s="72">
        <f t="shared" si="0"/>
        <v>1</v>
      </c>
      <c r="I16" s="72">
        <f t="shared" si="0"/>
        <v>1</v>
      </c>
      <c r="J16" s="72">
        <f t="shared" si="0"/>
        <v>1</v>
      </c>
      <c r="K16" s="72">
        <f t="shared" si="0"/>
        <v>1</v>
      </c>
      <c r="L16" s="72" t="str">
        <f t="shared" si="0"/>
        <v/>
      </c>
      <c r="M16" s="72" t="str">
        <f t="shared" si="0"/>
        <v/>
      </c>
      <c r="N16" s="72" t="str">
        <f t="shared" si="0"/>
        <v/>
      </c>
      <c r="O16" s="72" t="str">
        <f t="shared" si="0"/>
        <v/>
      </c>
      <c r="P16" s="72" t="str">
        <f t="shared" si="0"/>
        <v/>
      </c>
      <c r="Q16" s="72" t="str">
        <f t="shared" si="0"/>
        <v/>
      </c>
      <c r="R16" s="72">
        <f t="shared" si="0"/>
        <v>1</v>
      </c>
      <c r="S16" s="72">
        <f t="shared" si="0"/>
        <v>1</v>
      </c>
    </row>
    <row r="17" spans="2:19" ht="28.5" customHeight="1" x14ac:dyDescent="0.25">
      <c r="B17" s="141">
        <v>3</v>
      </c>
      <c r="C17" s="144" t="s">
        <v>71</v>
      </c>
      <c r="D17" s="85" t="s">
        <v>70</v>
      </c>
      <c r="E17" s="126" t="s">
        <v>62</v>
      </c>
      <c r="F17" s="86">
        <v>1</v>
      </c>
      <c r="G17" s="86">
        <v>6</v>
      </c>
      <c r="H17" s="86">
        <v>5</v>
      </c>
      <c r="I17" s="86">
        <v>4</v>
      </c>
      <c r="J17" s="87">
        <v>4</v>
      </c>
      <c r="K17" s="87">
        <v>4</v>
      </c>
      <c r="L17" s="87"/>
      <c r="M17" s="87"/>
      <c r="N17" s="87"/>
      <c r="O17" s="87"/>
      <c r="P17" s="87"/>
      <c r="Q17" s="87"/>
      <c r="R17" s="88">
        <f>SUM(F17:Q17)</f>
        <v>24</v>
      </c>
      <c r="S17" s="89">
        <f>MEDIAN(F17:Q17)</f>
        <v>4</v>
      </c>
    </row>
    <row r="18" spans="2:19" ht="28.5" customHeight="1" x14ac:dyDescent="0.25">
      <c r="B18" s="142"/>
      <c r="C18" s="145"/>
      <c r="D18" s="90" t="s">
        <v>74</v>
      </c>
      <c r="E18" s="127"/>
      <c r="F18" s="86">
        <v>1</v>
      </c>
      <c r="G18" s="86">
        <v>4</v>
      </c>
      <c r="H18" s="86">
        <v>4</v>
      </c>
      <c r="I18" s="86">
        <v>4</v>
      </c>
      <c r="J18" s="87">
        <v>4</v>
      </c>
      <c r="K18" s="87">
        <v>4</v>
      </c>
      <c r="L18" s="87"/>
      <c r="M18" s="87"/>
      <c r="N18" s="87"/>
      <c r="O18" s="87"/>
      <c r="P18" s="87"/>
      <c r="Q18" s="87"/>
      <c r="R18" s="91">
        <f>SUM(F18:Q18)</f>
        <v>21</v>
      </c>
      <c r="S18" s="92">
        <f>MEDIAN(F18:Q18)</f>
        <v>4</v>
      </c>
    </row>
    <row r="19" spans="2:19" ht="28.5" customHeight="1" x14ac:dyDescent="0.25">
      <c r="B19" s="143"/>
      <c r="C19" s="146"/>
      <c r="D19" s="93" t="s">
        <v>22</v>
      </c>
      <c r="E19" s="128"/>
      <c r="F19" s="95">
        <f>IFERROR(IF(OR(F17="",F18=""),"",F17/F18),0)</f>
        <v>1</v>
      </c>
      <c r="G19" s="95">
        <f t="shared" ref="G19:Q19" si="1">IFERROR(IF(OR(G17="",G18=""),"",G17/G18),0)</f>
        <v>1.5</v>
      </c>
      <c r="H19" s="95">
        <f t="shared" si="1"/>
        <v>1.25</v>
      </c>
      <c r="I19" s="95">
        <f t="shared" si="1"/>
        <v>1</v>
      </c>
      <c r="J19" s="95">
        <f t="shared" si="1"/>
        <v>1</v>
      </c>
      <c r="K19" s="95">
        <f t="shared" si="1"/>
        <v>1</v>
      </c>
      <c r="L19" s="95" t="str">
        <f t="shared" si="1"/>
        <v/>
      </c>
      <c r="M19" s="95" t="str">
        <f t="shared" si="1"/>
        <v/>
      </c>
      <c r="N19" s="95" t="str">
        <f t="shared" si="1"/>
        <v/>
      </c>
      <c r="O19" s="95" t="str">
        <f t="shared" si="1"/>
        <v/>
      </c>
      <c r="P19" s="95" t="str">
        <f t="shared" si="1"/>
        <v/>
      </c>
      <c r="Q19" s="95" t="str">
        <f t="shared" si="1"/>
        <v/>
      </c>
      <c r="R19" s="95">
        <f>IFERROR(IF(OR(R17="",R18=""),"",R17/R18),0)</f>
        <v>1.1428571428571428</v>
      </c>
      <c r="S19" s="95">
        <f>IFERROR(IF(OR(S17="",S18=""),"",S17/S18),0)</f>
        <v>1</v>
      </c>
    </row>
    <row r="20" spans="2:19" ht="28.5" customHeight="1" x14ac:dyDescent="0.25">
      <c r="B20" s="111">
        <v>4</v>
      </c>
      <c r="C20" s="114" t="s">
        <v>68</v>
      </c>
      <c r="D20" s="22" t="s">
        <v>56</v>
      </c>
      <c r="E20" s="117" t="s">
        <v>37</v>
      </c>
      <c r="F20" s="73">
        <v>0</v>
      </c>
      <c r="G20" s="74">
        <v>2</v>
      </c>
      <c r="H20" s="74">
        <v>2</v>
      </c>
      <c r="I20" s="74">
        <v>8</v>
      </c>
      <c r="J20" s="74">
        <v>4</v>
      </c>
      <c r="K20" s="33"/>
      <c r="L20" s="33"/>
      <c r="M20" s="33"/>
      <c r="N20" s="33"/>
      <c r="O20" s="33"/>
      <c r="P20" s="33"/>
      <c r="Q20" s="33"/>
      <c r="R20" s="34">
        <f>SUM(F20:Q20)</f>
        <v>16</v>
      </c>
      <c r="S20" s="26">
        <f>MEDIAN(F20:J20)</f>
        <v>2</v>
      </c>
    </row>
    <row r="21" spans="2:19" ht="28.5" customHeight="1" x14ac:dyDescent="0.25">
      <c r="B21" s="112"/>
      <c r="C21" s="115"/>
      <c r="D21" s="20" t="s">
        <v>53</v>
      </c>
      <c r="E21" s="118"/>
      <c r="F21" s="75">
        <v>0</v>
      </c>
      <c r="G21" s="76">
        <v>4</v>
      </c>
      <c r="H21" s="76">
        <v>6</v>
      </c>
      <c r="I21" s="76">
        <v>8</v>
      </c>
      <c r="J21" s="76">
        <v>4</v>
      </c>
      <c r="K21" s="29"/>
      <c r="L21" s="36"/>
      <c r="M21" s="29"/>
      <c r="N21" s="29"/>
      <c r="O21" s="29"/>
      <c r="P21" s="29"/>
      <c r="Q21" s="29"/>
      <c r="R21" s="30">
        <f>SUM(F21:Q21)</f>
        <v>22</v>
      </c>
      <c r="S21" s="31">
        <f>MEDIAN(F21:J21)</f>
        <v>4</v>
      </c>
    </row>
    <row r="22" spans="2:19" ht="28.5" customHeight="1" x14ac:dyDescent="0.25">
      <c r="B22" s="113"/>
      <c r="C22" s="116"/>
      <c r="D22" s="35" t="s">
        <v>22</v>
      </c>
      <c r="E22" s="119"/>
      <c r="F22" s="36">
        <f>IFERROR(IF(OR(F20="",F21=""),"",F20/F21),1)</f>
        <v>1</v>
      </c>
      <c r="G22" s="36">
        <f t="shared" ref="G22:Q22" si="2">IFERROR(IF(OR(G20="",G21=""),"",G20/G21),1)</f>
        <v>0.5</v>
      </c>
      <c r="H22" s="36">
        <f t="shared" si="2"/>
        <v>0.33333333333333331</v>
      </c>
      <c r="I22" s="36">
        <f t="shared" si="2"/>
        <v>1</v>
      </c>
      <c r="J22" s="36">
        <f t="shared" si="2"/>
        <v>1</v>
      </c>
      <c r="K22" s="36" t="str">
        <f t="shared" si="2"/>
        <v/>
      </c>
      <c r="L22" s="36" t="str">
        <f t="shared" si="2"/>
        <v/>
      </c>
      <c r="M22" s="36" t="str">
        <f t="shared" si="2"/>
        <v/>
      </c>
      <c r="N22" s="36" t="str">
        <f t="shared" si="2"/>
        <v/>
      </c>
      <c r="O22" s="36" t="str">
        <f t="shared" si="2"/>
        <v/>
      </c>
      <c r="P22" s="36" t="str">
        <f t="shared" si="2"/>
        <v/>
      </c>
      <c r="Q22" s="36" t="str">
        <f t="shared" si="2"/>
        <v/>
      </c>
      <c r="R22" s="36">
        <f t="shared" ref="R22" si="3">IFERROR(IF(OR(R20="",R21=""),"",R20/R21),1)</f>
        <v>0.72727272727272729</v>
      </c>
      <c r="S22" s="36">
        <f t="shared" ref="S22" si="4">IFERROR(IF(OR(S20="",S21=""),"",S20/S21),1)</f>
        <v>0.5</v>
      </c>
    </row>
    <row r="23" spans="2:19" ht="22.15" customHeight="1" x14ac:dyDescent="0.25">
      <c r="B23" s="121">
        <v>5</v>
      </c>
      <c r="C23" s="124" t="s">
        <v>57</v>
      </c>
      <c r="D23" s="96" t="s">
        <v>58</v>
      </c>
      <c r="E23" s="127" t="s">
        <v>59</v>
      </c>
      <c r="F23" s="97">
        <v>72</v>
      </c>
      <c r="G23" s="98">
        <v>75.5</v>
      </c>
      <c r="H23" s="98">
        <v>75</v>
      </c>
      <c r="I23" s="98">
        <v>73.25</v>
      </c>
      <c r="J23" s="98">
        <v>70.599999999999994</v>
      </c>
      <c r="K23" s="94"/>
      <c r="L23" s="94"/>
      <c r="M23" s="94"/>
      <c r="N23" s="94"/>
      <c r="O23" s="94"/>
      <c r="P23" s="94"/>
      <c r="Q23" s="94"/>
      <c r="R23" s="99">
        <f>SUM(F23:Q23)</f>
        <v>366.35</v>
      </c>
      <c r="S23" s="100">
        <f>MEDIAN(F23:I23)</f>
        <v>74.125</v>
      </c>
    </row>
    <row r="24" spans="2:19" ht="15.75" customHeight="1" x14ac:dyDescent="0.25">
      <c r="B24" s="122"/>
      <c r="C24" s="125"/>
      <c r="D24" s="101" t="s">
        <v>22</v>
      </c>
      <c r="E24" s="128"/>
      <c r="F24" s="98">
        <f>F23</f>
        <v>72</v>
      </c>
      <c r="G24" s="98">
        <f t="shared" ref="G24:Q24" si="5">G23</f>
        <v>75.5</v>
      </c>
      <c r="H24" s="98">
        <f t="shared" si="5"/>
        <v>75</v>
      </c>
      <c r="I24" s="98">
        <f t="shared" si="5"/>
        <v>73.25</v>
      </c>
      <c r="J24" s="98">
        <f t="shared" si="5"/>
        <v>70.599999999999994</v>
      </c>
      <c r="K24" s="98">
        <f t="shared" si="5"/>
        <v>0</v>
      </c>
      <c r="L24" s="98">
        <f t="shared" si="5"/>
        <v>0</v>
      </c>
      <c r="M24" s="98">
        <f t="shared" si="5"/>
        <v>0</v>
      </c>
      <c r="N24" s="98">
        <f t="shared" si="5"/>
        <v>0</v>
      </c>
      <c r="O24" s="98">
        <f t="shared" si="5"/>
        <v>0</v>
      </c>
      <c r="P24" s="98">
        <f t="shared" si="5"/>
        <v>0</v>
      </c>
      <c r="Q24" s="98">
        <f t="shared" si="5"/>
        <v>0</v>
      </c>
      <c r="R24" s="98">
        <f t="shared" ref="R24" si="6">R23</f>
        <v>366.35</v>
      </c>
      <c r="S24" s="98">
        <f t="shared" ref="S24" si="7">S23</f>
        <v>74.125</v>
      </c>
    </row>
    <row r="25" spans="2:19" x14ac:dyDescent="0.25">
      <c r="B25" s="111">
        <v>6</v>
      </c>
      <c r="C25" s="114" t="s">
        <v>60</v>
      </c>
      <c r="D25" s="22" t="s">
        <v>61</v>
      </c>
      <c r="E25" s="117" t="s">
        <v>62</v>
      </c>
      <c r="F25" s="32">
        <v>1</v>
      </c>
      <c r="G25" s="21">
        <v>6</v>
      </c>
      <c r="H25" s="21">
        <v>6</v>
      </c>
      <c r="I25" s="21">
        <v>5</v>
      </c>
      <c r="J25" s="21">
        <v>5</v>
      </c>
      <c r="K25" s="33"/>
      <c r="L25" s="33"/>
      <c r="M25" s="33"/>
      <c r="N25" s="33"/>
      <c r="O25" s="33"/>
      <c r="P25" s="33"/>
      <c r="Q25" s="33"/>
      <c r="R25" s="34">
        <f>SUM(F25:Q25)</f>
        <v>23</v>
      </c>
      <c r="S25" s="26">
        <f>MEDIAN(F25:J25)</f>
        <v>5</v>
      </c>
    </row>
    <row r="26" spans="2:19" x14ac:dyDescent="0.25">
      <c r="B26" s="112"/>
      <c r="C26" s="115"/>
      <c r="D26" s="20" t="s">
        <v>75</v>
      </c>
      <c r="E26" s="118"/>
      <c r="F26" s="27">
        <v>0</v>
      </c>
      <c r="G26" s="28">
        <v>6</v>
      </c>
      <c r="H26" s="28">
        <v>5</v>
      </c>
      <c r="I26" s="28">
        <v>4</v>
      </c>
      <c r="J26" s="28">
        <v>5</v>
      </c>
      <c r="K26" s="29"/>
      <c r="L26" s="29"/>
      <c r="M26" s="29"/>
      <c r="N26" s="29"/>
      <c r="O26" s="29"/>
      <c r="P26" s="29"/>
      <c r="Q26" s="29"/>
      <c r="R26" s="30">
        <f>SUM(F26:Q26)</f>
        <v>20</v>
      </c>
      <c r="S26" s="31">
        <f>MEDIAN(F26:J26)</f>
        <v>5</v>
      </c>
    </row>
    <row r="27" spans="2:19" x14ac:dyDescent="0.25">
      <c r="B27" s="113"/>
      <c r="C27" s="116"/>
      <c r="D27" s="35" t="s">
        <v>22</v>
      </c>
      <c r="E27" s="119"/>
      <c r="F27" s="36">
        <f>IFERROR(IF(OR(F25="",F26=""),"",F25/F26),1)</f>
        <v>1</v>
      </c>
      <c r="G27" s="36">
        <f t="shared" ref="G27:S27" si="8">IFERROR(IF(OR(G25="",G26=""),"",G25/G26),1)</f>
        <v>1</v>
      </c>
      <c r="H27" s="36">
        <f t="shared" si="8"/>
        <v>1.2</v>
      </c>
      <c r="I27" s="36">
        <f t="shared" si="8"/>
        <v>1.25</v>
      </c>
      <c r="J27" s="36">
        <f t="shared" si="8"/>
        <v>1</v>
      </c>
      <c r="K27" s="36" t="str">
        <f t="shared" si="8"/>
        <v/>
      </c>
      <c r="L27" s="36" t="str">
        <f t="shared" si="8"/>
        <v/>
      </c>
      <c r="M27" s="36" t="str">
        <f t="shared" si="8"/>
        <v/>
      </c>
      <c r="N27" s="36" t="str">
        <f t="shared" si="8"/>
        <v/>
      </c>
      <c r="O27" s="36" t="str">
        <f t="shared" si="8"/>
        <v/>
      </c>
      <c r="P27" s="36" t="str">
        <f t="shared" si="8"/>
        <v/>
      </c>
      <c r="Q27" s="36" t="str">
        <f t="shared" si="8"/>
        <v/>
      </c>
      <c r="R27" s="36">
        <f t="shared" si="8"/>
        <v>1.1499999999999999</v>
      </c>
      <c r="S27" s="36">
        <f t="shared" si="8"/>
        <v>1</v>
      </c>
    </row>
    <row r="28" spans="2:19" ht="28.5" x14ac:dyDescent="0.25">
      <c r="B28" s="120">
        <v>6</v>
      </c>
      <c r="C28" s="123" t="s">
        <v>81</v>
      </c>
      <c r="D28" s="102" t="s">
        <v>83</v>
      </c>
      <c r="E28" s="126" t="s">
        <v>84</v>
      </c>
      <c r="F28" s="103">
        <v>19</v>
      </c>
      <c r="G28" s="104">
        <v>7</v>
      </c>
      <c r="H28" s="104">
        <v>33</v>
      </c>
      <c r="I28" s="104">
        <v>54</v>
      </c>
      <c r="J28" s="104">
        <v>50</v>
      </c>
      <c r="K28" s="105">
        <v>14</v>
      </c>
      <c r="L28" s="105"/>
      <c r="M28" s="105"/>
      <c r="N28" s="105"/>
      <c r="O28" s="105"/>
      <c r="P28" s="105"/>
      <c r="Q28" s="105"/>
      <c r="R28" s="106">
        <f>SUM(F28:Q28)</f>
        <v>177</v>
      </c>
      <c r="S28" s="107">
        <f>MEDIAN(F28:J28)</f>
        <v>33</v>
      </c>
    </row>
    <row r="29" spans="2:19" x14ac:dyDescent="0.25">
      <c r="B29" s="121"/>
      <c r="C29" s="124"/>
      <c r="D29" s="96" t="s">
        <v>82</v>
      </c>
      <c r="E29" s="127"/>
      <c r="F29" s="97">
        <v>24</v>
      </c>
      <c r="G29" s="98">
        <v>8</v>
      </c>
      <c r="H29" s="98">
        <v>34</v>
      </c>
      <c r="I29" s="98">
        <v>55</v>
      </c>
      <c r="J29" s="98">
        <v>54</v>
      </c>
      <c r="K29" s="94">
        <v>14</v>
      </c>
      <c r="L29" s="94"/>
      <c r="M29" s="94"/>
      <c r="N29" s="94"/>
      <c r="O29" s="94"/>
      <c r="P29" s="94"/>
      <c r="Q29" s="94"/>
      <c r="R29" s="99">
        <f>SUM(F29:Q29)</f>
        <v>189</v>
      </c>
      <c r="S29" s="108">
        <f>MEDIAN(F29:J29)</f>
        <v>34</v>
      </c>
    </row>
    <row r="30" spans="2:19" ht="15.75" customHeight="1" x14ac:dyDescent="0.25">
      <c r="B30" s="122"/>
      <c r="C30" s="125"/>
      <c r="D30" s="101" t="s">
        <v>22</v>
      </c>
      <c r="E30" s="128"/>
      <c r="F30" s="109">
        <f>IFERROR(IF(OR(F28="",F29=""),"",F28/F29),0)</f>
        <v>0.79166666666666663</v>
      </c>
      <c r="G30" s="109">
        <f t="shared" ref="G30:Q30" si="9">IFERROR(IF(OR(G28="",G29=""),"",G28/G29),0)</f>
        <v>0.875</v>
      </c>
      <c r="H30" s="109">
        <f t="shared" si="9"/>
        <v>0.97058823529411764</v>
      </c>
      <c r="I30" s="109">
        <f t="shared" si="9"/>
        <v>0.98181818181818181</v>
      </c>
      <c r="J30" s="109">
        <f t="shared" si="9"/>
        <v>0.92592592592592593</v>
      </c>
      <c r="K30" s="109">
        <f t="shared" si="9"/>
        <v>1</v>
      </c>
      <c r="L30" s="109" t="str">
        <f t="shared" si="9"/>
        <v/>
      </c>
      <c r="M30" s="109" t="str">
        <f t="shared" si="9"/>
        <v/>
      </c>
      <c r="N30" s="109" t="str">
        <f t="shared" si="9"/>
        <v/>
      </c>
      <c r="O30" s="109" t="str">
        <f t="shared" si="9"/>
        <v/>
      </c>
      <c r="P30" s="109" t="str">
        <f t="shared" si="9"/>
        <v/>
      </c>
      <c r="Q30" s="109" t="str">
        <f t="shared" si="9"/>
        <v/>
      </c>
      <c r="R30" s="109">
        <f t="shared" ref="R30" si="10">IFERROR(IF(OR(R28="",R29=""),"",R28/R29),0)</f>
        <v>0.93650793650793651</v>
      </c>
      <c r="S30" s="109">
        <f t="shared" ref="S30" si="11">IFERROR(IF(OR(S28="",S29=""),"",S28/S29),0)</f>
        <v>0.97058823529411764</v>
      </c>
    </row>
    <row r="31" spans="2:19" ht="15.75" customHeight="1" x14ac:dyDescent="0.25"/>
    <row r="32" spans="2:1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</sheetData>
  <mergeCells count="35">
    <mergeCell ref="L11:Q11"/>
    <mergeCell ref="L12:Q12"/>
    <mergeCell ref="L13:Q13"/>
    <mergeCell ref="B1:C5"/>
    <mergeCell ref="F8:S8"/>
    <mergeCell ref="C10:D10"/>
    <mergeCell ref="C7:S7"/>
    <mergeCell ref="F9:S9"/>
    <mergeCell ref="C9:E9"/>
    <mergeCell ref="B11:B13"/>
    <mergeCell ref="C11:C13"/>
    <mergeCell ref="E11:E13"/>
    <mergeCell ref="F11:K11"/>
    <mergeCell ref="D1:P5"/>
    <mergeCell ref="Q1:S5"/>
    <mergeCell ref="B23:B24"/>
    <mergeCell ref="C23:C24"/>
    <mergeCell ref="E23:E24"/>
    <mergeCell ref="F12:K12"/>
    <mergeCell ref="F13:K13"/>
    <mergeCell ref="E20:E22"/>
    <mergeCell ref="B14:B16"/>
    <mergeCell ref="E14:E16"/>
    <mergeCell ref="B17:B19"/>
    <mergeCell ref="C17:C19"/>
    <mergeCell ref="C14:C16"/>
    <mergeCell ref="B20:B22"/>
    <mergeCell ref="C20:C22"/>
    <mergeCell ref="E17:E19"/>
    <mergeCell ref="B25:B27"/>
    <mergeCell ref="C25:C27"/>
    <mergeCell ref="E25:E27"/>
    <mergeCell ref="B28:B30"/>
    <mergeCell ref="C28:C30"/>
    <mergeCell ref="E28:E30"/>
  </mergeCells>
  <conditionalFormatting sqref="F13:S13">
    <cfRule type="expression" dxfId="9" priority="9">
      <formula>F13:S13&lt;0.7</formula>
    </cfRule>
  </conditionalFormatting>
  <conditionalFormatting sqref="F16:S16">
    <cfRule type="expression" dxfId="8" priority="7">
      <formula>F16:S16=0</formula>
    </cfRule>
    <cfRule type="expression" dxfId="7" priority="8">
      <formula>F16:S16&lt;0.7</formula>
    </cfRule>
  </conditionalFormatting>
  <conditionalFormatting sqref="F19:S19">
    <cfRule type="expression" dxfId="6" priority="6">
      <formula>F19:S19&lt;0.8</formula>
    </cfRule>
  </conditionalFormatting>
  <conditionalFormatting sqref="F22:S22">
    <cfRule type="expression" dxfId="5" priority="5">
      <formula>F22:S22&lt;0.7</formula>
    </cfRule>
  </conditionalFormatting>
  <conditionalFormatting sqref="F24:S24">
    <cfRule type="expression" dxfId="4" priority="3">
      <formula>F24:S24=0</formula>
    </cfRule>
    <cfRule type="expression" dxfId="3" priority="4">
      <formula>F24:S25&lt;70</formula>
    </cfRule>
  </conditionalFormatting>
  <conditionalFormatting sqref="F27:S27">
    <cfRule type="expression" dxfId="2" priority="2">
      <formula>F27:S27&lt;0.8</formula>
    </cfRule>
  </conditionalFormatting>
  <conditionalFormatting sqref="F30:S30">
    <cfRule type="expression" dxfId="1" priority="1">
      <formula>F30:S30&lt;0.9</formula>
    </cfRule>
  </conditionalFormatting>
  <pageMargins left="0.511811024" right="0.511811024" top="0.78740157499999996" bottom="0.78740157499999996" header="0" footer="0"/>
  <pageSetup paperSize="9" scale="42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E09D7-ED6C-427C-9B45-9F9DB095FB25}">
  <dimension ref="A1:N615"/>
  <sheetViews>
    <sheetView workbookViewId="0">
      <pane xSplit="3" ySplit="10" topLeftCell="D40" activePane="bottomRight" state="frozen"/>
      <selection pane="topRight" activeCell="D1" sqref="D1"/>
      <selection pane="bottomLeft" activeCell="A11" sqref="A11"/>
      <selection pane="bottomRight" activeCell="F48" sqref="F48"/>
    </sheetView>
  </sheetViews>
  <sheetFormatPr defaultColWidth="14.42578125" defaultRowHeight="15" customHeight="1" x14ac:dyDescent="0.25"/>
  <cols>
    <col min="1" max="1" width="16.28515625" style="11" customWidth="1"/>
    <col min="2" max="2" width="12.7109375" style="11" customWidth="1"/>
    <col min="3" max="3" width="30.5703125" style="11" customWidth="1"/>
    <col min="4" max="4" width="81" style="11" customWidth="1"/>
    <col min="5" max="5" width="15.140625" style="11" customWidth="1"/>
    <col min="6" max="6" width="20" style="11" customWidth="1"/>
    <col min="7" max="7" width="19.42578125" style="11" customWidth="1"/>
    <col min="8" max="8" width="14.42578125" style="11" hidden="1" customWidth="1"/>
    <col min="9" max="12" width="8.7109375" style="11" customWidth="1"/>
    <col min="13" max="13" width="9.140625" style="11" customWidth="1"/>
    <col min="14" max="14" width="9.140625" style="11" hidden="1" customWidth="1"/>
    <col min="15" max="26" width="8.7109375" style="11" customWidth="1"/>
    <col min="27" max="16384" width="14.42578125" style="11"/>
  </cols>
  <sheetData>
    <row r="1" spans="1:14" ht="15.75" customHeight="1" x14ac:dyDescent="0.25">
      <c r="A1" s="211"/>
      <c r="B1" s="212"/>
      <c r="C1" s="217" t="s">
        <v>38</v>
      </c>
      <c r="D1" s="218"/>
      <c r="E1" s="218"/>
      <c r="F1" s="218"/>
      <c r="G1" s="212"/>
      <c r="H1" s="10"/>
    </row>
    <row r="2" spans="1:14" ht="15.75" customHeight="1" x14ac:dyDescent="0.25">
      <c r="A2" s="213"/>
      <c r="B2" s="214"/>
      <c r="C2" s="213"/>
      <c r="D2" s="219"/>
      <c r="E2" s="219"/>
      <c r="F2" s="219"/>
      <c r="G2" s="214"/>
      <c r="H2" s="10"/>
    </row>
    <row r="3" spans="1:14" ht="15.75" customHeight="1" x14ac:dyDescent="0.25">
      <c r="A3" s="213"/>
      <c r="B3" s="214"/>
      <c r="C3" s="213"/>
      <c r="D3" s="219"/>
      <c r="E3" s="219"/>
      <c r="F3" s="219"/>
      <c r="G3" s="214"/>
      <c r="H3" s="10"/>
    </row>
    <row r="4" spans="1:14" ht="15.75" customHeight="1" x14ac:dyDescent="0.25">
      <c r="A4" s="213"/>
      <c r="B4" s="214"/>
      <c r="C4" s="213"/>
      <c r="D4" s="219"/>
      <c r="E4" s="219"/>
      <c r="F4" s="219"/>
      <c r="G4" s="214"/>
      <c r="H4" s="10"/>
    </row>
    <row r="5" spans="1:14" ht="15.75" customHeight="1" x14ac:dyDescent="0.25">
      <c r="A5" s="215"/>
      <c r="B5" s="216"/>
      <c r="C5" s="215"/>
      <c r="D5" s="220"/>
      <c r="E5" s="220"/>
      <c r="F5" s="220"/>
      <c r="G5" s="216"/>
      <c r="H5" s="10"/>
    </row>
    <row r="6" spans="1:14" ht="15" customHeight="1" x14ac:dyDescent="0.25">
      <c r="A6" s="221" t="s">
        <v>39</v>
      </c>
      <c r="B6" s="222" t="s">
        <v>18</v>
      </c>
      <c r="C6" s="223"/>
      <c r="D6" s="218"/>
      <c r="E6" s="218"/>
      <c r="F6" s="218"/>
      <c r="G6" s="218"/>
      <c r="H6" s="212"/>
      <c r="N6" s="11" t="s">
        <v>10</v>
      </c>
    </row>
    <row r="7" spans="1:14" ht="14.25" customHeight="1" x14ac:dyDescent="0.25">
      <c r="A7" s="209"/>
      <c r="B7" s="209"/>
      <c r="C7" s="215"/>
      <c r="D7" s="220"/>
      <c r="E7" s="220"/>
      <c r="F7" s="220"/>
      <c r="G7" s="220"/>
      <c r="H7" s="216"/>
      <c r="N7" s="11" t="s">
        <v>11</v>
      </c>
    </row>
    <row r="8" spans="1:14" x14ac:dyDescent="0.25">
      <c r="B8" s="12"/>
      <c r="N8" s="11" t="s">
        <v>12</v>
      </c>
    </row>
    <row r="9" spans="1:14" ht="28.5" customHeight="1" x14ac:dyDescent="0.25">
      <c r="A9" s="13" t="s">
        <v>40</v>
      </c>
      <c r="B9" s="13" t="s">
        <v>41</v>
      </c>
      <c r="C9" s="13" t="s">
        <v>42</v>
      </c>
      <c r="D9" s="13" t="s">
        <v>43</v>
      </c>
      <c r="E9" s="13" t="s">
        <v>44</v>
      </c>
      <c r="F9" s="13" t="s">
        <v>45</v>
      </c>
      <c r="G9" s="13" t="s">
        <v>46</v>
      </c>
      <c r="N9" s="11" t="s">
        <v>13</v>
      </c>
    </row>
    <row r="10" spans="1:14" x14ac:dyDescent="0.25">
      <c r="A10" s="210">
        <v>1</v>
      </c>
      <c r="B10" s="14">
        <v>45658</v>
      </c>
      <c r="C10" s="15" t="s">
        <v>50</v>
      </c>
      <c r="D10" s="10"/>
      <c r="E10" s="16"/>
      <c r="F10" s="10"/>
      <c r="G10" s="16"/>
      <c r="H10" s="10" t="s">
        <v>47</v>
      </c>
      <c r="N10" s="11" t="s">
        <v>14</v>
      </c>
    </row>
    <row r="11" spans="1:14" x14ac:dyDescent="0.25">
      <c r="A11" s="208"/>
      <c r="B11" s="14">
        <v>45689</v>
      </c>
      <c r="C11" s="15" t="s">
        <v>50</v>
      </c>
      <c r="D11" s="10"/>
      <c r="E11" s="16"/>
      <c r="F11" s="10"/>
      <c r="G11" s="16"/>
      <c r="H11" s="10" t="s">
        <v>48</v>
      </c>
      <c r="N11" s="11" t="s">
        <v>15</v>
      </c>
    </row>
    <row r="12" spans="1:14" x14ac:dyDescent="0.25">
      <c r="A12" s="208"/>
      <c r="B12" s="14">
        <v>45717</v>
      </c>
      <c r="C12" s="15" t="s">
        <v>50</v>
      </c>
      <c r="D12" s="10"/>
      <c r="E12" s="16"/>
      <c r="F12" s="10"/>
      <c r="G12" s="16"/>
      <c r="H12" s="10" t="s">
        <v>49</v>
      </c>
      <c r="N12" s="11" t="s">
        <v>16</v>
      </c>
    </row>
    <row r="13" spans="1:14" x14ac:dyDescent="0.25">
      <c r="A13" s="208"/>
      <c r="B13" s="14">
        <v>45748</v>
      </c>
      <c r="C13" s="15" t="s">
        <v>50</v>
      </c>
      <c r="D13" s="10"/>
      <c r="E13" s="16"/>
      <c r="F13" s="10"/>
      <c r="G13" s="16"/>
      <c r="N13" s="11" t="s">
        <v>17</v>
      </c>
    </row>
    <row r="14" spans="1:14" x14ac:dyDescent="0.25">
      <c r="A14" s="208"/>
      <c r="B14" s="14">
        <v>45778</v>
      </c>
      <c r="C14" s="15" t="s">
        <v>50</v>
      </c>
      <c r="D14" s="10"/>
      <c r="E14" s="16"/>
      <c r="F14" s="10"/>
      <c r="G14" s="16"/>
      <c r="N14" s="11" t="s">
        <v>18</v>
      </c>
    </row>
    <row r="15" spans="1:14" x14ac:dyDescent="0.25">
      <c r="A15" s="208"/>
      <c r="B15" s="14">
        <v>45809</v>
      </c>
      <c r="C15" s="15" t="s">
        <v>50</v>
      </c>
      <c r="D15" s="10"/>
      <c r="E15" s="16"/>
      <c r="F15" s="10"/>
      <c r="G15" s="16"/>
      <c r="N15" s="11" t="s">
        <v>19</v>
      </c>
    </row>
    <row r="16" spans="1:14" x14ac:dyDescent="0.25">
      <c r="A16" s="208"/>
      <c r="B16" s="14">
        <v>45839</v>
      </c>
      <c r="C16" s="15" t="s">
        <v>50</v>
      </c>
      <c r="D16" s="10"/>
      <c r="E16" s="16"/>
      <c r="F16" s="10"/>
      <c r="G16" s="16"/>
      <c r="N16" s="11" t="s">
        <v>20</v>
      </c>
    </row>
    <row r="17" spans="1:14" x14ac:dyDescent="0.25">
      <c r="A17" s="208"/>
      <c r="B17" s="14">
        <v>45870</v>
      </c>
      <c r="C17" s="15" t="s">
        <v>50</v>
      </c>
      <c r="D17" s="10"/>
      <c r="E17" s="16"/>
      <c r="F17" s="10"/>
      <c r="G17" s="16"/>
      <c r="N17" s="11" t="s">
        <v>21</v>
      </c>
    </row>
    <row r="18" spans="1:14" x14ac:dyDescent="0.25">
      <c r="A18" s="208"/>
      <c r="B18" s="14">
        <v>45901</v>
      </c>
      <c r="C18" s="15" t="s">
        <v>50</v>
      </c>
      <c r="D18" s="10" t="s">
        <v>51</v>
      </c>
      <c r="E18" s="17">
        <v>45991</v>
      </c>
      <c r="F18" s="10" t="s">
        <v>48</v>
      </c>
      <c r="G18" s="16"/>
    </row>
    <row r="19" spans="1:14" x14ac:dyDescent="0.25">
      <c r="A19" s="208"/>
      <c r="B19" s="14">
        <v>45931</v>
      </c>
      <c r="C19" s="15"/>
      <c r="D19" s="10"/>
      <c r="E19" s="16"/>
      <c r="F19" s="10"/>
      <c r="G19" s="16"/>
    </row>
    <row r="20" spans="1:14" x14ac:dyDescent="0.25">
      <c r="A20" s="208"/>
      <c r="B20" s="14">
        <v>45962</v>
      </c>
      <c r="C20" s="15"/>
      <c r="D20" s="10"/>
      <c r="E20" s="16"/>
      <c r="F20" s="10"/>
      <c r="G20" s="16"/>
    </row>
    <row r="21" spans="1:14" ht="15.75" customHeight="1" x14ac:dyDescent="0.25">
      <c r="A21" s="209"/>
      <c r="B21" s="14">
        <v>45992</v>
      </c>
      <c r="C21" s="15"/>
      <c r="D21" s="10"/>
      <c r="E21" s="16"/>
      <c r="F21" s="10"/>
      <c r="G21" s="16"/>
    </row>
    <row r="22" spans="1:14" ht="15.75" customHeight="1" x14ac:dyDescent="0.25">
      <c r="A22" s="207">
        <v>2</v>
      </c>
      <c r="B22" s="14">
        <v>45658</v>
      </c>
      <c r="C22" s="15"/>
      <c r="D22" s="10"/>
      <c r="E22" s="16"/>
      <c r="F22" s="10"/>
      <c r="G22" s="16"/>
    </row>
    <row r="23" spans="1:14" ht="15.75" customHeight="1" x14ac:dyDescent="0.25">
      <c r="A23" s="208"/>
      <c r="B23" s="14">
        <v>45689</v>
      </c>
      <c r="C23" s="15"/>
      <c r="D23" s="10"/>
      <c r="E23" s="16"/>
      <c r="F23" s="10"/>
      <c r="G23" s="16"/>
    </row>
    <row r="24" spans="1:14" ht="15.75" customHeight="1" x14ac:dyDescent="0.25">
      <c r="A24" s="208"/>
      <c r="B24" s="14">
        <v>45717</v>
      </c>
      <c r="C24" s="15"/>
      <c r="D24" s="10"/>
      <c r="E24" s="16"/>
      <c r="F24" s="10"/>
      <c r="G24" s="16"/>
    </row>
    <row r="25" spans="1:14" ht="15.75" customHeight="1" x14ac:dyDescent="0.25">
      <c r="A25" s="208"/>
      <c r="B25" s="14">
        <v>45748</v>
      </c>
      <c r="C25" s="15"/>
      <c r="D25" s="10"/>
      <c r="E25" s="16"/>
      <c r="F25" s="10"/>
      <c r="G25" s="16"/>
    </row>
    <row r="26" spans="1:14" ht="15.75" customHeight="1" x14ac:dyDescent="0.25">
      <c r="A26" s="208"/>
      <c r="B26" s="14">
        <v>45778</v>
      </c>
      <c r="C26" s="15"/>
      <c r="D26" s="10"/>
      <c r="E26" s="16"/>
      <c r="F26" s="10"/>
      <c r="G26" s="16"/>
    </row>
    <row r="27" spans="1:14" ht="15.75" customHeight="1" x14ac:dyDescent="0.25">
      <c r="A27" s="208"/>
      <c r="B27" s="14">
        <v>45809</v>
      </c>
      <c r="C27" s="15"/>
      <c r="D27" s="10"/>
      <c r="E27" s="16"/>
      <c r="F27" s="10"/>
      <c r="G27" s="16"/>
    </row>
    <row r="28" spans="1:14" ht="15.75" customHeight="1" x14ac:dyDescent="0.25">
      <c r="A28" s="208"/>
      <c r="B28" s="14">
        <v>45839</v>
      </c>
      <c r="C28" s="15"/>
      <c r="D28" s="10"/>
      <c r="E28" s="16"/>
      <c r="F28" s="10"/>
      <c r="G28" s="16"/>
    </row>
    <row r="29" spans="1:14" ht="15.75" customHeight="1" x14ac:dyDescent="0.25">
      <c r="A29" s="208"/>
      <c r="B29" s="14">
        <v>45870</v>
      </c>
      <c r="C29" s="15"/>
      <c r="D29" s="10"/>
      <c r="E29" s="16"/>
      <c r="F29" s="10"/>
      <c r="G29" s="16"/>
    </row>
    <row r="30" spans="1:14" ht="15.75" customHeight="1" x14ac:dyDescent="0.25">
      <c r="A30" s="208"/>
      <c r="B30" s="14">
        <v>45901</v>
      </c>
      <c r="C30" s="15"/>
      <c r="D30" s="10"/>
      <c r="E30" s="16"/>
      <c r="F30" s="10"/>
      <c r="G30" s="16"/>
    </row>
    <row r="31" spans="1:14" ht="15.75" customHeight="1" x14ac:dyDescent="0.25">
      <c r="A31" s="208"/>
      <c r="B31" s="14">
        <v>45931</v>
      </c>
      <c r="C31" s="15"/>
      <c r="D31" s="10"/>
      <c r="E31" s="16"/>
      <c r="F31" s="10"/>
      <c r="G31" s="16"/>
    </row>
    <row r="32" spans="1:14" ht="15.75" customHeight="1" x14ac:dyDescent="0.25">
      <c r="A32" s="208"/>
      <c r="B32" s="14">
        <v>45962</v>
      </c>
      <c r="C32" s="15"/>
      <c r="D32" s="10"/>
      <c r="E32" s="16"/>
      <c r="F32" s="10"/>
      <c r="G32" s="16"/>
    </row>
    <row r="33" spans="1:7" ht="15.75" customHeight="1" x14ac:dyDescent="0.25">
      <c r="A33" s="209"/>
      <c r="B33" s="14">
        <v>45992</v>
      </c>
      <c r="C33" s="15"/>
      <c r="D33" s="10"/>
      <c r="E33" s="16"/>
      <c r="F33" s="10"/>
      <c r="G33" s="16"/>
    </row>
    <row r="34" spans="1:7" ht="15.75" customHeight="1" x14ac:dyDescent="0.25">
      <c r="A34" s="210">
        <v>3</v>
      </c>
      <c r="B34" s="14">
        <v>45658</v>
      </c>
      <c r="C34" s="15"/>
      <c r="D34" s="10"/>
      <c r="E34" s="16"/>
      <c r="F34" s="10"/>
      <c r="G34" s="16"/>
    </row>
    <row r="35" spans="1:7" ht="15.75" customHeight="1" x14ac:dyDescent="0.25">
      <c r="A35" s="208"/>
      <c r="B35" s="14">
        <v>45689</v>
      </c>
      <c r="C35" s="15"/>
      <c r="D35" s="10"/>
      <c r="E35" s="16"/>
      <c r="F35" s="10"/>
      <c r="G35" s="16"/>
    </row>
    <row r="36" spans="1:7" ht="15.75" customHeight="1" x14ac:dyDescent="0.25">
      <c r="A36" s="208"/>
      <c r="B36" s="14">
        <v>45717</v>
      </c>
      <c r="C36" s="15"/>
      <c r="D36" s="10"/>
      <c r="E36" s="16"/>
      <c r="F36" s="10"/>
      <c r="G36" s="16"/>
    </row>
    <row r="37" spans="1:7" ht="15.75" customHeight="1" x14ac:dyDescent="0.25">
      <c r="A37" s="208"/>
      <c r="B37" s="14">
        <v>45748</v>
      </c>
      <c r="C37" s="15"/>
      <c r="D37" s="10"/>
      <c r="E37" s="16"/>
      <c r="F37" s="10"/>
      <c r="G37" s="16"/>
    </row>
    <row r="38" spans="1:7" ht="15.75" customHeight="1" x14ac:dyDescent="0.25">
      <c r="A38" s="208"/>
      <c r="B38" s="14">
        <v>45778</v>
      </c>
      <c r="C38" s="15"/>
      <c r="D38" s="10"/>
      <c r="E38" s="16"/>
      <c r="F38" s="10"/>
      <c r="G38" s="16"/>
    </row>
    <row r="39" spans="1:7" ht="15.75" customHeight="1" x14ac:dyDescent="0.25">
      <c r="A39" s="208"/>
      <c r="B39" s="14">
        <v>45809</v>
      </c>
      <c r="C39" s="15"/>
      <c r="D39" s="10"/>
      <c r="E39" s="16"/>
      <c r="F39" s="10"/>
      <c r="G39" s="16"/>
    </row>
    <row r="40" spans="1:7" ht="15.75" customHeight="1" x14ac:dyDescent="0.25">
      <c r="A40" s="208"/>
      <c r="B40" s="14">
        <v>45839</v>
      </c>
      <c r="C40" s="15"/>
      <c r="D40" s="10"/>
      <c r="E40" s="16"/>
      <c r="F40" s="10"/>
      <c r="G40" s="16"/>
    </row>
    <row r="41" spans="1:7" ht="15.75" customHeight="1" x14ac:dyDescent="0.25">
      <c r="A41" s="208"/>
      <c r="B41" s="14">
        <v>45870</v>
      </c>
      <c r="C41" s="15"/>
      <c r="D41" s="10"/>
      <c r="E41" s="16"/>
      <c r="F41" s="10"/>
      <c r="G41" s="16"/>
    </row>
    <row r="42" spans="1:7" ht="30" x14ac:dyDescent="0.25">
      <c r="A42" s="208"/>
      <c r="B42" s="14">
        <v>45901</v>
      </c>
      <c r="C42" s="37" t="s">
        <v>55</v>
      </c>
      <c r="D42" s="10" t="s">
        <v>55</v>
      </c>
      <c r="E42" s="17">
        <v>45961</v>
      </c>
      <c r="F42" s="10" t="s">
        <v>49</v>
      </c>
      <c r="G42" s="16"/>
    </row>
    <row r="43" spans="1:7" ht="15.75" customHeight="1" x14ac:dyDescent="0.25">
      <c r="A43" s="208"/>
      <c r="B43" s="14">
        <v>45931</v>
      </c>
      <c r="C43" s="15"/>
      <c r="D43" s="10"/>
      <c r="E43" s="16"/>
      <c r="F43" s="10"/>
      <c r="G43" s="16"/>
    </row>
    <row r="44" spans="1:7" ht="15.75" customHeight="1" x14ac:dyDescent="0.25">
      <c r="A44" s="208"/>
      <c r="B44" s="14">
        <v>45962</v>
      </c>
      <c r="C44" s="15"/>
      <c r="D44" s="10"/>
      <c r="E44" s="16"/>
      <c r="F44" s="10"/>
      <c r="G44" s="16"/>
    </row>
    <row r="45" spans="1:7" ht="15.75" customHeight="1" x14ac:dyDescent="0.25">
      <c r="A45" s="209"/>
      <c r="B45" s="14">
        <v>45992</v>
      </c>
      <c r="C45" s="15"/>
      <c r="D45" s="10"/>
      <c r="E45" s="16"/>
      <c r="F45" s="10"/>
      <c r="G45" s="16"/>
    </row>
    <row r="46" spans="1:7" ht="15.75" customHeight="1" x14ac:dyDescent="0.25">
      <c r="A46" s="207">
        <v>4</v>
      </c>
      <c r="B46" s="14">
        <v>45658</v>
      </c>
      <c r="C46" s="15"/>
      <c r="D46" s="10"/>
      <c r="E46" s="16"/>
      <c r="F46" s="10"/>
      <c r="G46" s="16"/>
    </row>
    <row r="47" spans="1:7" ht="15.75" customHeight="1" x14ac:dyDescent="0.25">
      <c r="A47" s="208"/>
      <c r="B47" s="14">
        <v>45689</v>
      </c>
      <c r="C47" s="15"/>
      <c r="D47" s="10"/>
      <c r="E47" s="16"/>
      <c r="F47" s="10"/>
      <c r="G47" s="16"/>
    </row>
    <row r="48" spans="1:7" ht="15.75" customHeight="1" x14ac:dyDescent="0.25">
      <c r="A48" s="208"/>
      <c r="B48" s="14">
        <v>45717</v>
      </c>
      <c r="C48" s="15"/>
      <c r="D48" s="10"/>
      <c r="E48" s="16"/>
      <c r="F48" s="10"/>
      <c r="G48" s="16"/>
    </row>
    <row r="49" spans="1:7" ht="15.75" customHeight="1" x14ac:dyDescent="0.25">
      <c r="A49" s="208"/>
      <c r="B49" s="14">
        <v>45748</v>
      </c>
      <c r="C49" s="15"/>
      <c r="D49" s="10"/>
      <c r="E49" s="16"/>
      <c r="F49" s="10"/>
      <c r="G49" s="16"/>
    </row>
    <row r="50" spans="1:7" ht="15.75" customHeight="1" x14ac:dyDescent="0.25">
      <c r="A50" s="208"/>
      <c r="B50" s="14">
        <v>45778</v>
      </c>
      <c r="C50" s="15"/>
      <c r="D50" s="10"/>
      <c r="E50" s="16"/>
      <c r="F50" s="10"/>
      <c r="G50" s="16"/>
    </row>
    <row r="51" spans="1:7" ht="15.75" customHeight="1" x14ac:dyDescent="0.25">
      <c r="A51" s="208"/>
      <c r="B51" s="14">
        <v>45809</v>
      </c>
      <c r="C51" s="15"/>
      <c r="D51" s="10"/>
      <c r="E51" s="16"/>
      <c r="F51" s="10"/>
      <c r="G51" s="16"/>
    </row>
    <row r="52" spans="1:7" ht="15.75" customHeight="1" x14ac:dyDescent="0.25">
      <c r="A52" s="208"/>
      <c r="B52" s="14">
        <v>45839</v>
      </c>
      <c r="C52" s="15"/>
      <c r="D52" s="10"/>
      <c r="E52" s="16"/>
      <c r="F52" s="10"/>
      <c r="G52" s="16"/>
    </row>
    <row r="53" spans="1:7" ht="15.75" customHeight="1" x14ac:dyDescent="0.25">
      <c r="A53" s="208"/>
      <c r="B53" s="14">
        <v>45870</v>
      </c>
      <c r="C53" s="15"/>
      <c r="D53" s="10"/>
      <c r="E53" s="16"/>
      <c r="F53" s="10"/>
      <c r="G53" s="16"/>
    </row>
    <row r="54" spans="1:7" ht="15.75" customHeight="1" x14ac:dyDescent="0.25">
      <c r="A54" s="208"/>
      <c r="B54" s="14">
        <v>45901</v>
      </c>
      <c r="C54" s="15"/>
      <c r="D54" s="10"/>
      <c r="E54" s="16"/>
      <c r="F54" s="10"/>
      <c r="G54" s="16"/>
    </row>
    <row r="55" spans="1:7" ht="15.75" customHeight="1" x14ac:dyDescent="0.25">
      <c r="A55" s="208"/>
      <c r="B55" s="14">
        <v>45931</v>
      </c>
      <c r="C55" s="15"/>
      <c r="D55" s="10"/>
      <c r="E55" s="16"/>
      <c r="F55" s="10"/>
      <c r="G55" s="16"/>
    </row>
    <row r="56" spans="1:7" ht="15.75" customHeight="1" x14ac:dyDescent="0.25">
      <c r="A56" s="208"/>
      <c r="B56" s="14">
        <v>45962</v>
      </c>
      <c r="C56" s="15"/>
      <c r="D56" s="10"/>
      <c r="E56" s="16"/>
      <c r="F56" s="10"/>
      <c r="G56" s="16"/>
    </row>
    <row r="57" spans="1:7" ht="15.75" customHeight="1" x14ac:dyDescent="0.25">
      <c r="A57" s="209"/>
      <c r="B57" s="14">
        <v>45992</v>
      </c>
      <c r="C57" s="15"/>
      <c r="D57" s="10"/>
      <c r="E57" s="16"/>
      <c r="F57" s="10"/>
      <c r="G57" s="16"/>
    </row>
    <row r="58" spans="1:7" ht="15.75" customHeight="1" x14ac:dyDescent="0.25">
      <c r="B58" s="12"/>
    </row>
    <row r="59" spans="1:7" ht="15.75" customHeight="1" x14ac:dyDescent="0.25">
      <c r="B59" s="12"/>
    </row>
    <row r="60" spans="1:7" ht="15.75" customHeight="1" x14ac:dyDescent="0.25">
      <c r="B60" s="12"/>
    </row>
    <row r="61" spans="1:7" ht="15.75" customHeight="1" x14ac:dyDescent="0.25">
      <c r="B61" s="12"/>
    </row>
    <row r="62" spans="1:7" ht="15.75" customHeight="1" x14ac:dyDescent="0.25">
      <c r="B62" s="12"/>
    </row>
    <row r="63" spans="1:7" ht="15.75" customHeight="1" x14ac:dyDescent="0.25">
      <c r="B63" s="12"/>
    </row>
    <row r="64" spans="1:7" ht="15.75" customHeight="1" x14ac:dyDescent="0.25">
      <c r="B64" s="12"/>
    </row>
    <row r="65" spans="2:2" ht="15.75" customHeight="1" x14ac:dyDescent="0.25">
      <c r="B65" s="12"/>
    </row>
    <row r="66" spans="2:2" ht="15.75" customHeight="1" x14ac:dyDescent="0.25">
      <c r="B66" s="12"/>
    </row>
    <row r="67" spans="2:2" ht="15.75" customHeight="1" x14ac:dyDescent="0.25">
      <c r="B67" s="12"/>
    </row>
    <row r="68" spans="2:2" ht="15.75" customHeight="1" x14ac:dyDescent="0.25">
      <c r="B68" s="12"/>
    </row>
    <row r="69" spans="2:2" ht="15.75" customHeight="1" x14ac:dyDescent="0.25">
      <c r="B69" s="12"/>
    </row>
    <row r="70" spans="2:2" ht="15.75" customHeight="1" x14ac:dyDescent="0.25">
      <c r="B70" s="12"/>
    </row>
    <row r="71" spans="2:2" ht="15.75" customHeight="1" x14ac:dyDescent="0.25">
      <c r="B71" s="12"/>
    </row>
    <row r="72" spans="2:2" ht="15.75" customHeight="1" x14ac:dyDescent="0.25">
      <c r="B72" s="12"/>
    </row>
    <row r="73" spans="2:2" ht="15.75" customHeight="1" x14ac:dyDescent="0.25">
      <c r="B73" s="12"/>
    </row>
    <row r="74" spans="2:2" ht="15.75" customHeight="1" x14ac:dyDescent="0.25">
      <c r="B74" s="12"/>
    </row>
    <row r="75" spans="2:2" ht="15.75" customHeight="1" x14ac:dyDescent="0.25">
      <c r="B75" s="12"/>
    </row>
    <row r="76" spans="2:2" ht="15.75" customHeight="1" x14ac:dyDescent="0.25">
      <c r="B76" s="12"/>
    </row>
    <row r="77" spans="2:2" ht="15.75" customHeight="1" x14ac:dyDescent="0.25">
      <c r="B77" s="12"/>
    </row>
    <row r="78" spans="2:2" ht="15.75" customHeight="1" x14ac:dyDescent="0.25">
      <c r="B78" s="12"/>
    </row>
    <row r="79" spans="2:2" ht="15.75" customHeight="1" x14ac:dyDescent="0.25">
      <c r="B79" s="12"/>
    </row>
    <row r="80" spans="2:2" ht="15.75" customHeight="1" x14ac:dyDescent="0.25">
      <c r="B80" s="12"/>
    </row>
    <row r="81" spans="2:2" ht="15.75" customHeight="1" x14ac:dyDescent="0.25">
      <c r="B81" s="12"/>
    </row>
    <row r="82" spans="2:2" ht="15.75" customHeight="1" x14ac:dyDescent="0.25">
      <c r="B82" s="12"/>
    </row>
    <row r="83" spans="2:2" ht="15.75" customHeight="1" x14ac:dyDescent="0.25">
      <c r="B83" s="12"/>
    </row>
    <row r="84" spans="2:2" ht="15.75" customHeight="1" x14ac:dyDescent="0.25">
      <c r="B84" s="12"/>
    </row>
    <row r="85" spans="2:2" ht="15.75" customHeight="1" x14ac:dyDescent="0.25">
      <c r="B85" s="12"/>
    </row>
    <row r="86" spans="2:2" ht="15.75" customHeight="1" x14ac:dyDescent="0.25">
      <c r="B86" s="12"/>
    </row>
    <row r="87" spans="2:2" ht="15.75" customHeight="1" x14ac:dyDescent="0.25">
      <c r="B87" s="12"/>
    </row>
    <row r="88" spans="2:2" ht="15.75" customHeight="1" x14ac:dyDescent="0.25">
      <c r="B88" s="12"/>
    </row>
    <row r="89" spans="2:2" ht="15.75" customHeight="1" x14ac:dyDescent="0.25">
      <c r="B89" s="12"/>
    </row>
    <row r="90" spans="2:2" ht="15.75" customHeight="1" x14ac:dyDescent="0.25">
      <c r="B90" s="12"/>
    </row>
    <row r="91" spans="2:2" ht="15.75" customHeight="1" x14ac:dyDescent="0.25">
      <c r="B91" s="12"/>
    </row>
    <row r="92" spans="2:2" ht="15.75" customHeight="1" x14ac:dyDescent="0.25">
      <c r="B92" s="12"/>
    </row>
    <row r="93" spans="2:2" ht="15.75" customHeight="1" x14ac:dyDescent="0.25">
      <c r="B93" s="12"/>
    </row>
    <row r="94" spans="2:2" ht="15.75" customHeight="1" x14ac:dyDescent="0.25">
      <c r="B94" s="12"/>
    </row>
    <row r="95" spans="2:2" ht="15.75" customHeight="1" x14ac:dyDescent="0.25">
      <c r="B95" s="12"/>
    </row>
    <row r="96" spans="2:2" ht="15.75" customHeight="1" x14ac:dyDescent="0.25">
      <c r="B96" s="12"/>
    </row>
    <row r="97" spans="2:2" ht="15.75" customHeight="1" x14ac:dyDescent="0.25">
      <c r="B97" s="12"/>
    </row>
    <row r="98" spans="2:2" ht="15.75" customHeight="1" x14ac:dyDescent="0.25">
      <c r="B98" s="12"/>
    </row>
    <row r="99" spans="2:2" ht="15.75" customHeight="1" x14ac:dyDescent="0.25">
      <c r="B99" s="12"/>
    </row>
    <row r="100" spans="2:2" ht="15.75" customHeight="1" x14ac:dyDescent="0.25">
      <c r="B100" s="12"/>
    </row>
    <row r="101" spans="2:2" ht="15.75" customHeight="1" x14ac:dyDescent="0.25">
      <c r="B101" s="12"/>
    </row>
    <row r="102" spans="2:2" ht="15.75" customHeight="1" x14ac:dyDescent="0.25">
      <c r="B102" s="12"/>
    </row>
    <row r="103" spans="2:2" ht="15.75" customHeight="1" x14ac:dyDescent="0.25">
      <c r="B103" s="12"/>
    </row>
    <row r="104" spans="2:2" ht="15.75" customHeight="1" x14ac:dyDescent="0.25">
      <c r="B104" s="12"/>
    </row>
    <row r="105" spans="2:2" ht="15.75" customHeight="1" x14ac:dyDescent="0.25">
      <c r="B105" s="12"/>
    </row>
    <row r="106" spans="2:2" ht="15.75" customHeight="1" x14ac:dyDescent="0.25">
      <c r="B106" s="12"/>
    </row>
    <row r="107" spans="2:2" ht="15.75" customHeight="1" x14ac:dyDescent="0.25">
      <c r="B107" s="12"/>
    </row>
    <row r="108" spans="2:2" ht="15.75" customHeight="1" x14ac:dyDescent="0.25">
      <c r="B108" s="12"/>
    </row>
    <row r="109" spans="2:2" ht="15.75" customHeight="1" x14ac:dyDescent="0.25">
      <c r="B109" s="12"/>
    </row>
    <row r="110" spans="2:2" ht="15.75" customHeight="1" x14ac:dyDescent="0.25">
      <c r="B110" s="12"/>
    </row>
    <row r="111" spans="2:2" ht="15.75" customHeight="1" x14ac:dyDescent="0.25">
      <c r="B111" s="12"/>
    </row>
    <row r="112" spans="2:2" ht="15.75" customHeight="1" x14ac:dyDescent="0.25">
      <c r="B112" s="12"/>
    </row>
    <row r="113" spans="2:2" ht="15.75" customHeight="1" x14ac:dyDescent="0.25">
      <c r="B113" s="12"/>
    </row>
    <row r="114" spans="2:2" ht="15.75" customHeight="1" x14ac:dyDescent="0.25">
      <c r="B114" s="12"/>
    </row>
    <row r="115" spans="2:2" ht="15.75" customHeight="1" x14ac:dyDescent="0.25">
      <c r="B115" s="12"/>
    </row>
    <row r="116" spans="2:2" ht="15.75" customHeight="1" x14ac:dyDescent="0.25">
      <c r="B116" s="12"/>
    </row>
    <row r="117" spans="2:2" ht="15.75" customHeight="1" x14ac:dyDescent="0.25">
      <c r="B117" s="12"/>
    </row>
    <row r="118" spans="2:2" ht="15.75" customHeight="1" x14ac:dyDescent="0.25">
      <c r="B118" s="12"/>
    </row>
    <row r="119" spans="2:2" ht="15.75" customHeight="1" x14ac:dyDescent="0.25">
      <c r="B119" s="12"/>
    </row>
    <row r="120" spans="2:2" ht="15.75" customHeight="1" x14ac:dyDescent="0.25">
      <c r="B120" s="12"/>
    </row>
    <row r="121" spans="2:2" ht="15.75" customHeight="1" x14ac:dyDescent="0.25">
      <c r="B121" s="12"/>
    </row>
    <row r="122" spans="2:2" ht="15.75" customHeight="1" x14ac:dyDescent="0.25">
      <c r="B122" s="12"/>
    </row>
    <row r="123" spans="2:2" ht="15.75" customHeight="1" x14ac:dyDescent="0.25">
      <c r="B123" s="12"/>
    </row>
    <row r="124" spans="2:2" ht="15.75" customHeight="1" x14ac:dyDescent="0.25">
      <c r="B124" s="12"/>
    </row>
    <row r="125" spans="2:2" ht="15.75" customHeight="1" x14ac:dyDescent="0.25">
      <c r="B125" s="12"/>
    </row>
    <row r="126" spans="2:2" ht="15.75" customHeight="1" x14ac:dyDescent="0.25">
      <c r="B126" s="12"/>
    </row>
    <row r="127" spans="2:2" ht="15.75" customHeight="1" x14ac:dyDescent="0.25">
      <c r="B127" s="12"/>
    </row>
    <row r="128" spans="2:2" ht="15.75" customHeight="1" x14ac:dyDescent="0.25">
      <c r="B128" s="12"/>
    </row>
    <row r="129" spans="2:2" ht="15.75" customHeight="1" x14ac:dyDescent="0.25">
      <c r="B129" s="12"/>
    </row>
    <row r="130" spans="2:2" ht="15.75" customHeight="1" x14ac:dyDescent="0.25">
      <c r="B130" s="12"/>
    </row>
    <row r="131" spans="2:2" ht="15.75" customHeight="1" x14ac:dyDescent="0.25">
      <c r="B131" s="12"/>
    </row>
    <row r="132" spans="2:2" ht="15.75" customHeight="1" x14ac:dyDescent="0.25">
      <c r="B132" s="12"/>
    </row>
    <row r="133" spans="2:2" ht="15.75" customHeight="1" x14ac:dyDescent="0.25">
      <c r="B133" s="12"/>
    </row>
    <row r="134" spans="2:2" ht="15.75" customHeight="1" x14ac:dyDescent="0.25">
      <c r="B134" s="12"/>
    </row>
    <row r="135" spans="2:2" ht="15.75" customHeight="1" x14ac:dyDescent="0.25">
      <c r="B135" s="12"/>
    </row>
    <row r="136" spans="2:2" ht="15.75" customHeight="1" x14ac:dyDescent="0.25">
      <c r="B136" s="12"/>
    </row>
    <row r="137" spans="2:2" ht="15.75" customHeight="1" x14ac:dyDescent="0.25">
      <c r="B137" s="12"/>
    </row>
    <row r="138" spans="2:2" ht="15.75" customHeight="1" x14ac:dyDescent="0.25">
      <c r="B138" s="12"/>
    </row>
    <row r="139" spans="2:2" ht="15.75" customHeight="1" x14ac:dyDescent="0.25">
      <c r="B139" s="12"/>
    </row>
    <row r="140" spans="2:2" ht="15.75" customHeight="1" x14ac:dyDescent="0.25">
      <c r="B140" s="12"/>
    </row>
    <row r="141" spans="2:2" ht="15.75" customHeight="1" x14ac:dyDescent="0.25">
      <c r="B141" s="12"/>
    </row>
    <row r="142" spans="2:2" ht="15.75" customHeight="1" x14ac:dyDescent="0.25">
      <c r="B142" s="12"/>
    </row>
    <row r="143" spans="2:2" ht="15.75" customHeight="1" x14ac:dyDescent="0.25">
      <c r="B143" s="12"/>
    </row>
    <row r="144" spans="2:2" ht="15.75" customHeight="1" x14ac:dyDescent="0.25">
      <c r="B144" s="12"/>
    </row>
    <row r="145" spans="2:2" ht="15.75" customHeight="1" x14ac:dyDescent="0.25">
      <c r="B145" s="12"/>
    </row>
    <row r="146" spans="2:2" ht="15.75" customHeight="1" x14ac:dyDescent="0.25">
      <c r="B146" s="12"/>
    </row>
    <row r="147" spans="2:2" ht="15.75" customHeight="1" x14ac:dyDescent="0.25">
      <c r="B147" s="12"/>
    </row>
    <row r="148" spans="2:2" ht="15.75" customHeight="1" x14ac:dyDescent="0.25">
      <c r="B148" s="12"/>
    </row>
    <row r="149" spans="2:2" ht="15.75" customHeight="1" x14ac:dyDescent="0.25">
      <c r="B149" s="12"/>
    </row>
    <row r="150" spans="2:2" ht="15.75" customHeight="1" x14ac:dyDescent="0.25">
      <c r="B150" s="12"/>
    </row>
    <row r="151" spans="2:2" ht="15.75" customHeight="1" x14ac:dyDescent="0.25">
      <c r="B151" s="12"/>
    </row>
    <row r="152" spans="2:2" ht="15.75" customHeight="1" x14ac:dyDescent="0.25">
      <c r="B152" s="12"/>
    </row>
    <row r="153" spans="2:2" ht="15.75" customHeight="1" x14ac:dyDescent="0.25">
      <c r="B153" s="12"/>
    </row>
    <row r="154" spans="2:2" ht="15.75" customHeight="1" x14ac:dyDescent="0.25">
      <c r="B154" s="12"/>
    </row>
    <row r="155" spans="2:2" ht="15.75" customHeight="1" x14ac:dyDescent="0.25">
      <c r="B155" s="12"/>
    </row>
    <row r="156" spans="2:2" ht="15.75" customHeight="1" x14ac:dyDescent="0.25">
      <c r="B156" s="12"/>
    </row>
    <row r="157" spans="2:2" ht="15.75" customHeight="1" x14ac:dyDescent="0.25">
      <c r="B157" s="12"/>
    </row>
    <row r="158" spans="2:2" ht="15.75" customHeight="1" x14ac:dyDescent="0.25">
      <c r="B158" s="12"/>
    </row>
    <row r="159" spans="2:2" ht="15.75" customHeight="1" x14ac:dyDescent="0.25">
      <c r="B159" s="12"/>
    </row>
    <row r="160" spans="2:2" ht="15.75" customHeight="1" x14ac:dyDescent="0.25">
      <c r="B160" s="12"/>
    </row>
    <row r="161" spans="2:2" ht="15.75" customHeight="1" x14ac:dyDescent="0.25">
      <c r="B161" s="12"/>
    </row>
    <row r="162" spans="2:2" ht="15.75" customHeight="1" x14ac:dyDescent="0.25">
      <c r="B162" s="12"/>
    </row>
    <row r="163" spans="2:2" ht="15.75" customHeight="1" x14ac:dyDescent="0.25">
      <c r="B163" s="12"/>
    </row>
    <row r="164" spans="2:2" ht="15.75" customHeight="1" x14ac:dyDescent="0.25">
      <c r="B164" s="12"/>
    </row>
    <row r="165" spans="2:2" ht="15.75" customHeight="1" x14ac:dyDescent="0.25">
      <c r="B165" s="12"/>
    </row>
    <row r="166" spans="2:2" ht="15.75" customHeight="1" x14ac:dyDescent="0.25">
      <c r="B166" s="12"/>
    </row>
    <row r="167" spans="2:2" ht="15.75" customHeight="1" x14ac:dyDescent="0.25">
      <c r="B167" s="12"/>
    </row>
    <row r="168" spans="2:2" ht="15.75" customHeight="1" x14ac:dyDescent="0.25">
      <c r="B168" s="12"/>
    </row>
    <row r="169" spans="2:2" ht="15.75" customHeight="1" x14ac:dyDescent="0.25">
      <c r="B169" s="12"/>
    </row>
    <row r="170" spans="2:2" ht="15.75" customHeight="1" x14ac:dyDescent="0.25">
      <c r="B170" s="12"/>
    </row>
    <row r="171" spans="2:2" ht="15.75" customHeight="1" x14ac:dyDescent="0.25">
      <c r="B171" s="12"/>
    </row>
    <row r="172" spans="2:2" ht="15.75" customHeight="1" x14ac:dyDescent="0.25">
      <c r="B172" s="12"/>
    </row>
    <row r="173" spans="2:2" ht="15.75" customHeight="1" x14ac:dyDescent="0.25">
      <c r="B173" s="12"/>
    </row>
    <row r="174" spans="2:2" ht="15.75" customHeight="1" x14ac:dyDescent="0.25">
      <c r="B174" s="12"/>
    </row>
    <row r="175" spans="2:2" ht="15.75" customHeight="1" x14ac:dyDescent="0.25">
      <c r="B175" s="12"/>
    </row>
    <row r="176" spans="2:2" ht="15.75" customHeight="1" x14ac:dyDescent="0.25">
      <c r="B176" s="12"/>
    </row>
    <row r="177" spans="2:2" ht="15.75" customHeight="1" x14ac:dyDescent="0.25">
      <c r="B177" s="12"/>
    </row>
    <row r="178" spans="2:2" ht="15.75" customHeight="1" x14ac:dyDescent="0.25">
      <c r="B178" s="12"/>
    </row>
    <row r="179" spans="2:2" ht="15.75" customHeight="1" x14ac:dyDescent="0.25">
      <c r="B179" s="12"/>
    </row>
    <row r="180" spans="2:2" ht="15.75" customHeight="1" x14ac:dyDescent="0.25">
      <c r="B180" s="12"/>
    </row>
    <row r="181" spans="2:2" ht="15.75" customHeight="1" x14ac:dyDescent="0.25">
      <c r="B181" s="12"/>
    </row>
    <row r="182" spans="2:2" ht="15.75" customHeight="1" x14ac:dyDescent="0.25">
      <c r="B182" s="12"/>
    </row>
    <row r="183" spans="2:2" ht="15.75" customHeight="1" x14ac:dyDescent="0.25">
      <c r="B183" s="12"/>
    </row>
    <row r="184" spans="2:2" ht="15.75" customHeight="1" x14ac:dyDescent="0.25">
      <c r="B184" s="12"/>
    </row>
    <row r="185" spans="2:2" ht="15.75" customHeight="1" x14ac:dyDescent="0.25">
      <c r="B185" s="12"/>
    </row>
    <row r="186" spans="2:2" ht="15.75" customHeight="1" x14ac:dyDescent="0.25">
      <c r="B186" s="12"/>
    </row>
    <row r="187" spans="2:2" ht="15.75" customHeight="1" x14ac:dyDescent="0.25">
      <c r="B187" s="12"/>
    </row>
    <row r="188" spans="2:2" ht="15.75" customHeight="1" x14ac:dyDescent="0.25">
      <c r="B188" s="12"/>
    </row>
    <row r="189" spans="2:2" ht="15.75" customHeight="1" x14ac:dyDescent="0.25">
      <c r="B189" s="12"/>
    </row>
    <row r="190" spans="2:2" ht="15.75" customHeight="1" x14ac:dyDescent="0.25">
      <c r="B190" s="12"/>
    </row>
    <row r="191" spans="2:2" ht="15.75" customHeight="1" x14ac:dyDescent="0.25">
      <c r="B191" s="12"/>
    </row>
    <row r="192" spans="2:2" ht="15.75" customHeight="1" x14ac:dyDescent="0.25">
      <c r="B192" s="12"/>
    </row>
    <row r="193" spans="2:2" ht="15.75" customHeight="1" x14ac:dyDescent="0.25">
      <c r="B193" s="12"/>
    </row>
    <row r="194" spans="2:2" ht="15.75" customHeight="1" x14ac:dyDescent="0.25">
      <c r="B194" s="12"/>
    </row>
    <row r="195" spans="2:2" ht="15.75" customHeight="1" x14ac:dyDescent="0.25">
      <c r="B195" s="12"/>
    </row>
    <row r="196" spans="2:2" ht="15.75" customHeight="1" x14ac:dyDescent="0.25">
      <c r="B196" s="12"/>
    </row>
    <row r="197" spans="2:2" ht="15.75" customHeight="1" x14ac:dyDescent="0.25">
      <c r="B197" s="12"/>
    </row>
    <row r="198" spans="2:2" ht="15.75" customHeight="1" x14ac:dyDescent="0.25">
      <c r="B198" s="12"/>
    </row>
    <row r="199" spans="2:2" ht="15.75" customHeight="1" x14ac:dyDescent="0.25">
      <c r="B199" s="12"/>
    </row>
    <row r="200" spans="2:2" ht="15.75" customHeight="1" x14ac:dyDescent="0.25">
      <c r="B200" s="12"/>
    </row>
    <row r="201" spans="2:2" ht="15.75" customHeight="1" x14ac:dyDescent="0.25">
      <c r="B201" s="12"/>
    </row>
    <row r="202" spans="2:2" ht="15.75" customHeight="1" x14ac:dyDescent="0.25">
      <c r="B202" s="12"/>
    </row>
    <row r="203" spans="2:2" ht="15.75" customHeight="1" x14ac:dyDescent="0.25">
      <c r="B203" s="12"/>
    </row>
    <row r="204" spans="2:2" ht="15.75" customHeight="1" x14ac:dyDescent="0.25">
      <c r="B204" s="12"/>
    </row>
    <row r="205" spans="2:2" ht="15.75" customHeight="1" x14ac:dyDescent="0.25">
      <c r="B205" s="12"/>
    </row>
    <row r="206" spans="2:2" ht="15.75" customHeight="1" x14ac:dyDescent="0.25">
      <c r="B206" s="12"/>
    </row>
    <row r="207" spans="2:2" ht="15.75" customHeight="1" x14ac:dyDescent="0.25">
      <c r="B207" s="12"/>
    </row>
    <row r="208" spans="2:2" ht="15.75" customHeight="1" x14ac:dyDescent="0.25">
      <c r="B208" s="12"/>
    </row>
    <row r="209" spans="2:2" ht="15.75" customHeight="1" x14ac:dyDescent="0.25">
      <c r="B209" s="12"/>
    </row>
    <row r="210" spans="2:2" ht="15.75" customHeight="1" x14ac:dyDescent="0.25">
      <c r="B210" s="12"/>
    </row>
    <row r="211" spans="2:2" ht="15.75" customHeight="1" x14ac:dyDescent="0.25">
      <c r="B211" s="12"/>
    </row>
    <row r="212" spans="2:2" ht="15.75" customHeight="1" x14ac:dyDescent="0.25">
      <c r="B212" s="12"/>
    </row>
    <row r="213" spans="2:2" ht="15.75" customHeight="1" x14ac:dyDescent="0.25">
      <c r="B213" s="12"/>
    </row>
    <row r="214" spans="2:2" ht="15.75" customHeight="1" x14ac:dyDescent="0.25">
      <c r="B214" s="12"/>
    </row>
    <row r="215" spans="2:2" ht="15.75" customHeight="1" x14ac:dyDescent="0.25">
      <c r="B215" s="12"/>
    </row>
    <row r="216" spans="2:2" ht="15.75" customHeight="1" x14ac:dyDescent="0.25">
      <c r="B216" s="12"/>
    </row>
    <row r="217" spans="2:2" ht="15.75" customHeight="1" x14ac:dyDescent="0.25">
      <c r="B217" s="12"/>
    </row>
    <row r="218" spans="2:2" ht="15.75" customHeight="1" x14ac:dyDescent="0.25">
      <c r="B218" s="12"/>
    </row>
    <row r="219" spans="2:2" ht="15.75" customHeight="1" x14ac:dyDescent="0.25">
      <c r="B219" s="12"/>
    </row>
    <row r="220" spans="2:2" ht="15.75" customHeight="1" x14ac:dyDescent="0.25">
      <c r="B220" s="12"/>
    </row>
    <row r="221" spans="2:2" ht="15.75" customHeight="1" x14ac:dyDescent="0.25">
      <c r="B221" s="12"/>
    </row>
    <row r="222" spans="2:2" ht="15.75" customHeight="1" x14ac:dyDescent="0.25">
      <c r="B222" s="12"/>
    </row>
    <row r="223" spans="2:2" ht="15.75" customHeight="1" x14ac:dyDescent="0.25">
      <c r="B223" s="12"/>
    </row>
    <row r="224" spans="2:2" ht="15.75" customHeight="1" x14ac:dyDescent="0.25">
      <c r="B224" s="12"/>
    </row>
    <row r="225" spans="2:2" ht="15.75" customHeight="1" x14ac:dyDescent="0.25">
      <c r="B225" s="12"/>
    </row>
    <row r="226" spans="2:2" ht="15.75" customHeight="1" x14ac:dyDescent="0.25">
      <c r="B226" s="12"/>
    </row>
    <row r="227" spans="2:2" ht="15.75" customHeight="1" x14ac:dyDescent="0.25">
      <c r="B227" s="12"/>
    </row>
    <row r="228" spans="2:2" ht="15.75" customHeight="1" x14ac:dyDescent="0.25">
      <c r="B228" s="12"/>
    </row>
    <row r="229" spans="2:2" ht="15.75" customHeight="1" x14ac:dyDescent="0.25">
      <c r="B229" s="12"/>
    </row>
    <row r="230" spans="2:2" ht="15.75" customHeight="1" x14ac:dyDescent="0.25">
      <c r="B230" s="12"/>
    </row>
    <row r="231" spans="2:2" ht="15.75" customHeight="1" x14ac:dyDescent="0.25">
      <c r="B231" s="12"/>
    </row>
    <row r="232" spans="2:2" ht="15.75" customHeight="1" x14ac:dyDescent="0.25">
      <c r="B232" s="12"/>
    </row>
    <row r="233" spans="2:2" ht="15.75" customHeight="1" x14ac:dyDescent="0.25">
      <c r="B233" s="12"/>
    </row>
    <row r="234" spans="2:2" ht="15.75" customHeight="1" x14ac:dyDescent="0.25">
      <c r="B234" s="12"/>
    </row>
    <row r="235" spans="2:2" ht="15.75" customHeight="1" x14ac:dyDescent="0.25">
      <c r="B235" s="12"/>
    </row>
    <row r="236" spans="2:2" ht="15.75" customHeight="1" x14ac:dyDescent="0.25">
      <c r="B236" s="12"/>
    </row>
    <row r="237" spans="2:2" ht="15.75" customHeight="1" x14ac:dyDescent="0.25">
      <c r="B237" s="12"/>
    </row>
    <row r="238" spans="2:2" ht="15.75" customHeight="1" x14ac:dyDescent="0.25">
      <c r="B238" s="12"/>
    </row>
    <row r="239" spans="2:2" ht="15.75" customHeight="1" x14ac:dyDescent="0.25">
      <c r="B239" s="12"/>
    </row>
    <row r="240" spans="2:2" ht="15.75" customHeight="1" x14ac:dyDescent="0.25">
      <c r="B240" s="12"/>
    </row>
    <row r="241" spans="2:2" ht="15.75" customHeight="1" x14ac:dyDescent="0.25">
      <c r="B241" s="12"/>
    </row>
    <row r="242" spans="2:2" ht="15.75" customHeight="1" x14ac:dyDescent="0.25">
      <c r="B242" s="12"/>
    </row>
    <row r="243" spans="2:2" ht="15.75" customHeight="1" x14ac:dyDescent="0.25">
      <c r="B243" s="12"/>
    </row>
    <row r="244" spans="2:2" ht="15.75" customHeight="1" x14ac:dyDescent="0.25">
      <c r="B244" s="12"/>
    </row>
    <row r="245" spans="2:2" ht="15.75" customHeight="1" x14ac:dyDescent="0.25">
      <c r="B245" s="12"/>
    </row>
    <row r="246" spans="2:2" ht="15.75" customHeight="1" x14ac:dyDescent="0.25">
      <c r="B246" s="12"/>
    </row>
    <row r="247" spans="2:2" ht="15.75" customHeight="1" x14ac:dyDescent="0.25">
      <c r="B247" s="12"/>
    </row>
    <row r="248" spans="2:2" ht="15.75" customHeight="1" x14ac:dyDescent="0.25">
      <c r="B248" s="12"/>
    </row>
    <row r="249" spans="2:2" ht="15.75" customHeight="1" x14ac:dyDescent="0.25">
      <c r="B249" s="12"/>
    </row>
    <row r="250" spans="2:2" ht="15.75" customHeight="1" x14ac:dyDescent="0.25">
      <c r="B250" s="12"/>
    </row>
    <row r="251" spans="2:2" ht="15.75" customHeight="1" x14ac:dyDescent="0.25">
      <c r="B251" s="12"/>
    </row>
    <row r="252" spans="2:2" ht="15.75" customHeight="1" x14ac:dyDescent="0.25">
      <c r="B252" s="12"/>
    </row>
    <row r="253" spans="2:2" ht="15.75" customHeight="1" x14ac:dyDescent="0.25">
      <c r="B253" s="12"/>
    </row>
    <row r="254" spans="2:2" ht="15.75" customHeight="1" x14ac:dyDescent="0.25">
      <c r="B254" s="12"/>
    </row>
    <row r="255" spans="2:2" ht="15.75" customHeight="1" x14ac:dyDescent="0.25">
      <c r="B255" s="12"/>
    </row>
    <row r="256" spans="2:2" ht="15.75" customHeight="1" x14ac:dyDescent="0.25">
      <c r="B256" s="12"/>
    </row>
    <row r="257" spans="2:2" ht="15.75" customHeight="1" x14ac:dyDescent="0.25">
      <c r="B257" s="12"/>
    </row>
    <row r="258" spans="2:2" ht="15.75" customHeight="1" x14ac:dyDescent="0.25">
      <c r="B258" s="12"/>
    </row>
    <row r="259" spans="2:2" ht="15.75" customHeight="1" x14ac:dyDescent="0.25">
      <c r="B259" s="12"/>
    </row>
    <row r="260" spans="2:2" ht="15.75" customHeight="1" x14ac:dyDescent="0.25">
      <c r="B260" s="12"/>
    </row>
    <row r="261" spans="2:2" ht="15.75" customHeight="1" x14ac:dyDescent="0.25">
      <c r="B261" s="12"/>
    </row>
    <row r="262" spans="2:2" ht="15.75" customHeight="1" x14ac:dyDescent="0.25">
      <c r="B262" s="12"/>
    </row>
    <row r="263" spans="2:2" ht="15.75" customHeight="1" x14ac:dyDescent="0.25">
      <c r="B263" s="12"/>
    </row>
    <row r="264" spans="2:2" ht="15.75" customHeight="1" x14ac:dyDescent="0.25">
      <c r="B264" s="12"/>
    </row>
    <row r="265" spans="2:2" ht="15.75" customHeight="1" x14ac:dyDescent="0.25">
      <c r="B265" s="12"/>
    </row>
    <row r="266" spans="2:2" ht="15.75" customHeight="1" x14ac:dyDescent="0.25">
      <c r="B266" s="12"/>
    </row>
    <row r="267" spans="2:2" ht="15.75" customHeight="1" x14ac:dyDescent="0.25">
      <c r="B267" s="12"/>
    </row>
    <row r="268" spans="2:2" ht="15.75" customHeight="1" x14ac:dyDescent="0.25">
      <c r="B268" s="12"/>
    </row>
    <row r="269" spans="2:2" ht="15.75" customHeight="1" x14ac:dyDescent="0.25">
      <c r="B269" s="12"/>
    </row>
    <row r="270" spans="2:2" ht="15.75" customHeight="1" x14ac:dyDescent="0.25">
      <c r="B270" s="12"/>
    </row>
    <row r="271" spans="2:2" ht="15.75" customHeight="1" x14ac:dyDescent="0.25">
      <c r="B271" s="12"/>
    </row>
    <row r="272" spans="2:2" ht="15.75" customHeight="1" x14ac:dyDescent="0.25">
      <c r="B272" s="12"/>
    </row>
    <row r="273" spans="2:2" ht="15.75" customHeight="1" x14ac:dyDescent="0.25">
      <c r="B273" s="12"/>
    </row>
    <row r="274" spans="2:2" ht="15.75" customHeight="1" x14ac:dyDescent="0.25">
      <c r="B274" s="12"/>
    </row>
    <row r="275" spans="2:2" ht="15.75" customHeight="1" x14ac:dyDescent="0.25">
      <c r="B275" s="12"/>
    </row>
    <row r="276" spans="2:2" ht="15.75" customHeight="1" x14ac:dyDescent="0.25">
      <c r="B276" s="12"/>
    </row>
    <row r="277" spans="2:2" ht="15.75" customHeight="1" x14ac:dyDescent="0.25">
      <c r="B277" s="12"/>
    </row>
    <row r="278" spans="2:2" ht="15.75" customHeight="1" x14ac:dyDescent="0.25">
      <c r="B278" s="12"/>
    </row>
    <row r="279" spans="2:2" ht="15.75" customHeight="1" x14ac:dyDescent="0.25">
      <c r="B279" s="12"/>
    </row>
    <row r="280" spans="2:2" ht="15.75" customHeight="1" x14ac:dyDescent="0.25">
      <c r="B280" s="12"/>
    </row>
    <row r="281" spans="2:2" ht="15.75" customHeight="1" x14ac:dyDescent="0.25">
      <c r="B281" s="12"/>
    </row>
    <row r="282" spans="2:2" ht="15.75" customHeight="1" x14ac:dyDescent="0.25">
      <c r="B282" s="12"/>
    </row>
    <row r="283" spans="2:2" ht="15.75" customHeight="1" x14ac:dyDescent="0.25">
      <c r="B283" s="12"/>
    </row>
    <row r="284" spans="2:2" ht="15.75" customHeight="1" x14ac:dyDescent="0.25">
      <c r="B284" s="12"/>
    </row>
    <row r="285" spans="2:2" ht="15.75" customHeight="1" x14ac:dyDescent="0.25">
      <c r="B285" s="12"/>
    </row>
    <row r="286" spans="2:2" ht="15.75" customHeight="1" x14ac:dyDescent="0.25">
      <c r="B286" s="12"/>
    </row>
    <row r="287" spans="2:2" ht="15.75" customHeight="1" x14ac:dyDescent="0.25">
      <c r="B287" s="12"/>
    </row>
    <row r="288" spans="2:2" ht="15.75" customHeight="1" x14ac:dyDescent="0.25">
      <c r="B288" s="12"/>
    </row>
    <row r="289" spans="2:2" ht="15.75" customHeight="1" x14ac:dyDescent="0.25">
      <c r="B289" s="12"/>
    </row>
    <row r="290" spans="2:2" ht="15.75" customHeight="1" x14ac:dyDescent="0.25">
      <c r="B290" s="12"/>
    </row>
    <row r="291" spans="2:2" ht="15.75" customHeight="1" x14ac:dyDescent="0.25">
      <c r="B291" s="12"/>
    </row>
    <row r="292" spans="2:2" ht="15.75" customHeight="1" x14ac:dyDescent="0.25">
      <c r="B292" s="12"/>
    </row>
    <row r="293" spans="2:2" ht="15.75" customHeight="1" x14ac:dyDescent="0.25">
      <c r="B293" s="12"/>
    </row>
    <row r="294" spans="2:2" ht="15.75" customHeight="1" x14ac:dyDescent="0.25">
      <c r="B294" s="12"/>
    </row>
    <row r="295" spans="2:2" ht="15.75" customHeight="1" x14ac:dyDescent="0.25">
      <c r="B295" s="12"/>
    </row>
    <row r="296" spans="2:2" ht="15.75" customHeight="1" x14ac:dyDescent="0.25">
      <c r="B296" s="12"/>
    </row>
    <row r="297" spans="2:2" ht="15.75" customHeight="1" x14ac:dyDescent="0.25">
      <c r="B297" s="12"/>
    </row>
    <row r="298" spans="2:2" ht="15.75" customHeight="1" x14ac:dyDescent="0.25">
      <c r="B298" s="12"/>
    </row>
    <row r="299" spans="2:2" ht="15.75" customHeight="1" x14ac:dyDescent="0.25">
      <c r="B299" s="12"/>
    </row>
    <row r="300" spans="2:2" ht="15.75" customHeight="1" x14ac:dyDescent="0.25">
      <c r="B300" s="12"/>
    </row>
    <row r="301" spans="2:2" ht="15.75" customHeight="1" x14ac:dyDescent="0.25">
      <c r="B301" s="12"/>
    </row>
    <row r="302" spans="2:2" ht="15.75" customHeight="1" x14ac:dyDescent="0.25">
      <c r="B302" s="12"/>
    </row>
    <row r="303" spans="2:2" ht="15.75" customHeight="1" x14ac:dyDescent="0.25">
      <c r="B303" s="12"/>
    </row>
    <row r="304" spans="2:2" ht="15.75" customHeight="1" x14ac:dyDescent="0.25">
      <c r="B304" s="12"/>
    </row>
    <row r="305" spans="2:2" ht="15.75" customHeight="1" x14ac:dyDescent="0.25">
      <c r="B305" s="12"/>
    </row>
    <row r="306" spans="2:2" ht="15.75" customHeight="1" x14ac:dyDescent="0.25">
      <c r="B306" s="12"/>
    </row>
    <row r="307" spans="2:2" ht="15.75" customHeight="1" x14ac:dyDescent="0.25">
      <c r="B307" s="12"/>
    </row>
    <row r="308" spans="2:2" ht="15.75" customHeight="1" x14ac:dyDescent="0.25">
      <c r="B308" s="12"/>
    </row>
    <row r="309" spans="2:2" ht="15.75" customHeight="1" x14ac:dyDescent="0.25">
      <c r="B309" s="12"/>
    </row>
    <row r="310" spans="2:2" ht="15.75" customHeight="1" x14ac:dyDescent="0.25">
      <c r="B310" s="12"/>
    </row>
    <row r="311" spans="2:2" ht="15.75" customHeight="1" x14ac:dyDescent="0.25">
      <c r="B311" s="12"/>
    </row>
    <row r="312" spans="2:2" ht="15.75" customHeight="1" x14ac:dyDescent="0.25">
      <c r="B312" s="12"/>
    </row>
    <row r="313" spans="2:2" ht="15.75" customHeight="1" x14ac:dyDescent="0.25">
      <c r="B313" s="12"/>
    </row>
    <row r="314" spans="2:2" ht="15.75" customHeight="1" x14ac:dyDescent="0.25">
      <c r="B314" s="12"/>
    </row>
    <row r="315" spans="2:2" ht="15.75" customHeight="1" x14ac:dyDescent="0.25">
      <c r="B315" s="12"/>
    </row>
    <row r="316" spans="2:2" ht="15.75" customHeight="1" x14ac:dyDescent="0.25">
      <c r="B316" s="12"/>
    </row>
    <row r="317" spans="2:2" ht="15.75" customHeight="1" x14ac:dyDescent="0.25">
      <c r="B317" s="12"/>
    </row>
    <row r="318" spans="2:2" ht="15.75" customHeight="1" x14ac:dyDescent="0.25">
      <c r="B318" s="12"/>
    </row>
    <row r="319" spans="2:2" ht="15.75" customHeight="1" x14ac:dyDescent="0.25">
      <c r="B319" s="12"/>
    </row>
    <row r="320" spans="2:2" ht="15.75" customHeight="1" x14ac:dyDescent="0.25">
      <c r="B320" s="12"/>
    </row>
    <row r="321" spans="2:2" ht="15.75" customHeight="1" x14ac:dyDescent="0.25">
      <c r="B321" s="12"/>
    </row>
    <row r="322" spans="2:2" ht="15.75" customHeight="1" x14ac:dyDescent="0.25">
      <c r="B322" s="12"/>
    </row>
    <row r="323" spans="2:2" ht="15.75" customHeight="1" x14ac:dyDescent="0.25">
      <c r="B323" s="12"/>
    </row>
    <row r="324" spans="2:2" ht="15.75" customHeight="1" x14ac:dyDescent="0.25">
      <c r="B324" s="12"/>
    </row>
    <row r="325" spans="2:2" ht="15.75" customHeight="1" x14ac:dyDescent="0.25">
      <c r="B325" s="12"/>
    </row>
    <row r="326" spans="2:2" ht="15.75" customHeight="1" x14ac:dyDescent="0.25">
      <c r="B326" s="12"/>
    </row>
    <row r="327" spans="2:2" ht="15.75" customHeight="1" x14ac:dyDescent="0.25">
      <c r="B327" s="12"/>
    </row>
    <row r="328" spans="2:2" ht="15.75" customHeight="1" x14ac:dyDescent="0.25">
      <c r="B328" s="12"/>
    </row>
    <row r="329" spans="2:2" ht="15.75" customHeight="1" x14ac:dyDescent="0.25">
      <c r="B329" s="12"/>
    </row>
    <row r="330" spans="2:2" ht="15.75" customHeight="1" x14ac:dyDescent="0.25">
      <c r="B330" s="12"/>
    </row>
    <row r="331" spans="2:2" ht="15.75" customHeight="1" x14ac:dyDescent="0.25">
      <c r="B331" s="12"/>
    </row>
    <row r="332" spans="2:2" ht="15.75" customHeight="1" x14ac:dyDescent="0.25">
      <c r="B332" s="12"/>
    </row>
    <row r="333" spans="2:2" ht="15.75" customHeight="1" x14ac:dyDescent="0.25">
      <c r="B333" s="12"/>
    </row>
    <row r="334" spans="2:2" ht="15.75" customHeight="1" x14ac:dyDescent="0.25">
      <c r="B334" s="12"/>
    </row>
    <row r="335" spans="2:2" ht="15.75" customHeight="1" x14ac:dyDescent="0.25">
      <c r="B335" s="12"/>
    </row>
    <row r="336" spans="2:2" ht="15.75" customHeight="1" x14ac:dyDescent="0.25">
      <c r="B336" s="12"/>
    </row>
    <row r="337" spans="2:2" ht="15.75" customHeight="1" x14ac:dyDescent="0.25">
      <c r="B337" s="12"/>
    </row>
    <row r="338" spans="2:2" ht="15.75" customHeight="1" x14ac:dyDescent="0.25">
      <c r="B338" s="12"/>
    </row>
    <row r="339" spans="2:2" ht="15.75" customHeight="1" x14ac:dyDescent="0.25">
      <c r="B339" s="12"/>
    </row>
    <row r="340" spans="2:2" ht="15.75" customHeight="1" x14ac:dyDescent="0.25">
      <c r="B340" s="12"/>
    </row>
    <row r="341" spans="2:2" ht="15.75" customHeight="1" x14ac:dyDescent="0.25">
      <c r="B341" s="12"/>
    </row>
    <row r="342" spans="2:2" ht="15.75" customHeight="1" x14ac:dyDescent="0.25">
      <c r="B342" s="12"/>
    </row>
    <row r="343" spans="2:2" ht="15.75" customHeight="1" x14ac:dyDescent="0.25">
      <c r="B343" s="12"/>
    </row>
    <row r="344" spans="2:2" ht="15.75" customHeight="1" x14ac:dyDescent="0.25">
      <c r="B344" s="12"/>
    </row>
    <row r="345" spans="2:2" ht="15.75" customHeight="1" x14ac:dyDescent="0.25">
      <c r="B345" s="12"/>
    </row>
    <row r="346" spans="2:2" ht="15.75" customHeight="1" x14ac:dyDescent="0.25">
      <c r="B346" s="12"/>
    </row>
    <row r="347" spans="2:2" ht="15.75" customHeight="1" x14ac:dyDescent="0.25">
      <c r="B347" s="12"/>
    </row>
    <row r="348" spans="2:2" ht="15.75" customHeight="1" x14ac:dyDescent="0.25">
      <c r="B348" s="12"/>
    </row>
    <row r="349" spans="2:2" ht="15.75" customHeight="1" x14ac:dyDescent="0.25">
      <c r="B349" s="12"/>
    </row>
    <row r="350" spans="2:2" ht="15.75" customHeight="1" x14ac:dyDescent="0.25">
      <c r="B350" s="12"/>
    </row>
    <row r="351" spans="2:2" ht="15.75" customHeight="1" x14ac:dyDescent="0.25">
      <c r="B351" s="12"/>
    </row>
    <row r="352" spans="2:2" ht="15.75" customHeight="1" x14ac:dyDescent="0.25">
      <c r="B352" s="12"/>
    </row>
    <row r="353" spans="2:2" ht="15.75" customHeight="1" x14ac:dyDescent="0.25">
      <c r="B353" s="12"/>
    </row>
    <row r="354" spans="2:2" ht="15.75" customHeight="1" x14ac:dyDescent="0.25">
      <c r="B354" s="12"/>
    </row>
    <row r="355" spans="2:2" ht="15.75" customHeight="1" x14ac:dyDescent="0.25">
      <c r="B355" s="12"/>
    </row>
    <row r="356" spans="2:2" ht="15.75" customHeight="1" x14ac:dyDescent="0.25">
      <c r="B356" s="12"/>
    </row>
    <row r="357" spans="2:2" ht="15.75" customHeight="1" x14ac:dyDescent="0.25">
      <c r="B357" s="12"/>
    </row>
    <row r="358" spans="2:2" ht="15.75" customHeight="1" x14ac:dyDescent="0.25">
      <c r="B358" s="12"/>
    </row>
    <row r="359" spans="2:2" ht="15.75" customHeight="1" x14ac:dyDescent="0.25">
      <c r="B359" s="12"/>
    </row>
    <row r="360" spans="2:2" ht="15.75" customHeight="1" x14ac:dyDescent="0.25">
      <c r="B360" s="12"/>
    </row>
    <row r="361" spans="2:2" ht="15.75" customHeight="1" x14ac:dyDescent="0.25">
      <c r="B361" s="12"/>
    </row>
    <row r="362" spans="2:2" ht="15.75" customHeight="1" x14ac:dyDescent="0.25">
      <c r="B362" s="12"/>
    </row>
    <row r="363" spans="2:2" ht="15.75" customHeight="1" x14ac:dyDescent="0.25">
      <c r="B363" s="12"/>
    </row>
    <row r="364" spans="2:2" ht="15.75" customHeight="1" x14ac:dyDescent="0.25">
      <c r="B364" s="12"/>
    </row>
    <row r="365" spans="2:2" ht="15.75" customHeight="1" x14ac:dyDescent="0.25">
      <c r="B365" s="12"/>
    </row>
    <row r="366" spans="2:2" ht="15.75" customHeight="1" x14ac:dyDescent="0.25">
      <c r="B366" s="12"/>
    </row>
    <row r="367" spans="2:2" ht="15.75" customHeight="1" x14ac:dyDescent="0.25">
      <c r="B367" s="12"/>
    </row>
    <row r="368" spans="2:2" ht="15.75" customHeight="1" x14ac:dyDescent="0.25">
      <c r="B368" s="12"/>
    </row>
    <row r="369" spans="2:2" ht="15.75" customHeight="1" x14ac:dyDescent="0.25">
      <c r="B369" s="12"/>
    </row>
    <row r="370" spans="2:2" ht="15.75" customHeight="1" x14ac:dyDescent="0.25">
      <c r="B370" s="12"/>
    </row>
    <row r="371" spans="2:2" ht="15.75" customHeight="1" x14ac:dyDescent="0.25">
      <c r="B371" s="12"/>
    </row>
    <row r="372" spans="2:2" ht="15.75" customHeight="1" x14ac:dyDescent="0.25">
      <c r="B372" s="12"/>
    </row>
    <row r="373" spans="2:2" ht="15.75" customHeight="1" x14ac:dyDescent="0.25">
      <c r="B373" s="12"/>
    </row>
    <row r="374" spans="2:2" ht="15.75" customHeight="1" x14ac:dyDescent="0.25">
      <c r="B374" s="12"/>
    </row>
    <row r="375" spans="2:2" ht="15.75" customHeight="1" x14ac:dyDescent="0.25">
      <c r="B375" s="12"/>
    </row>
    <row r="376" spans="2:2" ht="15.75" customHeight="1" x14ac:dyDescent="0.25">
      <c r="B376" s="12"/>
    </row>
    <row r="377" spans="2:2" ht="15.75" customHeight="1" x14ac:dyDescent="0.25">
      <c r="B377" s="12"/>
    </row>
    <row r="378" spans="2:2" ht="15.75" customHeight="1" x14ac:dyDescent="0.25">
      <c r="B378" s="12"/>
    </row>
    <row r="379" spans="2:2" ht="15.75" customHeight="1" x14ac:dyDescent="0.25">
      <c r="B379" s="12"/>
    </row>
    <row r="380" spans="2:2" ht="15.75" customHeight="1" x14ac:dyDescent="0.25">
      <c r="B380" s="12"/>
    </row>
    <row r="381" spans="2:2" ht="15.75" customHeight="1" x14ac:dyDescent="0.25">
      <c r="B381" s="12"/>
    </row>
    <row r="382" spans="2:2" ht="15.75" customHeight="1" x14ac:dyDescent="0.25">
      <c r="B382" s="12"/>
    </row>
    <row r="383" spans="2:2" ht="15.75" customHeight="1" x14ac:dyDescent="0.25">
      <c r="B383" s="12"/>
    </row>
    <row r="384" spans="2:2" ht="15.75" customHeight="1" x14ac:dyDescent="0.25">
      <c r="B384" s="12"/>
    </row>
    <row r="385" spans="2:2" ht="15.75" customHeight="1" x14ac:dyDescent="0.25">
      <c r="B385" s="12"/>
    </row>
    <row r="386" spans="2:2" ht="15.75" customHeight="1" x14ac:dyDescent="0.25">
      <c r="B386" s="12"/>
    </row>
    <row r="387" spans="2:2" ht="15.75" customHeight="1" x14ac:dyDescent="0.25">
      <c r="B387" s="12"/>
    </row>
    <row r="388" spans="2:2" ht="15.75" customHeight="1" x14ac:dyDescent="0.25">
      <c r="B388" s="12"/>
    </row>
    <row r="389" spans="2:2" ht="15.75" customHeight="1" x14ac:dyDescent="0.25">
      <c r="B389" s="12"/>
    </row>
    <row r="390" spans="2:2" ht="15.75" customHeight="1" x14ac:dyDescent="0.25">
      <c r="B390" s="12"/>
    </row>
    <row r="391" spans="2:2" ht="15.75" customHeight="1" x14ac:dyDescent="0.25">
      <c r="B391" s="12"/>
    </row>
    <row r="392" spans="2:2" ht="15.75" customHeight="1" x14ac:dyDescent="0.25">
      <c r="B392" s="12"/>
    </row>
    <row r="393" spans="2:2" ht="15.75" customHeight="1" x14ac:dyDescent="0.25">
      <c r="B393" s="12"/>
    </row>
    <row r="394" spans="2:2" ht="15.75" customHeight="1" x14ac:dyDescent="0.25">
      <c r="B394" s="12"/>
    </row>
    <row r="395" spans="2:2" ht="15.75" customHeight="1" x14ac:dyDescent="0.25">
      <c r="B395" s="12"/>
    </row>
    <row r="396" spans="2:2" ht="15.75" customHeight="1" x14ac:dyDescent="0.25">
      <c r="B396" s="12"/>
    </row>
    <row r="397" spans="2:2" ht="15.75" customHeight="1" x14ac:dyDescent="0.25">
      <c r="B397" s="12"/>
    </row>
    <row r="398" spans="2:2" ht="15.75" customHeight="1" x14ac:dyDescent="0.25">
      <c r="B398" s="12"/>
    </row>
    <row r="399" spans="2:2" ht="15.75" customHeight="1" x14ac:dyDescent="0.25">
      <c r="B399" s="12"/>
    </row>
    <row r="400" spans="2:2" ht="15.75" customHeight="1" x14ac:dyDescent="0.25">
      <c r="B400" s="12"/>
    </row>
    <row r="401" spans="2:2" ht="15.75" customHeight="1" x14ac:dyDescent="0.25">
      <c r="B401" s="12"/>
    </row>
    <row r="402" spans="2:2" ht="15.75" customHeight="1" x14ac:dyDescent="0.25">
      <c r="B402" s="12"/>
    </row>
    <row r="403" spans="2:2" ht="15.75" customHeight="1" x14ac:dyDescent="0.25">
      <c r="B403" s="12"/>
    </row>
    <row r="404" spans="2:2" ht="15.75" customHeight="1" x14ac:dyDescent="0.25">
      <c r="B404" s="12"/>
    </row>
    <row r="405" spans="2:2" ht="15.75" customHeight="1" x14ac:dyDescent="0.25">
      <c r="B405" s="12"/>
    </row>
    <row r="406" spans="2:2" ht="15.75" customHeight="1" x14ac:dyDescent="0.25">
      <c r="B406" s="12"/>
    </row>
    <row r="407" spans="2:2" ht="15.75" customHeight="1" x14ac:dyDescent="0.25">
      <c r="B407" s="12"/>
    </row>
    <row r="408" spans="2:2" ht="15.75" customHeight="1" x14ac:dyDescent="0.25">
      <c r="B408" s="12"/>
    </row>
    <row r="409" spans="2:2" ht="15.75" customHeight="1" x14ac:dyDescent="0.25">
      <c r="B409" s="12"/>
    </row>
    <row r="410" spans="2:2" ht="15.75" customHeight="1" x14ac:dyDescent="0.25">
      <c r="B410" s="12"/>
    </row>
    <row r="411" spans="2:2" ht="15.75" customHeight="1" x14ac:dyDescent="0.25">
      <c r="B411" s="12"/>
    </row>
    <row r="412" spans="2:2" ht="15.75" customHeight="1" x14ac:dyDescent="0.25">
      <c r="B412" s="12"/>
    </row>
    <row r="413" spans="2:2" ht="15.75" customHeight="1" x14ac:dyDescent="0.25">
      <c r="B413" s="12"/>
    </row>
    <row r="414" spans="2:2" ht="15.75" customHeight="1" x14ac:dyDescent="0.25">
      <c r="B414" s="12"/>
    </row>
    <row r="415" spans="2:2" ht="15.75" customHeight="1" x14ac:dyDescent="0.25">
      <c r="B415" s="12"/>
    </row>
    <row r="416" spans="2:2" ht="15.75" customHeight="1" x14ac:dyDescent="0.25">
      <c r="B416" s="12"/>
    </row>
    <row r="417" spans="2:2" ht="15.75" customHeight="1" x14ac:dyDescent="0.25">
      <c r="B417" s="12"/>
    </row>
    <row r="418" spans="2:2" ht="15.75" customHeight="1" x14ac:dyDescent="0.25">
      <c r="B418" s="12"/>
    </row>
    <row r="419" spans="2:2" ht="15.75" customHeight="1" x14ac:dyDescent="0.25">
      <c r="B419" s="12"/>
    </row>
    <row r="420" spans="2:2" ht="15.75" customHeight="1" x14ac:dyDescent="0.25">
      <c r="B420" s="12"/>
    </row>
    <row r="421" spans="2:2" ht="15.75" customHeight="1" x14ac:dyDescent="0.25">
      <c r="B421" s="12"/>
    </row>
    <row r="422" spans="2:2" ht="15.75" customHeight="1" x14ac:dyDescent="0.25">
      <c r="B422" s="12"/>
    </row>
    <row r="423" spans="2:2" ht="15.75" customHeight="1" x14ac:dyDescent="0.25">
      <c r="B423" s="12"/>
    </row>
    <row r="424" spans="2:2" ht="15.75" customHeight="1" x14ac:dyDescent="0.25">
      <c r="B424" s="12"/>
    </row>
    <row r="425" spans="2:2" ht="15.75" customHeight="1" x14ac:dyDescent="0.25">
      <c r="B425" s="12"/>
    </row>
    <row r="426" spans="2:2" ht="15.75" customHeight="1" x14ac:dyDescent="0.25">
      <c r="B426" s="12"/>
    </row>
    <row r="427" spans="2:2" ht="15.75" customHeight="1" x14ac:dyDescent="0.25">
      <c r="B427" s="12"/>
    </row>
    <row r="428" spans="2:2" ht="15.75" customHeight="1" x14ac:dyDescent="0.25">
      <c r="B428" s="12"/>
    </row>
    <row r="429" spans="2:2" ht="15.75" customHeight="1" x14ac:dyDescent="0.25">
      <c r="B429" s="12"/>
    </row>
    <row r="430" spans="2:2" ht="15.75" customHeight="1" x14ac:dyDescent="0.25">
      <c r="B430" s="12"/>
    </row>
    <row r="431" spans="2:2" ht="15.75" customHeight="1" x14ac:dyDescent="0.25">
      <c r="B431" s="12"/>
    </row>
    <row r="432" spans="2:2" ht="15.75" customHeight="1" x14ac:dyDescent="0.25">
      <c r="B432" s="12"/>
    </row>
    <row r="433" spans="2:2" ht="15.75" customHeight="1" x14ac:dyDescent="0.25">
      <c r="B433" s="12"/>
    </row>
    <row r="434" spans="2:2" ht="15.75" customHeight="1" x14ac:dyDescent="0.25">
      <c r="B434" s="12"/>
    </row>
    <row r="435" spans="2:2" ht="15.75" customHeight="1" x14ac:dyDescent="0.25">
      <c r="B435" s="12"/>
    </row>
    <row r="436" spans="2:2" ht="15.75" customHeight="1" x14ac:dyDescent="0.25">
      <c r="B436" s="12"/>
    </row>
    <row r="437" spans="2:2" ht="15.75" customHeight="1" x14ac:dyDescent="0.25">
      <c r="B437" s="12"/>
    </row>
    <row r="438" spans="2:2" ht="15.75" customHeight="1" x14ac:dyDescent="0.25">
      <c r="B438" s="12"/>
    </row>
    <row r="439" spans="2:2" ht="15.75" customHeight="1" x14ac:dyDescent="0.25">
      <c r="B439" s="12"/>
    </row>
    <row r="440" spans="2:2" ht="15.75" customHeight="1" x14ac:dyDescent="0.25">
      <c r="B440" s="12"/>
    </row>
    <row r="441" spans="2:2" ht="15.75" customHeight="1" x14ac:dyDescent="0.25">
      <c r="B441" s="12"/>
    </row>
    <row r="442" spans="2:2" ht="15.75" customHeight="1" x14ac:dyDescent="0.25">
      <c r="B442" s="12"/>
    </row>
    <row r="443" spans="2:2" ht="15.75" customHeight="1" x14ac:dyDescent="0.25">
      <c r="B443" s="12"/>
    </row>
    <row r="444" spans="2:2" ht="15.75" customHeight="1" x14ac:dyDescent="0.25">
      <c r="B444" s="12"/>
    </row>
    <row r="445" spans="2:2" ht="15.75" customHeight="1" x14ac:dyDescent="0.25">
      <c r="B445" s="12"/>
    </row>
    <row r="446" spans="2:2" ht="15.75" customHeight="1" x14ac:dyDescent="0.25">
      <c r="B446" s="12"/>
    </row>
    <row r="447" spans="2:2" ht="15.75" customHeight="1" x14ac:dyDescent="0.25">
      <c r="B447" s="12"/>
    </row>
    <row r="448" spans="2:2" ht="15.75" customHeight="1" x14ac:dyDescent="0.25">
      <c r="B448" s="12"/>
    </row>
    <row r="449" spans="2:2" ht="15.75" customHeight="1" x14ac:dyDescent="0.25">
      <c r="B449" s="12"/>
    </row>
    <row r="450" spans="2:2" ht="15.75" customHeight="1" x14ac:dyDescent="0.25">
      <c r="B450" s="12"/>
    </row>
    <row r="451" spans="2:2" ht="15.75" customHeight="1" x14ac:dyDescent="0.25">
      <c r="B451" s="12"/>
    </row>
    <row r="452" spans="2:2" ht="15.75" customHeight="1" x14ac:dyDescent="0.25">
      <c r="B452" s="12"/>
    </row>
    <row r="453" spans="2:2" ht="15.75" customHeight="1" x14ac:dyDescent="0.25">
      <c r="B453" s="12"/>
    </row>
    <row r="454" spans="2:2" ht="15.75" customHeight="1" x14ac:dyDescent="0.25">
      <c r="B454" s="12"/>
    </row>
    <row r="455" spans="2:2" ht="15.75" customHeight="1" x14ac:dyDescent="0.25">
      <c r="B455" s="12"/>
    </row>
    <row r="456" spans="2:2" ht="15.75" customHeight="1" x14ac:dyDescent="0.25">
      <c r="B456" s="12"/>
    </row>
    <row r="457" spans="2:2" ht="15.75" customHeight="1" x14ac:dyDescent="0.25">
      <c r="B457" s="12"/>
    </row>
    <row r="458" spans="2:2" ht="15.75" customHeight="1" x14ac:dyDescent="0.25">
      <c r="B458" s="12"/>
    </row>
    <row r="459" spans="2:2" ht="15.75" customHeight="1" x14ac:dyDescent="0.25">
      <c r="B459" s="12"/>
    </row>
    <row r="460" spans="2:2" ht="15.75" customHeight="1" x14ac:dyDescent="0.25">
      <c r="B460" s="12"/>
    </row>
    <row r="461" spans="2:2" ht="15.75" customHeight="1" x14ac:dyDescent="0.25">
      <c r="B461" s="12"/>
    </row>
    <row r="462" spans="2:2" ht="15.75" customHeight="1" x14ac:dyDescent="0.25">
      <c r="B462" s="12"/>
    </row>
    <row r="463" spans="2:2" ht="15.75" customHeight="1" x14ac:dyDescent="0.25">
      <c r="B463" s="12"/>
    </row>
    <row r="464" spans="2:2" ht="15.75" customHeight="1" x14ac:dyDescent="0.25">
      <c r="B464" s="12"/>
    </row>
    <row r="465" spans="2:2" ht="15.75" customHeight="1" x14ac:dyDescent="0.25">
      <c r="B465" s="12"/>
    </row>
    <row r="466" spans="2:2" ht="15.75" customHeight="1" x14ac:dyDescent="0.25">
      <c r="B466" s="12"/>
    </row>
    <row r="467" spans="2:2" ht="15.75" customHeight="1" x14ac:dyDescent="0.25">
      <c r="B467" s="12"/>
    </row>
    <row r="468" spans="2:2" ht="15.75" customHeight="1" x14ac:dyDescent="0.25">
      <c r="B468" s="12"/>
    </row>
    <row r="469" spans="2:2" ht="15.75" customHeight="1" x14ac:dyDescent="0.25">
      <c r="B469" s="12"/>
    </row>
    <row r="470" spans="2:2" ht="15.75" customHeight="1" x14ac:dyDescent="0.25">
      <c r="B470" s="12"/>
    </row>
    <row r="471" spans="2:2" ht="15.75" customHeight="1" x14ac:dyDescent="0.25">
      <c r="B471" s="12"/>
    </row>
    <row r="472" spans="2:2" ht="15.75" customHeight="1" x14ac:dyDescent="0.25">
      <c r="B472" s="12"/>
    </row>
    <row r="473" spans="2:2" ht="15.75" customHeight="1" x14ac:dyDescent="0.25">
      <c r="B473" s="12"/>
    </row>
    <row r="474" spans="2:2" ht="15.75" customHeight="1" x14ac:dyDescent="0.25">
      <c r="B474" s="12"/>
    </row>
    <row r="475" spans="2:2" ht="15.75" customHeight="1" x14ac:dyDescent="0.25">
      <c r="B475" s="12"/>
    </row>
    <row r="476" spans="2:2" ht="15.75" customHeight="1" x14ac:dyDescent="0.25">
      <c r="B476" s="12"/>
    </row>
    <row r="477" spans="2:2" ht="15.75" customHeight="1" x14ac:dyDescent="0.25">
      <c r="B477" s="12"/>
    </row>
    <row r="478" spans="2:2" ht="15.75" customHeight="1" x14ac:dyDescent="0.25">
      <c r="B478" s="12"/>
    </row>
    <row r="479" spans="2:2" ht="15.75" customHeight="1" x14ac:dyDescent="0.25">
      <c r="B479" s="12"/>
    </row>
    <row r="480" spans="2:2" ht="15.75" customHeight="1" x14ac:dyDescent="0.25">
      <c r="B480" s="12"/>
    </row>
    <row r="481" spans="2:2" ht="15.75" customHeight="1" x14ac:dyDescent="0.25">
      <c r="B481" s="12"/>
    </row>
    <row r="482" spans="2:2" ht="15.75" customHeight="1" x14ac:dyDescent="0.25">
      <c r="B482" s="12"/>
    </row>
    <row r="483" spans="2:2" ht="15.75" customHeight="1" x14ac:dyDescent="0.25">
      <c r="B483" s="12"/>
    </row>
    <row r="484" spans="2:2" ht="15.75" customHeight="1" x14ac:dyDescent="0.25">
      <c r="B484" s="12"/>
    </row>
    <row r="485" spans="2:2" ht="15.75" customHeight="1" x14ac:dyDescent="0.25">
      <c r="B485" s="12"/>
    </row>
    <row r="486" spans="2:2" ht="15.75" customHeight="1" x14ac:dyDescent="0.25">
      <c r="B486" s="12"/>
    </row>
    <row r="487" spans="2:2" ht="15.75" customHeight="1" x14ac:dyDescent="0.25">
      <c r="B487" s="12"/>
    </row>
    <row r="488" spans="2:2" ht="15.75" customHeight="1" x14ac:dyDescent="0.25">
      <c r="B488" s="12"/>
    </row>
    <row r="489" spans="2:2" ht="15.75" customHeight="1" x14ac:dyDescent="0.25">
      <c r="B489" s="12"/>
    </row>
    <row r="490" spans="2:2" ht="15.75" customHeight="1" x14ac:dyDescent="0.25">
      <c r="B490" s="12"/>
    </row>
    <row r="491" spans="2:2" ht="15.75" customHeight="1" x14ac:dyDescent="0.25">
      <c r="B491" s="12"/>
    </row>
    <row r="492" spans="2:2" ht="15.75" customHeight="1" x14ac:dyDescent="0.25">
      <c r="B492" s="12"/>
    </row>
    <row r="493" spans="2:2" ht="15.75" customHeight="1" x14ac:dyDescent="0.25">
      <c r="B493" s="12"/>
    </row>
    <row r="494" spans="2:2" ht="15.75" customHeight="1" x14ac:dyDescent="0.25">
      <c r="B494" s="12"/>
    </row>
    <row r="495" spans="2:2" ht="15.75" customHeight="1" x14ac:dyDescent="0.25">
      <c r="B495" s="12"/>
    </row>
    <row r="496" spans="2:2" ht="15.75" customHeight="1" x14ac:dyDescent="0.25">
      <c r="B496" s="12"/>
    </row>
    <row r="497" spans="2:2" ht="15.75" customHeight="1" x14ac:dyDescent="0.25">
      <c r="B497" s="12"/>
    </row>
    <row r="498" spans="2:2" ht="15.75" customHeight="1" x14ac:dyDescent="0.25">
      <c r="B498" s="12"/>
    </row>
    <row r="499" spans="2:2" ht="15.75" customHeight="1" x14ac:dyDescent="0.25">
      <c r="B499" s="12"/>
    </row>
    <row r="500" spans="2:2" ht="15.75" customHeight="1" x14ac:dyDescent="0.25">
      <c r="B500" s="12"/>
    </row>
    <row r="501" spans="2:2" ht="15.75" customHeight="1" x14ac:dyDescent="0.25">
      <c r="B501" s="12"/>
    </row>
    <row r="502" spans="2:2" ht="15.75" customHeight="1" x14ac:dyDescent="0.25">
      <c r="B502" s="12"/>
    </row>
    <row r="503" spans="2:2" ht="15.75" customHeight="1" x14ac:dyDescent="0.25">
      <c r="B503" s="12"/>
    </row>
    <row r="504" spans="2:2" ht="15.75" customHeight="1" x14ac:dyDescent="0.25">
      <c r="B504" s="12"/>
    </row>
    <row r="505" spans="2:2" ht="15.75" customHeight="1" x14ac:dyDescent="0.25">
      <c r="B505" s="12"/>
    </row>
    <row r="506" spans="2:2" ht="15.75" customHeight="1" x14ac:dyDescent="0.25">
      <c r="B506" s="12"/>
    </row>
    <row r="507" spans="2:2" ht="15.75" customHeight="1" x14ac:dyDescent="0.25">
      <c r="B507" s="12"/>
    </row>
    <row r="508" spans="2:2" ht="15.75" customHeight="1" x14ac:dyDescent="0.25">
      <c r="B508" s="12"/>
    </row>
    <row r="509" spans="2:2" ht="15.75" customHeight="1" x14ac:dyDescent="0.25">
      <c r="B509" s="12"/>
    </row>
    <row r="510" spans="2:2" ht="15.75" customHeight="1" x14ac:dyDescent="0.25">
      <c r="B510" s="12"/>
    </row>
    <row r="511" spans="2:2" ht="15.75" customHeight="1" x14ac:dyDescent="0.25">
      <c r="B511" s="12"/>
    </row>
    <row r="512" spans="2:2" ht="15.75" customHeight="1" x14ac:dyDescent="0.25">
      <c r="B512" s="12"/>
    </row>
    <row r="513" spans="2:2" ht="15.75" customHeight="1" x14ac:dyDescent="0.25">
      <c r="B513" s="12"/>
    </row>
    <row r="514" spans="2:2" ht="15.75" customHeight="1" x14ac:dyDescent="0.25">
      <c r="B514" s="12"/>
    </row>
    <row r="515" spans="2:2" ht="15.75" customHeight="1" x14ac:dyDescent="0.25">
      <c r="B515" s="12"/>
    </row>
    <row r="516" spans="2:2" ht="15.75" customHeight="1" x14ac:dyDescent="0.25">
      <c r="B516" s="12"/>
    </row>
    <row r="517" spans="2:2" ht="15.75" customHeight="1" x14ac:dyDescent="0.25">
      <c r="B517" s="12"/>
    </row>
    <row r="518" spans="2:2" ht="15.75" customHeight="1" x14ac:dyDescent="0.25">
      <c r="B518" s="12"/>
    </row>
    <row r="519" spans="2:2" ht="15.75" customHeight="1" x14ac:dyDescent="0.25">
      <c r="B519" s="12"/>
    </row>
    <row r="520" spans="2:2" ht="15.75" customHeight="1" x14ac:dyDescent="0.25">
      <c r="B520" s="12"/>
    </row>
    <row r="521" spans="2:2" ht="15.75" customHeight="1" x14ac:dyDescent="0.25">
      <c r="B521" s="12"/>
    </row>
    <row r="522" spans="2:2" ht="15.75" customHeight="1" x14ac:dyDescent="0.25">
      <c r="B522" s="12"/>
    </row>
    <row r="523" spans="2:2" ht="15.75" customHeight="1" x14ac:dyDescent="0.25">
      <c r="B523" s="12"/>
    </row>
    <row r="524" spans="2:2" ht="15.75" customHeight="1" x14ac:dyDescent="0.25">
      <c r="B524" s="12"/>
    </row>
    <row r="525" spans="2:2" ht="15.75" customHeight="1" x14ac:dyDescent="0.25">
      <c r="B525" s="12"/>
    </row>
    <row r="526" spans="2:2" ht="15.75" customHeight="1" x14ac:dyDescent="0.25">
      <c r="B526" s="12"/>
    </row>
    <row r="527" spans="2:2" ht="15.75" customHeight="1" x14ac:dyDescent="0.25">
      <c r="B527" s="12"/>
    </row>
    <row r="528" spans="2:2" ht="15.75" customHeight="1" x14ac:dyDescent="0.25">
      <c r="B528" s="12"/>
    </row>
    <row r="529" spans="2:2" ht="15.75" customHeight="1" x14ac:dyDescent="0.25">
      <c r="B529" s="12"/>
    </row>
    <row r="530" spans="2:2" ht="15.75" customHeight="1" x14ac:dyDescent="0.25">
      <c r="B530" s="12"/>
    </row>
    <row r="531" spans="2:2" ht="15.75" customHeight="1" x14ac:dyDescent="0.25">
      <c r="B531" s="12"/>
    </row>
    <row r="532" spans="2:2" ht="15.75" customHeight="1" x14ac:dyDescent="0.25">
      <c r="B532" s="12"/>
    </row>
    <row r="533" spans="2:2" ht="15.75" customHeight="1" x14ac:dyDescent="0.25">
      <c r="B533" s="12"/>
    </row>
    <row r="534" spans="2:2" ht="15.75" customHeight="1" x14ac:dyDescent="0.25">
      <c r="B534" s="12"/>
    </row>
    <row r="535" spans="2:2" ht="15.75" customHeight="1" x14ac:dyDescent="0.25">
      <c r="B535" s="12"/>
    </row>
    <row r="536" spans="2:2" ht="15.75" customHeight="1" x14ac:dyDescent="0.25">
      <c r="B536" s="12"/>
    </row>
    <row r="537" spans="2:2" ht="15.75" customHeight="1" x14ac:dyDescent="0.25">
      <c r="B537" s="12"/>
    </row>
    <row r="538" spans="2:2" ht="15.75" customHeight="1" x14ac:dyDescent="0.25">
      <c r="B538" s="12"/>
    </row>
    <row r="539" spans="2:2" ht="15.75" customHeight="1" x14ac:dyDescent="0.25">
      <c r="B539" s="12"/>
    </row>
    <row r="540" spans="2:2" ht="15.75" customHeight="1" x14ac:dyDescent="0.25">
      <c r="B540" s="12"/>
    </row>
    <row r="541" spans="2:2" ht="15.75" customHeight="1" x14ac:dyDescent="0.25">
      <c r="B541" s="12"/>
    </row>
    <row r="542" spans="2:2" ht="15.75" customHeight="1" x14ac:dyDescent="0.25">
      <c r="B542" s="12"/>
    </row>
    <row r="543" spans="2:2" ht="15.75" customHeight="1" x14ac:dyDescent="0.25">
      <c r="B543" s="12"/>
    </row>
    <row r="544" spans="2:2" ht="15.75" customHeight="1" x14ac:dyDescent="0.25">
      <c r="B544" s="12"/>
    </row>
    <row r="545" spans="2:2" ht="15.75" customHeight="1" x14ac:dyDescent="0.25">
      <c r="B545" s="12"/>
    </row>
    <row r="546" spans="2:2" ht="15.75" customHeight="1" x14ac:dyDescent="0.25">
      <c r="B546" s="12"/>
    </row>
    <row r="547" spans="2:2" ht="15.75" customHeight="1" x14ac:dyDescent="0.25">
      <c r="B547" s="12"/>
    </row>
    <row r="548" spans="2:2" ht="15.75" customHeight="1" x14ac:dyDescent="0.25">
      <c r="B548" s="12"/>
    </row>
    <row r="549" spans="2:2" ht="15.75" customHeight="1" x14ac:dyDescent="0.25">
      <c r="B549" s="12"/>
    </row>
    <row r="550" spans="2:2" ht="15.75" customHeight="1" x14ac:dyDescent="0.25">
      <c r="B550" s="12"/>
    </row>
    <row r="551" spans="2:2" ht="15.75" customHeight="1" x14ac:dyDescent="0.25">
      <c r="B551" s="12"/>
    </row>
    <row r="552" spans="2:2" ht="15.75" customHeight="1" x14ac:dyDescent="0.25">
      <c r="B552" s="12"/>
    </row>
    <row r="553" spans="2:2" ht="15.75" customHeight="1" x14ac:dyDescent="0.25">
      <c r="B553" s="12"/>
    </row>
    <row r="554" spans="2:2" ht="15.75" customHeight="1" x14ac:dyDescent="0.25">
      <c r="B554" s="12"/>
    </row>
    <row r="555" spans="2:2" ht="15.75" customHeight="1" x14ac:dyDescent="0.25">
      <c r="B555" s="12"/>
    </row>
    <row r="556" spans="2:2" ht="15.75" customHeight="1" x14ac:dyDescent="0.25">
      <c r="B556" s="12"/>
    </row>
    <row r="557" spans="2:2" ht="15.75" customHeight="1" x14ac:dyDescent="0.25">
      <c r="B557" s="12"/>
    </row>
    <row r="558" spans="2:2" ht="15.75" customHeight="1" x14ac:dyDescent="0.25">
      <c r="B558" s="12"/>
    </row>
    <row r="559" spans="2:2" ht="15.75" customHeight="1" x14ac:dyDescent="0.25">
      <c r="B559" s="12"/>
    </row>
    <row r="560" spans="2:2" ht="15.75" customHeight="1" x14ac:dyDescent="0.25">
      <c r="B560" s="12"/>
    </row>
    <row r="561" spans="2:2" ht="15.75" customHeight="1" x14ac:dyDescent="0.25">
      <c r="B561" s="12"/>
    </row>
    <row r="562" spans="2:2" ht="15.75" customHeight="1" x14ac:dyDescent="0.25">
      <c r="B562" s="12"/>
    </row>
    <row r="563" spans="2:2" ht="15.75" customHeight="1" x14ac:dyDescent="0.25">
      <c r="B563" s="12"/>
    </row>
    <row r="564" spans="2:2" ht="15.75" customHeight="1" x14ac:dyDescent="0.25">
      <c r="B564" s="12"/>
    </row>
    <row r="565" spans="2:2" ht="15.75" customHeight="1" x14ac:dyDescent="0.25">
      <c r="B565" s="12"/>
    </row>
    <row r="566" spans="2:2" ht="15.75" customHeight="1" x14ac:dyDescent="0.25">
      <c r="B566" s="12"/>
    </row>
    <row r="567" spans="2:2" ht="15.75" customHeight="1" x14ac:dyDescent="0.25">
      <c r="B567" s="12"/>
    </row>
    <row r="568" spans="2:2" ht="15.75" customHeight="1" x14ac:dyDescent="0.25">
      <c r="B568" s="12"/>
    </row>
    <row r="569" spans="2:2" ht="15.75" customHeight="1" x14ac:dyDescent="0.25">
      <c r="B569" s="12"/>
    </row>
    <row r="570" spans="2:2" ht="15.75" customHeight="1" x14ac:dyDescent="0.25">
      <c r="B570" s="12"/>
    </row>
    <row r="571" spans="2:2" ht="15.75" customHeight="1" x14ac:dyDescent="0.25">
      <c r="B571" s="12"/>
    </row>
    <row r="572" spans="2:2" ht="15.75" customHeight="1" x14ac:dyDescent="0.25">
      <c r="B572" s="12"/>
    </row>
    <row r="573" spans="2:2" ht="15.75" customHeight="1" x14ac:dyDescent="0.25">
      <c r="B573" s="12"/>
    </row>
    <row r="574" spans="2:2" ht="15.75" customHeight="1" x14ac:dyDescent="0.25">
      <c r="B574" s="12"/>
    </row>
    <row r="575" spans="2:2" ht="15.75" customHeight="1" x14ac:dyDescent="0.25">
      <c r="B575" s="12"/>
    </row>
    <row r="576" spans="2:2" ht="15.75" customHeight="1" x14ac:dyDescent="0.25">
      <c r="B576" s="12"/>
    </row>
    <row r="577" spans="2:2" ht="15.75" customHeight="1" x14ac:dyDescent="0.25">
      <c r="B577" s="12"/>
    </row>
    <row r="578" spans="2:2" ht="15.75" customHeight="1" x14ac:dyDescent="0.25">
      <c r="B578" s="12"/>
    </row>
    <row r="579" spans="2:2" ht="15.75" customHeight="1" x14ac:dyDescent="0.25">
      <c r="B579" s="12"/>
    </row>
    <row r="580" spans="2:2" ht="15.75" customHeight="1" x14ac:dyDescent="0.25">
      <c r="B580" s="12"/>
    </row>
    <row r="581" spans="2:2" ht="15.75" customHeight="1" x14ac:dyDescent="0.25">
      <c r="B581" s="12"/>
    </row>
    <row r="582" spans="2:2" ht="15.75" customHeight="1" x14ac:dyDescent="0.25">
      <c r="B582" s="12"/>
    </row>
    <row r="583" spans="2:2" ht="15.75" customHeight="1" x14ac:dyDescent="0.25">
      <c r="B583" s="12"/>
    </row>
    <row r="584" spans="2:2" ht="15.75" customHeight="1" x14ac:dyDescent="0.25">
      <c r="B584" s="12"/>
    </row>
    <row r="585" spans="2:2" ht="15.75" customHeight="1" x14ac:dyDescent="0.25">
      <c r="B585" s="12"/>
    </row>
    <row r="586" spans="2:2" ht="15.75" customHeight="1" x14ac:dyDescent="0.25">
      <c r="B586" s="12"/>
    </row>
    <row r="587" spans="2:2" ht="15.75" customHeight="1" x14ac:dyDescent="0.25">
      <c r="B587" s="12"/>
    </row>
    <row r="588" spans="2:2" ht="15.75" customHeight="1" x14ac:dyDescent="0.25">
      <c r="B588" s="12"/>
    </row>
    <row r="589" spans="2:2" ht="15.75" customHeight="1" x14ac:dyDescent="0.25">
      <c r="B589" s="12"/>
    </row>
    <row r="590" spans="2:2" ht="15.75" customHeight="1" x14ac:dyDescent="0.25">
      <c r="B590" s="12"/>
    </row>
    <row r="591" spans="2:2" ht="15.75" customHeight="1" x14ac:dyDescent="0.25">
      <c r="B591" s="12"/>
    </row>
    <row r="592" spans="2:2" ht="15.75" customHeight="1" x14ac:dyDescent="0.25">
      <c r="B592" s="12"/>
    </row>
    <row r="593" spans="2:2" ht="15.75" customHeight="1" x14ac:dyDescent="0.25">
      <c r="B593" s="12"/>
    </row>
    <row r="594" spans="2:2" ht="15.75" customHeight="1" x14ac:dyDescent="0.25">
      <c r="B594" s="12"/>
    </row>
    <row r="595" spans="2:2" ht="15.75" customHeight="1" x14ac:dyDescent="0.25">
      <c r="B595" s="12"/>
    </row>
    <row r="596" spans="2:2" ht="15.75" customHeight="1" x14ac:dyDescent="0.25">
      <c r="B596" s="12"/>
    </row>
    <row r="597" spans="2:2" ht="15.75" customHeight="1" x14ac:dyDescent="0.25">
      <c r="B597" s="12"/>
    </row>
    <row r="598" spans="2:2" ht="15.75" customHeight="1" x14ac:dyDescent="0.25">
      <c r="B598" s="12"/>
    </row>
    <row r="599" spans="2:2" ht="15.75" customHeight="1" x14ac:dyDescent="0.25">
      <c r="B599" s="12"/>
    </row>
    <row r="600" spans="2:2" ht="15.75" customHeight="1" x14ac:dyDescent="0.25">
      <c r="B600" s="12"/>
    </row>
    <row r="601" spans="2:2" ht="15.75" customHeight="1" x14ac:dyDescent="0.25">
      <c r="B601" s="12"/>
    </row>
    <row r="602" spans="2:2" ht="15.75" customHeight="1" x14ac:dyDescent="0.25">
      <c r="B602" s="12"/>
    </row>
    <row r="603" spans="2:2" ht="15.75" customHeight="1" x14ac:dyDescent="0.25">
      <c r="B603" s="12"/>
    </row>
    <row r="604" spans="2:2" ht="15.75" customHeight="1" x14ac:dyDescent="0.25">
      <c r="B604" s="12"/>
    </row>
    <row r="605" spans="2:2" ht="15.75" customHeight="1" x14ac:dyDescent="0.25">
      <c r="B605" s="12"/>
    </row>
    <row r="606" spans="2:2" ht="15.75" customHeight="1" x14ac:dyDescent="0.25">
      <c r="B606" s="12"/>
    </row>
    <row r="607" spans="2:2" ht="15.75" customHeight="1" x14ac:dyDescent="0.25">
      <c r="B607" s="12"/>
    </row>
    <row r="608" spans="2:2" ht="15.75" customHeight="1" x14ac:dyDescent="0.25">
      <c r="B608" s="12"/>
    </row>
    <row r="609" spans="2:2" ht="15.75" customHeight="1" x14ac:dyDescent="0.25">
      <c r="B609" s="12"/>
    </row>
    <row r="610" spans="2:2" ht="15.75" customHeight="1" x14ac:dyDescent="0.25">
      <c r="B610" s="12"/>
    </row>
    <row r="611" spans="2:2" ht="15.75" customHeight="1" x14ac:dyDescent="0.25">
      <c r="B611" s="12"/>
    </row>
    <row r="612" spans="2:2" ht="15.75" customHeight="1" x14ac:dyDescent="0.25">
      <c r="B612" s="12"/>
    </row>
    <row r="613" spans="2:2" ht="15.75" customHeight="1" x14ac:dyDescent="0.25">
      <c r="B613" s="12"/>
    </row>
    <row r="614" spans="2:2" ht="15.75" customHeight="1" x14ac:dyDescent="0.25">
      <c r="B614" s="12"/>
    </row>
    <row r="615" spans="2:2" ht="15.75" customHeight="1" x14ac:dyDescent="0.25">
      <c r="B615" s="12"/>
    </row>
  </sheetData>
  <mergeCells count="9">
    <mergeCell ref="A22:A33"/>
    <mergeCell ref="A34:A45"/>
    <mergeCell ref="A46:A57"/>
    <mergeCell ref="A1:B5"/>
    <mergeCell ref="C1:G5"/>
    <mergeCell ref="A6:A7"/>
    <mergeCell ref="B6:B7"/>
    <mergeCell ref="C6:H7"/>
    <mergeCell ref="A10:A21"/>
  </mergeCells>
  <conditionalFormatting sqref="B46:B57">
    <cfRule type="expression" dxfId="0" priority="1">
      <formula>$B$6&lt;&gt;"Janeiro"</formula>
    </cfRule>
  </conditionalFormatting>
  <dataValidations count="2">
    <dataValidation type="list" allowBlank="1" showErrorMessage="1" sqref="B6:C6" xr:uid="{A5D04FA3-2598-4FFD-B3EB-93DB41F5611B}">
      <formula1>$N$6:$N$17</formula1>
    </dataValidation>
    <dataValidation type="list" allowBlank="1" showErrorMessage="1" sqref="F10:F57" xr:uid="{5E6572F5-3432-44B2-B840-71C02474DA67}">
      <formula1>$H$10:$H$12</formula1>
    </dataValidation>
  </dataValidations>
  <pageMargins left="0.511811024" right="0.511811024" top="0.78740157499999996" bottom="0.78740157499999996" header="0" footer="0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sers xmlns="84c92d79-736b-434d-a6de-4a5b6bb0f72c">
      <UserInfo>
        <DisplayName/>
        <AccountId xsi:nil="true"/>
        <AccountType/>
      </UserInfo>
    </Users>
    <_ip_UnifiedCompliancePolicyUIAction xmlns="http://schemas.microsoft.com/sharepoint/v3" xsi:nil="true"/>
    <lcf76f155ced4ddcb4097134ff3c332f xmlns="84c92d79-736b-434d-a6de-4a5b6bb0f72c">
      <Terms xmlns="http://schemas.microsoft.com/office/infopath/2007/PartnerControls"/>
    </lcf76f155ced4ddcb4097134ff3c332f>
    <TaxCatchAll xmlns="de022bf3-4aff-41f6-a825-e7793343a5a1" xsi:nil="true"/>
    <_ip_UnifiedCompliancePolicyProperties xmlns="http://schemas.microsoft.com/sharepoint/v3" xsi:nil="true"/>
    <_Flow_SignoffStatus xmlns="84c92d79-736b-434d-a6de-4a5b6bb0f72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47A52244DFCC9488E5B66DD2EAE55E4" ma:contentTypeVersion="18" ma:contentTypeDescription="Crie um novo documento." ma:contentTypeScope="" ma:versionID="936731ce312a4e8ead8ad97bcf9b70b3">
  <xsd:schema xmlns:xsd="http://www.w3.org/2001/XMLSchema" xmlns:xs="http://www.w3.org/2001/XMLSchema" xmlns:p="http://schemas.microsoft.com/office/2006/metadata/properties" xmlns:ns1="http://schemas.microsoft.com/sharepoint/v3" xmlns:ns2="84c92d79-736b-434d-a6de-4a5b6bb0f72c" xmlns:ns3="de022bf3-4aff-41f6-a825-e7793343a5a1" targetNamespace="http://schemas.microsoft.com/office/2006/metadata/properties" ma:root="true" ma:fieldsID="fdc18dfd3044d82758640420f33afd2f" ns1:_="" ns2:_="" ns3:_="">
    <xsd:import namespace="http://schemas.microsoft.com/sharepoint/v3"/>
    <xsd:import namespace="84c92d79-736b-434d-a6de-4a5b6bb0f72c"/>
    <xsd:import namespace="de022bf3-4aff-41f6-a825-e7793343a5a1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  <xsd:element ref="ns2:User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c92d79-736b-434d-a6de-4a5b6bb0f72c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8" nillable="true" ma:displayName="Status de liberação" ma:internalName="_x0024_Resources_x003a_core_x002c_Signoff_Status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68585fcb-9c99-4962-90d2-60149a44b0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Users" ma:index="23" nillable="true" ma:displayName="Users" ma:format="Dropdown" ma:list="UserInfo" ma:SharePointGroup="0" ma:internalName="Users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022bf3-4aff-41f6-a825-e7793343a5a1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dfb9e8a-4295-4e3c-8694-55aca7e39036}" ma:internalName="TaxCatchAll" ma:showField="CatchAllData" ma:web="de022bf3-4aff-41f6-a825-e7793343a5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E9A7F9-54EA-4B6D-AC87-9C359954EF67}">
  <ds:schemaRefs>
    <ds:schemaRef ds:uri="http://schemas.microsoft.com/office/2006/metadata/properties"/>
    <ds:schemaRef ds:uri="http://schemas.microsoft.com/office/infopath/2007/PartnerControls"/>
    <ds:schemaRef ds:uri="84c92d79-736b-434d-a6de-4a5b6bb0f72c"/>
    <ds:schemaRef ds:uri="http://schemas.microsoft.com/sharepoint/v3"/>
    <ds:schemaRef ds:uri="de022bf3-4aff-41f6-a825-e7793343a5a1"/>
  </ds:schemaRefs>
</ds:datastoreItem>
</file>

<file path=customXml/itemProps2.xml><?xml version="1.0" encoding="utf-8"?>
<ds:datastoreItem xmlns:ds="http://schemas.openxmlformats.org/officeDocument/2006/customXml" ds:itemID="{DFBDFA8B-A439-42C7-8AA7-5CEB73B1A6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7F0667-FF11-4836-B65E-7FD31D560D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4c92d79-736b-434d-a6de-4a5b6bb0f72c"/>
    <ds:schemaRef ds:uri="de022bf3-4aff-41f6-a825-e7793343a5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Planejamento</vt:lpstr>
      <vt:lpstr>Indicadores</vt:lpstr>
      <vt:lpstr>Plano de 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Thamires Aparecida Lesser Inácio</dc:creator>
  <cp:lastModifiedBy>Aloma Rocha Silva</cp:lastModifiedBy>
  <dcterms:created xsi:type="dcterms:W3CDTF">2024-03-06T12:30:44Z</dcterms:created>
  <dcterms:modified xsi:type="dcterms:W3CDTF">2026-06-25T11:53:00Z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0x010100547A52244DFCC9488E5B66DD2EAE55E4</vt:lpwstr>
  </property>
  <property fmtid="{D5CDD505-2E9C-101B-9397-08002B2CF9AE}" pid="3" name="MediaServiceImageTags">
    <vt:lpwstr/>
  </property>
</Properties>
</file>